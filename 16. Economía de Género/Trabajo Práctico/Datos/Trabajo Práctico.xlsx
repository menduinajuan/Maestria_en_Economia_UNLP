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16. Economía de Género\Trabajo Práctico\Datos\"/>
    </mc:Choice>
  </mc:AlternateContent>
  <xr:revisionPtr revIDLastSave="0" documentId="13_ncr:1_{F511A1B5-A627-497D-BECE-4018D42D7562}" xr6:coauthVersionLast="47" xr6:coauthVersionMax="47" xr10:uidLastSave="{00000000-0000-0000-0000-000000000000}"/>
  <bookViews>
    <workbookView xWindow="-120" yWindow="-120" windowWidth="20730" windowHeight="11760" xr2:uid="{001F8BF8-D382-4513-96BB-E55D549E4D21}"/>
  </bookViews>
  <sheets>
    <sheet name="Ejercicio 1" sheetId="1" r:id="rId1"/>
    <sheet name="Ejercicio 2" sheetId="2" r:id="rId2"/>
    <sheet name="Ejercicio 3" sheetId="6" r:id="rId3"/>
    <sheet name="Ejercicio 4" sheetId="7" r:id="rId4"/>
    <sheet name="Ejercicio 5" sheetId="9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9" l="1"/>
  <c r="E2" i="9"/>
</calcChain>
</file>

<file path=xl/sharedStrings.xml><?xml version="1.0" encoding="utf-8"?>
<sst xmlns="http://schemas.openxmlformats.org/spreadsheetml/2006/main" count="55" uniqueCount="32">
  <si>
    <t>Hombre</t>
  </si>
  <si>
    <t>Mujer</t>
  </si>
  <si>
    <t>Género</t>
  </si>
  <si>
    <t>CABA</t>
  </si>
  <si>
    <t>GBA</t>
  </si>
  <si>
    <t>NOA</t>
  </si>
  <si>
    <t>NEA</t>
  </si>
  <si>
    <t>Cuyo</t>
  </si>
  <si>
    <t>Pampeana</t>
  </si>
  <si>
    <t>Patagónica</t>
  </si>
  <si>
    <t>Total</t>
  </si>
  <si>
    <t>Participación laboral</t>
  </si>
  <si>
    <t>Ingreso horario promedio</t>
  </si>
  <si>
    <t>Share promedio</t>
  </si>
  <si>
    <t>Nivel educativo</t>
  </si>
  <si>
    <t>Share mujer/hombre</t>
  </si>
  <si>
    <t>Sin niños</t>
  </si>
  <si>
    <t>Con niños</t>
  </si>
  <si>
    <t>Niños en el hogar</t>
  </si>
  <si>
    <t>Decil de ingreso</t>
  </si>
  <si>
    <t>Región</t>
  </si>
  <si>
    <t>Hombre sin niños</t>
  </si>
  <si>
    <t>Hombre con niños</t>
  </si>
  <si>
    <t>Mujer sin niños</t>
  </si>
  <si>
    <t>Mujer con niños</t>
  </si>
  <si>
    <t>Género/Niños en el hogar</t>
  </si>
  <si>
    <t>Primario Incompleto</t>
  </si>
  <si>
    <t>Primario Completo</t>
  </si>
  <si>
    <t>Secundario Incompleto</t>
  </si>
  <si>
    <t>Secundario Completo</t>
  </si>
  <si>
    <t>Superior Universitario Incompleto</t>
  </si>
  <si>
    <t>Superior Universitario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</si>
</sst>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10" fontId="2" fillId="0" borderId="3" xfId="0" applyNumberFormat="1" applyFont="1" applyBorder="1" applyAlignment="1">
      <alignment horizontal="center" vertical="center"/>
    </xf>
    <xf numFmtId="10" fontId="1" fillId="0" borderId="3" xfId="0" applyNumberFormat="1" applyFont="1" applyBorder="1" applyAlignment="1">
      <alignment horizontal="left" vertical="center"/>
    </xf>
    <xf numFmtId="10" fontId="1" fillId="0" borderId="4" xfId="0" applyNumberFormat="1" applyFont="1" applyBorder="1" applyAlignment="1">
      <alignment horizontal="left" vertical="center"/>
    </xf>
    <xf numFmtId="10" fontId="2" fillId="0" borderId="4" xfId="0" applyNumberFormat="1" applyFont="1" applyBorder="1" applyAlignment="1">
      <alignment horizontal="center" vertical="center"/>
    </xf>
    <xf numFmtId="10" fontId="2" fillId="0" borderId="10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0" fontId="2" fillId="0" borderId="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Participación laboral por género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1'!$B$1</c:f>
              <c:strCache>
                <c:ptCount val="1"/>
                <c:pt idx="0">
                  <c:v>Participación laboral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D1F-4104-B051-B07A55DDA1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'Ejercicio 1'!$A$2:$A$3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'Ejercicio 1'!$B$2:$B$3</c:f>
              <c:numCache>
                <c:formatCode>0.00%</c:formatCode>
                <c:ptCount val="2"/>
                <c:pt idx="0">
                  <c:v>0.92776990000000004</c:v>
                </c:pt>
                <c:pt idx="1">
                  <c:v>0.72011840000000005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F-4104-B051-B07A55DDA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22048"/>
        <c:axId val="524820408"/>
      </c:barChart>
      <c:catAx>
        <c:axId val="524822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4820408"/>
        <c:crosses val="autoZero"/>
        <c:auto val="1"/>
        <c:lblAlgn val="ctr"/>
        <c:lblOffset val="100"/>
        <c:noMultiLvlLbl val="0"/>
      </c:catAx>
      <c:valAx>
        <c:axId val="524820408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2482204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71633902012248463"/>
          <c:y val="0.18560185185185185"/>
          <c:w val="0.23985621701742951"/>
          <c:h val="7.812554680664918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b="1"/>
              <a:t>Participación laboral por género y región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2'!$A$3</c:f>
              <c:strCache>
                <c:ptCount val="1"/>
                <c:pt idx="0">
                  <c:v>Hombre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'Ejercicio 2'!$B$2:$H$2</c:f>
              <c:strCache>
                <c:ptCount val="7"/>
                <c:pt idx="0">
                  <c:v>CABA</c:v>
                </c:pt>
                <c:pt idx="1">
                  <c:v>GBA</c:v>
                </c:pt>
                <c:pt idx="2">
                  <c:v>NOA</c:v>
                </c:pt>
                <c:pt idx="3">
                  <c:v>NEA</c:v>
                </c:pt>
                <c:pt idx="4">
                  <c:v>Cuyo</c:v>
                </c:pt>
                <c:pt idx="5">
                  <c:v>Pampeana</c:v>
                </c:pt>
                <c:pt idx="6">
                  <c:v>Patagónica</c:v>
                </c:pt>
              </c:strCache>
            </c:strRef>
          </c:cat>
          <c:val>
            <c:numRef>
              <c:f>'Ejercicio 2'!$B$3:$H$3</c:f>
              <c:numCache>
                <c:formatCode>0.00%</c:formatCode>
                <c:ptCount val="7"/>
                <c:pt idx="0">
                  <c:v>0.95914120000000003</c:v>
                </c:pt>
                <c:pt idx="1">
                  <c:v>0.93047049999999998</c:v>
                </c:pt>
                <c:pt idx="2">
                  <c:v>0.91886100000000004</c:v>
                </c:pt>
                <c:pt idx="3">
                  <c:v>0.88597440000000005</c:v>
                </c:pt>
                <c:pt idx="4">
                  <c:v>0.93047150000000001</c:v>
                </c:pt>
                <c:pt idx="5">
                  <c:v>0.91934400000000005</c:v>
                </c:pt>
                <c:pt idx="6">
                  <c:v>0.92613230000000002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4-4400-876E-6E1624970295}"/>
            </c:ext>
          </c:extLst>
        </c:ser>
        <c:ser>
          <c:idx val="1"/>
          <c:order val="1"/>
          <c:tx>
            <c:strRef>
              <c:f>'Ejercicio 2'!$A$4</c:f>
              <c:strCache>
                <c:ptCount val="1"/>
                <c:pt idx="0">
                  <c:v>Mujer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'Ejercicio 2'!$B$2:$H$2</c:f>
              <c:strCache>
                <c:ptCount val="7"/>
                <c:pt idx="0">
                  <c:v>CABA</c:v>
                </c:pt>
                <c:pt idx="1">
                  <c:v>GBA</c:v>
                </c:pt>
                <c:pt idx="2">
                  <c:v>NOA</c:v>
                </c:pt>
                <c:pt idx="3">
                  <c:v>NEA</c:v>
                </c:pt>
                <c:pt idx="4">
                  <c:v>Cuyo</c:v>
                </c:pt>
                <c:pt idx="5">
                  <c:v>Pampeana</c:v>
                </c:pt>
                <c:pt idx="6">
                  <c:v>Patagónica</c:v>
                </c:pt>
              </c:strCache>
            </c:strRef>
          </c:cat>
          <c:val>
            <c:numRef>
              <c:f>'Ejercicio 2'!$B$4:$H$4</c:f>
              <c:numCache>
                <c:formatCode>0.00%</c:formatCode>
                <c:ptCount val="7"/>
                <c:pt idx="0">
                  <c:v>0.84591660000000002</c:v>
                </c:pt>
                <c:pt idx="1">
                  <c:v>0.68281499999999995</c:v>
                </c:pt>
                <c:pt idx="2">
                  <c:v>0.72477760000000002</c:v>
                </c:pt>
                <c:pt idx="3">
                  <c:v>0.63486690000000001</c:v>
                </c:pt>
                <c:pt idx="4">
                  <c:v>0.74448159999999997</c:v>
                </c:pt>
                <c:pt idx="5">
                  <c:v>0.7453651</c:v>
                </c:pt>
                <c:pt idx="6">
                  <c:v>0.69527879999999997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94-4400-876E-6E1624970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1036808"/>
        <c:axId val="561035168"/>
      </c:barChart>
      <c:catAx>
        <c:axId val="561036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61035168"/>
        <c:crosses val="autoZero"/>
        <c:auto val="1"/>
        <c:lblAlgn val="ctr"/>
        <c:lblOffset val="100"/>
        <c:noMultiLvlLbl val="0"/>
      </c:catAx>
      <c:valAx>
        <c:axId val="561035168"/>
        <c:scaling>
          <c:orientation val="minMax"/>
          <c:max val="1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6103680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Ingreso horario promedio por género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3'!$B$1</c:f>
              <c:strCache>
                <c:ptCount val="1"/>
                <c:pt idx="0">
                  <c:v>Ingreso horario promedio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43-41A5-96AB-AA6C6F4ECB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'Ejercicio 3'!$A$2:$A$3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'Ejercicio 3'!$B$2:$B$3</c:f>
              <c:numCache>
                <c:formatCode>"$"\ #,##0.00</c:formatCode>
                <c:ptCount val="2"/>
                <c:pt idx="0">
                  <c:v>199.9864</c:v>
                </c:pt>
                <c:pt idx="1">
                  <c:v>200.21799999999999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43-41A5-96AB-AA6C6F4ECBC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4822048"/>
        <c:axId val="524820408"/>
      </c:barChart>
      <c:catAx>
        <c:axId val="524822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4820408"/>
        <c:crosses val="autoZero"/>
        <c:auto val="1"/>
        <c:lblAlgn val="ctr"/>
        <c:lblOffset val="100"/>
        <c:noMultiLvlLbl val="0"/>
      </c:catAx>
      <c:valAx>
        <c:axId val="524820408"/>
        <c:scaling>
          <c:orientation val="minMax"/>
          <c:max val="202"/>
          <c:min val="190"/>
        </c:scaling>
        <c:delete val="0"/>
        <c:axPos val="l"/>
        <c:numFmt formatCode="&quot;$&quot;\ 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2482204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71633902012248463"/>
          <c:y val="0.18560185185185185"/>
          <c:w val="0.23985621701742951"/>
          <c:h val="7.812554680664918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b="1"/>
              <a:t>Share promedio por decil de ingreso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4'!$B$1:$L$1</c:f>
              <c:strCache>
                <c:ptCount val="11"/>
                <c:pt idx="0">
                  <c:v>Decil de ingreso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numRef>
              <c:f>'Ejercicio 4'!$B$2:$K$2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'Ejercicio 4'!$B$3:$K$3</c:f>
              <c:numCache>
                <c:formatCode>0.00%</c:formatCode>
                <c:ptCount val="10"/>
                <c:pt idx="0">
                  <c:v>0.2958324</c:v>
                </c:pt>
                <c:pt idx="1">
                  <c:v>0.25266189999999999</c:v>
                </c:pt>
                <c:pt idx="2">
                  <c:v>0.26917469999999999</c:v>
                </c:pt>
                <c:pt idx="3">
                  <c:v>0.24771209999999999</c:v>
                </c:pt>
                <c:pt idx="4">
                  <c:v>0.32378249999999997</c:v>
                </c:pt>
                <c:pt idx="5">
                  <c:v>0.37986199999999998</c:v>
                </c:pt>
                <c:pt idx="6">
                  <c:v>0.4450364</c:v>
                </c:pt>
                <c:pt idx="7">
                  <c:v>0.45038899999999998</c:v>
                </c:pt>
                <c:pt idx="8">
                  <c:v>0.46050720000000001</c:v>
                </c:pt>
                <c:pt idx="9">
                  <c:v>0.47374359999999999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0-4895-AC59-D389DBC17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713600"/>
        <c:axId val="562713928"/>
      </c:barChart>
      <c:catAx>
        <c:axId val="56271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62713928"/>
        <c:crosses val="autoZero"/>
        <c:auto val="1"/>
        <c:lblAlgn val="ctr"/>
        <c:lblOffset val="100"/>
        <c:noMultiLvlLbl val="0"/>
      </c:catAx>
      <c:valAx>
        <c:axId val="56271392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62713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b="1"/>
              <a:t>Share promedio por nivel educativo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'Ejercicio 4'!$B$5:$H$5</c:f>
              <c:strCache>
                <c:ptCount val="7"/>
                <c:pt idx="0">
                  <c:v>Nivel educativo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'Ejercicio 4'!$B$6:$G$6</c:f>
              <c:strCache>
                <c:ptCount val="6"/>
                <c:pt idx="0">
                  <c:v>Primario Incompleto</c:v>
                </c:pt>
                <c:pt idx="1">
                  <c:v>Primario Completo</c:v>
                </c:pt>
                <c:pt idx="2">
                  <c:v>Secundario Incompleto</c:v>
                </c:pt>
                <c:pt idx="3">
                  <c:v>Secundario Completo</c:v>
                </c:pt>
                <c:pt idx="4">
                  <c:v>Superior Universitario Incompleto</c:v>
                </c:pt>
                <c:pt idx="5">
                  <c:v>Superior Universitario Completo</c:v>
                </c:pt>
              </c:strCache>
            </c:strRef>
          </c:cat>
          <c:val>
            <c:numRef>
              <c:f>'Ejercicio 4'!$B$7:$G$7</c:f>
              <c:numCache>
                <c:formatCode>0.00%</c:formatCode>
                <c:ptCount val="6"/>
                <c:pt idx="0">
                  <c:v>0.26825700000000002</c:v>
                </c:pt>
                <c:pt idx="1">
                  <c:v>0.34228189999999997</c:v>
                </c:pt>
                <c:pt idx="2">
                  <c:v>0.27930860000000002</c:v>
                </c:pt>
                <c:pt idx="3">
                  <c:v>0.34656690000000001</c:v>
                </c:pt>
                <c:pt idx="4">
                  <c:v>0.35547060000000003</c:v>
                </c:pt>
                <c:pt idx="5">
                  <c:v>0.48070180000000001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1-4137-A851-4240EDF15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2708024"/>
        <c:axId val="562709992"/>
      </c:barChart>
      <c:catAx>
        <c:axId val="562708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62709992"/>
        <c:crosses val="autoZero"/>
        <c:auto val="1"/>
        <c:lblAlgn val="ctr"/>
        <c:lblOffset val="100"/>
        <c:noMultiLvlLbl val="0"/>
      </c:catAx>
      <c:valAx>
        <c:axId val="562709992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627080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b="1"/>
              <a:t>Share promedio por región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4'!$B$9:$I$9</c:f>
              <c:strCache>
                <c:ptCount val="8"/>
                <c:pt idx="0">
                  <c:v>Región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'Ejercicio 4'!$B$10:$H$10</c:f>
              <c:strCache>
                <c:ptCount val="7"/>
                <c:pt idx="0">
                  <c:v>CABA</c:v>
                </c:pt>
                <c:pt idx="1">
                  <c:v>GBA</c:v>
                </c:pt>
                <c:pt idx="2">
                  <c:v>NOA</c:v>
                </c:pt>
                <c:pt idx="3">
                  <c:v>NEA</c:v>
                </c:pt>
                <c:pt idx="4">
                  <c:v>Cuyo</c:v>
                </c:pt>
                <c:pt idx="5">
                  <c:v>Pampeana</c:v>
                </c:pt>
                <c:pt idx="6">
                  <c:v>Patagónica</c:v>
                </c:pt>
              </c:strCache>
            </c:strRef>
          </c:cat>
          <c:val>
            <c:numRef>
              <c:f>'Ejercicio 4'!$B$11:$H$11</c:f>
              <c:numCache>
                <c:formatCode>0.00%</c:formatCode>
                <c:ptCount val="7"/>
                <c:pt idx="0">
                  <c:v>0.45312580000000002</c:v>
                </c:pt>
                <c:pt idx="1">
                  <c:v>0.3708553</c:v>
                </c:pt>
                <c:pt idx="2">
                  <c:v>0.35050799999999999</c:v>
                </c:pt>
                <c:pt idx="3">
                  <c:v>0.33685169999999998</c:v>
                </c:pt>
                <c:pt idx="4">
                  <c:v>0.35289340000000002</c:v>
                </c:pt>
                <c:pt idx="5">
                  <c:v>0.3824227</c:v>
                </c:pt>
                <c:pt idx="6">
                  <c:v>0.3316211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A-41A6-8AF6-91B452929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0038464"/>
        <c:axId val="430039776"/>
      </c:barChart>
      <c:catAx>
        <c:axId val="43003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30039776"/>
        <c:crosses val="autoZero"/>
        <c:auto val="1"/>
        <c:lblAlgn val="ctr"/>
        <c:lblOffset val="100"/>
        <c:noMultiLvlLbl val="0"/>
      </c:catAx>
      <c:valAx>
        <c:axId val="43003977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3003846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b="1"/>
              <a:t>Share promedio por decil de ingreso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'Ejercicio 4'!$B$1:$L$1</c:f>
              <c:strCache>
                <c:ptCount val="11"/>
                <c:pt idx="0">
                  <c:v>Decil de ingreso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numRef>
              <c:f>'Ejercicio 4'!$B$2:$K$2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'Ejercicio 4'!$B$3:$K$3</c:f>
              <c:numCache>
                <c:formatCode>0.00%</c:formatCode>
                <c:ptCount val="10"/>
                <c:pt idx="0">
                  <c:v>0.2958324</c:v>
                </c:pt>
                <c:pt idx="1">
                  <c:v>0.25266189999999999</c:v>
                </c:pt>
                <c:pt idx="2">
                  <c:v>0.26917469999999999</c:v>
                </c:pt>
                <c:pt idx="3">
                  <c:v>0.24771209999999999</c:v>
                </c:pt>
                <c:pt idx="4">
                  <c:v>0.32378249999999997</c:v>
                </c:pt>
                <c:pt idx="5">
                  <c:v>0.37986199999999998</c:v>
                </c:pt>
                <c:pt idx="6">
                  <c:v>0.4450364</c:v>
                </c:pt>
                <c:pt idx="7">
                  <c:v>0.45038899999999998</c:v>
                </c:pt>
                <c:pt idx="8">
                  <c:v>0.46050720000000001</c:v>
                </c:pt>
                <c:pt idx="9">
                  <c:v>0.47374359999999999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7-483C-B82B-0579813A2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2713600"/>
        <c:axId val="562713928"/>
      </c:barChart>
      <c:catAx>
        <c:axId val="562713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62713928"/>
        <c:crosses val="autoZero"/>
        <c:auto val="1"/>
        <c:lblAlgn val="ctr"/>
        <c:lblOffset val="100"/>
        <c:noMultiLvlLbl val="0"/>
      </c:catAx>
      <c:valAx>
        <c:axId val="562713928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62713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b="1"/>
              <a:t>Share promedio por nivel educativo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4'!$B$5:$H$5</c:f>
              <c:strCache>
                <c:ptCount val="7"/>
                <c:pt idx="0">
                  <c:v>Nivel educativo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'Ejercicio 4'!$B$6:$G$6</c:f>
              <c:strCache>
                <c:ptCount val="6"/>
                <c:pt idx="0">
                  <c:v>Primario Incompleto</c:v>
                </c:pt>
                <c:pt idx="1">
                  <c:v>Primario Completo</c:v>
                </c:pt>
                <c:pt idx="2">
                  <c:v>Secundario Incompleto</c:v>
                </c:pt>
                <c:pt idx="3">
                  <c:v>Secundario Completo</c:v>
                </c:pt>
                <c:pt idx="4">
                  <c:v>Superior Universitario Incompleto</c:v>
                </c:pt>
                <c:pt idx="5">
                  <c:v>Superior Universitario Completo</c:v>
                </c:pt>
              </c:strCache>
            </c:strRef>
          </c:cat>
          <c:val>
            <c:numRef>
              <c:f>'Ejercicio 4'!$B$7:$G$7</c:f>
              <c:numCache>
                <c:formatCode>0.00%</c:formatCode>
                <c:ptCount val="6"/>
                <c:pt idx="0">
                  <c:v>0.26825700000000002</c:v>
                </c:pt>
                <c:pt idx="1">
                  <c:v>0.34228189999999997</c:v>
                </c:pt>
                <c:pt idx="2">
                  <c:v>0.27930860000000002</c:v>
                </c:pt>
                <c:pt idx="3">
                  <c:v>0.34656690000000001</c:v>
                </c:pt>
                <c:pt idx="4">
                  <c:v>0.35547060000000003</c:v>
                </c:pt>
                <c:pt idx="5">
                  <c:v>0.48070180000000001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D-4C9A-81F5-CB33E16E7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2708024"/>
        <c:axId val="562709992"/>
      </c:barChart>
      <c:catAx>
        <c:axId val="562708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62709992"/>
        <c:crosses val="autoZero"/>
        <c:auto val="1"/>
        <c:lblAlgn val="ctr"/>
        <c:lblOffset val="100"/>
        <c:noMultiLvlLbl val="0"/>
      </c:catAx>
      <c:valAx>
        <c:axId val="562709992"/>
        <c:scaling>
          <c:orientation val="minMax"/>
          <c:max val="0.5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627080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b="1"/>
              <a:t>Share promedio por región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'Ejercicio 4'!$B$9:$I$9</c:f>
              <c:strCache>
                <c:ptCount val="8"/>
                <c:pt idx="0">
                  <c:v>Región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'Ejercicio 4'!$B$10:$H$10</c:f>
              <c:strCache>
                <c:ptCount val="7"/>
                <c:pt idx="0">
                  <c:v>CABA</c:v>
                </c:pt>
                <c:pt idx="1">
                  <c:v>GBA</c:v>
                </c:pt>
                <c:pt idx="2">
                  <c:v>NOA</c:v>
                </c:pt>
                <c:pt idx="3">
                  <c:v>NEA</c:v>
                </c:pt>
                <c:pt idx="4">
                  <c:v>Cuyo</c:v>
                </c:pt>
                <c:pt idx="5">
                  <c:v>Pampeana</c:v>
                </c:pt>
                <c:pt idx="6">
                  <c:v>Patagónica</c:v>
                </c:pt>
              </c:strCache>
            </c:strRef>
          </c:cat>
          <c:val>
            <c:numRef>
              <c:f>'Ejercicio 4'!$B$11:$H$11</c:f>
              <c:numCache>
                <c:formatCode>0.00%</c:formatCode>
                <c:ptCount val="7"/>
                <c:pt idx="0">
                  <c:v>0.45312580000000002</c:v>
                </c:pt>
                <c:pt idx="1">
                  <c:v>0.3708553</c:v>
                </c:pt>
                <c:pt idx="2">
                  <c:v>0.35050799999999999</c:v>
                </c:pt>
                <c:pt idx="3">
                  <c:v>0.33685169999999998</c:v>
                </c:pt>
                <c:pt idx="4">
                  <c:v>0.35289340000000002</c:v>
                </c:pt>
                <c:pt idx="5">
                  <c:v>0.3824227</c:v>
                </c:pt>
                <c:pt idx="6">
                  <c:v>0.3316211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A-4F95-8A77-C8B78F18E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30038464"/>
        <c:axId val="430039776"/>
      </c:barChart>
      <c:catAx>
        <c:axId val="430038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30039776"/>
        <c:crosses val="autoZero"/>
        <c:auto val="1"/>
        <c:lblAlgn val="ctr"/>
        <c:lblOffset val="100"/>
        <c:noMultiLvlLbl val="0"/>
      </c:catAx>
      <c:valAx>
        <c:axId val="430039776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3003846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Participación laboral por género y niños en el hogar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5'!$B$1</c:f>
              <c:strCache>
                <c:ptCount val="1"/>
                <c:pt idx="0">
                  <c:v>Participación laboral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10-43EC-A3B2-7CDFAD876DA2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810-43EC-A3B2-7CDFAD876D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'Ejercicio 5'!$A$2:$A$5</c:f>
              <c:strCache>
                <c:ptCount val="4"/>
                <c:pt idx="0">
                  <c:v>Hombre sin niños</c:v>
                </c:pt>
                <c:pt idx="1">
                  <c:v>Mujer sin niños</c:v>
                </c:pt>
                <c:pt idx="2">
                  <c:v>Hombre con niños</c:v>
                </c:pt>
                <c:pt idx="3">
                  <c:v>Mujer con niños</c:v>
                </c:pt>
              </c:strCache>
            </c:strRef>
          </c:cat>
          <c:val>
            <c:numRef>
              <c:f>'Ejercicio 5'!$B$2:$B$5</c:f>
              <c:numCache>
                <c:formatCode>0.00%</c:formatCode>
                <c:ptCount val="4"/>
                <c:pt idx="0">
                  <c:v>0.90137829999999997</c:v>
                </c:pt>
                <c:pt idx="1">
                  <c:v>0.7762289</c:v>
                </c:pt>
                <c:pt idx="2">
                  <c:v>0.94943460000000002</c:v>
                </c:pt>
                <c:pt idx="3">
                  <c:v>0.68750869999999997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10-43EC-A3B2-7CDFAD876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22048"/>
        <c:axId val="524820408"/>
      </c:barChart>
      <c:catAx>
        <c:axId val="524822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24820408"/>
        <c:crosses val="autoZero"/>
        <c:auto val="1"/>
        <c:lblAlgn val="ctr"/>
        <c:lblOffset val="100"/>
        <c:noMultiLvlLbl val="0"/>
      </c:catAx>
      <c:valAx>
        <c:axId val="524820408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2482204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/>
              <a:t>Share mujer/hombre de participación laboral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5'!$E$1</c:f>
              <c:strCache>
                <c:ptCount val="1"/>
                <c:pt idx="0">
                  <c:v>Share mujer/hombre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A7D-455D-9FD4-5A520384C3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'Ejercicio 5'!$D$2:$D$3</c:f>
              <c:strCache>
                <c:ptCount val="2"/>
                <c:pt idx="0">
                  <c:v>Sin niños</c:v>
                </c:pt>
                <c:pt idx="1">
                  <c:v>Con niños</c:v>
                </c:pt>
              </c:strCache>
            </c:strRef>
          </c:cat>
          <c:val>
            <c:numRef>
              <c:f>'Ejercicio 5'!$E$2:$E$3</c:f>
              <c:numCache>
                <c:formatCode>0.00%</c:formatCode>
                <c:ptCount val="2"/>
                <c:pt idx="0">
                  <c:v>0.86115774031835468</c:v>
                </c:pt>
                <c:pt idx="1">
                  <c:v>0.72412433673683263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D-455D-9FD4-5A520384C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393896"/>
        <c:axId val="527401440"/>
      </c:barChart>
      <c:catAx>
        <c:axId val="527393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7401440"/>
        <c:crosses val="autoZero"/>
        <c:auto val="1"/>
        <c:lblAlgn val="ctr"/>
        <c:lblOffset val="100"/>
        <c:noMultiLvlLbl val="0"/>
      </c:catAx>
      <c:valAx>
        <c:axId val="527401440"/>
        <c:scaling>
          <c:orientation val="minMax"/>
          <c:min val="0.70000000000000007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2739389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66617475940507431"/>
          <c:y val="0.18101851851851855"/>
          <c:w val="0.29542804024496938"/>
          <c:h val="7.812554680664918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5952</xdr:colOff>
      <xdr:row>0</xdr:row>
      <xdr:rowOff>9525</xdr:rowOff>
    </xdr:from>
    <xdr:to>
      <xdr:col>9</xdr:col>
      <xdr:colOff>0</xdr:colOff>
      <xdr:row>14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59BF884-862F-42FB-B5C7-41D4AF3FB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5953</xdr:colOff>
      <xdr:row>0</xdr:row>
      <xdr:rowOff>9525</xdr:rowOff>
    </xdr:from>
    <xdr:to>
      <xdr:col>16</xdr:col>
      <xdr:colOff>5953</xdr:colOff>
      <xdr:row>14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0DD5BA-EFD4-43AE-94B7-5E830CBE0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5952</xdr:colOff>
      <xdr:row>0</xdr:row>
      <xdr:rowOff>9525</xdr:rowOff>
    </xdr:from>
    <xdr:to>
      <xdr:col>9</xdr:col>
      <xdr:colOff>0</xdr:colOff>
      <xdr:row>14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68DA1F-82A9-4BC9-B4E4-BF39714F7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</xdr:colOff>
      <xdr:row>12</xdr:row>
      <xdr:rowOff>9525</xdr:rowOff>
    </xdr:from>
    <xdr:to>
      <xdr:col>3</xdr:col>
      <xdr:colOff>494109</xdr:colOff>
      <xdr:row>26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3B47AF-63A3-4456-8A18-AE33D4B14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17859</xdr:colOff>
      <xdr:row>26</xdr:row>
      <xdr:rowOff>188118</xdr:rowOff>
    </xdr:from>
    <xdr:to>
      <xdr:col>6</xdr:col>
      <xdr:colOff>1017984</xdr:colOff>
      <xdr:row>41</xdr:row>
      <xdr:rowOff>73818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2D6BDE-BDBA-4040-A937-D38FB1428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11</xdr:row>
      <xdr:rowOff>188119</xdr:rowOff>
    </xdr:from>
    <xdr:to>
      <xdr:col>13</xdr:col>
      <xdr:colOff>0</xdr:colOff>
      <xdr:row>26</xdr:row>
      <xdr:rowOff>73819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E64B904-DACA-4A99-B2BA-2E1BEC267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</xdr:colOff>
      <xdr:row>27</xdr:row>
      <xdr:rowOff>0</xdr:rowOff>
    </xdr:from>
    <xdr:to>
      <xdr:col>3</xdr:col>
      <xdr:colOff>488157</xdr:colOff>
      <xdr:row>41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3030CF4-F3B2-487A-B5F9-6A7028F9CA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11</xdr:row>
      <xdr:rowOff>178594</xdr:rowOff>
    </xdr:from>
    <xdr:to>
      <xdr:col>6</xdr:col>
      <xdr:colOff>1000125</xdr:colOff>
      <xdr:row>26</xdr:row>
      <xdr:rowOff>64294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E610F4A-D7A9-4002-86CD-515951380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11906</xdr:colOff>
      <xdr:row>27</xdr:row>
      <xdr:rowOff>11906</xdr:rowOff>
    </xdr:from>
    <xdr:to>
      <xdr:col>13</xdr:col>
      <xdr:colOff>11906</xdr:colOff>
      <xdr:row>41</xdr:row>
      <xdr:rowOff>88106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83685CF-065E-4526-8B46-2A0744363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5952</xdr:colOff>
      <xdr:row>0</xdr:row>
      <xdr:rowOff>11906</xdr:rowOff>
    </xdr:from>
    <xdr:to>
      <xdr:col>12</xdr:col>
      <xdr:colOff>0</xdr:colOff>
      <xdr:row>14</xdr:row>
      <xdr:rowOff>88106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B6537A-7432-47DA-809A-8BB5A29A2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9524</xdr:rowOff>
    </xdr:from>
    <xdr:to>
      <xdr:col>12</xdr:col>
      <xdr:colOff>0</xdr:colOff>
      <xdr:row>29</xdr:row>
      <xdr:rowOff>85724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E6CC15B-6862-4063-9420-F48F15E55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765E7-26C4-420E-8F15-F196C24DEDC5}">
  <dimension ref="A1:B4"/>
  <sheetViews>
    <sheetView tabSelected="1" zoomScale="80" zoomScaleNormal="80" workbookViewId="0"/>
  </sheetViews>
  <sheetFormatPr baseColWidth="10" defaultRowHeight="15" x14ac:dyDescent="0.25"/>
  <cols>
    <col min="1" max="1" width="11.42578125" style="5"/>
    <col min="2" max="2" width="21.42578125" style="5" customWidth="1"/>
    <col min="3" max="16384" width="11.42578125" style="5"/>
  </cols>
  <sheetData>
    <row r="1" spans="1:2" x14ac:dyDescent="0.25">
      <c r="A1" s="1" t="s">
        <v>2</v>
      </c>
      <c r="B1" s="2" t="s">
        <v>11</v>
      </c>
    </row>
    <row r="2" spans="1:2" x14ac:dyDescent="0.25">
      <c r="A2" s="6" t="s">
        <v>0</v>
      </c>
      <c r="B2" s="7">
        <v>0.92776990000000004</v>
      </c>
    </row>
    <row r="3" spans="1:2" x14ac:dyDescent="0.25">
      <c r="A3" s="6" t="s">
        <v>1</v>
      </c>
      <c r="B3" s="7">
        <v>0.72011840000000005</v>
      </c>
    </row>
    <row r="4" spans="1:2" x14ac:dyDescent="0.25">
      <c r="A4" s="12" t="s">
        <v>10</v>
      </c>
      <c r="B4" s="10">
        <v>0.82026759999999999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0209-BCCC-4BBC-A7E8-E202ED19C21C}">
  <dimension ref="A1:I5"/>
  <sheetViews>
    <sheetView zoomScale="80" zoomScaleNormal="80" workbookViewId="0">
      <selection sqref="A1:A2"/>
    </sheetView>
  </sheetViews>
  <sheetFormatPr baseColWidth="10" defaultRowHeight="15" x14ac:dyDescent="0.25"/>
  <cols>
    <col min="1" max="16384" width="11.42578125" style="5"/>
  </cols>
  <sheetData>
    <row r="1" spans="1:9" x14ac:dyDescent="0.25">
      <c r="A1" s="24" t="s">
        <v>2</v>
      </c>
      <c r="B1" s="21" t="s">
        <v>20</v>
      </c>
      <c r="C1" s="22"/>
      <c r="D1" s="22"/>
      <c r="E1" s="22"/>
      <c r="F1" s="22"/>
      <c r="G1" s="22"/>
      <c r="H1" s="22"/>
      <c r="I1" s="23"/>
    </row>
    <row r="2" spans="1:9" x14ac:dyDescent="0.25">
      <c r="A2" s="25"/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 x14ac:dyDescent="0.25">
      <c r="A3" s="6" t="s">
        <v>0</v>
      </c>
      <c r="B3" s="7">
        <v>0.95914120000000003</v>
      </c>
      <c r="C3" s="7">
        <v>0.93047049999999998</v>
      </c>
      <c r="D3" s="7">
        <v>0.91886100000000004</v>
      </c>
      <c r="E3" s="7">
        <v>0.88597440000000005</v>
      </c>
      <c r="F3" s="7">
        <v>0.93047150000000001</v>
      </c>
      <c r="G3" s="7">
        <v>0.91934400000000005</v>
      </c>
      <c r="H3" s="7">
        <v>0.92613230000000002</v>
      </c>
      <c r="I3" s="18">
        <v>0.92776990000000004</v>
      </c>
    </row>
    <row r="4" spans="1:9" x14ac:dyDescent="0.25">
      <c r="A4" s="6" t="s">
        <v>1</v>
      </c>
      <c r="B4" s="7">
        <v>0.84591660000000002</v>
      </c>
      <c r="C4" s="7">
        <v>0.68281499999999995</v>
      </c>
      <c r="D4" s="7">
        <v>0.72477760000000002</v>
      </c>
      <c r="E4" s="7">
        <v>0.63486690000000001</v>
      </c>
      <c r="F4" s="7">
        <v>0.74448159999999997</v>
      </c>
      <c r="G4" s="7">
        <v>0.7453651</v>
      </c>
      <c r="H4" s="7">
        <v>0.69527879999999997</v>
      </c>
      <c r="I4" s="7">
        <v>0.72011840000000005</v>
      </c>
    </row>
    <row r="5" spans="1:9" x14ac:dyDescent="0.25">
      <c r="A5" s="12" t="s">
        <v>10</v>
      </c>
      <c r="B5" s="10">
        <v>0.90013370000000004</v>
      </c>
      <c r="C5" s="10">
        <v>0.80376559999999997</v>
      </c>
      <c r="D5" s="10">
        <v>0.81599659999999996</v>
      </c>
      <c r="E5" s="10">
        <v>0.75500769999999995</v>
      </c>
      <c r="F5" s="10">
        <v>0.83238939999999995</v>
      </c>
      <c r="G5" s="10">
        <v>0.82895359999999996</v>
      </c>
      <c r="H5" s="10">
        <v>0.80713550000000001</v>
      </c>
      <c r="I5" s="10">
        <v>0.82026759999999999</v>
      </c>
    </row>
  </sheetData>
  <mergeCells count="2">
    <mergeCell ref="B1:I1"/>
    <mergeCell ref="A1:A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F4ACE-CA8C-47B1-BD12-A03B7E844835}">
  <dimension ref="A1:B4"/>
  <sheetViews>
    <sheetView zoomScale="80" zoomScaleNormal="80" workbookViewId="0"/>
  </sheetViews>
  <sheetFormatPr baseColWidth="10" defaultRowHeight="15" x14ac:dyDescent="0.25"/>
  <cols>
    <col min="1" max="1" width="11.42578125" style="5"/>
    <col min="2" max="2" width="25" style="5" customWidth="1"/>
    <col min="3" max="16384" width="11.42578125" style="5"/>
  </cols>
  <sheetData>
    <row r="1" spans="1:2" x14ac:dyDescent="0.25">
      <c r="A1" s="1" t="s">
        <v>2</v>
      </c>
      <c r="B1" s="2" t="s">
        <v>12</v>
      </c>
    </row>
    <row r="2" spans="1:2" x14ac:dyDescent="0.25">
      <c r="A2" s="6" t="s">
        <v>0</v>
      </c>
      <c r="B2" s="16">
        <v>199.9864</v>
      </c>
    </row>
    <row r="3" spans="1:2" x14ac:dyDescent="0.25">
      <c r="A3" s="6" t="s">
        <v>1</v>
      </c>
      <c r="B3" s="16">
        <v>200.21799999999999</v>
      </c>
    </row>
    <row r="4" spans="1:2" x14ac:dyDescent="0.25">
      <c r="A4" s="12" t="s">
        <v>10</v>
      </c>
      <c r="B4" s="17">
        <v>200.0908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6F6D1-E979-4EB5-8009-43F8535CBFF9}">
  <dimension ref="A1:M11"/>
  <sheetViews>
    <sheetView zoomScale="80" zoomScaleNormal="80" workbookViewId="0">
      <selection sqref="A1:A2"/>
    </sheetView>
  </sheetViews>
  <sheetFormatPr baseColWidth="10" defaultRowHeight="15" x14ac:dyDescent="0.25"/>
  <cols>
    <col min="1" max="1" width="18" style="5" customWidth="1"/>
    <col min="2" max="3" width="21.5703125" style="5" customWidth="1"/>
    <col min="4" max="5" width="21.42578125" style="5" customWidth="1"/>
    <col min="6" max="7" width="32.140625" style="5" customWidth="1"/>
    <col min="8" max="16384" width="11.42578125" style="5"/>
  </cols>
  <sheetData>
    <row r="1" spans="1:13" x14ac:dyDescent="0.25">
      <c r="A1" s="24"/>
      <c r="B1" s="21" t="s">
        <v>19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15"/>
    </row>
    <row r="2" spans="1:13" x14ac:dyDescent="0.25">
      <c r="A2" s="25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 t="s">
        <v>10</v>
      </c>
    </row>
    <row r="3" spans="1:13" x14ac:dyDescent="0.25">
      <c r="A3" s="12" t="s">
        <v>13</v>
      </c>
      <c r="B3" s="10">
        <v>0.2958324</v>
      </c>
      <c r="C3" s="10">
        <v>0.25266189999999999</v>
      </c>
      <c r="D3" s="10">
        <v>0.26917469999999999</v>
      </c>
      <c r="E3" s="10">
        <v>0.24771209999999999</v>
      </c>
      <c r="F3" s="10">
        <v>0.32378249999999997</v>
      </c>
      <c r="G3" s="10">
        <v>0.37986199999999998</v>
      </c>
      <c r="H3" s="10">
        <v>0.4450364</v>
      </c>
      <c r="I3" s="10">
        <v>0.45038899999999998</v>
      </c>
      <c r="J3" s="10">
        <v>0.46050720000000001</v>
      </c>
      <c r="K3" s="10">
        <v>0.47374359999999999</v>
      </c>
      <c r="L3" s="10">
        <v>0.37605769999999999</v>
      </c>
    </row>
    <row r="5" spans="1:13" x14ac:dyDescent="0.25">
      <c r="A5" s="24"/>
      <c r="B5" s="21" t="s">
        <v>14</v>
      </c>
      <c r="C5" s="22"/>
      <c r="D5" s="22"/>
      <c r="E5" s="22"/>
      <c r="F5" s="22"/>
      <c r="G5" s="22"/>
      <c r="H5" s="23"/>
    </row>
    <row r="6" spans="1:13" x14ac:dyDescent="0.25">
      <c r="A6" s="25"/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10</v>
      </c>
    </row>
    <row r="7" spans="1:13" x14ac:dyDescent="0.25">
      <c r="A7" s="12" t="s">
        <v>13</v>
      </c>
      <c r="B7" s="10">
        <v>0.26825700000000002</v>
      </c>
      <c r="C7" s="10">
        <v>0.34228189999999997</v>
      </c>
      <c r="D7" s="10">
        <v>0.27930860000000002</v>
      </c>
      <c r="E7" s="10">
        <v>0.34656690000000001</v>
      </c>
      <c r="F7" s="10">
        <v>0.35547060000000003</v>
      </c>
      <c r="G7" s="10">
        <v>0.48070180000000001</v>
      </c>
      <c r="H7" s="10">
        <v>0.37605769999999999</v>
      </c>
    </row>
    <row r="9" spans="1:13" x14ac:dyDescent="0.25">
      <c r="A9" s="24"/>
      <c r="B9" s="21" t="s">
        <v>20</v>
      </c>
      <c r="C9" s="22"/>
      <c r="D9" s="22"/>
      <c r="E9" s="22"/>
      <c r="F9" s="22"/>
      <c r="G9" s="22"/>
      <c r="H9" s="22"/>
      <c r="I9" s="23"/>
    </row>
    <row r="10" spans="1:13" x14ac:dyDescent="0.25">
      <c r="A10" s="25"/>
      <c r="B10" s="2" t="s">
        <v>3</v>
      </c>
      <c r="C10" s="2" t="s">
        <v>4</v>
      </c>
      <c r="D10" s="2" t="s">
        <v>5</v>
      </c>
      <c r="E10" s="2" t="s">
        <v>6</v>
      </c>
      <c r="F10" s="2" t="s">
        <v>7</v>
      </c>
      <c r="G10" s="2" t="s">
        <v>8</v>
      </c>
      <c r="H10" s="2" t="s">
        <v>9</v>
      </c>
      <c r="I10" s="2" t="s">
        <v>10</v>
      </c>
    </row>
    <row r="11" spans="1:13" x14ac:dyDescent="0.25">
      <c r="A11" s="12" t="s">
        <v>13</v>
      </c>
      <c r="B11" s="10">
        <v>0.45312580000000002</v>
      </c>
      <c r="C11" s="10">
        <v>0.3708553</v>
      </c>
      <c r="D11" s="10">
        <v>0.35050799999999999</v>
      </c>
      <c r="E11" s="10">
        <v>0.33685169999999998</v>
      </c>
      <c r="F11" s="10">
        <v>0.35289340000000002</v>
      </c>
      <c r="G11" s="10">
        <v>0.3824227</v>
      </c>
      <c r="H11" s="10">
        <v>0.3316211</v>
      </c>
      <c r="I11" s="10">
        <v>0.37605769999999999</v>
      </c>
    </row>
  </sheetData>
  <mergeCells count="6">
    <mergeCell ref="A9:A10"/>
    <mergeCell ref="B9:I9"/>
    <mergeCell ref="A1:A2"/>
    <mergeCell ref="B1:L1"/>
    <mergeCell ref="A5:A6"/>
    <mergeCell ref="B5:H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8266-D637-4188-B917-F97B2A2B4D1B}">
  <dimension ref="A1:E6"/>
  <sheetViews>
    <sheetView zoomScale="80" zoomScaleNormal="80" workbookViewId="0"/>
  </sheetViews>
  <sheetFormatPr baseColWidth="10" defaultRowHeight="15" x14ac:dyDescent="0.25"/>
  <cols>
    <col min="1" max="1" width="25.140625" style="5" customWidth="1"/>
    <col min="2" max="2" width="21.42578125" style="5" customWidth="1"/>
    <col min="3" max="3" width="11.42578125" style="5" customWidth="1"/>
    <col min="4" max="4" width="21.42578125" style="5" customWidth="1"/>
    <col min="5" max="5" width="21.42578125" style="5" bestFit="1" customWidth="1"/>
    <col min="6" max="16384" width="11.42578125" style="5"/>
  </cols>
  <sheetData>
    <row r="1" spans="1:5" x14ac:dyDescent="0.25">
      <c r="A1" s="1" t="s">
        <v>25</v>
      </c>
      <c r="B1" s="2" t="s">
        <v>11</v>
      </c>
      <c r="C1" s="3"/>
      <c r="D1" s="4" t="s">
        <v>18</v>
      </c>
      <c r="E1" s="2" t="s">
        <v>15</v>
      </c>
    </row>
    <row r="2" spans="1:5" x14ac:dyDescent="0.25">
      <c r="A2" s="19" t="s">
        <v>21</v>
      </c>
      <c r="B2" s="7">
        <v>0.90137829999999997</v>
      </c>
      <c r="C2" s="7"/>
      <c r="D2" s="8" t="s">
        <v>16</v>
      </c>
      <c r="E2" s="7">
        <f>B3/B2</f>
        <v>0.86115774031835468</v>
      </c>
    </row>
    <row r="3" spans="1:5" x14ac:dyDescent="0.25">
      <c r="A3" s="19" t="s">
        <v>23</v>
      </c>
      <c r="B3" s="7">
        <v>0.7762289</v>
      </c>
      <c r="C3" s="7"/>
      <c r="D3" s="9" t="s">
        <v>17</v>
      </c>
      <c r="E3" s="10">
        <f>B5/B4</f>
        <v>0.72412433673683263</v>
      </c>
    </row>
    <row r="4" spans="1:5" x14ac:dyDescent="0.25">
      <c r="A4" s="19" t="s">
        <v>22</v>
      </c>
      <c r="B4" s="7">
        <v>0.94943460000000002</v>
      </c>
      <c r="C4" s="11"/>
    </row>
    <row r="5" spans="1:5" x14ac:dyDescent="0.25">
      <c r="A5" s="20" t="s">
        <v>24</v>
      </c>
      <c r="B5" s="10">
        <v>0.68750869999999997</v>
      </c>
      <c r="C5" s="11"/>
    </row>
    <row r="6" spans="1:5" x14ac:dyDescent="0.25">
      <c r="A6" s="13"/>
      <c r="B6" s="14"/>
      <c r="C6" s="14"/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Ejercicio 1</vt:lpstr>
      <vt:lpstr>Ejercicio 2</vt:lpstr>
      <vt:lpstr>Ejercicio 3</vt:lpstr>
      <vt:lpstr>Ejercicio 4</vt:lpstr>
      <vt:lpstr>Ejercicio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2021-07-25T16:56:28Z</dcterms:created>
  <dcterms:modified xsi:type="dcterms:W3CDTF">2021-07-29T22:33:31Z</dcterms:modified>
</cp:coreProperties>
</file>