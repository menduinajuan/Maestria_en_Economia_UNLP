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juanc\Desktop\Economía\Maestría en Economía\16. Economía de Género\Monografía\Datos\.res\"/>
    </mc:Choice>
  </mc:AlternateContent>
  <xr:revisionPtr revIDLastSave="0" documentId="13_ncr:1_{EF16EFFE-66A3-4A53-B44D-70F6EBD4BDAD}" xr6:coauthVersionLast="47" xr6:coauthVersionMax="47" xr10:uidLastSave="{00000000-0000-0000-0000-000000000000}"/>
  <bookViews>
    <workbookView xWindow="-120" yWindow="-120" windowWidth="20730" windowHeight="11760" tabRatio="877" xr2:uid="{F43AAB1A-96A1-44F8-97E9-08059EC9BE7B}"/>
  </bookViews>
  <sheets>
    <sheet name="Ingreso Promedio por Decil" sheetId="10" r:id="rId1"/>
    <sheet name="Ingreso Promedio por Sector" sheetId="20" r:id="rId2"/>
    <sheet name="Género - Grupos de Edad" sheetId="15" r:id="rId3"/>
    <sheet name="Informalidad" sheetId="14" r:id="rId4"/>
    <sheet name="Empleo Perdido" sheetId="13" r:id="rId5"/>
    <sheet name="Respuesta de Política" sheetId="16" r:id="rId6"/>
    <sheet name="Figuras" sheetId="19" r:id="rId7"/>
  </sheets>
  <definedNames>
    <definedName name="_xlnm._FilterDatabase" localSheetId="4" hidden="1">'Empleo Perdido'!$CF$18:$CH$18</definedName>
    <definedName name="_xlnm._FilterDatabase" localSheetId="3" hidden="1">Informalidad!$R$17:$X$28</definedName>
    <definedName name="_xlnm.Print_Area" localSheetId="0">'Ingreso Promedio por Decil'!$A$1:$O$39</definedName>
    <definedName name="_xlnm.Print_Area" localSheetId="1">'Ingreso Promedio por Sector'!$A$1:$O$42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 i="16" l="1"/>
  <c r="C13" i="16"/>
  <c r="C12" i="16"/>
  <c r="C11" i="16"/>
  <c r="C10" i="16"/>
  <c r="C9" i="16"/>
  <c r="C8" i="16"/>
  <c r="C7" i="16"/>
  <c r="C6" i="16"/>
  <c r="C5" i="16"/>
  <c r="P7" i="16" l="1"/>
  <c r="P6" i="16"/>
  <c r="P5" i="16"/>
  <c r="T7" i="16"/>
  <c r="T6" i="16"/>
  <c r="T5" i="16"/>
  <c r="S7" i="16"/>
  <c r="S6" i="16"/>
  <c r="S5" i="16"/>
  <c r="M9" i="20" l="1"/>
  <c r="O42" i="20" l="1"/>
  <c r="O41" i="20"/>
  <c r="O40" i="20"/>
  <c r="O39" i="20"/>
  <c r="O38" i="20"/>
  <c r="O37" i="20"/>
  <c r="M42" i="20"/>
  <c r="M41" i="20"/>
  <c r="M40" i="20"/>
  <c r="M39" i="20"/>
  <c r="M38" i="20"/>
  <c r="M37" i="20"/>
  <c r="K42" i="20"/>
  <c r="K41" i="20"/>
  <c r="K40" i="20"/>
  <c r="K39" i="20"/>
  <c r="K38" i="20"/>
  <c r="K37" i="20"/>
  <c r="I42" i="20"/>
  <c r="I41" i="20"/>
  <c r="I40" i="20"/>
  <c r="I39" i="20"/>
  <c r="I38" i="20"/>
  <c r="I37" i="20"/>
  <c r="G42" i="20"/>
  <c r="G41" i="20"/>
  <c r="G40" i="20"/>
  <c r="G39" i="20"/>
  <c r="G38" i="20"/>
  <c r="G37" i="20"/>
  <c r="O36" i="20"/>
  <c r="O35" i="20"/>
  <c r="O34" i="20"/>
  <c r="O33" i="20"/>
  <c r="O32" i="20"/>
  <c r="O31" i="20"/>
  <c r="O30" i="20"/>
  <c r="O29" i="20"/>
  <c r="O28" i="20"/>
  <c r="O27" i="20"/>
  <c r="O26" i="20"/>
  <c r="O25" i="20"/>
  <c r="O24" i="20"/>
  <c r="O23" i="20"/>
  <c r="O22" i="20"/>
  <c r="O21" i="20"/>
  <c r="O20" i="20"/>
  <c r="O19" i="20"/>
  <c r="O18" i="20"/>
  <c r="O17" i="20"/>
  <c r="O16" i="20"/>
  <c r="O15" i="20"/>
  <c r="O14" i="20"/>
  <c r="O13" i="20"/>
  <c r="O12" i="20"/>
  <c r="O11" i="20"/>
  <c r="O10" i="20"/>
  <c r="O9" i="20"/>
  <c r="O8" i="20"/>
  <c r="O7" i="20"/>
  <c r="M36" i="20"/>
  <c r="M35" i="20"/>
  <c r="M34" i="20"/>
  <c r="M33" i="20"/>
  <c r="M32" i="20"/>
  <c r="M31" i="20"/>
  <c r="M30" i="20"/>
  <c r="M29" i="20"/>
  <c r="M28" i="20"/>
  <c r="M27" i="20"/>
  <c r="M26" i="20"/>
  <c r="M25" i="20"/>
  <c r="M24" i="20"/>
  <c r="M23" i="20"/>
  <c r="M22" i="20"/>
  <c r="M21" i="20"/>
  <c r="M20" i="20"/>
  <c r="M19" i="20"/>
  <c r="M18" i="20"/>
  <c r="M17" i="20"/>
  <c r="M16" i="20"/>
  <c r="M15" i="20"/>
  <c r="M14" i="20"/>
  <c r="M13" i="20"/>
  <c r="M12" i="20"/>
  <c r="M11" i="20"/>
  <c r="M10" i="20"/>
  <c r="M8" i="20"/>
  <c r="M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10" i="20"/>
  <c r="I9" i="20"/>
  <c r="I8" i="20"/>
  <c r="I7" i="20"/>
  <c r="G36" i="20"/>
  <c r="G35" i="20"/>
  <c r="G34" i="20"/>
  <c r="G33" i="20"/>
  <c r="G32" i="20"/>
  <c r="G31" i="20"/>
  <c r="G30" i="20"/>
  <c r="G29" i="20"/>
  <c r="G28" i="20"/>
  <c r="G27" i="20"/>
  <c r="G26" i="20"/>
  <c r="G25" i="20"/>
  <c r="G24" i="20"/>
  <c r="P24" i="20" s="1"/>
  <c r="Q24" i="20" s="1"/>
  <c r="G23" i="20"/>
  <c r="G22" i="20"/>
  <c r="G21" i="20"/>
  <c r="G20" i="20"/>
  <c r="G19" i="20"/>
  <c r="G18" i="20"/>
  <c r="G17" i="20"/>
  <c r="G16" i="20"/>
  <c r="G15" i="20"/>
  <c r="G14" i="20"/>
  <c r="G13" i="20"/>
  <c r="G12" i="20"/>
  <c r="G11" i="20"/>
  <c r="G10" i="20"/>
  <c r="G9" i="20"/>
  <c r="P9" i="20" s="1"/>
  <c r="Q9" i="20" s="1"/>
  <c r="G8" i="20"/>
  <c r="G7" i="2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K9" i="10"/>
  <c r="K8" i="10"/>
  <c r="K7"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P39" i="20" l="1"/>
  <c r="Q39" i="20" s="1"/>
  <c r="P36" i="20"/>
  <c r="Q36" i="20" s="1"/>
  <c r="P33" i="20"/>
  <c r="Q33" i="20" s="1"/>
  <c r="P30" i="20"/>
  <c r="Q30" i="20" s="1"/>
  <c r="P27" i="20"/>
  <c r="Q27" i="20" s="1"/>
  <c r="P21" i="20"/>
  <c r="Q21" i="20" s="1"/>
  <c r="P18" i="20"/>
  <c r="Q18" i="20" s="1"/>
  <c r="P15" i="20"/>
  <c r="Q15" i="20" s="1"/>
  <c r="P12" i="20"/>
  <c r="Q12" i="20" s="1"/>
  <c r="P42" i="20"/>
  <c r="Q42" i="20" s="1"/>
  <c r="P41" i="20"/>
  <c r="Q41" i="20" s="1"/>
  <c r="P40" i="20"/>
  <c r="Q40" i="20" s="1"/>
  <c r="P36" i="10"/>
  <c r="Q36" i="10" s="1"/>
  <c r="P33" i="10"/>
  <c r="Q33" i="10" s="1"/>
  <c r="P30" i="10"/>
  <c r="Q30" i="10" s="1"/>
  <c r="P27" i="10"/>
  <c r="Q27" i="10" s="1"/>
  <c r="P24" i="10"/>
  <c r="Q24" i="10" s="1"/>
  <c r="P21" i="10"/>
  <c r="Q21" i="10" s="1"/>
  <c r="P18" i="10"/>
  <c r="Q18" i="10" s="1"/>
  <c r="P15" i="10"/>
  <c r="Q15" i="10" s="1"/>
  <c r="P12" i="10"/>
  <c r="Q12" i="10" s="1"/>
  <c r="P39" i="10"/>
  <c r="Q39" i="10" s="1"/>
  <c r="P37" i="10"/>
  <c r="Q37" i="10" s="1"/>
  <c r="P38" i="10"/>
  <c r="Q38" i="10" s="1"/>
  <c r="CP16" i="13"/>
  <c r="CO16" i="13"/>
  <c r="CL16" i="13"/>
  <c r="CK16" i="13"/>
  <c r="CH16" i="13"/>
  <c r="CG16" i="13"/>
  <c r="CQ15" i="13"/>
  <c r="CR15" i="13" s="1"/>
  <c r="CM15" i="13"/>
  <c r="CN15" i="13" s="1"/>
  <c r="CI15" i="13"/>
  <c r="CJ15" i="13" s="1"/>
  <c r="CQ14" i="13"/>
  <c r="CR14" i="13" s="1"/>
  <c r="CM14" i="13"/>
  <c r="CN14" i="13" s="1"/>
  <c r="CI14" i="13"/>
  <c r="CJ14" i="13" s="1"/>
  <c r="CQ13" i="13"/>
  <c r="CR13" i="13" s="1"/>
  <c r="CM13" i="13"/>
  <c r="CN13" i="13" s="1"/>
  <c r="CI13" i="13"/>
  <c r="CJ13" i="13" s="1"/>
  <c r="CQ12" i="13"/>
  <c r="CR12" i="13" s="1"/>
  <c r="CM12" i="13"/>
  <c r="CN12" i="13" s="1"/>
  <c r="CI12" i="13"/>
  <c r="CJ12" i="13" s="1"/>
  <c r="CQ11" i="13"/>
  <c r="CR11" i="13" s="1"/>
  <c r="CM11" i="13"/>
  <c r="CN11" i="13" s="1"/>
  <c r="CI11" i="13"/>
  <c r="CJ11" i="13" s="1"/>
  <c r="CQ10" i="13"/>
  <c r="CR10" i="13" s="1"/>
  <c r="CM10" i="13"/>
  <c r="CN10" i="13" s="1"/>
  <c r="CI10" i="13"/>
  <c r="CJ10" i="13" s="1"/>
  <c r="CQ9" i="13"/>
  <c r="CR9" i="13" s="1"/>
  <c r="CM9" i="13"/>
  <c r="CN9" i="13" s="1"/>
  <c r="CI9" i="13"/>
  <c r="CJ9" i="13" s="1"/>
  <c r="CQ8" i="13"/>
  <c r="CR8" i="13" s="1"/>
  <c r="CM8" i="13"/>
  <c r="CN8" i="13" s="1"/>
  <c r="CI8" i="13"/>
  <c r="CJ8" i="13" s="1"/>
  <c r="CQ7" i="13"/>
  <c r="CR7" i="13" s="1"/>
  <c r="CM7" i="13"/>
  <c r="CN7" i="13" s="1"/>
  <c r="CI7" i="13"/>
  <c r="CJ7" i="13" s="1"/>
  <c r="CQ6" i="13"/>
  <c r="CR6" i="13" s="1"/>
  <c r="CM6" i="13"/>
  <c r="CN6" i="13" s="1"/>
  <c r="CI6" i="13"/>
  <c r="CJ6" i="13" s="1"/>
  <c r="CQ5" i="13"/>
  <c r="CR5" i="13" s="1"/>
  <c r="CM5" i="13"/>
  <c r="CN5" i="13" s="1"/>
  <c r="CI5" i="13"/>
  <c r="CJ5" i="13" s="1"/>
  <c r="CM16" i="13" l="1"/>
  <c r="CN16" i="13" s="1"/>
  <c r="CI16" i="13"/>
  <c r="CJ16" i="13" s="1"/>
  <c r="CQ16" i="13"/>
  <c r="CR16" i="13" s="1"/>
  <c r="F15" i="14" l="1"/>
  <c r="AF15" i="15"/>
  <c r="AJ15" i="15"/>
  <c r="AI15" i="15"/>
  <c r="AG15" i="15"/>
  <c r="AD15" i="15"/>
  <c r="AC15" i="15"/>
  <c r="AA15" i="15"/>
  <c r="Z15" i="15"/>
  <c r="X15" i="15"/>
  <c r="W15" i="15"/>
  <c r="AK14" i="15"/>
  <c r="AH14" i="15"/>
  <c r="AE14" i="15"/>
  <c r="AB14" i="15"/>
  <c r="Y14" i="15"/>
  <c r="AK13" i="15"/>
  <c r="AH13" i="15"/>
  <c r="AE13" i="15"/>
  <c r="AB13" i="15"/>
  <c r="Y13" i="15"/>
  <c r="AK12" i="15"/>
  <c r="AH12" i="15"/>
  <c r="AE12" i="15"/>
  <c r="AB12" i="15"/>
  <c r="Y12" i="15"/>
  <c r="AK11" i="15"/>
  <c r="AH11" i="15"/>
  <c r="AE11" i="15"/>
  <c r="AB11" i="15"/>
  <c r="Y11" i="15"/>
  <c r="AK10" i="15"/>
  <c r="AH10" i="15"/>
  <c r="AE10" i="15"/>
  <c r="AB10" i="15"/>
  <c r="Y10" i="15"/>
  <c r="AK9" i="15"/>
  <c r="AH9" i="15"/>
  <c r="AE9" i="15"/>
  <c r="AB9" i="15"/>
  <c r="Y9" i="15"/>
  <c r="AK8" i="15"/>
  <c r="AH8" i="15"/>
  <c r="AE8" i="15"/>
  <c r="AB8" i="15"/>
  <c r="Y8" i="15"/>
  <c r="AK7" i="15"/>
  <c r="AH7" i="15"/>
  <c r="AE7" i="15"/>
  <c r="AB7" i="15"/>
  <c r="Y7" i="15"/>
  <c r="AK6" i="15"/>
  <c r="AH6" i="15"/>
  <c r="AE6" i="15"/>
  <c r="AB6" i="15"/>
  <c r="Y6" i="15"/>
  <c r="AK5" i="15"/>
  <c r="AH5" i="15"/>
  <c r="AE5" i="15"/>
  <c r="AB5" i="15"/>
  <c r="Y5" i="15"/>
  <c r="Y15" i="15" l="1"/>
  <c r="AE15" i="15"/>
  <c r="AK15" i="15"/>
  <c r="AB15" i="15"/>
  <c r="AH15" i="15"/>
  <c r="H15" i="16" l="1"/>
  <c r="E15" i="16"/>
  <c r="B15" i="16"/>
  <c r="O7" i="16"/>
  <c r="O6" i="16"/>
  <c r="O5" i="16"/>
  <c r="S9" i="15"/>
  <c r="R9" i="15"/>
  <c r="T8" i="15"/>
  <c r="T7" i="15"/>
  <c r="T6" i="15"/>
  <c r="T5" i="15"/>
  <c r="T4" i="15"/>
  <c r="BN17" i="13"/>
  <c r="BM17" i="13"/>
  <c r="BQ16" i="13"/>
  <c r="BP16" i="13"/>
  <c r="BO16" i="13"/>
  <c r="BQ15" i="13"/>
  <c r="BP15" i="13"/>
  <c r="BO15" i="13"/>
  <c r="BQ14" i="13"/>
  <c r="BP14" i="13"/>
  <c r="BO14" i="13"/>
  <c r="BQ13" i="13"/>
  <c r="BP13" i="13"/>
  <c r="BO13" i="13"/>
  <c r="BQ12" i="13"/>
  <c r="BP12" i="13"/>
  <c r="BO12" i="13"/>
  <c r="BQ11" i="13"/>
  <c r="BP11" i="13"/>
  <c r="BO11" i="13"/>
  <c r="BQ10" i="13"/>
  <c r="BP10" i="13"/>
  <c r="BO10" i="13"/>
  <c r="BQ9" i="13"/>
  <c r="BP9" i="13"/>
  <c r="BO9" i="13"/>
  <c r="BQ8" i="13"/>
  <c r="BP8" i="13"/>
  <c r="BO8" i="13"/>
  <c r="BQ7" i="13"/>
  <c r="BP7" i="13"/>
  <c r="BO7" i="13"/>
  <c r="BQ6" i="13"/>
  <c r="BP6" i="13"/>
  <c r="BO6" i="13"/>
  <c r="BT17" i="13"/>
  <c r="BS17" i="13"/>
  <c r="BW16" i="13"/>
  <c r="BV16" i="13"/>
  <c r="BU16" i="13"/>
  <c r="BW15" i="13"/>
  <c r="BV15" i="13"/>
  <c r="BU15" i="13"/>
  <c r="BW14" i="13"/>
  <c r="BV14" i="13"/>
  <c r="BU14" i="13"/>
  <c r="BW13" i="13"/>
  <c r="BV13" i="13"/>
  <c r="BU13" i="13"/>
  <c r="BW12" i="13"/>
  <c r="BV12" i="13"/>
  <c r="BU12" i="13"/>
  <c r="BW11" i="13"/>
  <c r="BV11" i="13"/>
  <c r="BU11" i="13"/>
  <c r="BW10" i="13"/>
  <c r="BV10" i="13"/>
  <c r="BU10" i="13"/>
  <c r="BW9" i="13"/>
  <c r="BV9" i="13"/>
  <c r="BU9" i="13"/>
  <c r="BW8" i="13"/>
  <c r="BV8" i="13"/>
  <c r="BU8" i="13"/>
  <c r="BW7" i="13"/>
  <c r="BV7" i="13"/>
  <c r="BU7" i="13"/>
  <c r="BW6" i="13"/>
  <c r="BV6" i="13"/>
  <c r="BU6" i="13"/>
  <c r="AM11" i="13"/>
  <c r="AL11" i="13"/>
  <c r="AK11" i="13"/>
  <c r="AJ11" i="13"/>
  <c r="AI11" i="13"/>
  <c r="AM10" i="13"/>
  <c r="AL10" i="13"/>
  <c r="AK10" i="13"/>
  <c r="AJ10" i="13"/>
  <c r="AI10" i="13"/>
  <c r="AM9" i="13"/>
  <c r="AL9" i="13"/>
  <c r="AK9" i="13"/>
  <c r="AJ9" i="13"/>
  <c r="AI9" i="13"/>
  <c r="AM8" i="13"/>
  <c r="AL8" i="13"/>
  <c r="AK8" i="13"/>
  <c r="AJ8" i="13"/>
  <c r="AI8" i="13"/>
  <c r="AM7" i="13"/>
  <c r="AL7" i="13"/>
  <c r="AK7" i="13"/>
  <c r="AJ7" i="13"/>
  <c r="AI7" i="13"/>
  <c r="AM6" i="13"/>
  <c r="AL6" i="13"/>
  <c r="AK6" i="13"/>
  <c r="AJ6" i="13"/>
  <c r="AI6" i="13"/>
  <c r="AW11" i="13"/>
  <c r="AV11" i="13"/>
  <c r="AU11" i="13"/>
  <c r="AT11" i="13"/>
  <c r="AS11" i="13"/>
  <c r="AW10" i="13"/>
  <c r="AV10" i="13"/>
  <c r="AU10" i="13"/>
  <c r="AT10" i="13"/>
  <c r="AS10" i="13"/>
  <c r="AW9" i="13"/>
  <c r="AV9" i="13"/>
  <c r="AU9" i="13"/>
  <c r="AT9" i="13"/>
  <c r="AS9" i="13"/>
  <c r="AW8" i="13"/>
  <c r="AV8" i="13"/>
  <c r="AU8" i="13"/>
  <c r="AT8" i="13"/>
  <c r="AS8" i="13"/>
  <c r="AW7" i="13"/>
  <c r="AV7" i="13"/>
  <c r="AU7" i="13"/>
  <c r="AT7" i="13"/>
  <c r="AS7" i="13"/>
  <c r="AW6" i="13"/>
  <c r="AV6" i="13"/>
  <c r="AU6" i="13"/>
  <c r="AT6" i="13"/>
  <c r="AS6" i="13"/>
  <c r="P11" i="13"/>
  <c r="O11" i="13"/>
  <c r="N11" i="13"/>
  <c r="P10" i="13"/>
  <c r="O10" i="13"/>
  <c r="N10" i="13"/>
  <c r="P9" i="13"/>
  <c r="O9" i="13"/>
  <c r="N9" i="13"/>
  <c r="P8" i="13"/>
  <c r="O8" i="13"/>
  <c r="N8" i="13"/>
  <c r="P7" i="13"/>
  <c r="O7" i="13"/>
  <c r="N7" i="13"/>
  <c r="P6" i="13"/>
  <c r="O6" i="13"/>
  <c r="N6" i="13"/>
  <c r="V11" i="13"/>
  <c r="U11" i="13"/>
  <c r="T11" i="13"/>
  <c r="V10" i="13"/>
  <c r="U10" i="13"/>
  <c r="T10" i="13"/>
  <c r="V9" i="13"/>
  <c r="U9" i="13"/>
  <c r="T9" i="13"/>
  <c r="V8" i="13"/>
  <c r="U8" i="13"/>
  <c r="T8" i="13"/>
  <c r="V7" i="13"/>
  <c r="U7" i="13"/>
  <c r="T7" i="13"/>
  <c r="V6" i="13"/>
  <c r="U6" i="13"/>
  <c r="T6" i="13"/>
  <c r="CC16" i="13"/>
  <c r="CB16" i="13"/>
  <c r="CC15" i="13"/>
  <c r="CB15" i="13"/>
  <c r="CC14" i="13"/>
  <c r="CB14" i="13"/>
  <c r="CC13" i="13"/>
  <c r="CB13" i="13"/>
  <c r="CC12" i="13"/>
  <c r="CB12" i="13"/>
  <c r="CC11" i="13"/>
  <c r="CB11" i="13"/>
  <c r="CC10" i="13"/>
  <c r="CB10" i="13"/>
  <c r="CC9" i="13"/>
  <c r="CB9" i="13"/>
  <c r="CC8" i="13"/>
  <c r="CB8" i="13"/>
  <c r="CC7" i="13"/>
  <c r="CB7" i="13"/>
  <c r="CC6" i="13"/>
  <c r="CB6" i="13"/>
  <c r="BG11" i="13"/>
  <c r="BG10" i="13"/>
  <c r="BG9" i="13"/>
  <c r="BG8" i="13"/>
  <c r="BG7" i="13"/>
  <c r="BG6" i="13"/>
  <c r="BF11" i="13"/>
  <c r="BF10" i="13"/>
  <c r="BF9" i="13"/>
  <c r="BF8" i="13"/>
  <c r="BF7" i="13"/>
  <c r="BF6" i="13"/>
  <c r="BE11" i="13"/>
  <c r="BE10" i="13"/>
  <c r="BE9" i="13"/>
  <c r="BE8" i="13"/>
  <c r="BE7" i="13"/>
  <c r="BE6" i="13"/>
  <c r="BD11" i="13"/>
  <c r="BD10" i="13"/>
  <c r="BD9" i="13"/>
  <c r="BD8" i="13"/>
  <c r="BD7" i="13"/>
  <c r="BD6" i="13"/>
  <c r="BC11" i="13"/>
  <c r="BC10" i="13"/>
  <c r="BC9" i="13"/>
  <c r="BC8" i="13"/>
  <c r="BC7" i="13"/>
  <c r="BC6" i="13"/>
  <c r="J11" i="13"/>
  <c r="J10" i="13"/>
  <c r="J9" i="13"/>
  <c r="J8" i="13"/>
  <c r="J7" i="13"/>
  <c r="J6" i="13"/>
  <c r="I11" i="13"/>
  <c r="I10" i="13"/>
  <c r="I9" i="13"/>
  <c r="I8" i="13"/>
  <c r="I7" i="13"/>
  <c r="I6" i="13"/>
  <c r="H11" i="13"/>
  <c r="H10" i="13"/>
  <c r="H9" i="13"/>
  <c r="H8" i="13"/>
  <c r="H7" i="13"/>
  <c r="H6" i="13"/>
  <c r="N16" i="15"/>
  <c r="M16" i="15"/>
  <c r="K16" i="15"/>
  <c r="J16" i="15"/>
  <c r="O15" i="15"/>
  <c r="L15" i="15"/>
  <c r="F15" i="15"/>
  <c r="E15" i="15"/>
  <c r="C15" i="15"/>
  <c r="B15" i="15"/>
  <c r="O14" i="15"/>
  <c r="L14" i="15"/>
  <c r="G14" i="15"/>
  <c r="D14" i="15"/>
  <c r="O13" i="15"/>
  <c r="L13" i="15"/>
  <c r="G13" i="15"/>
  <c r="D13" i="15"/>
  <c r="O12" i="15"/>
  <c r="L12" i="15"/>
  <c r="G12" i="15"/>
  <c r="D12" i="15"/>
  <c r="O11" i="15"/>
  <c r="L11" i="15"/>
  <c r="G11" i="15"/>
  <c r="D11" i="15"/>
  <c r="O10" i="15"/>
  <c r="L10" i="15"/>
  <c r="G10" i="15"/>
  <c r="D10" i="15"/>
  <c r="O9" i="15"/>
  <c r="L9" i="15"/>
  <c r="G9" i="15"/>
  <c r="D9" i="15"/>
  <c r="O8" i="15"/>
  <c r="L8" i="15"/>
  <c r="G8" i="15"/>
  <c r="D8" i="15"/>
  <c r="O7" i="15"/>
  <c r="L7" i="15"/>
  <c r="G7" i="15"/>
  <c r="D7" i="15"/>
  <c r="O6" i="15"/>
  <c r="L6" i="15"/>
  <c r="G6" i="15"/>
  <c r="D6" i="15"/>
  <c r="O5" i="15"/>
  <c r="L5" i="15"/>
  <c r="G5" i="15"/>
  <c r="D5" i="15"/>
  <c r="T15" i="14"/>
  <c r="S15" i="14"/>
  <c r="U14" i="14"/>
  <c r="O14" i="14"/>
  <c r="N14" i="14"/>
  <c r="U13" i="14"/>
  <c r="P13" i="14"/>
  <c r="U12" i="14"/>
  <c r="P12" i="14"/>
  <c r="U11" i="14"/>
  <c r="P11" i="14"/>
  <c r="U10" i="14"/>
  <c r="P10" i="14"/>
  <c r="U9" i="14"/>
  <c r="P9" i="14"/>
  <c r="U8" i="14"/>
  <c r="P8" i="14"/>
  <c r="U7" i="14"/>
  <c r="P7" i="14"/>
  <c r="U6" i="14"/>
  <c r="P6" i="14"/>
  <c r="J6" i="14"/>
  <c r="U5" i="14"/>
  <c r="P5" i="14"/>
  <c r="U4" i="14"/>
  <c r="P4" i="14"/>
  <c r="BZ17" i="13"/>
  <c r="BY17" i="13"/>
  <c r="BK17" i="13"/>
  <c r="BJ17" i="13"/>
  <c r="CA16" i="13"/>
  <c r="BL16" i="13"/>
  <c r="CA15" i="13"/>
  <c r="BL15" i="13"/>
  <c r="CA14" i="13"/>
  <c r="BL14" i="13"/>
  <c r="CA13" i="13"/>
  <c r="BL13" i="13"/>
  <c r="CA12" i="13"/>
  <c r="BL12" i="13"/>
  <c r="CA11" i="13"/>
  <c r="BL11" i="13"/>
  <c r="CA10" i="13"/>
  <c r="BL10" i="13"/>
  <c r="CA9" i="13"/>
  <c r="BL9" i="13"/>
  <c r="CA8" i="13"/>
  <c r="BL8" i="13"/>
  <c r="CA7" i="13"/>
  <c r="BL7" i="13"/>
  <c r="CA6" i="13"/>
  <c r="BL6" i="13"/>
  <c r="F14" i="16" l="1"/>
  <c r="F10" i="16"/>
  <c r="F6" i="16"/>
  <c r="F11" i="16"/>
  <c r="F13" i="16"/>
  <c r="F9" i="16"/>
  <c r="F5" i="16"/>
  <c r="F8" i="16"/>
  <c r="F12" i="16"/>
  <c r="F7" i="16"/>
  <c r="BU17" i="13"/>
  <c r="BO17" i="13"/>
  <c r="BR9" i="13"/>
  <c r="BR13" i="13"/>
  <c r="BP17" i="13"/>
  <c r="CC17" i="13"/>
  <c r="BR8" i="13"/>
  <c r="BR12" i="13"/>
  <c r="BR16" i="13"/>
  <c r="BQ17" i="13"/>
  <c r="BX8" i="13"/>
  <c r="BX12" i="13"/>
  <c r="BX16" i="13"/>
  <c r="BW17" i="13"/>
  <c r="BR7" i="13"/>
  <c r="BR11" i="13"/>
  <c r="BR15" i="13"/>
  <c r="BR6" i="13"/>
  <c r="BR10" i="13"/>
  <c r="BR14" i="13"/>
  <c r="T9" i="15"/>
  <c r="BX7" i="13"/>
  <c r="BX11" i="13"/>
  <c r="BX15" i="13"/>
  <c r="BX6" i="13"/>
  <c r="BX10" i="13"/>
  <c r="BX14" i="13"/>
  <c r="BX9" i="13"/>
  <c r="BX13" i="13"/>
  <c r="BV17" i="13"/>
  <c r="CD8" i="13"/>
  <c r="CD12" i="13"/>
  <c r="CD7" i="13"/>
  <c r="CD9" i="13"/>
  <c r="CD11" i="13"/>
  <c r="CD13" i="13"/>
  <c r="CD15" i="13"/>
  <c r="CB17" i="13"/>
  <c r="CD16" i="13"/>
  <c r="CD6" i="13"/>
  <c r="CD10" i="13"/>
  <c r="CD14" i="13"/>
  <c r="P14" i="14"/>
  <c r="O16" i="15"/>
  <c r="D15" i="15"/>
  <c r="G15" i="15"/>
  <c r="L16" i="15"/>
  <c r="U15" i="14"/>
  <c r="BL17" i="13"/>
  <c r="CA17" i="13"/>
  <c r="BX17" i="13" l="1"/>
  <c r="BR17" i="13"/>
  <c r="CD1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Menduiña</author>
  </authors>
  <commentList>
    <comment ref="L5" authorId="0" shapeId="0" xr:uid="{0CB376A1-50A5-4613-9A40-643E56E58C92}">
      <text>
        <r>
          <rPr>
            <b/>
            <sz val="9"/>
            <color indexed="81"/>
            <rFont val="Tahoma"/>
            <family val="2"/>
          </rPr>
          <t>Miembros del hogar que recibió IFE entre 18 y 60 años de edad.</t>
        </r>
      </text>
    </comment>
    <comment ref="L6" authorId="0" shapeId="0" xr:uid="{8CA9CA5B-6FF3-4290-B863-80E5D11957ED}">
      <text>
        <r>
          <rPr>
            <b/>
            <sz val="9"/>
            <color indexed="81"/>
            <rFont val="Tahoma"/>
            <family val="2"/>
          </rPr>
          <t>Miembros del hogar que recibió, al menos, un Bono AUH entre 18 y 60 años de edad.</t>
        </r>
      </text>
    </comment>
  </commentList>
</comments>
</file>

<file path=xl/sharedStrings.xml><?xml version="1.0" encoding="utf-8"?>
<sst xmlns="http://schemas.openxmlformats.org/spreadsheetml/2006/main" count="545" uniqueCount="121">
  <si>
    <t>Decil</t>
  </si>
  <si>
    <t>IFE</t>
  </si>
  <si>
    <t>[1]</t>
  </si>
  <si>
    <t>[2]</t>
  </si>
  <si>
    <t>[3]</t>
  </si>
  <si>
    <t>[4]</t>
  </si>
  <si>
    <t>[5]</t>
  </si>
  <si>
    <t>[6]</t>
  </si>
  <si>
    <t>[7]</t>
  </si>
  <si>
    <t>[8]</t>
  </si>
  <si>
    <t>[9]</t>
  </si>
  <si>
    <t>[10]</t>
  </si>
  <si>
    <t>[11]</t>
  </si>
  <si>
    <t>[12]</t>
  </si>
  <si>
    <t>[13]</t>
  </si>
  <si>
    <t>Género</t>
  </si>
  <si>
    <t>Hombre</t>
  </si>
  <si>
    <t>Mujer</t>
  </si>
  <si>
    <t>Total</t>
  </si>
  <si>
    <t>1Q2020</t>
  </si>
  <si>
    <t>2Q2020</t>
  </si>
  <si>
    <t>Variación (%)</t>
  </si>
  <si>
    <t>Actividades primarias</t>
  </si>
  <si>
    <t>Hombre s/ hijos</t>
  </si>
  <si>
    <t>Industria manufacturera</t>
  </si>
  <si>
    <t>[0,17]</t>
  </si>
  <si>
    <t>Construcción</t>
  </si>
  <si>
    <t>Comercio</t>
  </si>
  <si>
    <t>[65+]</t>
  </si>
  <si>
    <t>Hoteles y restaurantes</t>
  </si>
  <si>
    <t>Transporte, almacenaje y comunicaciones</t>
  </si>
  <si>
    <t>Servicios financieros, inmobiliarios, alquileres y empresariales</t>
  </si>
  <si>
    <t>Enseñanza</t>
  </si>
  <si>
    <t>Servicios sociales y de salud</t>
  </si>
  <si>
    <t>Trabajo doméstico</t>
  </si>
  <si>
    <t>Otros servicios comunitarios, sociales y personales</t>
  </si>
  <si>
    <t>[41,64]</t>
  </si>
  <si>
    <t>[18,24]</t>
  </si>
  <si>
    <t>[25,40]</t>
  </si>
  <si>
    <t>TABLA 1</t>
  </si>
  <si>
    <t>TABLA 2</t>
  </si>
  <si>
    <t>TABLA 3</t>
  </si>
  <si>
    <t>TABLA 4</t>
  </si>
  <si>
    <t>TABLA 5</t>
  </si>
  <si>
    <t>Informales</t>
  </si>
  <si>
    <t>Tasa informalidad</t>
  </si>
  <si>
    <t>Género individual</t>
  </si>
  <si>
    <t>Servicios financieros, inmobilIarios, alquileres y empresariales</t>
  </si>
  <si>
    <t>Género jefe de hogar</t>
  </si>
  <si>
    <t>3Q2020</t>
  </si>
  <si>
    <t>4Q2020</t>
  </si>
  <si>
    <t>Tasa de Ocupación</t>
  </si>
  <si>
    <t>Ocupados</t>
  </si>
  <si>
    <t>Respuesta de política</t>
  </si>
  <si>
    <t>Jubilados</t>
  </si>
  <si>
    <t>AUH</t>
  </si>
  <si>
    <t>Inicial</t>
  </si>
  <si>
    <t>Grupo</t>
  </si>
  <si>
    <t>Jefe Hombre</t>
  </si>
  <si>
    <t>Jefa Mujer</t>
  </si>
  <si>
    <t>1. Actividades primarias</t>
  </si>
  <si>
    <t>2. Industria manufacturera</t>
  </si>
  <si>
    <t>3. Construcción</t>
  </si>
  <si>
    <t>4. Comercio</t>
  </si>
  <si>
    <t>5. Hoteles y restaurantes</t>
  </si>
  <si>
    <t>6. Transporte, almacenaje y comunicaciones</t>
  </si>
  <si>
    <t>7. Servicios financieros, inmobiliarios, alquileres y empresariales</t>
  </si>
  <si>
    <t>8. Enseñanza</t>
  </si>
  <si>
    <t>9. Servicios sociales y de salud</t>
  </si>
  <si>
    <t>10. Trabajo doméstico</t>
  </si>
  <si>
    <t>11. Otros servicios comunitarios, sociales y personales</t>
  </si>
  <si>
    <t>[10,17]</t>
  </si>
  <si>
    <t>FIGURA 1</t>
  </si>
  <si>
    <t>FIGURA 5</t>
  </si>
  <si>
    <t>FIGURA 4</t>
  </si>
  <si>
    <t>FIGURA 3</t>
  </si>
  <si>
    <t>FIGURA 2</t>
  </si>
  <si>
    <t>Share Mujer</t>
  </si>
  <si>
    <t>Transp., alm. y com.</t>
  </si>
  <si>
    <t>Serv. soc. y de salud</t>
  </si>
  <si>
    <t>Act. prim.</t>
  </si>
  <si>
    <t>Otros serv. com., soc. y pers.</t>
  </si>
  <si>
    <t>Hot. y rest.</t>
  </si>
  <si>
    <t>Share Mujer (Der.)</t>
  </si>
  <si>
    <t>Trabajadores (Izq.)</t>
  </si>
  <si>
    <t>Serv. fin., inmob., alq. y empr.</t>
  </si>
  <si>
    <t>Ind. manuf.</t>
  </si>
  <si>
    <t>Trab. dom.</t>
  </si>
  <si>
    <t>Edad</t>
  </si>
  <si>
    <t>hasta 24 años</t>
  </si>
  <si>
    <t>60 y más</t>
  </si>
  <si>
    <t>50 a 59 años</t>
  </si>
  <si>
    <t>25 a 34 años</t>
  </si>
  <si>
    <t>35 a 49 años</t>
  </si>
  <si>
    <t>Todos</t>
  </si>
  <si>
    <t>Cambio [4] - [1] (%)</t>
  </si>
  <si>
    <t>Cambio [6] - [2] (%)</t>
  </si>
  <si>
    <t>Cambio [8] - [2] (%)</t>
  </si>
  <si>
    <t>Cambio [10] - [1] (%)</t>
  </si>
  <si>
    <t>Cambio [12] - [6] (%)</t>
  </si>
  <si>
    <t>Otros serv.</t>
  </si>
  <si>
    <t>Transporte</t>
  </si>
  <si>
    <t>Serv. financ.</t>
  </si>
  <si>
    <t>Nivel ($)</t>
  </si>
  <si>
    <r>
      <rPr>
        <b/>
        <u/>
        <sz val="14"/>
        <color theme="1"/>
        <rFont val="Times New Roman"/>
        <family val="1"/>
      </rPr>
      <t>Tabla:</t>
    </r>
    <r>
      <rPr>
        <b/>
        <sz val="14"/>
        <color theme="1"/>
        <rFont val="Times New Roman"/>
        <family val="1"/>
      </rPr>
      <t xml:space="preserve"> INGRESO PER CÁPITA FAMILIAR PROMEDIO POR DECIL DE INGRESO Y GÉNERO DEL JEFE DE HOGAR</t>
    </r>
  </si>
  <si>
    <t>Hombre s/ niños</t>
  </si>
  <si>
    <t>Mujer c/ niños</t>
  </si>
  <si>
    <t>Hombre c/ niños</t>
  </si>
  <si>
    <t>Mujer s/ niños</t>
  </si>
  <si>
    <t>2do. trimestre ahead</t>
  </si>
  <si>
    <t>1er. trimestre ahead</t>
  </si>
  <si>
    <t>3er. trimestre ahead</t>
  </si>
  <si>
    <t>Pre COVID-19</t>
  </si>
  <si>
    <t>Escenarios Post COVID-19 (con respuesta de política)</t>
  </si>
  <si>
    <t>Escenarios Post COVID-19 (sin respuesta de política)</t>
  </si>
  <si>
    <t>Sector económico</t>
  </si>
  <si>
    <t>Grupo de edad</t>
  </si>
  <si>
    <r>
      <rPr>
        <b/>
        <u/>
        <sz val="14"/>
        <color theme="1"/>
        <rFont val="Times New Roman"/>
        <family val="1"/>
      </rPr>
      <t>Tabla:</t>
    </r>
    <r>
      <rPr>
        <b/>
        <sz val="14"/>
        <color theme="1"/>
        <rFont val="Times New Roman"/>
        <family val="1"/>
      </rPr>
      <t xml:space="preserve"> INGRESO PER CÁPITA FAMILIAR PROMEDIO POR SECTOR ECONÓMICO Y GÉNERO DEL JEFE DE HOGAR</t>
    </r>
  </si>
  <si>
    <t>Porcentaje</t>
  </si>
  <si>
    <t>Acum.</t>
  </si>
  <si>
    <t>Frecuencia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</si>
</sst>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0"/>
  </numFmts>
  <fonts count="10" x14ac:knownFonts="1">
    <font>
      <sz val="11"/>
      <color theme="1"/>
      <name val="Calibri"/>
      <family val="2"/>
      <scheme val="minor"/>
    </font>
    <font>
      <sz val="11"/>
      <color theme="1"/>
      <name val="Times New Roman"/>
      <family val="1"/>
    </font>
    <font>
      <b/>
      <i/>
      <sz val="11"/>
      <color theme="1"/>
      <name val="Times New Roman"/>
      <family val="1"/>
    </font>
    <font>
      <sz val="11"/>
      <color theme="1"/>
      <name val="Calibri"/>
      <family val="2"/>
      <scheme val="minor"/>
    </font>
    <font>
      <b/>
      <sz val="11"/>
      <color theme="1"/>
      <name val="Times New Roman"/>
      <family val="1"/>
    </font>
    <font>
      <b/>
      <sz val="14"/>
      <color theme="1"/>
      <name val="Times New Roman"/>
      <family val="1"/>
    </font>
    <font>
      <i/>
      <sz val="11"/>
      <color theme="1"/>
      <name val="Times New Roman"/>
      <family val="1"/>
    </font>
    <font>
      <b/>
      <u/>
      <sz val="14"/>
      <color theme="1"/>
      <name val="Times New Roman"/>
      <family val="1"/>
    </font>
    <font>
      <sz val="11"/>
      <color rgb="FFFF0000"/>
      <name val="Times New Roman"/>
      <family val="1"/>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0" tint="-0.14999847407452621"/>
        <bgColor indexed="64"/>
      </patternFill>
    </fill>
  </fills>
  <borders count="30">
    <border>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indexed="64"/>
      </bottom>
      <diagonal/>
    </border>
    <border>
      <left style="medium">
        <color auto="1"/>
      </left>
      <right style="medium">
        <color indexed="64"/>
      </right>
      <top style="medium">
        <color auto="1"/>
      </top>
      <bottom/>
      <diagonal/>
    </border>
    <border>
      <left style="medium">
        <color auto="1"/>
      </left>
      <right style="medium">
        <color indexed="64"/>
      </right>
      <top/>
      <bottom/>
      <diagonal/>
    </border>
    <border>
      <left style="medium">
        <color auto="1"/>
      </left>
      <right style="medium">
        <color indexed="64"/>
      </right>
      <top/>
      <bottom style="medium">
        <color auto="1"/>
      </bottom>
      <diagonal/>
    </border>
    <border>
      <left/>
      <right style="medium">
        <color indexed="64"/>
      </right>
      <top style="medium">
        <color indexed="64"/>
      </top>
      <bottom style="medium">
        <color auto="1"/>
      </bottom>
      <diagonal/>
    </border>
    <border>
      <left style="medium">
        <color indexed="64"/>
      </left>
      <right/>
      <top style="medium">
        <color auto="1"/>
      </top>
      <bottom style="medium">
        <color indexed="64"/>
      </bottom>
      <diagonal/>
    </border>
    <border>
      <left/>
      <right/>
      <top/>
      <bottom style="thin">
        <color indexed="64"/>
      </bottom>
      <diagonal/>
    </border>
    <border>
      <left style="medium">
        <color auto="1"/>
      </left>
      <right style="medium">
        <color auto="1"/>
      </right>
      <top/>
      <bottom style="thin">
        <color indexed="64"/>
      </bottom>
      <diagonal/>
    </border>
    <border>
      <left/>
      <right style="medium">
        <color auto="1"/>
      </right>
      <top/>
      <bottom style="thin">
        <color indexed="64"/>
      </bottom>
      <diagonal/>
    </border>
    <border>
      <left/>
      <right/>
      <top style="thin">
        <color indexed="64"/>
      </top>
      <bottom style="thin">
        <color indexed="64"/>
      </bottom>
      <diagonal/>
    </border>
    <border>
      <left/>
      <right style="medium">
        <color indexed="64"/>
      </right>
      <top style="medium">
        <color auto="1"/>
      </top>
      <bottom/>
      <diagonal/>
    </border>
    <border>
      <left style="medium">
        <color auto="1"/>
      </left>
      <right style="medium">
        <color indexed="64"/>
      </right>
      <top style="thin">
        <color indexed="64"/>
      </top>
      <bottom/>
      <diagonal/>
    </border>
    <border>
      <left style="medium">
        <color auto="1"/>
      </left>
      <right/>
      <top/>
      <bottom/>
      <diagonal/>
    </border>
    <border>
      <left/>
      <right style="medium">
        <color auto="1"/>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bottom/>
      <diagonal/>
    </border>
    <border>
      <left/>
      <right style="thin">
        <color indexed="64"/>
      </right>
      <top/>
      <bottom style="thin">
        <color auto="1"/>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top style="medium">
        <color indexed="64"/>
      </top>
      <bottom/>
      <diagonal/>
    </border>
  </borders>
  <cellStyleXfs count="2">
    <xf numFmtId="0" fontId="0" fillId="0" borderId="0"/>
    <xf numFmtId="9" fontId="3" fillId="0" borderId="0" applyFont="0" applyFill="0" applyBorder="0" applyAlignment="0" applyProtection="0"/>
  </cellStyleXfs>
  <cellXfs count="158">
    <xf numFmtId="0" fontId="0" fillId="0" borderId="0" xfId="0"/>
    <xf numFmtId="0" fontId="1" fillId="2" borderId="11" xfId="0" applyFont="1" applyFill="1" applyBorder="1" applyAlignment="1">
      <alignment horizontal="left" vertical="center"/>
    </xf>
    <xf numFmtId="0" fontId="1" fillId="2" borderId="0" xfId="0" applyFont="1" applyFill="1" applyAlignment="1">
      <alignment horizontal="center" vertical="center"/>
    </xf>
    <xf numFmtId="0" fontId="1" fillId="2" borderId="7" xfId="0" applyFont="1" applyFill="1" applyBorder="1" applyAlignment="1">
      <alignment horizontal="left" vertical="center"/>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1" fillId="2" borderId="8" xfId="0" applyFont="1" applyFill="1" applyBorder="1" applyAlignment="1">
      <alignment horizontal="center" vertical="center"/>
    </xf>
    <xf numFmtId="0" fontId="2" fillId="2"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4"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2" fillId="9" borderId="8" xfId="0" applyFont="1" applyFill="1" applyBorder="1" applyAlignment="1">
      <alignment horizontal="center" vertical="center"/>
    </xf>
    <xf numFmtId="0" fontId="1" fillId="9" borderId="8" xfId="0" applyNumberFormat="1" applyFont="1" applyFill="1" applyBorder="1" applyAlignment="1">
      <alignment horizontal="center" vertical="center"/>
    </xf>
    <xf numFmtId="0" fontId="1" fillId="9" borderId="8" xfId="0" applyFont="1" applyFill="1" applyBorder="1" applyAlignment="1">
      <alignment horizontal="center" vertical="center"/>
    </xf>
    <xf numFmtId="0" fontId="1" fillId="9" borderId="4" xfId="0" applyNumberFormat="1" applyFont="1" applyFill="1" applyBorder="1" applyAlignment="1">
      <alignment horizontal="center" vertical="center"/>
    </xf>
    <xf numFmtId="0" fontId="1" fillId="9" borderId="8" xfId="0" applyFont="1" applyFill="1" applyBorder="1" applyAlignment="1">
      <alignment horizontal="center" vertical="center" wrapText="1"/>
    </xf>
    <xf numFmtId="0" fontId="1" fillId="9" borderId="9" xfId="0" applyNumberFormat="1" applyFont="1" applyFill="1" applyBorder="1" applyAlignment="1">
      <alignment horizontal="center" vertical="center"/>
    </xf>
    <xf numFmtId="0" fontId="2" fillId="2" borderId="8"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4" fillId="0" borderId="18" xfId="0" applyFont="1" applyBorder="1" applyAlignment="1">
      <alignment horizontal="left" vertical="center"/>
    </xf>
    <xf numFmtId="0" fontId="4" fillId="0" borderId="18" xfId="0" applyFont="1" applyBorder="1" applyAlignment="1">
      <alignment horizontal="right" vertical="center"/>
    </xf>
    <xf numFmtId="0" fontId="1" fillId="0" borderId="22" xfId="0" applyFont="1" applyBorder="1" applyAlignment="1">
      <alignment horizontal="left" vertical="center"/>
    </xf>
    <xf numFmtId="3" fontId="1" fillId="0" borderId="22" xfId="0" applyNumberFormat="1" applyFont="1" applyBorder="1" applyAlignment="1">
      <alignment horizontal="right" vertical="center"/>
    </xf>
    <xf numFmtId="0" fontId="1" fillId="0" borderId="22" xfId="0" applyFont="1" applyBorder="1" applyAlignment="1">
      <alignment horizontal="center" vertical="center"/>
    </xf>
    <xf numFmtId="0" fontId="1" fillId="0" borderId="21" xfId="0" applyFont="1" applyBorder="1" applyAlignment="1">
      <alignment vertical="center"/>
    </xf>
    <xf numFmtId="0" fontId="1" fillId="0" borderId="22" xfId="0" applyFont="1" applyBorder="1" applyAlignment="1">
      <alignment vertical="center"/>
    </xf>
    <xf numFmtId="0" fontId="1" fillId="0" borderId="23" xfId="0" applyFont="1" applyBorder="1" applyAlignment="1">
      <alignment horizontal="left" vertical="center"/>
    </xf>
    <xf numFmtId="3" fontId="1" fillId="0" borderId="23" xfId="0" applyNumberFormat="1" applyFont="1" applyBorder="1" applyAlignment="1">
      <alignment horizontal="right" vertical="center"/>
    </xf>
    <xf numFmtId="0" fontId="4" fillId="0" borderId="19" xfId="0" applyFont="1" applyBorder="1" applyAlignment="1">
      <alignment horizontal="left" vertical="center"/>
    </xf>
    <xf numFmtId="3" fontId="4" fillId="0" borderId="18" xfId="0" applyNumberFormat="1" applyFont="1" applyBorder="1" applyAlignment="1">
      <alignment horizontal="right" vertical="center"/>
    </xf>
    <xf numFmtId="0" fontId="1" fillId="0" borderId="23" xfId="0" applyFont="1" applyBorder="1" applyAlignment="1">
      <alignment horizontal="center" vertical="center"/>
    </xf>
    <xf numFmtId="0" fontId="4" fillId="0" borderId="23" xfId="0" applyFont="1" applyBorder="1" applyAlignment="1">
      <alignment horizontal="center" vertical="center"/>
    </xf>
    <xf numFmtId="3" fontId="4" fillId="0" borderId="23" xfId="0" applyNumberFormat="1" applyFont="1" applyBorder="1" applyAlignment="1">
      <alignment horizontal="right" vertical="center"/>
    </xf>
    <xf numFmtId="0" fontId="1" fillId="0" borderId="24" xfId="0" applyFont="1" applyBorder="1" applyAlignment="1">
      <alignment horizontal="center" vertical="center"/>
    </xf>
    <xf numFmtId="3" fontId="4" fillId="0" borderId="19" xfId="0" applyNumberFormat="1" applyFont="1" applyBorder="1" applyAlignment="1">
      <alignment horizontal="right" vertical="center"/>
    </xf>
    <xf numFmtId="0" fontId="1" fillId="0" borderId="27" xfId="0" applyFont="1" applyBorder="1" applyAlignment="1">
      <alignment horizontal="center" vertical="center"/>
    </xf>
    <xf numFmtId="0" fontId="1" fillId="0" borderId="21" xfId="0" applyFont="1" applyBorder="1" applyAlignment="1">
      <alignment horizontal="left" vertical="center"/>
    </xf>
    <xf numFmtId="10" fontId="1" fillId="0" borderId="21" xfId="0" applyNumberFormat="1" applyFont="1" applyBorder="1" applyAlignment="1">
      <alignment horizontal="right" vertical="center"/>
    </xf>
    <xf numFmtId="10" fontId="1" fillId="0" borderId="23" xfId="0" applyNumberFormat="1" applyFont="1" applyBorder="1" applyAlignment="1">
      <alignment horizontal="right" vertical="center"/>
    </xf>
    <xf numFmtId="0" fontId="4" fillId="0" borderId="18" xfId="0" applyFont="1" applyBorder="1" applyAlignment="1">
      <alignment horizontal="center" vertical="center"/>
    </xf>
    <xf numFmtId="0" fontId="1" fillId="0" borderId="18" xfId="0" applyFont="1" applyBorder="1" applyAlignment="1">
      <alignment horizontal="left" vertical="center"/>
    </xf>
    <xf numFmtId="10" fontId="1" fillId="0" borderId="18" xfId="0" applyNumberFormat="1" applyFont="1" applyBorder="1" applyAlignment="1">
      <alignment horizontal="right" vertical="center"/>
    </xf>
    <xf numFmtId="10" fontId="1" fillId="0" borderId="22" xfId="0" applyNumberFormat="1" applyFont="1" applyBorder="1" applyAlignment="1">
      <alignment horizontal="right" vertical="center"/>
    </xf>
    <xf numFmtId="0" fontId="1" fillId="0" borderId="23" xfId="0" applyFont="1" applyBorder="1" applyAlignment="1">
      <alignment vertical="center"/>
    </xf>
    <xf numFmtId="166" fontId="1" fillId="0" borderId="22" xfId="0" applyNumberFormat="1" applyFont="1" applyBorder="1" applyAlignment="1">
      <alignment horizontal="right" vertical="center"/>
    </xf>
    <xf numFmtId="166" fontId="1" fillId="0" borderId="21" xfId="0" applyNumberFormat="1" applyFont="1" applyBorder="1" applyAlignment="1">
      <alignment horizontal="right" vertical="center"/>
    </xf>
    <xf numFmtId="166" fontId="4" fillId="0" borderId="18" xfId="0" applyNumberFormat="1" applyFont="1" applyBorder="1" applyAlignment="1">
      <alignment horizontal="right" vertical="center"/>
    </xf>
    <xf numFmtId="166" fontId="1" fillId="0" borderId="23" xfId="0" applyNumberFormat="1" applyFont="1" applyBorder="1" applyAlignment="1">
      <alignment horizontal="right" vertical="center"/>
    </xf>
    <xf numFmtId="166" fontId="4" fillId="0" borderId="23" xfId="0" applyNumberFormat="1" applyFont="1" applyBorder="1" applyAlignment="1">
      <alignment horizontal="right" vertical="center"/>
    </xf>
    <xf numFmtId="0" fontId="1" fillId="0" borderId="22" xfId="0" applyFont="1" applyBorder="1"/>
    <xf numFmtId="10" fontId="1" fillId="0" borderId="28" xfId="0" applyNumberFormat="1" applyFont="1" applyBorder="1" applyAlignment="1">
      <alignment horizontal="right" vertical="center"/>
    </xf>
    <xf numFmtId="10" fontId="1" fillId="0" borderId="24" xfId="0" applyNumberFormat="1" applyFont="1" applyBorder="1" applyAlignment="1">
      <alignment horizontal="right" vertical="center"/>
    </xf>
    <xf numFmtId="10" fontId="1" fillId="0" borderId="25" xfId="0" applyNumberFormat="1" applyFont="1" applyBorder="1" applyAlignment="1">
      <alignment horizontal="right" vertical="center"/>
    </xf>
    <xf numFmtId="0" fontId="1" fillId="0" borderId="26" xfId="0" applyFont="1" applyBorder="1" applyAlignment="1">
      <alignment horizontal="center" vertical="center"/>
    </xf>
    <xf numFmtId="0" fontId="1" fillId="0" borderId="10" xfId="0" applyFont="1" applyBorder="1" applyAlignment="1">
      <alignment horizontal="center" vertical="center"/>
    </xf>
    <xf numFmtId="0" fontId="1" fillId="0" borderId="21" xfId="0" applyFont="1" applyBorder="1"/>
    <xf numFmtId="164" fontId="1" fillId="0" borderId="22" xfId="0" applyNumberFormat="1" applyFont="1" applyBorder="1" applyAlignment="1">
      <alignment horizontal="right" vertical="center"/>
    </xf>
    <xf numFmtId="164" fontId="1" fillId="0" borderId="24" xfId="0" applyNumberFormat="1" applyFont="1" applyBorder="1" applyAlignment="1">
      <alignment horizontal="right" vertical="center"/>
    </xf>
    <xf numFmtId="10" fontId="1" fillId="4" borderId="22" xfId="0" applyNumberFormat="1" applyFont="1" applyFill="1" applyBorder="1" applyAlignment="1">
      <alignment horizontal="right" vertical="center"/>
    </xf>
    <xf numFmtId="10" fontId="1" fillId="0" borderId="22" xfId="0" applyNumberFormat="1" applyFont="1" applyFill="1" applyBorder="1" applyAlignment="1">
      <alignment horizontal="right" vertical="center"/>
    </xf>
    <xf numFmtId="164" fontId="1" fillId="0" borderId="23" xfId="0" applyNumberFormat="1" applyFont="1" applyBorder="1" applyAlignment="1">
      <alignment horizontal="right" vertical="center"/>
    </xf>
    <xf numFmtId="164" fontId="1" fillId="0" borderId="25" xfId="0" applyNumberFormat="1" applyFont="1" applyBorder="1" applyAlignment="1">
      <alignment horizontal="right" vertical="center"/>
    </xf>
    <xf numFmtId="164" fontId="4" fillId="0" borderId="18" xfId="0" applyNumberFormat="1" applyFont="1" applyBorder="1" applyAlignment="1">
      <alignment horizontal="right" vertical="center"/>
    </xf>
    <xf numFmtId="164" fontId="4" fillId="0" borderId="20" xfId="0" applyNumberFormat="1" applyFont="1" applyBorder="1" applyAlignment="1">
      <alignment horizontal="right" vertical="center"/>
    </xf>
    <xf numFmtId="10" fontId="4" fillId="0" borderId="18" xfId="0" applyNumberFormat="1" applyFont="1" applyBorder="1" applyAlignment="1">
      <alignment horizontal="right" vertical="center"/>
    </xf>
    <xf numFmtId="10" fontId="4" fillId="0" borderId="18" xfId="0" applyNumberFormat="1" applyFont="1" applyFill="1" applyBorder="1" applyAlignment="1">
      <alignment horizontal="right" vertical="center"/>
    </xf>
    <xf numFmtId="10" fontId="1" fillId="4" borderId="23" xfId="0" applyNumberFormat="1" applyFont="1" applyFill="1" applyBorder="1" applyAlignment="1">
      <alignment horizontal="right" vertical="center"/>
    </xf>
    <xf numFmtId="0" fontId="1" fillId="0" borderId="0" xfId="0" applyFont="1"/>
    <xf numFmtId="0" fontId="1" fillId="0" borderId="23" xfId="0" applyFont="1" applyBorder="1"/>
    <xf numFmtId="0" fontId="1" fillId="0" borderId="26" xfId="0" applyFont="1" applyBorder="1" applyAlignment="1">
      <alignment vertical="center"/>
    </xf>
    <xf numFmtId="4" fontId="4" fillId="0" borderId="18" xfId="0" applyNumberFormat="1" applyFont="1" applyBorder="1" applyAlignment="1">
      <alignment horizontal="right" vertical="center"/>
    </xf>
    <xf numFmtId="0" fontId="1" fillId="9" borderId="4" xfId="0" applyFont="1" applyFill="1" applyBorder="1" applyAlignment="1">
      <alignment horizontal="center" vertical="center"/>
    </xf>
    <xf numFmtId="0" fontId="1" fillId="2" borderId="29" xfId="0" applyFont="1" applyFill="1" applyBorder="1" applyAlignment="1">
      <alignment horizontal="center" vertical="center"/>
    </xf>
    <xf numFmtId="165" fontId="1" fillId="9" borderId="1" xfId="0" applyNumberFormat="1" applyFont="1" applyFill="1" applyBorder="1" applyAlignment="1">
      <alignment horizontal="center" vertical="center"/>
    </xf>
    <xf numFmtId="165" fontId="1" fillId="2" borderId="0" xfId="0" applyNumberFormat="1" applyFont="1" applyFill="1" applyAlignment="1">
      <alignment horizontal="center" vertical="center"/>
    </xf>
    <xf numFmtId="165" fontId="1" fillId="2" borderId="1" xfId="1" applyNumberFormat="1" applyFont="1" applyFill="1" applyBorder="1" applyAlignment="1">
      <alignment horizontal="center" vertical="center"/>
    </xf>
    <xf numFmtId="165" fontId="1" fillId="9" borderId="0" xfId="0" applyNumberFormat="1" applyFont="1" applyFill="1" applyAlignment="1">
      <alignment horizontal="center" vertical="center"/>
    </xf>
    <xf numFmtId="165" fontId="1" fillId="9" borderId="1" xfId="1" applyNumberFormat="1" applyFont="1" applyFill="1" applyBorder="1" applyAlignment="1">
      <alignment horizontal="center" vertical="center"/>
    </xf>
    <xf numFmtId="165" fontId="1" fillId="9" borderId="6"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2" borderId="10" xfId="0" applyNumberFormat="1" applyFont="1" applyFill="1" applyBorder="1" applyAlignment="1">
      <alignment horizontal="center" vertical="center"/>
    </xf>
    <xf numFmtId="165" fontId="1" fillId="2" borderId="12" xfId="1" applyNumberFormat="1" applyFont="1" applyFill="1" applyBorder="1" applyAlignment="1">
      <alignment horizontal="center" vertical="center"/>
    </xf>
    <xf numFmtId="165" fontId="1" fillId="9" borderId="10" xfId="0" applyNumberFormat="1" applyFont="1" applyFill="1" applyBorder="1" applyAlignment="1">
      <alignment horizontal="center" vertical="center"/>
    </xf>
    <xf numFmtId="165" fontId="1" fillId="9" borderId="12" xfId="1" applyNumberFormat="1" applyFont="1" applyFill="1" applyBorder="1" applyAlignment="1">
      <alignment horizontal="center" vertical="center"/>
    </xf>
    <xf numFmtId="165" fontId="1" fillId="9" borderId="17" xfId="1" applyNumberFormat="1" applyFont="1" applyFill="1" applyBorder="1" applyAlignment="1">
      <alignment horizontal="center" vertical="center"/>
    </xf>
    <xf numFmtId="165" fontId="1" fillId="2" borderId="17" xfId="1" applyNumberFormat="1" applyFont="1" applyFill="1" applyBorder="1" applyAlignment="1">
      <alignment horizontal="center" vertical="center"/>
    </xf>
    <xf numFmtId="165" fontId="1" fillId="2" borderId="16" xfId="0" applyNumberFormat="1" applyFont="1" applyFill="1" applyBorder="1" applyAlignment="1">
      <alignment horizontal="center" vertical="center"/>
    </xf>
    <xf numFmtId="165" fontId="1" fillId="9" borderId="7" xfId="0" applyNumberFormat="1" applyFont="1" applyFill="1" applyBorder="1" applyAlignment="1">
      <alignment horizontal="center" vertical="center"/>
    </xf>
    <xf numFmtId="165" fontId="1" fillId="2" borderId="2" xfId="0" applyNumberFormat="1" applyFont="1" applyFill="1" applyBorder="1" applyAlignment="1">
      <alignment horizontal="center" vertical="center"/>
    </xf>
    <xf numFmtId="165" fontId="1" fillId="2" borderId="3" xfId="1" applyNumberFormat="1" applyFont="1" applyFill="1" applyBorder="1" applyAlignment="1">
      <alignment horizontal="center" vertical="center"/>
    </xf>
    <xf numFmtId="165" fontId="1" fillId="9" borderId="2" xfId="0" applyNumberFormat="1" applyFont="1" applyFill="1" applyBorder="1" applyAlignment="1">
      <alignment horizontal="center" vertical="center"/>
    </xf>
    <xf numFmtId="165" fontId="1" fillId="9" borderId="5" xfId="0" applyNumberFormat="1" applyFont="1" applyFill="1" applyBorder="1" applyAlignment="1">
      <alignment horizontal="center" vertical="center"/>
    </xf>
    <xf numFmtId="165" fontId="1" fillId="9" borderId="14" xfId="1" applyNumberFormat="1" applyFont="1" applyFill="1" applyBorder="1" applyAlignment="1">
      <alignment horizontal="center" vertical="center"/>
    </xf>
    <xf numFmtId="165" fontId="1" fillId="2" borderId="14" xfId="1" applyNumberFormat="1" applyFont="1" applyFill="1" applyBorder="1" applyAlignment="1">
      <alignment horizontal="center" vertical="center"/>
    </xf>
    <xf numFmtId="165" fontId="1" fillId="9" borderId="3" xfId="1" applyNumberFormat="1" applyFont="1" applyFill="1" applyBorder="1" applyAlignment="1">
      <alignment horizontal="center" vertical="center"/>
    </xf>
    <xf numFmtId="0" fontId="4" fillId="0" borderId="21" xfId="0" applyFont="1" applyBorder="1" applyAlignment="1">
      <alignment vertical="center"/>
    </xf>
    <xf numFmtId="0" fontId="4" fillId="0" borderId="18" xfId="0" applyFont="1" applyBorder="1" applyAlignment="1">
      <alignment vertical="center"/>
    </xf>
    <xf numFmtId="10" fontId="1" fillId="0" borderId="23" xfId="0" applyNumberFormat="1" applyFont="1" applyFill="1" applyBorder="1" applyAlignment="1">
      <alignment horizontal="right" vertical="center"/>
    </xf>
    <xf numFmtId="10" fontId="1" fillId="2" borderId="0" xfId="0" applyNumberFormat="1" applyFont="1" applyFill="1" applyAlignment="1">
      <alignment horizontal="center" vertical="center"/>
    </xf>
    <xf numFmtId="10" fontId="8" fillId="2" borderId="0" xfId="0" applyNumberFormat="1" applyFont="1" applyFill="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8"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2" borderId="0" xfId="0" applyFont="1" applyFill="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9" xfId="0" applyFont="1" applyFill="1" applyBorder="1" applyAlignment="1">
      <alignment horizontal="center" vertical="center"/>
    </xf>
    <xf numFmtId="0" fontId="2" fillId="9" borderId="9" xfId="0" applyFont="1" applyFill="1" applyBorder="1" applyAlignment="1">
      <alignment horizontal="center" vertical="center"/>
    </xf>
    <xf numFmtId="0" fontId="2" fillId="9" borderId="8" xfId="0" applyFont="1" applyFill="1" applyBorder="1" applyAlignment="1">
      <alignment horizontal="center" vertical="center"/>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6" fillId="2" borderId="15" xfId="0" applyFont="1" applyFill="1" applyBorder="1" applyAlignment="1">
      <alignment horizontal="left" vertical="center"/>
    </xf>
    <xf numFmtId="0" fontId="6" fillId="2" borderId="6" xfId="0" applyFont="1" applyFill="1" applyBorder="1" applyAlignment="1">
      <alignment horizontal="left" vertical="center"/>
    </xf>
    <xf numFmtId="0" fontId="6" fillId="2" borderId="11" xfId="0" applyFont="1" applyFill="1" applyBorder="1" applyAlignment="1">
      <alignment horizontal="left" vertical="center"/>
    </xf>
    <xf numFmtId="0" fontId="6" fillId="2" borderId="5" xfId="0" applyFont="1" applyFill="1" applyBorder="1" applyAlignment="1">
      <alignment horizontal="left" vertical="center"/>
    </xf>
    <xf numFmtId="0" fontId="6" fillId="2" borderId="1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1" xfId="0" applyFont="1" applyBorder="1" applyAlignment="1">
      <alignment horizontal="center" vertical="center"/>
    </xf>
    <xf numFmtId="0" fontId="4" fillId="0" borderId="19" xfId="0" applyFont="1" applyBorder="1" applyAlignment="1">
      <alignment horizontal="center" vertical="center"/>
    </xf>
    <xf numFmtId="0" fontId="4" fillId="0" borderId="13" xfId="0" applyFont="1" applyBorder="1" applyAlignment="1">
      <alignment horizontal="center" vertical="center"/>
    </xf>
    <xf numFmtId="0" fontId="4" fillId="0" borderId="20" xfId="0" applyFont="1" applyBorder="1" applyAlignment="1">
      <alignment horizontal="center" vertical="center"/>
    </xf>
    <xf numFmtId="0" fontId="4" fillId="3" borderId="0" xfId="0" applyFont="1" applyFill="1" applyAlignment="1">
      <alignment horizontal="center" vertical="center"/>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3" xfId="0" applyFont="1" applyBorder="1" applyAlignment="1">
      <alignment horizontal="left" vertical="center"/>
    </xf>
    <xf numFmtId="0" fontId="4" fillId="6" borderId="19" xfId="0" applyFont="1" applyFill="1" applyBorder="1" applyAlignment="1">
      <alignment horizontal="center" vertical="center"/>
    </xf>
    <xf numFmtId="0" fontId="4" fillId="6" borderId="13"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 xfId="0" applyFont="1" applyFill="1" applyBorder="1" applyAlignment="1">
      <alignment horizontal="center" vertical="center"/>
    </xf>
    <xf numFmtId="0" fontId="4" fillId="7" borderId="19" xfId="0" applyFont="1" applyFill="1" applyBorder="1" applyAlignment="1">
      <alignment horizontal="center" vertical="center"/>
    </xf>
    <xf numFmtId="0" fontId="4" fillId="7" borderId="13" xfId="0" applyFont="1" applyFill="1" applyBorder="1" applyAlignment="1">
      <alignment horizontal="center" vertical="center"/>
    </xf>
    <xf numFmtId="0" fontId="4" fillId="4" borderId="20" xfId="0" applyFont="1" applyFill="1" applyBorder="1" applyAlignment="1">
      <alignment horizontal="center" vertical="center"/>
    </xf>
    <xf numFmtId="0" fontId="4" fillId="6" borderId="20" xfId="0" applyFont="1" applyFill="1" applyBorder="1" applyAlignment="1">
      <alignment horizontal="center" vertical="center"/>
    </xf>
    <xf numFmtId="0" fontId="4" fillId="7" borderId="20" xfId="0" applyFont="1" applyFill="1" applyBorder="1" applyAlignment="1">
      <alignment horizontal="center" vertical="center"/>
    </xf>
    <xf numFmtId="0" fontId="4" fillId="5" borderId="19"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20" xfId="0" applyFont="1" applyFill="1" applyBorder="1" applyAlignment="1">
      <alignment horizontal="center" vertical="center"/>
    </xf>
    <xf numFmtId="0" fontId="4" fillId="8" borderId="0" xfId="0" applyFont="1" applyFill="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cat>
            <c:multiLvlStrRef>
              <c:f>'Género - Grupos de Edad'!$A$18:$B$37</c:f>
              <c:multiLvlStrCache>
                <c:ptCount val="20"/>
                <c:lvl>
                  <c:pt idx="0">
                    <c:v>Mujer</c:v>
                  </c:pt>
                  <c:pt idx="1">
                    <c:v>Hombre</c:v>
                  </c:pt>
                  <c:pt idx="3">
                    <c:v>60 y más</c:v>
                  </c:pt>
                  <c:pt idx="4">
                    <c:v>hasta 24 años</c:v>
                  </c:pt>
                  <c:pt idx="5">
                    <c:v>50 a 59 años</c:v>
                  </c:pt>
                  <c:pt idx="6">
                    <c:v>25 a 34 años</c:v>
                  </c:pt>
                  <c:pt idx="7">
                    <c:v>35 a 49 años</c:v>
                  </c:pt>
                  <c:pt idx="9">
                    <c:v>Act. prim.</c:v>
                  </c:pt>
                  <c:pt idx="10">
                    <c:v>Hot. y rest.</c:v>
                  </c:pt>
                  <c:pt idx="11">
                    <c:v>Otros serv. com., soc. y pers.</c:v>
                  </c:pt>
                  <c:pt idx="12">
                    <c:v>Transp., alm. y com.</c:v>
                  </c:pt>
                  <c:pt idx="13">
                    <c:v>Enseñanza</c:v>
                  </c:pt>
                  <c:pt idx="14">
                    <c:v>Trab. dom.</c:v>
                  </c:pt>
                  <c:pt idx="15">
                    <c:v>Construcción</c:v>
                  </c:pt>
                  <c:pt idx="16">
                    <c:v>Serv. fin., inmob., alq. y empr.</c:v>
                  </c:pt>
                  <c:pt idx="17">
                    <c:v>Ind. manuf.</c:v>
                  </c:pt>
                  <c:pt idx="18">
                    <c:v>Serv. soc. y de salud</c:v>
                  </c:pt>
                  <c:pt idx="19">
                    <c:v>Comercio</c:v>
                  </c:pt>
                </c:lvl>
                <c:lvl>
                  <c:pt idx="0">
                    <c:v>Género</c:v>
                  </c:pt>
                  <c:pt idx="3">
                    <c:v>Edad</c:v>
                  </c:pt>
                  <c:pt idx="9">
                    <c:v>Sector económico</c:v>
                  </c:pt>
                </c:lvl>
              </c:multiLvlStrCache>
            </c:multiLvlStrRef>
          </c:cat>
          <c:val>
            <c:numRef>
              <c:f>'Género - Grupos de Edad'!$C$18:$C$37</c:f>
              <c:numCache>
                <c:formatCode>0.00%</c:formatCode>
                <c:ptCount val="20"/>
                <c:pt idx="0">
                  <c:v>0.44077494369760012</c:v>
                </c:pt>
                <c:pt idx="1">
                  <c:v>0.55922505630239983</c:v>
                </c:pt>
                <c:pt idx="3">
                  <c:v>0.10574058064277586</c:v>
                </c:pt>
                <c:pt idx="4">
                  <c:v>0.10763922095176294</c:v>
                </c:pt>
                <c:pt idx="5">
                  <c:v>0.17159550677560592</c:v>
                </c:pt>
                <c:pt idx="6">
                  <c:v>0.25065699634953559</c:v>
                </c:pt>
                <c:pt idx="7">
                  <c:v>0.3643676952803197</c:v>
                </c:pt>
                <c:pt idx="9">
                  <c:v>1.0106223653364164E-2</c:v>
                </c:pt>
                <c:pt idx="10">
                  <c:v>3.8419818777104812E-2</c:v>
                </c:pt>
                <c:pt idx="11">
                  <c:v>4.350604110937227E-2</c:v>
                </c:pt>
                <c:pt idx="12">
                  <c:v>7.6011501019280114E-2</c:v>
                </c:pt>
                <c:pt idx="13">
                  <c:v>8.1002753946568695E-2</c:v>
                </c:pt>
                <c:pt idx="14">
                  <c:v>8.1460484875727587E-2</c:v>
                </c:pt>
                <c:pt idx="15">
                  <c:v>8.8594407107998818E-2</c:v>
                </c:pt>
                <c:pt idx="16">
                  <c:v>0.10906417746566291</c:v>
                </c:pt>
                <c:pt idx="17">
                  <c:v>0.11022042789408461</c:v>
                </c:pt>
                <c:pt idx="18">
                  <c:v>0.17924847876544758</c:v>
                </c:pt>
                <c:pt idx="19">
                  <c:v>0.18236568538538842</c:v>
                </c:pt>
              </c:numCache>
            </c:numRef>
          </c:val>
          <c:extLst>
            <c:ext xmlns:c16="http://schemas.microsoft.com/office/drawing/2014/chart" uri="{C3380CC4-5D6E-409C-BE32-E72D297353CC}">
              <c16:uniqueId val="{00000000-A2D7-4D8D-8C58-A2A0778EBFFA}"/>
            </c:ext>
          </c:extLst>
        </c:ser>
        <c:dLbls>
          <c:showLegendKey val="0"/>
          <c:showVal val="0"/>
          <c:showCatName val="0"/>
          <c:showSerName val="0"/>
          <c:showPercent val="0"/>
          <c:showBubbleSize val="0"/>
        </c:dLbls>
        <c:gapWidth val="182"/>
        <c:axId val="633646040"/>
        <c:axId val="633646696"/>
      </c:barChart>
      <c:catAx>
        <c:axId val="63364604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633646696"/>
        <c:crosses val="autoZero"/>
        <c:auto val="1"/>
        <c:lblAlgn val="ctr"/>
        <c:lblOffset val="100"/>
        <c:noMultiLvlLbl val="0"/>
      </c:catAx>
      <c:valAx>
        <c:axId val="63364669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633646040"/>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1"/>
          <c:order val="0"/>
          <c:tx>
            <c:strRef>
              <c:f>Informalidad!$C$17</c:f>
              <c:strCache>
                <c:ptCount val="1"/>
                <c:pt idx="0">
                  <c:v>Mujer</c:v>
                </c:pt>
              </c:strCache>
            </c:strRef>
          </c:tx>
          <c:spPr>
            <a:solidFill>
              <a:schemeClr val="tx1"/>
            </a:solidFill>
            <a:ln>
              <a:noFill/>
            </a:ln>
            <a:effectLst/>
          </c:spPr>
          <c:invertIfNegative val="0"/>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Informalidad!$C$18:$C$27</c:f>
              <c:numCache>
                <c:formatCode>#,##0</c:formatCode>
                <c:ptCount val="10"/>
                <c:pt idx="0">
                  <c:v>259498</c:v>
                </c:pt>
                <c:pt idx="1">
                  <c:v>269978</c:v>
                </c:pt>
                <c:pt idx="2">
                  <c:v>293917</c:v>
                </c:pt>
                <c:pt idx="3">
                  <c:v>304400</c:v>
                </c:pt>
                <c:pt idx="4">
                  <c:v>277582</c:v>
                </c:pt>
                <c:pt idx="5">
                  <c:v>273686</c:v>
                </c:pt>
                <c:pt idx="6">
                  <c:v>164387</c:v>
                </c:pt>
                <c:pt idx="7">
                  <c:v>116127</c:v>
                </c:pt>
                <c:pt idx="8">
                  <c:v>128029</c:v>
                </c:pt>
                <c:pt idx="9">
                  <c:v>107626</c:v>
                </c:pt>
              </c:numCache>
            </c:numRef>
          </c:val>
          <c:extLst>
            <c:ext xmlns:c16="http://schemas.microsoft.com/office/drawing/2014/chart" uri="{C3380CC4-5D6E-409C-BE32-E72D297353CC}">
              <c16:uniqueId val="{00000001-57DD-4E33-8EA1-AE6A82083439}"/>
            </c:ext>
          </c:extLst>
        </c:ser>
        <c:ser>
          <c:idx val="0"/>
          <c:order val="1"/>
          <c:tx>
            <c:strRef>
              <c:f>Informalidad!$B$17</c:f>
              <c:strCache>
                <c:ptCount val="1"/>
                <c:pt idx="0">
                  <c:v>Hombre</c:v>
                </c:pt>
              </c:strCache>
            </c:strRef>
          </c:tx>
          <c:spPr>
            <a:solidFill>
              <a:schemeClr val="bg2"/>
            </a:solidFill>
            <a:ln>
              <a:noFill/>
            </a:ln>
            <a:effectLst/>
          </c:spPr>
          <c:invertIfNegative val="0"/>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Informalidad!$B$18:$B$27</c:f>
              <c:numCache>
                <c:formatCode>#,##0</c:formatCode>
                <c:ptCount val="10"/>
                <c:pt idx="0">
                  <c:v>296165</c:v>
                </c:pt>
                <c:pt idx="1">
                  <c:v>365945</c:v>
                </c:pt>
                <c:pt idx="2">
                  <c:v>376588</c:v>
                </c:pt>
                <c:pt idx="3">
                  <c:v>340320</c:v>
                </c:pt>
                <c:pt idx="4">
                  <c:v>361196</c:v>
                </c:pt>
                <c:pt idx="5">
                  <c:v>334836</c:v>
                </c:pt>
                <c:pt idx="6">
                  <c:v>160900</c:v>
                </c:pt>
                <c:pt idx="7">
                  <c:v>136064</c:v>
                </c:pt>
                <c:pt idx="8">
                  <c:v>119349</c:v>
                </c:pt>
                <c:pt idx="9">
                  <c:v>86099</c:v>
                </c:pt>
              </c:numCache>
            </c:numRef>
          </c:val>
          <c:extLst>
            <c:ext xmlns:c16="http://schemas.microsoft.com/office/drawing/2014/chart" uri="{C3380CC4-5D6E-409C-BE32-E72D297353CC}">
              <c16:uniqueId val="{00000000-57DD-4E33-8EA1-AE6A82083439}"/>
            </c:ext>
          </c:extLst>
        </c:ser>
        <c:dLbls>
          <c:showLegendKey val="0"/>
          <c:showVal val="0"/>
          <c:showCatName val="0"/>
          <c:showSerName val="0"/>
          <c:showPercent val="0"/>
          <c:showBubbleSize val="0"/>
        </c:dLbls>
        <c:gapWidth val="150"/>
        <c:overlap val="100"/>
        <c:axId val="513511072"/>
        <c:axId val="513509104"/>
      </c:barChart>
      <c:lineChart>
        <c:grouping val="standard"/>
        <c:varyColors val="0"/>
        <c:ser>
          <c:idx val="2"/>
          <c:order val="2"/>
          <c:tx>
            <c:strRef>
              <c:f>Informalidad!$D$17</c:f>
              <c:strCache>
                <c:ptCount val="1"/>
                <c:pt idx="0">
                  <c:v>Tasa informalidad</c:v>
                </c:pt>
              </c:strCache>
            </c:strRef>
          </c:tx>
          <c:spPr>
            <a:ln w="28575" cap="rnd">
              <a:solidFill>
                <a:schemeClr val="tx2"/>
              </a:solidFill>
              <a:round/>
            </a:ln>
            <a:effectLst/>
          </c:spPr>
          <c:marker>
            <c:symbol val="none"/>
          </c:marker>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Informalidad!$D$18:$D$27</c:f>
              <c:numCache>
                <c:formatCode>0.00%</c:formatCode>
                <c:ptCount val="10"/>
                <c:pt idx="0">
                  <c:v>0.86374139999999999</c:v>
                </c:pt>
                <c:pt idx="1">
                  <c:v>0.75532290000000002</c:v>
                </c:pt>
                <c:pt idx="2">
                  <c:v>0.68161459999999996</c:v>
                </c:pt>
                <c:pt idx="3">
                  <c:v>0.58198070000000002</c:v>
                </c:pt>
                <c:pt idx="4">
                  <c:v>0.55108639999999998</c:v>
                </c:pt>
                <c:pt idx="5">
                  <c:v>0.47562110000000002</c:v>
                </c:pt>
                <c:pt idx="6">
                  <c:v>0.24020830000000001</c:v>
                </c:pt>
                <c:pt idx="7">
                  <c:v>0.19423979999999999</c:v>
                </c:pt>
                <c:pt idx="8">
                  <c:v>0.16190679999999999</c:v>
                </c:pt>
                <c:pt idx="9">
                  <c:v>0.10530150000000001</c:v>
                </c:pt>
              </c:numCache>
            </c:numRef>
          </c:val>
          <c:smooth val="0"/>
          <c:extLst>
            <c:ext xmlns:c16="http://schemas.microsoft.com/office/drawing/2014/chart" uri="{C3380CC4-5D6E-409C-BE32-E72D297353CC}">
              <c16:uniqueId val="{00000002-57DD-4E33-8EA1-AE6A82083439}"/>
            </c:ext>
          </c:extLst>
        </c:ser>
        <c:dLbls>
          <c:showLegendKey val="0"/>
          <c:showVal val="0"/>
          <c:showCatName val="0"/>
          <c:showSerName val="0"/>
          <c:showPercent val="0"/>
          <c:showBubbleSize val="0"/>
        </c:dLbls>
        <c:marker val="1"/>
        <c:smooth val="0"/>
        <c:axId val="513508448"/>
        <c:axId val="513505168"/>
      </c:lineChart>
      <c:catAx>
        <c:axId val="51351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s-AR"/>
                  <a:t>Decil Ingreso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13509104"/>
        <c:crosses val="autoZero"/>
        <c:auto val="1"/>
        <c:lblAlgn val="ctr"/>
        <c:lblOffset val="100"/>
        <c:noMultiLvlLbl val="0"/>
      </c:catAx>
      <c:valAx>
        <c:axId val="513509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13511072"/>
        <c:crosses val="autoZero"/>
        <c:crossBetween val="between"/>
      </c:valAx>
      <c:valAx>
        <c:axId val="513505168"/>
        <c:scaling>
          <c:orientation val="minMax"/>
        </c:scaling>
        <c:delete val="1"/>
        <c:axPos val="r"/>
        <c:numFmt formatCode="0.00%" sourceLinked="1"/>
        <c:majorTickMark val="out"/>
        <c:minorTickMark val="none"/>
        <c:tickLblPos val="nextTo"/>
        <c:crossAx val="513508448"/>
        <c:crosses val="max"/>
        <c:crossBetween val="between"/>
      </c:valAx>
      <c:catAx>
        <c:axId val="513508448"/>
        <c:scaling>
          <c:orientation val="minMax"/>
        </c:scaling>
        <c:delete val="1"/>
        <c:axPos val="b"/>
        <c:numFmt formatCode="General" sourceLinked="1"/>
        <c:majorTickMark val="out"/>
        <c:minorTickMark val="none"/>
        <c:tickLblPos val="nextTo"/>
        <c:crossAx val="513505168"/>
        <c:crosses val="autoZero"/>
        <c:auto val="1"/>
        <c:lblAlgn val="ctr"/>
        <c:lblOffset val="100"/>
        <c:noMultiLvlLbl val="0"/>
      </c:catAx>
      <c:spPr>
        <a:noFill/>
        <a:ln>
          <a:solidFill>
            <a:schemeClr val="tx1"/>
          </a:solidFill>
        </a:ln>
        <a:effectLst/>
      </c:spPr>
    </c:plotArea>
    <c:legend>
      <c:legendPos val="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Informalidad!$W$17</c:f>
              <c:strCache>
                <c:ptCount val="1"/>
                <c:pt idx="0">
                  <c:v>Hombre</c:v>
                </c:pt>
              </c:strCache>
            </c:strRef>
          </c:tx>
          <c:spPr>
            <a:solidFill>
              <a:schemeClr val="tx1"/>
            </a:solidFill>
            <a:ln>
              <a:noFill/>
            </a:ln>
            <a:effectLst/>
          </c:spPr>
          <c:invertIfNegative val="0"/>
          <c:cat>
            <c:strRef>
              <c:f>Informalidad!$R$18:$R$28</c:f>
              <c:strCache>
                <c:ptCount val="11"/>
                <c:pt idx="0">
                  <c:v>Trab. dom.</c:v>
                </c:pt>
                <c:pt idx="1">
                  <c:v>Construcción</c:v>
                </c:pt>
                <c:pt idx="2">
                  <c:v>Comercio</c:v>
                </c:pt>
                <c:pt idx="3">
                  <c:v>Otros serv.</c:v>
                </c:pt>
                <c:pt idx="4">
                  <c:v>Hot. y rest.</c:v>
                </c:pt>
                <c:pt idx="5">
                  <c:v>Ind. manuf.</c:v>
                </c:pt>
                <c:pt idx="6">
                  <c:v>Transporte</c:v>
                </c:pt>
                <c:pt idx="7">
                  <c:v>Serv. financ.</c:v>
                </c:pt>
                <c:pt idx="8">
                  <c:v>Act. prim.</c:v>
                </c:pt>
                <c:pt idx="9">
                  <c:v>Serv. soc. y de salud</c:v>
                </c:pt>
                <c:pt idx="10">
                  <c:v>Enseñanza</c:v>
                </c:pt>
              </c:strCache>
            </c:strRef>
          </c:cat>
          <c:val>
            <c:numRef>
              <c:f>Informalidad!$W$18:$W$28</c:f>
              <c:numCache>
                <c:formatCode>0.00%</c:formatCode>
                <c:ptCount val="11"/>
                <c:pt idx="0">
                  <c:v>4.4851460217534521E-2</c:v>
                </c:pt>
                <c:pt idx="1">
                  <c:v>0.64877603116892246</c:v>
                </c:pt>
                <c:pt idx="2">
                  <c:v>0.28993637267364492</c:v>
                </c:pt>
                <c:pt idx="3">
                  <c:v>0.17509048724311452</c:v>
                </c:pt>
                <c:pt idx="4">
                  <c:v>0.26161983393180022</c:v>
                </c:pt>
                <c:pt idx="5">
                  <c:v>0.23159041855840637</c:v>
                </c:pt>
                <c:pt idx="6">
                  <c:v>0.25921338902033658</c:v>
                </c:pt>
                <c:pt idx="7">
                  <c:v>0.16774094544490337</c:v>
                </c:pt>
                <c:pt idx="8">
                  <c:v>0.16417418783613003</c:v>
                </c:pt>
                <c:pt idx="9">
                  <c:v>8.4729450056783603E-2</c:v>
                </c:pt>
                <c:pt idx="10">
                  <c:v>2.6052800943226821E-2</c:v>
                </c:pt>
              </c:numCache>
            </c:numRef>
          </c:val>
          <c:extLst>
            <c:ext xmlns:c16="http://schemas.microsoft.com/office/drawing/2014/chart" uri="{C3380CC4-5D6E-409C-BE32-E72D297353CC}">
              <c16:uniqueId val="{00000000-808B-4E6D-87DD-96384242EC8A}"/>
            </c:ext>
          </c:extLst>
        </c:ser>
        <c:ser>
          <c:idx val="1"/>
          <c:order val="1"/>
          <c:tx>
            <c:strRef>
              <c:f>Informalidad!$X$17</c:f>
              <c:strCache>
                <c:ptCount val="1"/>
                <c:pt idx="0">
                  <c:v>Mujer</c:v>
                </c:pt>
              </c:strCache>
            </c:strRef>
          </c:tx>
          <c:spPr>
            <a:solidFill>
              <a:schemeClr val="bg2"/>
            </a:solidFill>
            <a:ln>
              <a:noFill/>
            </a:ln>
            <a:effectLst/>
          </c:spPr>
          <c:invertIfNegative val="0"/>
          <c:cat>
            <c:strRef>
              <c:f>Informalidad!$R$18:$R$28</c:f>
              <c:strCache>
                <c:ptCount val="11"/>
                <c:pt idx="0">
                  <c:v>Trab. dom.</c:v>
                </c:pt>
                <c:pt idx="1">
                  <c:v>Construcción</c:v>
                </c:pt>
                <c:pt idx="2">
                  <c:v>Comercio</c:v>
                </c:pt>
                <c:pt idx="3">
                  <c:v>Otros serv.</c:v>
                </c:pt>
                <c:pt idx="4">
                  <c:v>Hot. y rest.</c:v>
                </c:pt>
                <c:pt idx="5">
                  <c:v>Ind. manuf.</c:v>
                </c:pt>
                <c:pt idx="6">
                  <c:v>Transporte</c:v>
                </c:pt>
                <c:pt idx="7">
                  <c:v>Serv. financ.</c:v>
                </c:pt>
                <c:pt idx="8">
                  <c:v>Act. prim.</c:v>
                </c:pt>
                <c:pt idx="9">
                  <c:v>Serv. soc. y de salud</c:v>
                </c:pt>
                <c:pt idx="10">
                  <c:v>Enseñanza</c:v>
                </c:pt>
              </c:strCache>
            </c:strRef>
          </c:cat>
          <c:val>
            <c:numRef>
              <c:f>Informalidad!$X$18:$X$28</c:f>
              <c:numCache>
                <c:formatCode>0.00%</c:formatCode>
                <c:ptCount val="11"/>
                <c:pt idx="0">
                  <c:v>0.71689203978246552</c:v>
                </c:pt>
                <c:pt idx="1">
                  <c:v>5.2800688310775841E-3</c:v>
                </c:pt>
                <c:pt idx="2">
                  <c:v>0.23186052732635504</c:v>
                </c:pt>
                <c:pt idx="3">
                  <c:v>0.32208781275688547</c:v>
                </c:pt>
                <c:pt idx="4">
                  <c:v>0.19767086606819981</c:v>
                </c:pt>
                <c:pt idx="5">
                  <c:v>0.17809388144159363</c:v>
                </c:pt>
                <c:pt idx="6">
                  <c:v>3.3133910979663408E-2</c:v>
                </c:pt>
                <c:pt idx="7">
                  <c:v>9.730335455509663E-2</c:v>
                </c:pt>
                <c:pt idx="8">
                  <c:v>7.0022112163869971E-2</c:v>
                </c:pt>
                <c:pt idx="9">
                  <c:v>0.10873774994321639</c:v>
                </c:pt>
                <c:pt idx="10">
                  <c:v>8.2477799056773188E-2</c:v>
                </c:pt>
              </c:numCache>
            </c:numRef>
          </c:val>
          <c:extLst>
            <c:ext xmlns:c16="http://schemas.microsoft.com/office/drawing/2014/chart" uri="{C3380CC4-5D6E-409C-BE32-E72D297353CC}">
              <c16:uniqueId val="{00000001-808B-4E6D-87DD-96384242EC8A}"/>
            </c:ext>
          </c:extLst>
        </c:ser>
        <c:dLbls>
          <c:showLegendKey val="0"/>
          <c:showVal val="0"/>
          <c:showCatName val="0"/>
          <c:showSerName val="0"/>
          <c:showPercent val="0"/>
          <c:showBubbleSize val="0"/>
        </c:dLbls>
        <c:gapWidth val="150"/>
        <c:overlap val="100"/>
        <c:axId val="420255856"/>
        <c:axId val="420256184"/>
      </c:barChart>
      <c:catAx>
        <c:axId val="42025585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20256184"/>
        <c:crosses val="autoZero"/>
        <c:auto val="1"/>
        <c:lblAlgn val="ctr"/>
        <c:lblOffset val="100"/>
        <c:noMultiLvlLbl val="0"/>
      </c:catAx>
      <c:valAx>
        <c:axId val="42025618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20255856"/>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Perdido'!$H$5</c:f>
              <c:strCache>
                <c:ptCount val="1"/>
                <c:pt idx="0">
                  <c:v>Hombre</c:v>
                </c:pt>
              </c:strCache>
            </c:strRef>
          </c:tx>
          <c:spPr>
            <a:solidFill>
              <a:schemeClr val="tx1"/>
            </a:solidFill>
            <a:ln>
              <a:noFill/>
            </a:ln>
            <a:effectLst/>
          </c:spPr>
          <c:invertIfNegative val="0"/>
          <c:cat>
            <c:strRef>
              <c:extLst>
                <c:ext xmlns:c15="http://schemas.microsoft.com/office/drawing/2012/chart" uri="{02D57815-91ED-43cb-92C2-25804820EDAC}">
                  <c15:fullRef>
                    <c15:sqref>'Empleo Perdido'!$A$6:$A$10</c15:sqref>
                  </c15:fullRef>
                </c:ext>
              </c:extLst>
              <c:f>'Empleo Perdido'!$A$7:$A$9</c:f>
              <c:strCache>
                <c:ptCount val="3"/>
                <c:pt idx="0">
                  <c:v>[18,24]</c:v>
                </c:pt>
                <c:pt idx="1">
                  <c:v>[25,40]</c:v>
                </c:pt>
                <c:pt idx="2">
                  <c:v>[41,64]</c:v>
                </c:pt>
              </c:strCache>
            </c:strRef>
          </c:cat>
          <c:val>
            <c:numRef>
              <c:extLst>
                <c:ext xmlns:c15="http://schemas.microsoft.com/office/drawing/2012/chart" uri="{02D57815-91ED-43cb-92C2-25804820EDAC}">
                  <c15:fullRef>
                    <c15:sqref>'Empleo Perdido'!$H$6:$H$10</c15:sqref>
                  </c15:fullRef>
                </c:ext>
              </c:extLst>
              <c:f>'Empleo Perdido'!$H$7:$H$9</c:f>
              <c:numCache>
                <c:formatCode>0.00%</c:formatCode>
                <c:ptCount val="3"/>
                <c:pt idx="0">
                  <c:v>-0.62552281104337837</c:v>
                </c:pt>
                <c:pt idx="1">
                  <c:v>-0.22589310293712817</c:v>
                </c:pt>
                <c:pt idx="2">
                  <c:v>-8.7786469903708753E-2</c:v>
                </c:pt>
              </c:numCache>
            </c:numRef>
          </c:val>
          <c:extLst>
            <c:ext xmlns:c16="http://schemas.microsoft.com/office/drawing/2014/chart" uri="{C3380CC4-5D6E-409C-BE32-E72D297353CC}">
              <c16:uniqueId val="{00000000-AE68-4590-B46A-312F9D87F561}"/>
            </c:ext>
          </c:extLst>
        </c:ser>
        <c:ser>
          <c:idx val="1"/>
          <c:order val="1"/>
          <c:tx>
            <c:strRef>
              <c:f>'Empleo Perdido'!$I$5</c:f>
              <c:strCache>
                <c:ptCount val="1"/>
                <c:pt idx="0">
                  <c:v>Mujer</c:v>
                </c:pt>
              </c:strCache>
            </c:strRef>
          </c:tx>
          <c:spPr>
            <a:solidFill>
              <a:schemeClr val="bg2"/>
            </a:solidFill>
            <a:ln>
              <a:noFill/>
            </a:ln>
            <a:effectLst/>
          </c:spPr>
          <c:invertIfNegative val="0"/>
          <c:cat>
            <c:strRef>
              <c:extLst>
                <c:ext xmlns:c15="http://schemas.microsoft.com/office/drawing/2012/chart" uri="{02D57815-91ED-43cb-92C2-25804820EDAC}">
                  <c15:fullRef>
                    <c15:sqref>'Empleo Perdido'!$A$6:$A$10</c15:sqref>
                  </c15:fullRef>
                </c:ext>
              </c:extLst>
              <c:f>'Empleo Perdido'!$A$7:$A$9</c:f>
              <c:strCache>
                <c:ptCount val="3"/>
                <c:pt idx="0">
                  <c:v>[18,24]</c:v>
                </c:pt>
                <c:pt idx="1">
                  <c:v>[25,40]</c:v>
                </c:pt>
                <c:pt idx="2">
                  <c:v>[41,64]</c:v>
                </c:pt>
              </c:strCache>
            </c:strRef>
          </c:cat>
          <c:val>
            <c:numRef>
              <c:extLst>
                <c:ext xmlns:c15="http://schemas.microsoft.com/office/drawing/2012/chart" uri="{02D57815-91ED-43cb-92C2-25804820EDAC}">
                  <c15:fullRef>
                    <c15:sqref>'Empleo Perdido'!$I$6:$I$10</c15:sqref>
                  </c15:fullRef>
                </c:ext>
              </c:extLst>
              <c:f>'Empleo Perdido'!$I$7:$I$9</c:f>
              <c:numCache>
                <c:formatCode>0.00%</c:formatCode>
                <c:ptCount val="3"/>
                <c:pt idx="0">
                  <c:v>-0.74785826371266673</c:v>
                </c:pt>
                <c:pt idx="1">
                  <c:v>-0.27363446700303629</c:v>
                </c:pt>
                <c:pt idx="2">
                  <c:v>-6.4142951086725075E-2</c:v>
                </c:pt>
              </c:numCache>
            </c:numRef>
          </c:val>
          <c:extLst>
            <c:ext xmlns:c16="http://schemas.microsoft.com/office/drawing/2014/chart" uri="{C3380CC4-5D6E-409C-BE32-E72D297353CC}">
              <c16:uniqueId val="{00000001-AE68-4590-B46A-312F9D87F561}"/>
            </c:ext>
          </c:extLst>
        </c:ser>
        <c:dLbls>
          <c:showLegendKey val="0"/>
          <c:showVal val="0"/>
          <c:showCatName val="0"/>
          <c:showSerName val="0"/>
          <c:showPercent val="0"/>
          <c:showBubbleSize val="0"/>
        </c:dLbls>
        <c:gapWidth val="219"/>
        <c:overlap val="-27"/>
        <c:axId val="560578488"/>
        <c:axId val="560580784"/>
      </c:barChart>
      <c:catAx>
        <c:axId val="56057848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60580784"/>
        <c:crosses val="autoZero"/>
        <c:auto val="1"/>
        <c:lblAlgn val="ctr"/>
        <c:lblOffset val="100"/>
        <c:noMultiLvlLbl val="0"/>
      </c:catAx>
      <c:valAx>
        <c:axId val="560580784"/>
        <c:scaling>
          <c:orientation val="minMax"/>
          <c:min val="-0.9"/>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60578488"/>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Perdido'!$CG$18</c:f>
              <c:strCache>
                <c:ptCount val="1"/>
                <c:pt idx="0">
                  <c:v>Trabajadores (Izq.)</c:v>
                </c:pt>
              </c:strCache>
            </c:strRef>
          </c:tx>
          <c:spPr>
            <a:solidFill>
              <a:schemeClr val="bg2"/>
            </a:solidFill>
            <a:ln>
              <a:noFill/>
            </a:ln>
            <a:effectLst/>
          </c:spPr>
          <c:invertIfNegative val="0"/>
          <c:cat>
            <c:strRef>
              <c:f>'Empleo Perdido'!$CF$19:$CF$29</c:f>
              <c:strCache>
                <c:ptCount val="11"/>
                <c:pt idx="0">
                  <c:v>Comercio</c:v>
                </c:pt>
                <c:pt idx="1">
                  <c:v>Construcción</c:v>
                </c:pt>
                <c:pt idx="2">
                  <c:v>Trab. dom.</c:v>
                </c:pt>
                <c:pt idx="3">
                  <c:v>Ind. manuf.</c:v>
                </c:pt>
                <c:pt idx="4">
                  <c:v>Serv. financ.</c:v>
                </c:pt>
                <c:pt idx="5">
                  <c:v>Hot. y rest.</c:v>
                </c:pt>
                <c:pt idx="6">
                  <c:v>Transporte</c:v>
                </c:pt>
                <c:pt idx="7">
                  <c:v>Otros serv.</c:v>
                </c:pt>
                <c:pt idx="8">
                  <c:v>Serv. soc. y de salud</c:v>
                </c:pt>
                <c:pt idx="9">
                  <c:v>Enseñanza</c:v>
                </c:pt>
                <c:pt idx="10">
                  <c:v>Act. prim.</c:v>
                </c:pt>
              </c:strCache>
            </c:strRef>
          </c:cat>
          <c:val>
            <c:numRef>
              <c:f>'Empleo Perdido'!$CG$19:$CG$29</c:f>
              <c:numCache>
                <c:formatCode>#,##0</c:formatCode>
                <c:ptCount val="11"/>
                <c:pt idx="0">
                  <c:v>608750</c:v>
                </c:pt>
                <c:pt idx="1">
                  <c:v>399356</c:v>
                </c:pt>
                <c:pt idx="2">
                  <c:v>378374</c:v>
                </c:pt>
                <c:pt idx="3">
                  <c:v>239658</c:v>
                </c:pt>
                <c:pt idx="4">
                  <c:v>235235</c:v>
                </c:pt>
                <c:pt idx="5">
                  <c:v>209554</c:v>
                </c:pt>
                <c:pt idx="6">
                  <c:v>192213</c:v>
                </c:pt>
                <c:pt idx="7">
                  <c:v>127281</c:v>
                </c:pt>
                <c:pt idx="8">
                  <c:v>74283</c:v>
                </c:pt>
                <c:pt idx="9">
                  <c:v>38125</c:v>
                </c:pt>
                <c:pt idx="10">
                  <c:v>25556</c:v>
                </c:pt>
              </c:numCache>
            </c:numRef>
          </c:val>
          <c:extLst>
            <c:ext xmlns:c16="http://schemas.microsoft.com/office/drawing/2014/chart" uri="{C3380CC4-5D6E-409C-BE32-E72D297353CC}">
              <c16:uniqueId val="{00000000-8718-4A45-AB9D-05AE7B536127}"/>
            </c:ext>
          </c:extLst>
        </c:ser>
        <c:dLbls>
          <c:showLegendKey val="0"/>
          <c:showVal val="0"/>
          <c:showCatName val="0"/>
          <c:showSerName val="0"/>
          <c:showPercent val="0"/>
          <c:showBubbleSize val="0"/>
        </c:dLbls>
        <c:gapWidth val="219"/>
        <c:overlap val="-27"/>
        <c:axId val="507137336"/>
        <c:axId val="507139304"/>
      </c:barChart>
      <c:scatterChart>
        <c:scatterStyle val="lineMarker"/>
        <c:varyColors val="0"/>
        <c:ser>
          <c:idx val="1"/>
          <c:order val="1"/>
          <c:tx>
            <c:strRef>
              <c:f>'Empleo Perdido'!$CH$18</c:f>
              <c:strCache>
                <c:ptCount val="1"/>
                <c:pt idx="0">
                  <c:v>Share Mujer (Der.)</c:v>
                </c:pt>
              </c:strCache>
            </c:strRef>
          </c:tx>
          <c:spPr>
            <a:ln w="25400" cap="rnd">
              <a:noFill/>
              <a:round/>
            </a:ln>
            <a:effectLst/>
          </c:spPr>
          <c:marker>
            <c:symbol val="square"/>
            <c:size val="5"/>
            <c:spPr>
              <a:solidFill>
                <a:schemeClr val="tx1"/>
              </a:solidFill>
              <a:ln w="25400" cap="flat">
                <a:solidFill>
                  <a:schemeClr val="tx1"/>
                </a:solidFill>
              </a:ln>
              <a:effectLst/>
            </c:spPr>
          </c:marker>
          <c:xVal>
            <c:strRef>
              <c:f>'Empleo Perdido'!$CF$19:$CF$29</c:f>
              <c:strCache>
                <c:ptCount val="11"/>
                <c:pt idx="0">
                  <c:v>Comercio</c:v>
                </c:pt>
                <c:pt idx="1">
                  <c:v>Construcción</c:v>
                </c:pt>
                <c:pt idx="2">
                  <c:v>Trab. dom.</c:v>
                </c:pt>
                <c:pt idx="3">
                  <c:v>Ind. manuf.</c:v>
                </c:pt>
                <c:pt idx="4">
                  <c:v>Serv. financ.</c:v>
                </c:pt>
                <c:pt idx="5">
                  <c:v>Hot. y rest.</c:v>
                </c:pt>
                <c:pt idx="6">
                  <c:v>Transporte</c:v>
                </c:pt>
                <c:pt idx="7">
                  <c:v>Otros serv.</c:v>
                </c:pt>
                <c:pt idx="8">
                  <c:v>Serv. soc. y de salud</c:v>
                </c:pt>
                <c:pt idx="9">
                  <c:v>Enseñanza</c:v>
                </c:pt>
                <c:pt idx="10">
                  <c:v>Act. prim.</c:v>
                </c:pt>
              </c:strCache>
            </c:strRef>
          </c:xVal>
          <c:yVal>
            <c:numRef>
              <c:f>'Empleo Perdido'!$CH$19:$CH$29</c:f>
              <c:numCache>
                <c:formatCode>0.00%</c:formatCode>
                <c:ptCount val="11"/>
                <c:pt idx="0">
                  <c:v>0.46448131416837785</c:v>
                </c:pt>
                <c:pt idx="1">
                  <c:v>9.565400294474103E-3</c:v>
                </c:pt>
                <c:pt idx="2">
                  <c:v>0.91306749406671706</c:v>
                </c:pt>
                <c:pt idx="3">
                  <c:v>0.48337631124352204</c:v>
                </c:pt>
                <c:pt idx="4">
                  <c:v>0.38805024762471568</c:v>
                </c:pt>
                <c:pt idx="5">
                  <c:v>0.467306756253758</c:v>
                </c:pt>
                <c:pt idx="6">
                  <c:v>0.18388974731157623</c:v>
                </c:pt>
                <c:pt idx="7">
                  <c:v>0.64457381698761007</c:v>
                </c:pt>
                <c:pt idx="8">
                  <c:v>0.61617059084851178</c:v>
                </c:pt>
                <c:pt idx="9">
                  <c:v>0.82137704918032783</c:v>
                </c:pt>
                <c:pt idx="10">
                  <c:v>6.6951009547660034E-2</c:v>
                </c:pt>
              </c:numCache>
            </c:numRef>
          </c:yVal>
          <c:smooth val="0"/>
          <c:extLst>
            <c:ext xmlns:c16="http://schemas.microsoft.com/office/drawing/2014/chart" uri="{C3380CC4-5D6E-409C-BE32-E72D297353CC}">
              <c16:uniqueId val="{00000001-8718-4A45-AB9D-05AE7B536127}"/>
            </c:ext>
          </c:extLst>
        </c:ser>
        <c:dLbls>
          <c:showLegendKey val="0"/>
          <c:showVal val="0"/>
          <c:showCatName val="0"/>
          <c:showSerName val="0"/>
          <c:showPercent val="0"/>
          <c:showBubbleSize val="0"/>
        </c:dLbls>
        <c:axId val="507279984"/>
        <c:axId val="507281624"/>
      </c:scatterChart>
      <c:catAx>
        <c:axId val="50713733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39304"/>
        <c:crosses val="autoZero"/>
        <c:auto val="1"/>
        <c:lblAlgn val="ctr"/>
        <c:lblOffset val="100"/>
        <c:noMultiLvlLbl val="0"/>
      </c:catAx>
      <c:valAx>
        <c:axId val="5071393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37336"/>
        <c:crosses val="autoZero"/>
        <c:crossBetween val="between"/>
      </c:valAx>
      <c:valAx>
        <c:axId val="5072816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279984"/>
        <c:crosses val="max"/>
        <c:crossBetween val="midCat"/>
      </c:valAx>
      <c:valAx>
        <c:axId val="507279984"/>
        <c:scaling>
          <c:orientation val="minMax"/>
        </c:scaling>
        <c:delete val="1"/>
        <c:axPos val="b"/>
        <c:majorTickMark val="out"/>
        <c:minorTickMark val="none"/>
        <c:tickLblPos val="nextTo"/>
        <c:crossAx val="507281624"/>
        <c:crosses val="autoZero"/>
        <c:crossBetween val="midCat"/>
      </c:valAx>
      <c:spPr>
        <a:noFill/>
        <a:ln>
          <a:solidFill>
            <a:schemeClr val="tx1"/>
          </a:solidFill>
        </a:ln>
        <a:effectLst/>
      </c:spPr>
    </c:plotArea>
    <c:legend>
      <c:legendPos val="t"/>
      <c:layout>
        <c:manualLayout>
          <c:xMode val="edge"/>
          <c:yMode val="edge"/>
          <c:x val="0.37682458442694661"/>
          <c:y val="6.0185185185185182E-2"/>
          <c:w val="0.51999496937882761"/>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Perdido'!$Y$13</c:f>
              <c:strCache>
                <c:ptCount val="1"/>
                <c:pt idx="0">
                  <c:v>Hombre s/ niños</c:v>
                </c:pt>
              </c:strCache>
            </c:strRef>
          </c:tx>
          <c:spPr>
            <a:solidFill>
              <a:schemeClr val="tx1"/>
            </a:solidFill>
            <a:ln>
              <a:noFill/>
            </a:ln>
            <a:effectLst/>
          </c:spPr>
          <c:invertIfNegative val="0"/>
          <c:cat>
            <c:strRef>
              <c:f>'Empleo Perdido'!$X$14:$X$16</c:f>
              <c:strCache>
                <c:ptCount val="3"/>
                <c:pt idx="0">
                  <c:v>[18,24]</c:v>
                </c:pt>
                <c:pt idx="1">
                  <c:v>[25,40]</c:v>
                </c:pt>
                <c:pt idx="2">
                  <c:v>[41,64]</c:v>
                </c:pt>
              </c:strCache>
            </c:strRef>
          </c:cat>
          <c:val>
            <c:numRef>
              <c:f>'Empleo Perdido'!$Y$14:$Y$16</c:f>
              <c:numCache>
                <c:formatCode>0.00%</c:formatCode>
                <c:ptCount val="3"/>
                <c:pt idx="0">
                  <c:v>-0.69903019932981547</c:v>
                </c:pt>
                <c:pt idx="1">
                  <c:v>-0.30578907052779081</c:v>
                </c:pt>
                <c:pt idx="2">
                  <c:v>-0.12173341599663012</c:v>
                </c:pt>
              </c:numCache>
            </c:numRef>
          </c:val>
          <c:extLst>
            <c:ext xmlns:c16="http://schemas.microsoft.com/office/drawing/2014/chart" uri="{C3380CC4-5D6E-409C-BE32-E72D297353CC}">
              <c16:uniqueId val="{00000000-807D-457C-906C-E9095FBEAADA}"/>
            </c:ext>
          </c:extLst>
        </c:ser>
        <c:ser>
          <c:idx val="1"/>
          <c:order val="1"/>
          <c:tx>
            <c:strRef>
              <c:f>'Empleo Perdido'!$Z$13</c:f>
              <c:strCache>
                <c:ptCount val="1"/>
                <c:pt idx="0">
                  <c:v>Hombre c/ niños</c:v>
                </c:pt>
              </c:strCache>
            </c:strRef>
          </c:tx>
          <c:spPr>
            <a:solidFill>
              <a:schemeClr val="bg2"/>
            </a:solidFill>
            <a:ln>
              <a:noFill/>
            </a:ln>
            <a:effectLst/>
          </c:spPr>
          <c:invertIfNegative val="0"/>
          <c:cat>
            <c:strRef>
              <c:f>'Empleo Perdido'!$X$14:$X$16</c:f>
              <c:strCache>
                <c:ptCount val="3"/>
                <c:pt idx="0">
                  <c:v>[18,24]</c:v>
                </c:pt>
                <c:pt idx="1">
                  <c:v>[25,40]</c:v>
                </c:pt>
                <c:pt idx="2">
                  <c:v>[41,64]</c:v>
                </c:pt>
              </c:strCache>
            </c:strRef>
          </c:cat>
          <c:val>
            <c:numRef>
              <c:f>'Empleo Perdido'!$Z$14:$Z$16</c:f>
              <c:numCache>
                <c:formatCode>0.00%</c:formatCode>
                <c:ptCount val="3"/>
                <c:pt idx="0">
                  <c:v>-0.56334798207642334</c:v>
                </c:pt>
                <c:pt idx="1">
                  <c:v>-0.16633332227122666</c:v>
                </c:pt>
                <c:pt idx="2">
                  <c:v>-5.5729490730414555E-2</c:v>
                </c:pt>
              </c:numCache>
            </c:numRef>
          </c:val>
          <c:extLst>
            <c:ext xmlns:c16="http://schemas.microsoft.com/office/drawing/2014/chart" uri="{C3380CC4-5D6E-409C-BE32-E72D297353CC}">
              <c16:uniqueId val="{00000001-807D-457C-906C-E9095FBEAADA}"/>
            </c:ext>
          </c:extLst>
        </c:ser>
        <c:ser>
          <c:idx val="2"/>
          <c:order val="2"/>
          <c:tx>
            <c:strRef>
              <c:f>'Empleo Perdido'!$AA$13</c:f>
              <c:strCache>
                <c:ptCount val="1"/>
                <c:pt idx="0">
                  <c:v>Mujer s/ niños</c:v>
                </c:pt>
              </c:strCache>
            </c:strRef>
          </c:tx>
          <c:spPr>
            <a:solidFill>
              <a:schemeClr val="tx2"/>
            </a:solidFill>
            <a:ln>
              <a:noFill/>
            </a:ln>
            <a:effectLst/>
          </c:spPr>
          <c:invertIfNegative val="0"/>
          <c:cat>
            <c:strRef>
              <c:f>'Empleo Perdido'!$X$14:$X$16</c:f>
              <c:strCache>
                <c:ptCount val="3"/>
                <c:pt idx="0">
                  <c:v>[18,24]</c:v>
                </c:pt>
                <c:pt idx="1">
                  <c:v>[25,40]</c:v>
                </c:pt>
                <c:pt idx="2">
                  <c:v>[41,64]</c:v>
                </c:pt>
              </c:strCache>
            </c:strRef>
          </c:cat>
          <c:val>
            <c:numRef>
              <c:f>'Empleo Perdido'!$AA$14:$AA$16</c:f>
              <c:numCache>
                <c:formatCode>0.00%</c:formatCode>
                <c:ptCount val="3"/>
                <c:pt idx="0">
                  <c:v>-0.72347512958454241</c:v>
                </c:pt>
                <c:pt idx="1">
                  <c:v>-0.26285049535606231</c:v>
                </c:pt>
                <c:pt idx="2">
                  <c:v>-5.5910722023096548E-2</c:v>
                </c:pt>
              </c:numCache>
            </c:numRef>
          </c:val>
          <c:extLst>
            <c:ext xmlns:c16="http://schemas.microsoft.com/office/drawing/2014/chart" uri="{C3380CC4-5D6E-409C-BE32-E72D297353CC}">
              <c16:uniqueId val="{00000002-807D-457C-906C-E9095FBEAADA}"/>
            </c:ext>
          </c:extLst>
        </c:ser>
        <c:ser>
          <c:idx val="3"/>
          <c:order val="3"/>
          <c:tx>
            <c:strRef>
              <c:f>'Empleo Perdido'!$AB$13</c:f>
              <c:strCache>
                <c:ptCount val="1"/>
                <c:pt idx="0">
                  <c:v>Mujer c/ niños</c:v>
                </c:pt>
              </c:strCache>
            </c:strRef>
          </c:tx>
          <c:spPr>
            <a:solidFill>
              <a:schemeClr val="accent1"/>
            </a:solidFill>
            <a:ln>
              <a:noFill/>
            </a:ln>
            <a:effectLst/>
          </c:spPr>
          <c:invertIfNegative val="0"/>
          <c:cat>
            <c:strRef>
              <c:f>'Empleo Perdido'!$X$14:$X$16</c:f>
              <c:strCache>
                <c:ptCount val="3"/>
                <c:pt idx="0">
                  <c:v>[18,24]</c:v>
                </c:pt>
                <c:pt idx="1">
                  <c:v>[25,40]</c:v>
                </c:pt>
                <c:pt idx="2">
                  <c:v>[41,64]</c:v>
                </c:pt>
              </c:strCache>
            </c:strRef>
          </c:cat>
          <c:val>
            <c:numRef>
              <c:f>'Empleo Perdido'!$AB$14:$AB$16</c:f>
              <c:numCache>
                <c:formatCode>0.00%</c:formatCode>
                <c:ptCount val="3"/>
                <c:pt idx="0">
                  <c:v>-0.76903847456841368</c:v>
                </c:pt>
                <c:pt idx="1">
                  <c:v>-0.27971954711723634</c:v>
                </c:pt>
                <c:pt idx="2">
                  <c:v>-7.2813992053127663E-2</c:v>
                </c:pt>
              </c:numCache>
            </c:numRef>
          </c:val>
          <c:extLst>
            <c:ext xmlns:c16="http://schemas.microsoft.com/office/drawing/2014/chart" uri="{C3380CC4-5D6E-409C-BE32-E72D297353CC}">
              <c16:uniqueId val="{00000003-807D-457C-906C-E9095FBEAADA}"/>
            </c:ext>
          </c:extLst>
        </c:ser>
        <c:dLbls>
          <c:showLegendKey val="0"/>
          <c:showVal val="0"/>
          <c:showCatName val="0"/>
          <c:showSerName val="0"/>
          <c:showPercent val="0"/>
          <c:showBubbleSize val="0"/>
        </c:dLbls>
        <c:gapWidth val="219"/>
        <c:overlap val="-27"/>
        <c:axId val="578608936"/>
        <c:axId val="578609264"/>
      </c:barChart>
      <c:catAx>
        <c:axId val="578608936"/>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78609264"/>
        <c:crosses val="autoZero"/>
        <c:auto val="1"/>
        <c:lblAlgn val="ctr"/>
        <c:lblOffset val="100"/>
        <c:noMultiLvlLbl val="0"/>
      </c:catAx>
      <c:valAx>
        <c:axId val="5786092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78608936"/>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'Respuesta de Política'!$B$3:$D$3</c:f>
              <c:strCache>
                <c:ptCount val="1"/>
                <c:pt idx="0">
                  <c:v>IFE</c:v>
                </c:pt>
              </c:strCache>
            </c:strRef>
          </c:tx>
          <c:spPr>
            <a:solidFill>
              <a:schemeClr val="tx1"/>
            </a:solidFill>
            <a:ln>
              <a:noFill/>
            </a:ln>
            <a:effectLst/>
          </c:spPr>
          <c:invertIfNegative val="0"/>
          <c:val>
            <c:numRef>
              <c:f>'Respuesta de Política'!$C$5:$C$14</c:f>
              <c:numCache>
                <c:formatCode>0.00%</c:formatCode>
                <c:ptCount val="10"/>
                <c:pt idx="0">
                  <c:v>0.23785044623383247</c:v>
                </c:pt>
                <c:pt idx="1">
                  <c:v>0.17738286182138566</c:v>
                </c:pt>
                <c:pt idx="2">
                  <c:v>0.1610501954340246</c:v>
                </c:pt>
                <c:pt idx="3">
                  <c:v>0.13039097350783221</c:v>
                </c:pt>
                <c:pt idx="4">
                  <c:v>0.10140566773052059</c:v>
                </c:pt>
                <c:pt idx="5">
                  <c:v>7.0820746206125607E-2</c:v>
                </c:pt>
                <c:pt idx="6">
                  <c:v>4.0597260184667659E-2</c:v>
                </c:pt>
                <c:pt idx="7">
                  <c:v>2.9870199594847099E-2</c:v>
                </c:pt>
                <c:pt idx="8">
                  <c:v>2.506080649011613E-2</c:v>
                </c:pt>
                <c:pt idx="9">
                  <c:v>2.5570842796647949E-2</c:v>
                </c:pt>
              </c:numCache>
            </c:numRef>
          </c:val>
          <c:extLst>
            <c:ext xmlns:c16="http://schemas.microsoft.com/office/drawing/2014/chart" uri="{C3380CC4-5D6E-409C-BE32-E72D297353CC}">
              <c16:uniqueId val="{00000001-5664-4B66-B16E-450FADAC8EA7}"/>
            </c:ext>
          </c:extLst>
        </c:ser>
        <c:ser>
          <c:idx val="4"/>
          <c:order val="1"/>
          <c:tx>
            <c:strRef>
              <c:f>'Respuesta de Política'!$E$3:$G$3</c:f>
              <c:strCache>
                <c:ptCount val="1"/>
                <c:pt idx="0">
                  <c:v>AUH</c:v>
                </c:pt>
              </c:strCache>
            </c:strRef>
          </c:tx>
          <c:spPr>
            <a:solidFill>
              <a:schemeClr val="bg2"/>
            </a:solidFill>
            <a:ln>
              <a:noFill/>
            </a:ln>
            <a:effectLst/>
          </c:spPr>
          <c:invertIfNegative val="0"/>
          <c:val>
            <c:numRef>
              <c:f>'Respuesta de Política'!$F$5:$F$14</c:f>
              <c:numCache>
                <c:formatCode>0.00%</c:formatCode>
                <c:ptCount val="10"/>
                <c:pt idx="0">
                  <c:v>0.33506902944272932</c:v>
                </c:pt>
                <c:pt idx="1">
                  <c:v>0.23809881038963682</c:v>
                </c:pt>
                <c:pt idx="2">
                  <c:v>0.16693548182016998</c:v>
                </c:pt>
                <c:pt idx="3">
                  <c:v>0.1056701030927835</c:v>
                </c:pt>
                <c:pt idx="4">
                  <c:v>6.1117567478219295E-2</c:v>
                </c:pt>
                <c:pt idx="5">
                  <c:v>4.6233769371220479E-2</c:v>
                </c:pt>
                <c:pt idx="6">
                  <c:v>2.9614063239056247E-2</c:v>
                </c:pt>
                <c:pt idx="7">
                  <c:v>6.7131737014225479E-3</c:v>
                </c:pt>
                <c:pt idx="8">
                  <c:v>4.3615444082209754E-3</c:v>
                </c:pt>
                <c:pt idx="9">
                  <c:v>6.1864570565408226E-3</c:v>
                </c:pt>
              </c:numCache>
            </c:numRef>
          </c:val>
          <c:extLst>
            <c:ext xmlns:c16="http://schemas.microsoft.com/office/drawing/2014/chart" uri="{C3380CC4-5D6E-409C-BE32-E72D297353CC}">
              <c16:uniqueId val="{00000004-5664-4B66-B16E-450FADAC8EA7}"/>
            </c:ext>
          </c:extLst>
        </c:ser>
        <c:ser>
          <c:idx val="7"/>
          <c:order val="2"/>
          <c:tx>
            <c:strRef>
              <c:f>'Respuesta de Política'!$H$3:$J$3</c:f>
              <c:strCache>
                <c:ptCount val="1"/>
                <c:pt idx="0">
                  <c:v>Jubilados</c:v>
                </c:pt>
              </c:strCache>
            </c:strRef>
          </c:tx>
          <c:spPr>
            <a:solidFill>
              <a:schemeClr val="tx2"/>
            </a:solidFill>
            <a:ln>
              <a:noFill/>
            </a:ln>
            <a:effectLst/>
          </c:spPr>
          <c:invertIfNegative val="0"/>
          <c:val>
            <c:numRef>
              <c:f>'Respuesta de Política'!$I$5:$I$14</c:f>
              <c:numCache>
                <c:formatCode>0.00%</c:formatCode>
                <c:ptCount val="10"/>
                <c:pt idx="0">
                  <c:v>2.3824108210580702E-2</c:v>
                </c:pt>
                <c:pt idx="1">
                  <c:v>6.6891007360531315E-2</c:v>
                </c:pt>
                <c:pt idx="2">
                  <c:v>6.1320735512759253E-2</c:v>
                </c:pt>
                <c:pt idx="3">
                  <c:v>7.3735964673002835E-2</c:v>
                </c:pt>
                <c:pt idx="4">
                  <c:v>0.14789904520729</c:v>
                </c:pt>
                <c:pt idx="5">
                  <c:v>0.1325628469159755</c:v>
                </c:pt>
                <c:pt idx="6">
                  <c:v>0.15414404167821744</c:v>
                </c:pt>
                <c:pt idx="7">
                  <c:v>0.17324729823309495</c:v>
                </c:pt>
                <c:pt idx="8">
                  <c:v>0.10949266852293046</c:v>
                </c:pt>
                <c:pt idx="9">
                  <c:v>5.6882283685617561E-2</c:v>
                </c:pt>
              </c:numCache>
            </c:numRef>
          </c:val>
          <c:extLst>
            <c:ext xmlns:c16="http://schemas.microsoft.com/office/drawing/2014/chart" uri="{C3380CC4-5D6E-409C-BE32-E72D297353CC}">
              <c16:uniqueId val="{00000007-5664-4B66-B16E-450FADAC8EA7}"/>
            </c:ext>
          </c:extLst>
        </c:ser>
        <c:dLbls>
          <c:showLegendKey val="0"/>
          <c:showVal val="0"/>
          <c:showCatName val="0"/>
          <c:showSerName val="0"/>
          <c:showPercent val="0"/>
          <c:showBubbleSize val="0"/>
        </c:dLbls>
        <c:gapWidth val="219"/>
        <c:overlap val="-27"/>
        <c:axId val="507151768"/>
        <c:axId val="507147504"/>
      </c:barChart>
      <c:catAx>
        <c:axId val="507151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s-AR"/>
                  <a:t>Decil</a:t>
                </a:r>
                <a:r>
                  <a:rPr lang="es-AR" baseline="0"/>
                  <a:t> Ingreso</a:t>
                </a:r>
                <a:endParaRPr lang="es-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47504"/>
        <c:crosses val="autoZero"/>
        <c:auto val="1"/>
        <c:lblAlgn val="ctr"/>
        <c:lblOffset val="100"/>
        <c:noMultiLvlLbl val="0"/>
      </c:catAx>
      <c:valAx>
        <c:axId val="5071475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51768"/>
        <c:crosses val="autoZero"/>
        <c:crossBetween val="between"/>
      </c:valAx>
      <c:spPr>
        <a:noFill/>
        <a:ln w="12700">
          <a:solidFill>
            <a:schemeClr val="tx1"/>
          </a:solidFill>
        </a:ln>
        <a:effectLst/>
      </c:spPr>
    </c:plotArea>
    <c:legend>
      <c:legendPos val="t"/>
      <c:layout>
        <c:manualLayout>
          <c:xMode val="edge"/>
          <c:yMode val="edge"/>
          <c:x val="0.66005555555555551"/>
          <c:y val="6.0185185185185182E-2"/>
          <c:w val="0.30271609798775151"/>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cat>
            <c:multiLvlStrRef>
              <c:f>'Género - Grupos de Edad'!$A$18:$B$37</c:f>
              <c:multiLvlStrCache>
                <c:ptCount val="20"/>
                <c:lvl>
                  <c:pt idx="0">
                    <c:v>Mujer</c:v>
                  </c:pt>
                  <c:pt idx="1">
                    <c:v>Hombre</c:v>
                  </c:pt>
                  <c:pt idx="3">
                    <c:v>60 y más</c:v>
                  </c:pt>
                  <c:pt idx="4">
                    <c:v>hasta 24 años</c:v>
                  </c:pt>
                  <c:pt idx="5">
                    <c:v>50 a 59 años</c:v>
                  </c:pt>
                  <c:pt idx="6">
                    <c:v>25 a 34 años</c:v>
                  </c:pt>
                  <c:pt idx="7">
                    <c:v>35 a 49 años</c:v>
                  </c:pt>
                  <c:pt idx="9">
                    <c:v>Act. prim.</c:v>
                  </c:pt>
                  <c:pt idx="10">
                    <c:v>Hot. y rest.</c:v>
                  </c:pt>
                  <c:pt idx="11">
                    <c:v>Otros serv. com., soc. y pers.</c:v>
                  </c:pt>
                  <c:pt idx="12">
                    <c:v>Transp., alm. y com.</c:v>
                  </c:pt>
                  <c:pt idx="13">
                    <c:v>Enseñanza</c:v>
                  </c:pt>
                  <c:pt idx="14">
                    <c:v>Trab. dom.</c:v>
                  </c:pt>
                  <c:pt idx="15">
                    <c:v>Construcción</c:v>
                  </c:pt>
                  <c:pt idx="16">
                    <c:v>Serv. fin., inmob., alq. y empr.</c:v>
                  </c:pt>
                  <c:pt idx="17">
                    <c:v>Ind. manuf.</c:v>
                  </c:pt>
                  <c:pt idx="18">
                    <c:v>Serv. soc. y de salud</c:v>
                  </c:pt>
                  <c:pt idx="19">
                    <c:v>Comercio</c:v>
                  </c:pt>
                </c:lvl>
                <c:lvl>
                  <c:pt idx="0">
                    <c:v>Género</c:v>
                  </c:pt>
                  <c:pt idx="3">
                    <c:v>Edad</c:v>
                  </c:pt>
                  <c:pt idx="9">
                    <c:v>Sector económico</c:v>
                  </c:pt>
                </c:lvl>
              </c:multiLvlStrCache>
            </c:multiLvlStrRef>
          </c:cat>
          <c:val>
            <c:numRef>
              <c:f>'Género - Grupos de Edad'!$C$18:$C$37</c:f>
              <c:numCache>
                <c:formatCode>0.00%</c:formatCode>
                <c:ptCount val="20"/>
                <c:pt idx="0">
                  <c:v>0.44077494369760012</c:v>
                </c:pt>
                <c:pt idx="1">
                  <c:v>0.55922505630239983</c:v>
                </c:pt>
                <c:pt idx="3">
                  <c:v>0.10574058064277586</c:v>
                </c:pt>
                <c:pt idx="4">
                  <c:v>0.10763922095176294</c:v>
                </c:pt>
                <c:pt idx="5">
                  <c:v>0.17159550677560592</c:v>
                </c:pt>
                <c:pt idx="6">
                  <c:v>0.25065699634953559</c:v>
                </c:pt>
                <c:pt idx="7">
                  <c:v>0.3643676952803197</c:v>
                </c:pt>
                <c:pt idx="9">
                  <c:v>1.0106223653364164E-2</c:v>
                </c:pt>
                <c:pt idx="10">
                  <c:v>3.8419818777104812E-2</c:v>
                </c:pt>
                <c:pt idx="11">
                  <c:v>4.350604110937227E-2</c:v>
                </c:pt>
                <c:pt idx="12">
                  <c:v>7.6011501019280114E-2</c:v>
                </c:pt>
                <c:pt idx="13">
                  <c:v>8.1002753946568695E-2</c:v>
                </c:pt>
                <c:pt idx="14">
                  <c:v>8.1460484875727587E-2</c:v>
                </c:pt>
                <c:pt idx="15">
                  <c:v>8.8594407107998818E-2</c:v>
                </c:pt>
                <c:pt idx="16">
                  <c:v>0.10906417746566291</c:v>
                </c:pt>
                <c:pt idx="17">
                  <c:v>0.11022042789408461</c:v>
                </c:pt>
                <c:pt idx="18">
                  <c:v>0.17924847876544758</c:v>
                </c:pt>
                <c:pt idx="19">
                  <c:v>0.18236568538538842</c:v>
                </c:pt>
              </c:numCache>
            </c:numRef>
          </c:val>
          <c:extLst>
            <c:ext xmlns:c16="http://schemas.microsoft.com/office/drawing/2014/chart" uri="{C3380CC4-5D6E-409C-BE32-E72D297353CC}">
              <c16:uniqueId val="{00000000-60AA-4733-AD55-165460D62D56}"/>
            </c:ext>
          </c:extLst>
        </c:ser>
        <c:dLbls>
          <c:showLegendKey val="0"/>
          <c:showVal val="0"/>
          <c:showCatName val="0"/>
          <c:showSerName val="0"/>
          <c:showPercent val="0"/>
          <c:showBubbleSize val="0"/>
        </c:dLbls>
        <c:gapWidth val="182"/>
        <c:axId val="633646040"/>
        <c:axId val="633646696"/>
      </c:barChart>
      <c:catAx>
        <c:axId val="63364604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633646696"/>
        <c:crosses val="autoZero"/>
        <c:auto val="1"/>
        <c:lblAlgn val="ctr"/>
        <c:lblOffset val="100"/>
        <c:noMultiLvlLbl val="0"/>
      </c:catAx>
      <c:valAx>
        <c:axId val="63364669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633646040"/>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Informalidad!$W$17</c:f>
              <c:strCache>
                <c:ptCount val="1"/>
                <c:pt idx="0">
                  <c:v>Hombre</c:v>
                </c:pt>
              </c:strCache>
            </c:strRef>
          </c:tx>
          <c:spPr>
            <a:solidFill>
              <a:schemeClr val="tx1"/>
            </a:solidFill>
            <a:ln>
              <a:noFill/>
            </a:ln>
            <a:effectLst/>
          </c:spPr>
          <c:invertIfNegative val="0"/>
          <c:cat>
            <c:strRef>
              <c:f>Informalidad!$R$18:$R$28</c:f>
              <c:strCache>
                <c:ptCount val="11"/>
                <c:pt idx="0">
                  <c:v>Trab. dom.</c:v>
                </c:pt>
                <c:pt idx="1">
                  <c:v>Construcción</c:v>
                </c:pt>
                <c:pt idx="2">
                  <c:v>Comercio</c:v>
                </c:pt>
                <c:pt idx="3">
                  <c:v>Otros serv.</c:v>
                </c:pt>
                <c:pt idx="4">
                  <c:v>Hot. y rest.</c:v>
                </c:pt>
                <c:pt idx="5">
                  <c:v>Ind. manuf.</c:v>
                </c:pt>
                <c:pt idx="6">
                  <c:v>Transporte</c:v>
                </c:pt>
                <c:pt idx="7">
                  <c:v>Serv. financ.</c:v>
                </c:pt>
                <c:pt idx="8">
                  <c:v>Act. prim.</c:v>
                </c:pt>
                <c:pt idx="9">
                  <c:v>Serv. soc. y de salud</c:v>
                </c:pt>
                <c:pt idx="10">
                  <c:v>Enseñanza</c:v>
                </c:pt>
              </c:strCache>
            </c:strRef>
          </c:cat>
          <c:val>
            <c:numRef>
              <c:f>Informalidad!$W$18:$W$28</c:f>
              <c:numCache>
                <c:formatCode>0.00%</c:formatCode>
                <c:ptCount val="11"/>
                <c:pt idx="0">
                  <c:v>4.4851460217534521E-2</c:v>
                </c:pt>
                <c:pt idx="1">
                  <c:v>0.64877603116892246</c:v>
                </c:pt>
                <c:pt idx="2">
                  <c:v>0.28993637267364492</c:v>
                </c:pt>
                <c:pt idx="3">
                  <c:v>0.17509048724311452</c:v>
                </c:pt>
                <c:pt idx="4">
                  <c:v>0.26161983393180022</c:v>
                </c:pt>
                <c:pt idx="5">
                  <c:v>0.23159041855840637</c:v>
                </c:pt>
                <c:pt idx="6">
                  <c:v>0.25921338902033658</c:v>
                </c:pt>
                <c:pt idx="7">
                  <c:v>0.16774094544490337</c:v>
                </c:pt>
                <c:pt idx="8">
                  <c:v>0.16417418783613003</c:v>
                </c:pt>
                <c:pt idx="9">
                  <c:v>8.4729450056783603E-2</c:v>
                </c:pt>
                <c:pt idx="10">
                  <c:v>2.6052800943226821E-2</c:v>
                </c:pt>
              </c:numCache>
            </c:numRef>
          </c:val>
          <c:extLst>
            <c:ext xmlns:c16="http://schemas.microsoft.com/office/drawing/2014/chart" uri="{C3380CC4-5D6E-409C-BE32-E72D297353CC}">
              <c16:uniqueId val="{00000000-AAD3-43FA-8A7D-F7F08FAB2C8D}"/>
            </c:ext>
          </c:extLst>
        </c:ser>
        <c:ser>
          <c:idx val="1"/>
          <c:order val="1"/>
          <c:tx>
            <c:strRef>
              <c:f>Informalidad!$X$17</c:f>
              <c:strCache>
                <c:ptCount val="1"/>
                <c:pt idx="0">
                  <c:v>Mujer</c:v>
                </c:pt>
              </c:strCache>
            </c:strRef>
          </c:tx>
          <c:spPr>
            <a:solidFill>
              <a:schemeClr val="bg2"/>
            </a:solidFill>
            <a:ln>
              <a:noFill/>
            </a:ln>
            <a:effectLst/>
          </c:spPr>
          <c:invertIfNegative val="0"/>
          <c:cat>
            <c:strRef>
              <c:f>Informalidad!$R$18:$R$28</c:f>
              <c:strCache>
                <c:ptCount val="11"/>
                <c:pt idx="0">
                  <c:v>Trab. dom.</c:v>
                </c:pt>
                <c:pt idx="1">
                  <c:v>Construcción</c:v>
                </c:pt>
                <c:pt idx="2">
                  <c:v>Comercio</c:v>
                </c:pt>
                <c:pt idx="3">
                  <c:v>Otros serv.</c:v>
                </c:pt>
                <c:pt idx="4">
                  <c:v>Hot. y rest.</c:v>
                </c:pt>
                <c:pt idx="5">
                  <c:v>Ind. manuf.</c:v>
                </c:pt>
                <c:pt idx="6">
                  <c:v>Transporte</c:v>
                </c:pt>
                <c:pt idx="7">
                  <c:v>Serv. financ.</c:v>
                </c:pt>
                <c:pt idx="8">
                  <c:v>Act. prim.</c:v>
                </c:pt>
                <c:pt idx="9">
                  <c:v>Serv. soc. y de salud</c:v>
                </c:pt>
                <c:pt idx="10">
                  <c:v>Enseñanza</c:v>
                </c:pt>
              </c:strCache>
            </c:strRef>
          </c:cat>
          <c:val>
            <c:numRef>
              <c:f>Informalidad!$X$18:$X$28</c:f>
              <c:numCache>
                <c:formatCode>0.00%</c:formatCode>
                <c:ptCount val="11"/>
                <c:pt idx="0">
                  <c:v>0.71689203978246552</c:v>
                </c:pt>
                <c:pt idx="1">
                  <c:v>5.2800688310775841E-3</c:v>
                </c:pt>
                <c:pt idx="2">
                  <c:v>0.23186052732635504</c:v>
                </c:pt>
                <c:pt idx="3">
                  <c:v>0.32208781275688547</c:v>
                </c:pt>
                <c:pt idx="4">
                  <c:v>0.19767086606819981</c:v>
                </c:pt>
                <c:pt idx="5">
                  <c:v>0.17809388144159363</c:v>
                </c:pt>
                <c:pt idx="6">
                  <c:v>3.3133910979663408E-2</c:v>
                </c:pt>
                <c:pt idx="7">
                  <c:v>9.730335455509663E-2</c:v>
                </c:pt>
                <c:pt idx="8">
                  <c:v>7.0022112163869971E-2</c:v>
                </c:pt>
                <c:pt idx="9">
                  <c:v>0.10873774994321639</c:v>
                </c:pt>
                <c:pt idx="10">
                  <c:v>8.2477799056773188E-2</c:v>
                </c:pt>
              </c:numCache>
            </c:numRef>
          </c:val>
          <c:extLst>
            <c:ext xmlns:c16="http://schemas.microsoft.com/office/drawing/2014/chart" uri="{C3380CC4-5D6E-409C-BE32-E72D297353CC}">
              <c16:uniqueId val="{00000001-AAD3-43FA-8A7D-F7F08FAB2C8D}"/>
            </c:ext>
          </c:extLst>
        </c:ser>
        <c:dLbls>
          <c:showLegendKey val="0"/>
          <c:showVal val="0"/>
          <c:showCatName val="0"/>
          <c:showSerName val="0"/>
          <c:showPercent val="0"/>
          <c:showBubbleSize val="0"/>
        </c:dLbls>
        <c:gapWidth val="150"/>
        <c:overlap val="100"/>
        <c:axId val="420255856"/>
        <c:axId val="420256184"/>
      </c:barChart>
      <c:catAx>
        <c:axId val="42025585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20256184"/>
        <c:crosses val="autoZero"/>
        <c:auto val="1"/>
        <c:lblAlgn val="ctr"/>
        <c:lblOffset val="100"/>
        <c:noMultiLvlLbl val="0"/>
      </c:catAx>
      <c:valAx>
        <c:axId val="42025618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20255856"/>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'Respuesta de Política'!$B$3:$D$3</c:f>
              <c:strCache>
                <c:ptCount val="1"/>
                <c:pt idx="0">
                  <c:v>IFE</c:v>
                </c:pt>
              </c:strCache>
            </c:strRef>
          </c:tx>
          <c:spPr>
            <a:solidFill>
              <a:schemeClr val="tx1"/>
            </a:solidFill>
            <a:ln>
              <a:noFill/>
            </a:ln>
            <a:effectLst/>
          </c:spPr>
          <c:invertIfNegative val="0"/>
          <c:val>
            <c:numRef>
              <c:f>'Respuesta de Política'!$C$5:$C$14</c:f>
              <c:numCache>
                <c:formatCode>0.00%</c:formatCode>
                <c:ptCount val="10"/>
                <c:pt idx="0">
                  <c:v>0.23785044623383247</c:v>
                </c:pt>
                <c:pt idx="1">
                  <c:v>0.17738286182138566</c:v>
                </c:pt>
                <c:pt idx="2">
                  <c:v>0.1610501954340246</c:v>
                </c:pt>
                <c:pt idx="3">
                  <c:v>0.13039097350783221</c:v>
                </c:pt>
                <c:pt idx="4">
                  <c:v>0.10140566773052059</c:v>
                </c:pt>
                <c:pt idx="5">
                  <c:v>7.0820746206125607E-2</c:v>
                </c:pt>
                <c:pt idx="6">
                  <c:v>4.0597260184667659E-2</c:v>
                </c:pt>
                <c:pt idx="7">
                  <c:v>2.9870199594847099E-2</c:v>
                </c:pt>
                <c:pt idx="8">
                  <c:v>2.506080649011613E-2</c:v>
                </c:pt>
                <c:pt idx="9">
                  <c:v>2.5570842796647949E-2</c:v>
                </c:pt>
              </c:numCache>
            </c:numRef>
          </c:val>
          <c:extLst>
            <c:ext xmlns:c16="http://schemas.microsoft.com/office/drawing/2014/chart" uri="{C3380CC4-5D6E-409C-BE32-E72D297353CC}">
              <c16:uniqueId val="{00000000-318C-4ED4-A049-F6DC03E6A81A}"/>
            </c:ext>
          </c:extLst>
        </c:ser>
        <c:ser>
          <c:idx val="4"/>
          <c:order val="1"/>
          <c:tx>
            <c:strRef>
              <c:f>'Respuesta de Política'!$E$3:$G$3</c:f>
              <c:strCache>
                <c:ptCount val="1"/>
                <c:pt idx="0">
                  <c:v>AUH</c:v>
                </c:pt>
              </c:strCache>
            </c:strRef>
          </c:tx>
          <c:spPr>
            <a:solidFill>
              <a:schemeClr val="bg2"/>
            </a:solidFill>
            <a:ln>
              <a:noFill/>
            </a:ln>
            <a:effectLst/>
          </c:spPr>
          <c:invertIfNegative val="0"/>
          <c:val>
            <c:numRef>
              <c:f>'Respuesta de Política'!$F$5:$F$14</c:f>
              <c:numCache>
                <c:formatCode>0.00%</c:formatCode>
                <c:ptCount val="10"/>
                <c:pt idx="0">
                  <c:v>0.33506902944272932</c:v>
                </c:pt>
                <c:pt idx="1">
                  <c:v>0.23809881038963682</c:v>
                </c:pt>
                <c:pt idx="2">
                  <c:v>0.16693548182016998</c:v>
                </c:pt>
                <c:pt idx="3">
                  <c:v>0.1056701030927835</c:v>
                </c:pt>
                <c:pt idx="4">
                  <c:v>6.1117567478219295E-2</c:v>
                </c:pt>
                <c:pt idx="5">
                  <c:v>4.6233769371220479E-2</c:v>
                </c:pt>
                <c:pt idx="6">
                  <c:v>2.9614063239056247E-2</c:v>
                </c:pt>
                <c:pt idx="7">
                  <c:v>6.7131737014225479E-3</c:v>
                </c:pt>
                <c:pt idx="8">
                  <c:v>4.3615444082209754E-3</c:v>
                </c:pt>
                <c:pt idx="9">
                  <c:v>6.1864570565408226E-3</c:v>
                </c:pt>
              </c:numCache>
            </c:numRef>
          </c:val>
          <c:extLst>
            <c:ext xmlns:c16="http://schemas.microsoft.com/office/drawing/2014/chart" uri="{C3380CC4-5D6E-409C-BE32-E72D297353CC}">
              <c16:uniqueId val="{00000001-318C-4ED4-A049-F6DC03E6A81A}"/>
            </c:ext>
          </c:extLst>
        </c:ser>
        <c:ser>
          <c:idx val="7"/>
          <c:order val="2"/>
          <c:tx>
            <c:strRef>
              <c:f>'Respuesta de Política'!$H$3:$J$3</c:f>
              <c:strCache>
                <c:ptCount val="1"/>
                <c:pt idx="0">
                  <c:v>Jubilados</c:v>
                </c:pt>
              </c:strCache>
            </c:strRef>
          </c:tx>
          <c:spPr>
            <a:solidFill>
              <a:schemeClr val="tx2"/>
            </a:solidFill>
            <a:ln>
              <a:noFill/>
            </a:ln>
            <a:effectLst/>
          </c:spPr>
          <c:invertIfNegative val="0"/>
          <c:val>
            <c:numRef>
              <c:f>'Respuesta de Política'!$I$5:$I$14</c:f>
              <c:numCache>
                <c:formatCode>0.00%</c:formatCode>
                <c:ptCount val="10"/>
                <c:pt idx="0">
                  <c:v>2.3824108210580702E-2</c:v>
                </c:pt>
                <c:pt idx="1">
                  <c:v>6.6891007360531315E-2</c:v>
                </c:pt>
                <c:pt idx="2">
                  <c:v>6.1320735512759253E-2</c:v>
                </c:pt>
                <c:pt idx="3">
                  <c:v>7.3735964673002835E-2</c:v>
                </c:pt>
                <c:pt idx="4">
                  <c:v>0.14789904520729</c:v>
                </c:pt>
                <c:pt idx="5">
                  <c:v>0.1325628469159755</c:v>
                </c:pt>
                <c:pt idx="6">
                  <c:v>0.15414404167821744</c:v>
                </c:pt>
                <c:pt idx="7">
                  <c:v>0.17324729823309495</c:v>
                </c:pt>
                <c:pt idx="8">
                  <c:v>0.10949266852293046</c:v>
                </c:pt>
                <c:pt idx="9">
                  <c:v>5.6882283685617561E-2</c:v>
                </c:pt>
              </c:numCache>
            </c:numRef>
          </c:val>
          <c:extLst>
            <c:ext xmlns:c16="http://schemas.microsoft.com/office/drawing/2014/chart" uri="{C3380CC4-5D6E-409C-BE32-E72D297353CC}">
              <c16:uniqueId val="{00000002-318C-4ED4-A049-F6DC03E6A81A}"/>
            </c:ext>
          </c:extLst>
        </c:ser>
        <c:dLbls>
          <c:showLegendKey val="0"/>
          <c:showVal val="0"/>
          <c:showCatName val="0"/>
          <c:showSerName val="0"/>
          <c:showPercent val="0"/>
          <c:showBubbleSize val="0"/>
        </c:dLbls>
        <c:gapWidth val="219"/>
        <c:overlap val="-27"/>
        <c:axId val="507151768"/>
        <c:axId val="507147504"/>
      </c:barChart>
      <c:catAx>
        <c:axId val="507151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s-AR"/>
                  <a:t>Decil</a:t>
                </a:r>
                <a:r>
                  <a:rPr lang="es-AR" baseline="0"/>
                  <a:t> Ingreso</a:t>
                </a:r>
                <a:endParaRPr lang="es-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47504"/>
        <c:crosses val="autoZero"/>
        <c:auto val="1"/>
        <c:lblAlgn val="ctr"/>
        <c:lblOffset val="100"/>
        <c:noMultiLvlLbl val="0"/>
      </c:catAx>
      <c:valAx>
        <c:axId val="5071475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51768"/>
        <c:crosses val="autoZero"/>
        <c:crossBetween val="between"/>
      </c:valAx>
      <c:spPr>
        <a:noFill/>
        <a:ln w="12700">
          <a:solidFill>
            <a:schemeClr val="tx1"/>
          </a:solidFill>
        </a:ln>
        <a:effectLst/>
      </c:spPr>
    </c:plotArea>
    <c:legend>
      <c:legendPos val="t"/>
      <c:layout>
        <c:manualLayout>
          <c:xMode val="edge"/>
          <c:yMode val="edge"/>
          <c:x val="0.66005555555555551"/>
          <c:y val="6.0185185185185182E-2"/>
          <c:w val="0.30271609798775151"/>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Perdido'!$CG$18</c:f>
              <c:strCache>
                <c:ptCount val="1"/>
                <c:pt idx="0">
                  <c:v>Trabajadores (Izq.)</c:v>
                </c:pt>
              </c:strCache>
            </c:strRef>
          </c:tx>
          <c:spPr>
            <a:solidFill>
              <a:schemeClr val="bg2"/>
            </a:solidFill>
            <a:ln>
              <a:noFill/>
            </a:ln>
            <a:effectLst/>
          </c:spPr>
          <c:invertIfNegative val="0"/>
          <c:cat>
            <c:strRef>
              <c:f>'Empleo Perdido'!$CF$19:$CF$29</c:f>
              <c:strCache>
                <c:ptCount val="11"/>
                <c:pt idx="0">
                  <c:v>Comercio</c:v>
                </c:pt>
                <c:pt idx="1">
                  <c:v>Construcción</c:v>
                </c:pt>
                <c:pt idx="2">
                  <c:v>Trab. dom.</c:v>
                </c:pt>
                <c:pt idx="3">
                  <c:v>Ind. manuf.</c:v>
                </c:pt>
                <c:pt idx="4">
                  <c:v>Serv. financ.</c:v>
                </c:pt>
                <c:pt idx="5">
                  <c:v>Hot. y rest.</c:v>
                </c:pt>
                <c:pt idx="6">
                  <c:v>Transporte</c:v>
                </c:pt>
                <c:pt idx="7">
                  <c:v>Otros serv.</c:v>
                </c:pt>
                <c:pt idx="8">
                  <c:v>Serv. soc. y de salud</c:v>
                </c:pt>
                <c:pt idx="9">
                  <c:v>Enseñanza</c:v>
                </c:pt>
                <c:pt idx="10">
                  <c:v>Act. prim.</c:v>
                </c:pt>
              </c:strCache>
            </c:strRef>
          </c:cat>
          <c:val>
            <c:numRef>
              <c:f>'Empleo Perdido'!$CG$19:$CG$29</c:f>
              <c:numCache>
                <c:formatCode>#,##0</c:formatCode>
                <c:ptCount val="11"/>
                <c:pt idx="0">
                  <c:v>608750</c:v>
                </c:pt>
                <c:pt idx="1">
                  <c:v>399356</c:v>
                </c:pt>
                <c:pt idx="2">
                  <c:v>378374</c:v>
                </c:pt>
                <c:pt idx="3">
                  <c:v>239658</c:v>
                </c:pt>
                <c:pt idx="4">
                  <c:v>235235</c:v>
                </c:pt>
                <c:pt idx="5">
                  <c:v>209554</c:v>
                </c:pt>
                <c:pt idx="6">
                  <c:v>192213</c:v>
                </c:pt>
                <c:pt idx="7">
                  <c:v>127281</c:v>
                </c:pt>
                <c:pt idx="8">
                  <c:v>74283</c:v>
                </c:pt>
                <c:pt idx="9">
                  <c:v>38125</c:v>
                </c:pt>
                <c:pt idx="10">
                  <c:v>25556</c:v>
                </c:pt>
              </c:numCache>
            </c:numRef>
          </c:val>
          <c:extLst>
            <c:ext xmlns:c16="http://schemas.microsoft.com/office/drawing/2014/chart" uri="{C3380CC4-5D6E-409C-BE32-E72D297353CC}">
              <c16:uniqueId val="{00000000-AFC8-4D12-B17A-A9CB044F29EC}"/>
            </c:ext>
          </c:extLst>
        </c:ser>
        <c:dLbls>
          <c:showLegendKey val="0"/>
          <c:showVal val="0"/>
          <c:showCatName val="0"/>
          <c:showSerName val="0"/>
          <c:showPercent val="0"/>
          <c:showBubbleSize val="0"/>
        </c:dLbls>
        <c:gapWidth val="219"/>
        <c:overlap val="-27"/>
        <c:axId val="507137336"/>
        <c:axId val="507139304"/>
      </c:barChart>
      <c:scatterChart>
        <c:scatterStyle val="lineMarker"/>
        <c:varyColors val="0"/>
        <c:ser>
          <c:idx val="1"/>
          <c:order val="1"/>
          <c:tx>
            <c:strRef>
              <c:f>'Empleo Perdido'!$CH$18</c:f>
              <c:strCache>
                <c:ptCount val="1"/>
                <c:pt idx="0">
                  <c:v>Share Mujer (Der.)</c:v>
                </c:pt>
              </c:strCache>
            </c:strRef>
          </c:tx>
          <c:spPr>
            <a:ln w="25400" cap="rnd">
              <a:noFill/>
              <a:round/>
            </a:ln>
            <a:effectLst/>
          </c:spPr>
          <c:marker>
            <c:symbol val="square"/>
            <c:size val="5"/>
            <c:spPr>
              <a:solidFill>
                <a:schemeClr val="tx1"/>
              </a:solidFill>
              <a:ln w="25400" cap="flat">
                <a:solidFill>
                  <a:schemeClr val="tx1"/>
                </a:solidFill>
              </a:ln>
              <a:effectLst/>
            </c:spPr>
          </c:marker>
          <c:xVal>
            <c:strRef>
              <c:f>'Empleo Perdido'!$CF$19:$CF$29</c:f>
              <c:strCache>
                <c:ptCount val="11"/>
                <c:pt idx="0">
                  <c:v>Comercio</c:v>
                </c:pt>
                <c:pt idx="1">
                  <c:v>Construcción</c:v>
                </c:pt>
                <c:pt idx="2">
                  <c:v>Trab. dom.</c:v>
                </c:pt>
                <c:pt idx="3">
                  <c:v>Ind. manuf.</c:v>
                </c:pt>
                <c:pt idx="4">
                  <c:v>Serv. financ.</c:v>
                </c:pt>
                <c:pt idx="5">
                  <c:v>Hot. y rest.</c:v>
                </c:pt>
                <c:pt idx="6">
                  <c:v>Transporte</c:v>
                </c:pt>
                <c:pt idx="7">
                  <c:v>Otros serv.</c:v>
                </c:pt>
                <c:pt idx="8">
                  <c:v>Serv. soc. y de salud</c:v>
                </c:pt>
                <c:pt idx="9">
                  <c:v>Enseñanza</c:v>
                </c:pt>
                <c:pt idx="10">
                  <c:v>Act. prim.</c:v>
                </c:pt>
              </c:strCache>
            </c:strRef>
          </c:xVal>
          <c:yVal>
            <c:numRef>
              <c:f>'Empleo Perdido'!$CH$19:$CH$29</c:f>
              <c:numCache>
                <c:formatCode>0.00%</c:formatCode>
                <c:ptCount val="11"/>
                <c:pt idx="0">
                  <c:v>0.46448131416837785</c:v>
                </c:pt>
                <c:pt idx="1">
                  <c:v>9.565400294474103E-3</c:v>
                </c:pt>
                <c:pt idx="2">
                  <c:v>0.91306749406671706</c:v>
                </c:pt>
                <c:pt idx="3">
                  <c:v>0.48337631124352204</c:v>
                </c:pt>
                <c:pt idx="4">
                  <c:v>0.38805024762471568</c:v>
                </c:pt>
                <c:pt idx="5">
                  <c:v>0.467306756253758</c:v>
                </c:pt>
                <c:pt idx="6">
                  <c:v>0.18388974731157623</c:v>
                </c:pt>
                <c:pt idx="7">
                  <c:v>0.64457381698761007</c:v>
                </c:pt>
                <c:pt idx="8">
                  <c:v>0.61617059084851178</c:v>
                </c:pt>
                <c:pt idx="9">
                  <c:v>0.82137704918032783</c:v>
                </c:pt>
                <c:pt idx="10">
                  <c:v>6.6951009547660034E-2</c:v>
                </c:pt>
              </c:numCache>
            </c:numRef>
          </c:yVal>
          <c:smooth val="0"/>
          <c:extLst>
            <c:ext xmlns:c16="http://schemas.microsoft.com/office/drawing/2014/chart" uri="{C3380CC4-5D6E-409C-BE32-E72D297353CC}">
              <c16:uniqueId val="{00000001-AFC8-4D12-B17A-A9CB044F29EC}"/>
            </c:ext>
          </c:extLst>
        </c:ser>
        <c:dLbls>
          <c:showLegendKey val="0"/>
          <c:showVal val="0"/>
          <c:showCatName val="0"/>
          <c:showSerName val="0"/>
          <c:showPercent val="0"/>
          <c:showBubbleSize val="0"/>
        </c:dLbls>
        <c:axId val="507279984"/>
        <c:axId val="507281624"/>
      </c:scatterChart>
      <c:catAx>
        <c:axId val="50713733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39304"/>
        <c:crosses val="autoZero"/>
        <c:auto val="1"/>
        <c:lblAlgn val="ctr"/>
        <c:lblOffset val="100"/>
        <c:noMultiLvlLbl val="0"/>
      </c:catAx>
      <c:valAx>
        <c:axId val="5071393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137336"/>
        <c:crosses val="autoZero"/>
        <c:crossBetween val="between"/>
      </c:valAx>
      <c:valAx>
        <c:axId val="5072816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07279984"/>
        <c:crosses val="max"/>
        <c:crossBetween val="midCat"/>
      </c:valAx>
      <c:valAx>
        <c:axId val="507279984"/>
        <c:scaling>
          <c:orientation val="minMax"/>
        </c:scaling>
        <c:delete val="1"/>
        <c:axPos val="b"/>
        <c:majorTickMark val="out"/>
        <c:minorTickMark val="none"/>
        <c:tickLblPos val="nextTo"/>
        <c:crossAx val="507281624"/>
        <c:crosses val="autoZero"/>
        <c:crossBetween val="midCat"/>
      </c:valAx>
      <c:spPr>
        <a:noFill/>
        <a:ln>
          <a:solidFill>
            <a:schemeClr val="tx1"/>
          </a:solidFill>
        </a:ln>
        <a:effectLst/>
      </c:spPr>
    </c:plotArea>
    <c:legend>
      <c:legendPos val="t"/>
      <c:layout>
        <c:manualLayout>
          <c:xMode val="edge"/>
          <c:yMode val="edge"/>
          <c:x val="0.37682458442694661"/>
          <c:y val="6.0185185185185182E-2"/>
          <c:w val="0.51999496937882761"/>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Perdido'!$Y$13</c:f>
              <c:strCache>
                <c:ptCount val="1"/>
                <c:pt idx="0">
                  <c:v>Hombre s/ niños</c:v>
                </c:pt>
              </c:strCache>
            </c:strRef>
          </c:tx>
          <c:spPr>
            <a:solidFill>
              <a:schemeClr val="tx1"/>
            </a:solidFill>
            <a:ln>
              <a:noFill/>
            </a:ln>
            <a:effectLst/>
          </c:spPr>
          <c:invertIfNegative val="0"/>
          <c:cat>
            <c:strRef>
              <c:f>'Empleo Perdido'!$X$14:$X$16</c:f>
              <c:strCache>
                <c:ptCount val="3"/>
                <c:pt idx="0">
                  <c:v>[18,24]</c:v>
                </c:pt>
                <c:pt idx="1">
                  <c:v>[25,40]</c:v>
                </c:pt>
                <c:pt idx="2">
                  <c:v>[41,64]</c:v>
                </c:pt>
              </c:strCache>
            </c:strRef>
          </c:cat>
          <c:val>
            <c:numRef>
              <c:f>'Empleo Perdido'!$Y$14:$Y$16</c:f>
              <c:numCache>
                <c:formatCode>0.00%</c:formatCode>
                <c:ptCount val="3"/>
                <c:pt idx="0">
                  <c:v>-0.69903019932981547</c:v>
                </c:pt>
                <c:pt idx="1">
                  <c:v>-0.30578907052779081</c:v>
                </c:pt>
                <c:pt idx="2">
                  <c:v>-0.12173341599663012</c:v>
                </c:pt>
              </c:numCache>
            </c:numRef>
          </c:val>
          <c:extLst>
            <c:ext xmlns:c16="http://schemas.microsoft.com/office/drawing/2014/chart" uri="{C3380CC4-5D6E-409C-BE32-E72D297353CC}">
              <c16:uniqueId val="{00000000-6D52-48FB-AE28-DBCBFD631318}"/>
            </c:ext>
          </c:extLst>
        </c:ser>
        <c:ser>
          <c:idx val="1"/>
          <c:order val="1"/>
          <c:tx>
            <c:strRef>
              <c:f>'Empleo Perdido'!$Z$13</c:f>
              <c:strCache>
                <c:ptCount val="1"/>
                <c:pt idx="0">
                  <c:v>Hombre c/ niños</c:v>
                </c:pt>
              </c:strCache>
            </c:strRef>
          </c:tx>
          <c:spPr>
            <a:solidFill>
              <a:schemeClr val="bg2"/>
            </a:solidFill>
            <a:ln>
              <a:noFill/>
            </a:ln>
            <a:effectLst/>
          </c:spPr>
          <c:invertIfNegative val="0"/>
          <c:cat>
            <c:strRef>
              <c:f>'Empleo Perdido'!$X$14:$X$16</c:f>
              <c:strCache>
                <c:ptCount val="3"/>
                <c:pt idx="0">
                  <c:v>[18,24]</c:v>
                </c:pt>
                <c:pt idx="1">
                  <c:v>[25,40]</c:v>
                </c:pt>
                <c:pt idx="2">
                  <c:v>[41,64]</c:v>
                </c:pt>
              </c:strCache>
            </c:strRef>
          </c:cat>
          <c:val>
            <c:numRef>
              <c:f>'Empleo Perdido'!$Z$14:$Z$16</c:f>
              <c:numCache>
                <c:formatCode>0.00%</c:formatCode>
                <c:ptCount val="3"/>
                <c:pt idx="0">
                  <c:v>-0.56334798207642334</c:v>
                </c:pt>
                <c:pt idx="1">
                  <c:v>-0.16633332227122666</c:v>
                </c:pt>
                <c:pt idx="2">
                  <c:v>-5.5729490730414555E-2</c:v>
                </c:pt>
              </c:numCache>
            </c:numRef>
          </c:val>
          <c:extLst>
            <c:ext xmlns:c16="http://schemas.microsoft.com/office/drawing/2014/chart" uri="{C3380CC4-5D6E-409C-BE32-E72D297353CC}">
              <c16:uniqueId val="{00000001-6D52-48FB-AE28-DBCBFD631318}"/>
            </c:ext>
          </c:extLst>
        </c:ser>
        <c:ser>
          <c:idx val="2"/>
          <c:order val="2"/>
          <c:tx>
            <c:strRef>
              <c:f>'Empleo Perdido'!$AA$13</c:f>
              <c:strCache>
                <c:ptCount val="1"/>
                <c:pt idx="0">
                  <c:v>Mujer s/ niños</c:v>
                </c:pt>
              </c:strCache>
            </c:strRef>
          </c:tx>
          <c:spPr>
            <a:solidFill>
              <a:schemeClr val="tx2"/>
            </a:solidFill>
            <a:ln>
              <a:noFill/>
            </a:ln>
            <a:effectLst/>
          </c:spPr>
          <c:invertIfNegative val="0"/>
          <c:cat>
            <c:strRef>
              <c:f>'Empleo Perdido'!$X$14:$X$16</c:f>
              <c:strCache>
                <c:ptCount val="3"/>
                <c:pt idx="0">
                  <c:v>[18,24]</c:v>
                </c:pt>
                <c:pt idx="1">
                  <c:v>[25,40]</c:v>
                </c:pt>
                <c:pt idx="2">
                  <c:v>[41,64]</c:v>
                </c:pt>
              </c:strCache>
            </c:strRef>
          </c:cat>
          <c:val>
            <c:numRef>
              <c:f>'Empleo Perdido'!$AA$14:$AA$16</c:f>
              <c:numCache>
                <c:formatCode>0.00%</c:formatCode>
                <c:ptCount val="3"/>
                <c:pt idx="0">
                  <c:v>-0.72347512958454241</c:v>
                </c:pt>
                <c:pt idx="1">
                  <c:v>-0.26285049535606231</c:v>
                </c:pt>
                <c:pt idx="2">
                  <c:v>-5.5910722023096548E-2</c:v>
                </c:pt>
              </c:numCache>
            </c:numRef>
          </c:val>
          <c:extLst>
            <c:ext xmlns:c16="http://schemas.microsoft.com/office/drawing/2014/chart" uri="{C3380CC4-5D6E-409C-BE32-E72D297353CC}">
              <c16:uniqueId val="{00000002-6D52-48FB-AE28-DBCBFD631318}"/>
            </c:ext>
          </c:extLst>
        </c:ser>
        <c:ser>
          <c:idx val="3"/>
          <c:order val="3"/>
          <c:tx>
            <c:strRef>
              <c:f>'Empleo Perdido'!$AB$13</c:f>
              <c:strCache>
                <c:ptCount val="1"/>
                <c:pt idx="0">
                  <c:v>Mujer c/ niños</c:v>
                </c:pt>
              </c:strCache>
            </c:strRef>
          </c:tx>
          <c:spPr>
            <a:solidFill>
              <a:schemeClr val="accent1"/>
            </a:solidFill>
            <a:ln>
              <a:noFill/>
            </a:ln>
            <a:effectLst/>
          </c:spPr>
          <c:invertIfNegative val="0"/>
          <c:cat>
            <c:strRef>
              <c:f>'Empleo Perdido'!$X$14:$X$16</c:f>
              <c:strCache>
                <c:ptCount val="3"/>
                <c:pt idx="0">
                  <c:v>[18,24]</c:v>
                </c:pt>
                <c:pt idx="1">
                  <c:v>[25,40]</c:v>
                </c:pt>
                <c:pt idx="2">
                  <c:v>[41,64]</c:v>
                </c:pt>
              </c:strCache>
            </c:strRef>
          </c:cat>
          <c:val>
            <c:numRef>
              <c:f>'Empleo Perdido'!$AB$14:$AB$16</c:f>
              <c:numCache>
                <c:formatCode>0.00%</c:formatCode>
                <c:ptCount val="3"/>
                <c:pt idx="0">
                  <c:v>-0.76903847456841368</c:v>
                </c:pt>
                <c:pt idx="1">
                  <c:v>-0.27971954711723634</c:v>
                </c:pt>
                <c:pt idx="2">
                  <c:v>-7.2813992053127663E-2</c:v>
                </c:pt>
              </c:numCache>
            </c:numRef>
          </c:val>
          <c:extLst>
            <c:ext xmlns:c16="http://schemas.microsoft.com/office/drawing/2014/chart" uri="{C3380CC4-5D6E-409C-BE32-E72D297353CC}">
              <c16:uniqueId val="{00000003-6D52-48FB-AE28-DBCBFD631318}"/>
            </c:ext>
          </c:extLst>
        </c:ser>
        <c:dLbls>
          <c:showLegendKey val="0"/>
          <c:showVal val="0"/>
          <c:showCatName val="0"/>
          <c:showSerName val="0"/>
          <c:showPercent val="0"/>
          <c:showBubbleSize val="0"/>
        </c:dLbls>
        <c:gapWidth val="219"/>
        <c:overlap val="-27"/>
        <c:axId val="578608936"/>
        <c:axId val="578609264"/>
      </c:barChart>
      <c:catAx>
        <c:axId val="578608936"/>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78609264"/>
        <c:crosses val="autoZero"/>
        <c:auto val="1"/>
        <c:lblAlgn val="ctr"/>
        <c:lblOffset val="100"/>
        <c:noMultiLvlLbl val="0"/>
      </c:catAx>
      <c:valAx>
        <c:axId val="5786092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78608936"/>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'Empleo Perdido'!$H$5</c:f>
              <c:strCache>
                <c:ptCount val="1"/>
                <c:pt idx="0">
                  <c:v>Hombre</c:v>
                </c:pt>
              </c:strCache>
            </c:strRef>
          </c:tx>
          <c:spPr>
            <a:solidFill>
              <a:schemeClr val="tx1"/>
            </a:solidFill>
            <a:ln>
              <a:noFill/>
            </a:ln>
            <a:effectLst/>
          </c:spPr>
          <c:invertIfNegative val="0"/>
          <c:cat>
            <c:strRef>
              <c:extLst>
                <c:ext xmlns:c15="http://schemas.microsoft.com/office/drawing/2012/chart" uri="{02D57815-91ED-43cb-92C2-25804820EDAC}">
                  <c15:fullRef>
                    <c15:sqref>'Empleo Perdido'!$A$6:$A$10</c15:sqref>
                  </c15:fullRef>
                </c:ext>
              </c:extLst>
              <c:f>'Empleo Perdido'!$A$7:$A$9</c:f>
              <c:strCache>
                <c:ptCount val="3"/>
                <c:pt idx="0">
                  <c:v>[18,24]</c:v>
                </c:pt>
                <c:pt idx="1">
                  <c:v>[25,40]</c:v>
                </c:pt>
                <c:pt idx="2">
                  <c:v>[41,64]</c:v>
                </c:pt>
              </c:strCache>
            </c:strRef>
          </c:cat>
          <c:val>
            <c:numRef>
              <c:extLst>
                <c:ext xmlns:c15="http://schemas.microsoft.com/office/drawing/2012/chart" uri="{02D57815-91ED-43cb-92C2-25804820EDAC}">
                  <c15:fullRef>
                    <c15:sqref>'Empleo Perdido'!$H$6:$H$10</c15:sqref>
                  </c15:fullRef>
                </c:ext>
              </c:extLst>
              <c:f>'Empleo Perdido'!$H$7:$H$9</c:f>
              <c:numCache>
                <c:formatCode>0.00%</c:formatCode>
                <c:ptCount val="3"/>
                <c:pt idx="0">
                  <c:v>-0.62552281104337837</c:v>
                </c:pt>
                <c:pt idx="1">
                  <c:v>-0.22589310293712817</c:v>
                </c:pt>
                <c:pt idx="2">
                  <c:v>-8.7786469903708753E-2</c:v>
                </c:pt>
              </c:numCache>
            </c:numRef>
          </c:val>
          <c:extLst>
            <c:ext xmlns:c16="http://schemas.microsoft.com/office/drawing/2014/chart" uri="{C3380CC4-5D6E-409C-BE32-E72D297353CC}">
              <c16:uniqueId val="{00000000-D384-44B5-B6EC-C7BACBAE53DC}"/>
            </c:ext>
          </c:extLst>
        </c:ser>
        <c:ser>
          <c:idx val="1"/>
          <c:order val="1"/>
          <c:tx>
            <c:strRef>
              <c:f>'Empleo Perdido'!$I$5</c:f>
              <c:strCache>
                <c:ptCount val="1"/>
                <c:pt idx="0">
                  <c:v>Mujer</c:v>
                </c:pt>
              </c:strCache>
            </c:strRef>
          </c:tx>
          <c:spPr>
            <a:solidFill>
              <a:schemeClr val="bg2"/>
            </a:solidFill>
            <a:ln>
              <a:noFill/>
            </a:ln>
            <a:effectLst/>
          </c:spPr>
          <c:invertIfNegative val="0"/>
          <c:cat>
            <c:strRef>
              <c:extLst>
                <c:ext xmlns:c15="http://schemas.microsoft.com/office/drawing/2012/chart" uri="{02D57815-91ED-43cb-92C2-25804820EDAC}">
                  <c15:fullRef>
                    <c15:sqref>'Empleo Perdido'!$A$6:$A$10</c15:sqref>
                  </c15:fullRef>
                </c:ext>
              </c:extLst>
              <c:f>'Empleo Perdido'!$A$7:$A$9</c:f>
              <c:strCache>
                <c:ptCount val="3"/>
                <c:pt idx="0">
                  <c:v>[18,24]</c:v>
                </c:pt>
                <c:pt idx="1">
                  <c:v>[25,40]</c:v>
                </c:pt>
                <c:pt idx="2">
                  <c:v>[41,64]</c:v>
                </c:pt>
              </c:strCache>
            </c:strRef>
          </c:cat>
          <c:val>
            <c:numRef>
              <c:extLst>
                <c:ext xmlns:c15="http://schemas.microsoft.com/office/drawing/2012/chart" uri="{02D57815-91ED-43cb-92C2-25804820EDAC}">
                  <c15:fullRef>
                    <c15:sqref>'Empleo Perdido'!$I$6:$I$10</c15:sqref>
                  </c15:fullRef>
                </c:ext>
              </c:extLst>
              <c:f>'Empleo Perdido'!$I$7:$I$9</c:f>
              <c:numCache>
                <c:formatCode>0.00%</c:formatCode>
                <c:ptCount val="3"/>
                <c:pt idx="0">
                  <c:v>-0.74785826371266673</c:v>
                </c:pt>
                <c:pt idx="1">
                  <c:v>-0.27363446700303629</c:v>
                </c:pt>
                <c:pt idx="2">
                  <c:v>-6.4142951086725075E-2</c:v>
                </c:pt>
              </c:numCache>
            </c:numRef>
          </c:val>
          <c:extLst>
            <c:ext xmlns:c16="http://schemas.microsoft.com/office/drawing/2014/chart" uri="{C3380CC4-5D6E-409C-BE32-E72D297353CC}">
              <c16:uniqueId val="{00000001-D384-44B5-B6EC-C7BACBAE53DC}"/>
            </c:ext>
          </c:extLst>
        </c:ser>
        <c:dLbls>
          <c:showLegendKey val="0"/>
          <c:showVal val="0"/>
          <c:showCatName val="0"/>
          <c:showSerName val="0"/>
          <c:showPercent val="0"/>
          <c:showBubbleSize val="0"/>
        </c:dLbls>
        <c:gapWidth val="219"/>
        <c:overlap val="-27"/>
        <c:axId val="560578488"/>
        <c:axId val="560580784"/>
      </c:barChart>
      <c:catAx>
        <c:axId val="56057848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60580784"/>
        <c:crosses val="autoZero"/>
        <c:auto val="1"/>
        <c:lblAlgn val="ctr"/>
        <c:lblOffset val="100"/>
        <c:noMultiLvlLbl val="0"/>
      </c:catAx>
      <c:valAx>
        <c:axId val="560580784"/>
        <c:scaling>
          <c:orientation val="minMax"/>
          <c:min val="-0.9"/>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60578488"/>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1"/>
          <c:order val="0"/>
          <c:tx>
            <c:strRef>
              <c:f>Informalidad!$C$17</c:f>
              <c:strCache>
                <c:ptCount val="1"/>
                <c:pt idx="0">
                  <c:v>Mujer</c:v>
                </c:pt>
              </c:strCache>
            </c:strRef>
          </c:tx>
          <c:spPr>
            <a:solidFill>
              <a:schemeClr val="tx1"/>
            </a:solidFill>
            <a:ln>
              <a:noFill/>
            </a:ln>
            <a:effectLst/>
          </c:spPr>
          <c:invertIfNegative val="0"/>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Informalidad!$C$18:$C$27</c:f>
              <c:numCache>
                <c:formatCode>#,##0</c:formatCode>
                <c:ptCount val="10"/>
                <c:pt idx="0">
                  <c:v>259498</c:v>
                </c:pt>
                <c:pt idx="1">
                  <c:v>269978</c:v>
                </c:pt>
                <c:pt idx="2">
                  <c:v>293917</c:v>
                </c:pt>
                <c:pt idx="3">
                  <c:v>304400</c:v>
                </c:pt>
                <c:pt idx="4">
                  <c:v>277582</c:v>
                </c:pt>
                <c:pt idx="5">
                  <c:v>273686</c:v>
                </c:pt>
                <c:pt idx="6">
                  <c:v>164387</c:v>
                </c:pt>
                <c:pt idx="7">
                  <c:v>116127</c:v>
                </c:pt>
                <c:pt idx="8">
                  <c:v>128029</c:v>
                </c:pt>
                <c:pt idx="9">
                  <c:v>107626</c:v>
                </c:pt>
              </c:numCache>
            </c:numRef>
          </c:val>
          <c:extLst>
            <c:ext xmlns:c16="http://schemas.microsoft.com/office/drawing/2014/chart" uri="{C3380CC4-5D6E-409C-BE32-E72D297353CC}">
              <c16:uniqueId val="{00000000-EC05-447E-A5F8-1A6360AED9F8}"/>
            </c:ext>
          </c:extLst>
        </c:ser>
        <c:ser>
          <c:idx val="0"/>
          <c:order val="1"/>
          <c:tx>
            <c:strRef>
              <c:f>Informalidad!$B$17</c:f>
              <c:strCache>
                <c:ptCount val="1"/>
                <c:pt idx="0">
                  <c:v>Hombre</c:v>
                </c:pt>
              </c:strCache>
            </c:strRef>
          </c:tx>
          <c:spPr>
            <a:solidFill>
              <a:schemeClr val="bg2"/>
            </a:solidFill>
            <a:ln>
              <a:noFill/>
            </a:ln>
            <a:effectLst/>
          </c:spPr>
          <c:invertIfNegative val="0"/>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Informalidad!$B$18:$B$27</c:f>
              <c:numCache>
                <c:formatCode>#,##0</c:formatCode>
                <c:ptCount val="10"/>
                <c:pt idx="0">
                  <c:v>296165</c:v>
                </c:pt>
                <c:pt idx="1">
                  <c:v>365945</c:v>
                </c:pt>
                <c:pt idx="2">
                  <c:v>376588</c:v>
                </c:pt>
                <c:pt idx="3">
                  <c:v>340320</c:v>
                </c:pt>
                <c:pt idx="4">
                  <c:v>361196</c:v>
                </c:pt>
                <c:pt idx="5">
                  <c:v>334836</c:v>
                </c:pt>
                <c:pt idx="6">
                  <c:v>160900</c:v>
                </c:pt>
                <c:pt idx="7">
                  <c:v>136064</c:v>
                </c:pt>
                <c:pt idx="8">
                  <c:v>119349</c:v>
                </c:pt>
                <c:pt idx="9">
                  <c:v>86099</c:v>
                </c:pt>
              </c:numCache>
            </c:numRef>
          </c:val>
          <c:extLst>
            <c:ext xmlns:c16="http://schemas.microsoft.com/office/drawing/2014/chart" uri="{C3380CC4-5D6E-409C-BE32-E72D297353CC}">
              <c16:uniqueId val="{00000001-EC05-447E-A5F8-1A6360AED9F8}"/>
            </c:ext>
          </c:extLst>
        </c:ser>
        <c:dLbls>
          <c:showLegendKey val="0"/>
          <c:showVal val="0"/>
          <c:showCatName val="0"/>
          <c:showSerName val="0"/>
          <c:showPercent val="0"/>
          <c:showBubbleSize val="0"/>
        </c:dLbls>
        <c:gapWidth val="150"/>
        <c:overlap val="100"/>
        <c:axId val="513511072"/>
        <c:axId val="513509104"/>
      </c:barChart>
      <c:lineChart>
        <c:grouping val="standard"/>
        <c:varyColors val="0"/>
        <c:ser>
          <c:idx val="2"/>
          <c:order val="2"/>
          <c:tx>
            <c:strRef>
              <c:f>Informalidad!$D$17</c:f>
              <c:strCache>
                <c:ptCount val="1"/>
                <c:pt idx="0">
                  <c:v>Tasa informalidad</c:v>
                </c:pt>
              </c:strCache>
            </c:strRef>
          </c:tx>
          <c:spPr>
            <a:ln w="28575" cap="rnd">
              <a:solidFill>
                <a:schemeClr val="tx2"/>
              </a:solidFill>
              <a:round/>
            </a:ln>
            <a:effectLst/>
          </c:spPr>
          <c:marker>
            <c:symbol val="none"/>
          </c:marker>
          <c:cat>
            <c:numRef>
              <c:f>Informalidad!$A$18:$A$27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Informalidad!$D$18:$D$27</c:f>
              <c:numCache>
                <c:formatCode>0.00%</c:formatCode>
                <c:ptCount val="10"/>
                <c:pt idx="0">
                  <c:v>0.86374139999999999</c:v>
                </c:pt>
                <c:pt idx="1">
                  <c:v>0.75532290000000002</c:v>
                </c:pt>
                <c:pt idx="2">
                  <c:v>0.68161459999999996</c:v>
                </c:pt>
                <c:pt idx="3">
                  <c:v>0.58198070000000002</c:v>
                </c:pt>
                <c:pt idx="4">
                  <c:v>0.55108639999999998</c:v>
                </c:pt>
                <c:pt idx="5">
                  <c:v>0.47562110000000002</c:v>
                </c:pt>
                <c:pt idx="6">
                  <c:v>0.24020830000000001</c:v>
                </c:pt>
                <c:pt idx="7">
                  <c:v>0.19423979999999999</c:v>
                </c:pt>
                <c:pt idx="8">
                  <c:v>0.16190679999999999</c:v>
                </c:pt>
                <c:pt idx="9">
                  <c:v>0.10530150000000001</c:v>
                </c:pt>
              </c:numCache>
            </c:numRef>
          </c:val>
          <c:smooth val="0"/>
          <c:extLst>
            <c:ext xmlns:c16="http://schemas.microsoft.com/office/drawing/2014/chart" uri="{C3380CC4-5D6E-409C-BE32-E72D297353CC}">
              <c16:uniqueId val="{00000002-EC05-447E-A5F8-1A6360AED9F8}"/>
            </c:ext>
          </c:extLst>
        </c:ser>
        <c:dLbls>
          <c:showLegendKey val="0"/>
          <c:showVal val="0"/>
          <c:showCatName val="0"/>
          <c:showSerName val="0"/>
          <c:showPercent val="0"/>
          <c:showBubbleSize val="0"/>
        </c:dLbls>
        <c:marker val="1"/>
        <c:smooth val="0"/>
        <c:axId val="513508448"/>
        <c:axId val="513505168"/>
      </c:lineChart>
      <c:catAx>
        <c:axId val="51351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s-AR"/>
                  <a:t>Decil Ingreso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13509104"/>
        <c:crosses val="autoZero"/>
        <c:auto val="1"/>
        <c:lblAlgn val="ctr"/>
        <c:lblOffset val="100"/>
        <c:noMultiLvlLbl val="0"/>
      </c:catAx>
      <c:valAx>
        <c:axId val="513509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513511072"/>
        <c:crosses val="autoZero"/>
        <c:crossBetween val="between"/>
      </c:valAx>
      <c:valAx>
        <c:axId val="513505168"/>
        <c:scaling>
          <c:orientation val="minMax"/>
        </c:scaling>
        <c:delete val="1"/>
        <c:axPos val="r"/>
        <c:numFmt formatCode="0.00%" sourceLinked="1"/>
        <c:majorTickMark val="out"/>
        <c:minorTickMark val="none"/>
        <c:tickLblPos val="nextTo"/>
        <c:crossAx val="513508448"/>
        <c:crosses val="max"/>
        <c:crossBetween val="between"/>
      </c:valAx>
      <c:catAx>
        <c:axId val="513508448"/>
        <c:scaling>
          <c:orientation val="minMax"/>
        </c:scaling>
        <c:delete val="1"/>
        <c:axPos val="b"/>
        <c:numFmt formatCode="General" sourceLinked="1"/>
        <c:majorTickMark val="out"/>
        <c:minorTickMark val="none"/>
        <c:tickLblPos val="nextTo"/>
        <c:crossAx val="513505168"/>
        <c:crosses val="autoZero"/>
        <c:auto val="1"/>
        <c:lblAlgn val="ctr"/>
        <c:lblOffset val="100"/>
        <c:noMultiLvlLbl val="0"/>
      </c:catAx>
      <c:spPr>
        <a:noFill/>
        <a:ln>
          <a:solidFill>
            <a:schemeClr val="tx1"/>
          </a:solidFill>
        </a:ln>
        <a:effectLst/>
      </c:spPr>
    </c:plotArea>
    <c:legend>
      <c:legendPos val="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17859</xdr:colOff>
      <xdr:row>16</xdr:row>
      <xdr:rowOff>188117</xdr:rowOff>
    </xdr:from>
    <xdr:to>
      <xdr:col>8</xdr:col>
      <xdr:colOff>1553765</xdr:colOff>
      <xdr:row>35</xdr:row>
      <xdr:rowOff>168617</xdr:rowOff>
    </xdr:to>
    <xdr:graphicFrame macro="">
      <xdr:nvGraphicFramePr>
        <xdr:cNvPr id="3" name="Gráfico 2">
          <a:extLst>
            <a:ext uri="{FF2B5EF4-FFF2-40B4-BE49-F238E27FC236}">
              <a16:creationId xmlns:a16="http://schemas.microsoft.com/office/drawing/2014/main" id="{3850D9D0-EE8A-4256-977B-BEBA2709C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470297</xdr:colOff>
      <xdr:row>16</xdr:row>
      <xdr:rowOff>9525</xdr:rowOff>
    </xdr:from>
    <xdr:to>
      <xdr:col>5</xdr:col>
      <xdr:colOff>756047</xdr:colOff>
      <xdr:row>30</xdr:row>
      <xdr:rowOff>85725</xdr:rowOff>
    </xdr:to>
    <xdr:graphicFrame macro="">
      <xdr:nvGraphicFramePr>
        <xdr:cNvPr id="2" name="Gráfico 1">
          <a:extLst>
            <a:ext uri="{FF2B5EF4-FFF2-40B4-BE49-F238E27FC236}">
              <a16:creationId xmlns:a16="http://schemas.microsoft.com/office/drawing/2014/main" id="{EC03C7A3-A1EE-4616-9DDD-40B6AE33B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5952</xdr:colOff>
      <xdr:row>15</xdr:row>
      <xdr:rowOff>188119</xdr:rowOff>
    </xdr:from>
    <xdr:to>
      <xdr:col>31</xdr:col>
      <xdr:colOff>5952</xdr:colOff>
      <xdr:row>30</xdr:row>
      <xdr:rowOff>73819</xdr:rowOff>
    </xdr:to>
    <xdr:graphicFrame macro="">
      <xdr:nvGraphicFramePr>
        <xdr:cNvPr id="4" name="Gráfico 3">
          <a:extLst>
            <a:ext uri="{FF2B5EF4-FFF2-40B4-BE49-F238E27FC236}">
              <a16:creationId xmlns:a16="http://schemas.microsoft.com/office/drawing/2014/main" id="{D6C76601-523C-4637-86BF-04897B712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5953</xdr:colOff>
      <xdr:row>11</xdr:row>
      <xdr:rowOff>188120</xdr:rowOff>
    </xdr:from>
    <xdr:to>
      <xdr:col>5</xdr:col>
      <xdr:colOff>339328</xdr:colOff>
      <xdr:row>26</xdr:row>
      <xdr:rowOff>73820</xdr:rowOff>
    </xdr:to>
    <xdr:graphicFrame macro="">
      <xdr:nvGraphicFramePr>
        <xdr:cNvPr id="4" name="Gráfico 3">
          <a:extLst>
            <a:ext uri="{FF2B5EF4-FFF2-40B4-BE49-F238E27FC236}">
              <a16:creationId xmlns:a16="http://schemas.microsoft.com/office/drawing/2014/main" id="{23470106-793B-4328-8D85-CA4686231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87</xdr:col>
      <xdr:colOff>17858</xdr:colOff>
      <xdr:row>16</xdr:row>
      <xdr:rowOff>188119</xdr:rowOff>
    </xdr:from>
    <xdr:to>
      <xdr:col>92</xdr:col>
      <xdr:colOff>398858</xdr:colOff>
      <xdr:row>31</xdr:row>
      <xdr:rowOff>73819</xdr:rowOff>
    </xdr:to>
    <xdr:graphicFrame macro="">
      <xdr:nvGraphicFramePr>
        <xdr:cNvPr id="5" name="Gráfico 4">
          <a:extLst>
            <a:ext uri="{FF2B5EF4-FFF2-40B4-BE49-F238E27FC236}">
              <a16:creationId xmlns:a16="http://schemas.microsoft.com/office/drawing/2014/main" id="{CDC1E077-A160-4F21-A871-386362E3E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17859</xdr:colOff>
      <xdr:row>11</xdr:row>
      <xdr:rowOff>188118</xdr:rowOff>
    </xdr:from>
    <xdr:to>
      <xdr:col>33</xdr:col>
      <xdr:colOff>398859</xdr:colOff>
      <xdr:row>26</xdr:row>
      <xdr:rowOff>73818</xdr:rowOff>
    </xdr:to>
    <xdr:graphicFrame macro="">
      <xdr:nvGraphicFramePr>
        <xdr:cNvPr id="3" name="Gráfico 2">
          <a:extLst>
            <a:ext uri="{FF2B5EF4-FFF2-40B4-BE49-F238E27FC236}">
              <a16:creationId xmlns:a16="http://schemas.microsoft.com/office/drawing/2014/main" id="{9BBB3357-EECE-4828-8A04-60945FEEA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17858</xdr:colOff>
      <xdr:row>15</xdr:row>
      <xdr:rowOff>188120</xdr:rowOff>
    </xdr:from>
    <xdr:to>
      <xdr:col>6</xdr:col>
      <xdr:colOff>17858</xdr:colOff>
      <xdr:row>30</xdr:row>
      <xdr:rowOff>73820</xdr:rowOff>
    </xdr:to>
    <xdr:graphicFrame macro="">
      <xdr:nvGraphicFramePr>
        <xdr:cNvPr id="3" name="Gráfico 2">
          <a:extLst>
            <a:ext uri="{FF2B5EF4-FFF2-40B4-BE49-F238E27FC236}">
              <a16:creationId xmlns:a16="http://schemas.microsoft.com/office/drawing/2014/main" id="{0C87972F-6010-4FDB-993C-A35999666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0</xdr:colOff>
      <xdr:row>20</xdr:row>
      <xdr:rowOff>171000</xdr:rowOff>
    </xdr:to>
    <xdr:graphicFrame macro="">
      <xdr:nvGraphicFramePr>
        <xdr:cNvPr id="13" name="Gráfico 12">
          <a:extLst>
            <a:ext uri="{FF2B5EF4-FFF2-40B4-BE49-F238E27FC236}">
              <a16:creationId xmlns:a16="http://schemas.microsoft.com/office/drawing/2014/main" id="{E959E207-1746-46AD-A434-12C1C5D83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17</xdr:row>
      <xdr:rowOff>0</xdr:rowOff>
    </xdr:from>
    <xdr:to>
      <xdr:col>13</xdr:col>
      <xdr:colOff>0</xdr:colOff>
      <xdr:row>31</xdr:row>
      <xdr:rowOff>76200</xdr:rowOff>
    </xdr:to>
    <xdr:graphicFrame macro="">
      <xdr:nvGraphicFramePr>
        <xdr:cNvPr id="9" name="Gráfico 8">
          <a:extLst>
            <a:ext uri="{FF2B5EF4-FFF2-40B4-BE49-F238E27FC236}">
              <a16:creationId xmlns:a16="http://schemas.microsoft.com/office/drawing/2014/main" id="{E88FE61D-4AEA-4985-88B3-60B3ED1F9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2</xdr:row>
      <xdr:rowOff>0</xdr:rowOff>
    </xdr:from>
    <xdr:to>
      <xdr:col>34</xdr:col>
      <xdr:colOff>0</xdr:colOff>
      <xdr:row>16</xdr:row>
      <xdr:rowOff>76200</xdr:rowOff>
    </xdr:to>
    <xdr:graphicFrame macro="">
      <xdr:nvGraphicFramePr>
        <xdr:cNvPr id="16" name="Gráfico 15">
          <a:extLst>
            <a:ext uri="{FF2B5EF4-FFF2-40B4-BE49-F238E27FC236}">
              <a16:creationId xmlns:a16="http://schemas.microsoft.com/office/drawing/2014/main" id="{FE108941-DDBD-400B-8C89-86497966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2</xdr:row>
      <xdr:rowOff>0</xdr:rowOff>
    </xdr:from>
    <xdr:to>
      <xdr:col>20</xdr:col>
      <xdr:colOff>0</xdr:colOff>
      <xdr:row>16</xdr:row>
      <xdr:rowOff>76200</xdr:rowOff>
    </xdr:to>
    <xdr:graphicFrame macro="">
      <xdr:nvGraphicFramePr>
        <xdr:cNvPr id="17" name="Gráfico 16">
          <a:extLst>
            <a:ext uri="{FF2B5EF4-FFF2-40B4-BE49-F238E27FC236}">
              <a16:creationId xmlns:a16="http://schemas.microsoft.com/office/drawing/2014/main" id="{D8F235D8-EF5E-4CAB-B829-CC2DCFB0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17</xdr:row>
      <xdr:rowOff>0</xdr:rowOff>
    </xdr:from>
    <xdr:to>
      <xdr:col>27</xdr:col>
      <xdr:colOff>0</xdr:colOff>
      <xdr:row>31</xdr:row>
      <xdr:rowOff>76200</xdr:rowOff>
    </xdr:to>
    <xdr:graphicFrame macro="">
      <xdr:nvGraphicFramePr>
        <xdr:cNvPr id="18" name="Gráfico 17">
          <a:extLst>
            <a:ext uri="{FF2B5EF4-FFF2-40B4-BE49-F238E27FC236}">
              <a16:creationId xmlns:a16="http://schemas.microsoft.com/office/drawing/2014/main" id="{B1C0EBAD-6803-404E-A5C5-1E48AFE5F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xdr:row>
      <xdr:rowOff>0</xdr:rowOff>
    </xdr:from>
    <xdr:to>
      <xdr:col>27</xdr:col>
      <xdr:colOff>0</xdr:colOff>
      <xdr:row>16</xdr:row>
      <xdr:rowOff>76200</xdr:rowOff>
    </xdr:to>
    <xdr:graphicFrame macro="">
      <xdr:nvGraphicFramePr>
        <xdr:cNvPr id="19" name="Gráfico 18">
          <a:extLst>
            <a:ext uri="{FF2B5EF4-FFF2-40B4-BE49-F238E27FC236}">
              <a16:creationId xmlns:a16="http://schemas.microsoft.com/office/drawing/2014/main" id="{684C3686-3A4A-4096-B9FA-A601C20C7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xdr:row>
      <xdr:rowOff>0</xdr:rowOff>
    </xdr:from>
    <xdr:to>
      <xdr:col>13</xdr:col>
      <xdr:colOff>0</xdr:colOff>
      <xdr:row>16</xdr:row>
      <xdr:rowOff>76200</xdr:rowOff>
    </xdr:to>
    <xdr:graphicFrame macro="">
      <xdr:nvGraphicFramePr>
        <xdr:cNvPr id="21" name="Gráfico 20">
          <a:extLst>
            <a:ext uri="{FF2B5EF4-FFF2-40B4-BE49-F238E27FC236}">
              <a16:creationId xmlns:a16="http://schemas.microsoft.com/office/drawing/2014/main" id="{EA0C1E7E-4F7A-4462-A121-28BD5DD3D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148B3-4EDF-4255-BF1C-891FEBF0A0FE}">
  <sheetPr>
    <tabColor rgb="FFFF0000"/>
  </sheetPr>
  <dimension ref="A1:Q40"/>
  <sheetViews>
    <sheetView tabSelected="1" view="pageBreakPreview" zoomScale="80" zoomScaleNormal="80" zoomScaleSheetLayoutView="80" workbookViewId="0">
      <pane xSplit="2" ySplit="6" topLeftCell="C7" activePane="bottomRight" state="frozen"/>
      <selection activeCell="A3" sqref="A3:A5"/>
      <selection pane="topRight" activeCell="A3" sqref="A3:A5"/>
      <selection pane="bottomLeft" activeCell="A3" sqref="A3:A5"/>
      <selection pane="bottomRight" sqref="A1:O1"/>
    </sheetView>
  </sheetViews>
  <sheetFormatPr baseColWidth="10" defaultColWidth="11.42578125" defaultRowHeight="15" x14ac:dyDescent="0.25"/>
  <cols>
    <col min="1" max="1" width="11.42578125" style="2" customWidth="1"/>
    <col min="2" max="3" width="14.28515625" style="2" customWidth="1"/>
    <col min="4" max="4" width="10" style="2" customWidth="1"/>
    <col min="5" max="5" width="8.5703125" style="2" customWidth="1"/>
    <col min="6" max="6" width="10" style="2" customWidth="1"/>
    <col min="7" max="7" width="14.28515625" style="2" customWidth="1"/>
    <col min="8" max="8" width="10" style="2" customWidth="1"/>
    <col min="9" max="9" width="14.28515625" style="2" customWidth="1"/>
    <col min="10" max="10" width="10" style="2" customWidth="1"/>
    <col min="11" max="11" width="11.140625" style="2" customWidth="1"/>
    <col min="12" max="12" width="10" style="2" customWidth="1"/>
    <col min="13" max="13" width="14.28515625" style="2" customWidth="1"/>
    <col min="14" max="14" width="10" style="2" customWidth="1"/>
    <col min="15" max="15" width="12.85546875" style="2" customWidth="1"/>
    <col min="16" max="16384" width="11.42578125" style="2"/>
  </cols>
  <sheetData>
    <row r="1" spans="1:17" ht="18.75" x14ac:dyDescent="0.25">
      <c r="A1" s="110" t="s">
        <v>104</v>
      </c>
      <c r="B1" s="110"/>
      <c r="C1" s="110"/>
      <c r="D1" s="110"/>
      <c r="E1" s="110"/>
      <c r="F1" s="110"/>
      <c r="G1" s="110"/>
      <c r="H1" s="110"/>
      <c r="I1" s="110"/>
      <c r="J1" s="110"/>
      <c r="K1" s="110"/>
      <c r="L1" s="110"/>
      <c r="M1" s="110"/>
      <c r="N1" s="110"/>
      <c r="O1" s="110"/>
    </row>
    <row r="2" spans="1:17" ht="15.75" thickBot="1" x14ac:dyDescent="0.3"/>
    <row r="3" spans="1:17" ht="30" customHeight="1" thickBot="1" x14ac:dyDescent="0.3">
      <c r="A3" s="111" t="s">
        <v>0</v>
      </c>
      <c r="B3" s="114" t="s">
        <v>57</v>
      </c>
      <c r="C3" s="7" t="s">
        <v>112</v>
      </c>
      <c r="D3" s="117" t="s">
        <v>114</v>
      </c>
      <c r="E3" s="104"/>
      <c r="F3" s="104"/>
      <c r="G3" s="104"/>
      <c r="H3" s="104"/>
      <c r="I3" s="105"/>
      <c r="J3" s="117" t="s">
        <v>113</v>
      </c>
      <c r="K3" s="104"/>
      <c r="L3" s="104"/>
      <c r="M3" s="104"/>
      <c r="N3" s="104"/>
      <c r="O3" s="105"/>
    </row>
    <row r="4" spans="1:17" ht="22.5" customHeight="1" thickBot="1" x14ac:dyDescent="0.3">
      <c r="A4" s="112"/>
      <c r="B4" s="115"/>
      <c r="C4" s="11" t="s">
        <v>56</v>
      </c>
      <c r="D4" s="117" t="s">
        <v>110</v>
      </c>
      <c r="E4" s="104"/>
      <c r="F4" s="118" t="s">
        <v>109</v>
      </c>
      <c r="G4" s="119"/>
      <c r="H4" s="104" t="s">
        <v>111</v>
      </c>
      <c r="I4" s="105"/>
      <c r="J4" s="117" t="s">
        <v>110</v>
      </c>
      <c r="K4" s="104"/>
      <c r="L4" s="118" t="s">
        <v>109</v>
      </c>
      <c r="M4" s="119"/>
      <c r="N4" s="104" t="s">
        <v>111</v>
      </c>
      <c r="O4" s="105"/>
    </row>
    <row r="5" spans="1:17" ht="22.5" customHeight="1" thickBot="1" x14ac:dyDescent="0.3">
      <c r="A5" s="112"/>
      <c r="B5" s="115"/>
      <c r="C5" s="12" t="s">
        <v>2</v>
      </c>
      <c r="D5" s="9" t="s">
        <v>3</v>
      </c>
      <c r="E5" s="10" t="s">
        <v>4</v>
      </c>
      <c r="F5" s="14" t="s">
        <v>5</v>
      </c>
      <c r="G5" s="12" t="s">
        <v>6</v>
      </c>
      <c r="H5" s="9" t="s">
        <v>7</v>
      </c>
      <c r="I5" s="10" t="s">
        <v>8</v>
      </c>
      <c r="J5" s="9" t="s">
        <v>9</v>
      </c>
      <c r="K5" s="10" t="s">
        <v>10</v>
      </c>
      <c r="L5" s="16" t="s">
        <v>11</v>
      </c>
      <c r="M5" s="12" t="s">
        <v>12</v>
      </c>
      <c r="N5" s="9" t="s">
        <v>13</v>
      </c>
      <c r="O5" s="10" t="s">
        <v>14</v>
      </c>
    </row>
    <row r="6" spans="1:17" ht="37.5" customHeight="1" thickBot="1" x14ac:dyDescent="0.3">
      <c r="A6" s="113"/>
      <c r="B6" s="116"/>
      <c r="C6" s="13" t="s">
        <v>103</v>
      </c>
      <c r="D6" s="5" t="s">
        <v>103</v>
      </c>
      <c r="E6" s="6"/>
      <c r="F6" s="72" t="s">
        <v>103</v>
      </c>
      <c r="G6" s="15" t="s">
        <v>95</v>
      </c>
      <c r="H6" s="5" t="s">
        <v>103</v>
      </c>
      <c r="I6" s="8" t="s">
        <v>96</v>
      </c>
      <c r="J6" s="5" t="s">
        <v>103</v>
      </c>
      <c r="K6" s="8" t="s">
        <v>97</v>
      </c>
      <c r="L6" s="72" t="s">
        <v>103</v>
      </c>
      <c r="M6" s="15" t="s">
        <v>98</v>
      </c>
      <c r="N6" s="5" t="s">
        <v>103</v>
      </c>
      <c r="O6" s="8" t="s">
        <v>99</v>
      </c>
    </row>
    <row r="7" spans="1:17" ht="15" customHeight="1" x14ac:dyDescent="0.25">
      <c r="A7" s="101">
        <v>1</v>
      </c>
      <c r="B7" s="4" t="s">
        <v>58</v>
      </c>
      <c r="C7" s="74">
        <v>2876.8119999999999</v>
      </c>
      <c r="D7" s="75">
        <v>2054.4299999999998</v>
      </c>
      <c r="E7" s="76"/>
      <c r="F7" s="77">
        <v>2369.3679999999999</v>
      </c>
      <c r="G7" s="78">
        <f t="shared" ref="G7:G39" si="0">(F7/$C7-1)*100</f>
        <v>-17.639108846876329</v>
      </c>
      <c r="H7" s="75">
        <v>2485.0940000000001</v>
      </c>
      <c r="I7" s="76">
        <f t="shared" ref="I7:I39" si="1">(H7/$D7-1)*100</f>
        <v>20.962700116333988</v>
      </c>
      <c r="J7" s="75">
        <v>3349.2280000000001</v>
      </c>
      <c r="K7" s="76">
        <f t="shared" ref="K7:K39" si="2">(J7/$D7-1)*100</f>
        <v>63.024683245474435</v>
      </c>
      <c r="L7" s="77">
        <v>3077.232</v>
      </c>
      <c r="M7" s="78">
        <f t="shared" ref="M7:M39" si="3">(L7/$C7-1)*100</f>
        <v>6.9667395714422709</v>
      </c>
      <c r="N7" s="75">
        <v>2997.5709999999999</v>
      </c>
      <c r="O7" s="76">
        <f t="shared" ref="O7:O39" si="4">(N7/H7-1)*100</f>
        <v>20.622036832409552</v>
      </c>
    </row>
    <row r="8" spans="1:17" ht="15" customHeight="1" x14ac:dyDescent="0.25">
      <c r="A8" s="102"/>
      <c r="B8" s="4" t="s">
        <v>59</v>
      </c>
      <c r="C8" s="79">
        <v>2807.944</v>
      </c>
      <c r="D8" s="75">
        <v>1836.431</v>
      </c>
      <c r="E8" s="76"/>
      <c r="F8" s="77">
        <v>2127.2440000000001</v>
      </c>
      <c r="G8" s="78">
        <f t="shared" si="0"/>
        <v>-24.241936448875045</v>
      </c>
      <c r="H8" s="75">
        <v>2398.4859999999999</v>
      </c>
      <c r="I8" s="76">
        <f t="shared" si="1"/>
        <v>30.605832726631157</v>
      </c>
      <c r="J8" s="75">
        <v>3361.7040000000002</v>
      </c>
      <c r="K8" s="76">
        <f t="shared" si="2"/>
        <v>83.056374021131219</v>
      </c>
      <c r="L8" s="77">
        <v>3010.3040000000001</v>
      </c>
      <c r="M8" s="78">
        <f t="shared" si="3"/>
        <v>7.2066964298433289</v>
      </c>
      <c r="N8" s="75">
        <v>3142.2559999999999</v>
      </c>
      <c r="O8" s="76">
        <f t="shared" si="4"/>
        <v>31.009978794956481</v>
      </c>
    </row>
    <row r="9" spans="1:17" ht="15" customHeight="1" x14ac:dyDescent="0.25">
      <c r="A9" s="106"/>
      <c r="B9" s="1" t="s">
        <v>0</v>
      </c>
      <c r="C9" s="80">
        <v>2840.5790000000002</v>
      </c>
      <c r="D9" s="81">
        <v>1939.7370000000001</v>
      </c>
      <c r="E9" s="82"/>
      <c r="F9" s="83">
        <v>2241.982</v>
      </c>
      <c r="G9" s="78">
        <f t="shared" si="0"/>
        <v>-21.073062921326958</v>
      </c>
      <c r="H9" s="81">
        <v>2439.5279999999998</v>
      </c>
      <c r="I9" s="82">
        <f t="shared" si="1"/>
        <v>25.765915688570139</v>
      </c>
      <c r="J9" s="81">
        <v>3355.7919999999999</v>
      </c>
      <c r="K9" s="82">
        <f t="shared" si="2"/>
        <v>73.002422493358623</v>
      </c>
      <c r="L9" s="83">
        <v>3042.02</v>
      </c>
      <c r="M9" s="84">
        <f t="shared" si="3"/>
        <v>7.0915471810500508</v>
      </c>
      <c r="N9" s="81">
        <v>3073.6930000000002</v>
      </c>
      <c r="O9" s="76">
        <f t="shared" si="4"/>
        <v>25.995397470330349</v>
      </c>
    </row>
    <row r="10" spans="1:17" ht="15" customHeight="1" x14ac:dyDescent="0.25">
      <c r="A10" s="102">
        <v>2</v>
      </c>
      <c r="B10" s="4" t="s">
        <v>58</v>
      </c>
      <c r="C10" s="74">
        <v>5882.0169999999998</v>
      </c>
      <c r="D10" s="75">
        <v>4634.0649999999996</v>
      </c>
      <c r="E10" s="76"/>
      <c r="F10" s="77">
        <v>5313.7950000000001</v>
      </c>
      <c r="G10" s="85">
        <f t="shared" si="0"/>
        <v>-9.6603257012007901</v>
      </c>
      <c r="H10" s="75">
        <v>5197.7690000000002</v>
      </c>
      <c r="I10" s="76">
        <f t="shared" si="1"/>
        <v>12.164352463765638</v>
      </c>
      <c r="J10" s="75">
        <v>5654.3639999999996</v>
      </c>
      <c r="K10" s="76">
        <f t="shared" si="2"/>
        <v>22.017364883746772</v>
      </c>
      <c r="L10" s="77">
        <v>5873.3720000000003</v>
      </c>
      <c r="M10" s="78">
        <f t="shared" si="3"/>
        <v>-0.14697339365050688</v>
      </c>
      <c r="N10" s="75">
        <v>5689.9809999999998</v>
      </c>
      <c r="O10" s="86">
        <f t="shared" si="4"/>
        <v>9.4696782407990732</v>
      </c>
    </row>
    <row r="11" spans="1:17" ht="15" customHeight="1" x14ac:dyDescent="0.25">
      <c r="A11" s="102"/>
      <c r="B11" s="4" t="s">
        <v>59</v>
      </c>
      <c r="C11" s="74">
        <v>5751.335</v>
      </c>
      <c r="D11" s="75">
        <v>3820.2539999999999</v>
      </c>
      <c r="E11" s="76"/>
      <c r="F11" s="77">
        <v>4679.357</v>
      </c>
      <c r="G11" s="78">
        <f t="shared" si="0"/>
        <v>-18.638768216422797</v>
      </c>
      <c r="H11" s="75">
        <v>4899.9859999999999</v>
      </c>
      <c r="I11" s="76">
        <f t="shared" si="1"/>
        <v>28.263356310863095</v>
      </c>
      <c r="J11" s="75">
        <v>4988.9809999999998</v>
      </c>
      <c r="K11" s="76">
        <f t="shared" si="2"/>
        <v>30.592913455492756</v>
      </c>
      <c r="L11" s="77">
        <v>5343.2539999999999</v>
      </c>
      <c r="M11" s="78">
        <f t="shared" si="3"/>
        <v>-7.0954134996483393</v>
      </c>
      <c r="N11" s="75">
        <v>5554.2110000000002</v>
      </c>
      <c r="O11" s="76">
        <f t="shared" si="4"/>
        <v>13.351568759584209</v>
      </c>
    </row>
    <row r="12" spans="1:17" ht="15" customHeight="1" x14ac:dyDescent="0.25">
      <c r="A12" s="106"/>
      <c r="B12" s="1" t="s">
        <v>0</v>
      </c>
      <c r="C12" s="80">
        <v>5821.4849999999997</v>
      </c>
      <c r="D12" s="81">
        <v>4257.1059999999998</v>
      </c>
      <c r="E12" s="82"/>
      <c r="F12" s="83">
        <v>5019.9219999999996</v>
      </c>
      <c r="G12" s="78">
        <f t="shared" si="0"/>
        <v>-13.76904690126317</v>
      </c>
      <c r="H12" s="81">
        <v>5059.835</v>
      </c>
      <c r="I12" s="76">
        <f t="shared" si="1"/>
        <v>18.856213587352542</v>
      </c>
      <c r="J12" s="81">
        <v>5346.1570000000002</v>
      </c>
      <c r="K12" s="82">
        <f t="shared" si="2"/>
        <v>25.581956380696202</v>
      </c>
      <c r="L12" s="83">
        <v>5627.82</v>
      </c>
      <c r="M12" s="84">
        <f t="shared" si="3"/>
        <v>-3.3267284893802818</v>
      </c>
      <c r="N12" s="81">
        <v>5627.0919999999996</v>
      </c>
      <c r="O12" s="82">
        <f t="shared" si="4"/>
        <v>11.2109782235982</v>
      </c>
      <c r="P12" s="99">
        <f t="shared" ref="P12:P36" si="5">M12/G12</f>
        <v>0.24160920601375019</v>
      </c>
      <c r="Q12" s="99">
        <f t="shared" ref="Q12:Q38" si="6">1-P12</f>
        <v>0.75839079398624976</v>
      </c>
    </row>
    <row r="13" spans="1:17" ht="15" customHeight="1" x14ac:dyDescent="0.25">
      <c r="A13" s="102">
        <v>3</v>
      </c>
      <c r="B13" s="4" t="s">
        <v>58</v>
      </c>
      <c r="C13" s="74">
        <v>8224.4930000000004</v>
      </c>
      <c r="D13" s="75">
        <v>6491.8149999999996</v>
      </c>
      <c r="E13" s="76"/>
      <c r="F13" s="77">
        <v>7427.5829999999996</v>
      </c>
      <c r="G13" s="85">
        <f t="shared" si="0"/>
        <v>-9.6894726519920482</v>
      </c>
      <c r="H13" s="75">
        <v>7053.7439999999997</v>
      </c>
      <c r="I13" s="86">
        <f t="shared" si="1"/>
        <v>8.6559613913828493</v>
      </c>
      <c r="J13" s="75">
        <v>7402.7250000000004</v>
      </c>
      <c r="K13" s="76">
        <f t="shared" si="2"/>
        <v>14.031669109486344</v>
      </c>
      <c r="L13" s="77">
        <v>7932.0690000000004</v>
      </c>
      <c r="M13" s="78">
        <f t="shared" si="3"/>
        <v>-3.5555261582689623</v>
      </c>
      <c r="N13" s="75">
        <v>7472.2169999999996</v>
      </c>
      <c r="O13" s="76">
        <f t="shared" si="4"/>
        <v>5.9326366253155793</v>
      </c>
    </row>
    <row r="14" spans="1:17" ht="15" customHeight="1" x14ac:dyDescent="0.25">
      <c r="A14" s="102"/>
      <c r="B14" s="4" t="s">
        <v>59</v>
      </c>
      <c r="C14" s="74">
        <v>8137.451</v>
      </c>
      <c r="D14" s="75">
        <v>5776.84</v>
      </c>
      <c r="E14" s="76"/>
      <c r="F14" s="77">
        <v>7089.27</v>
      </c>
      <c r="G14" s="78">
        <f t="shared" si="0"/>
        <v>-12.880950066550323</v>
      </c>
      <c r="H14" s="75">
        <v>6918.8689999999997</v>
      </c>
      <c r="I14" s="76">
        <f t="shared" si="1"/>
        <v>19.769095214684839</v>
      </c>
      <c r="J14" s="75">
        <v>6776.5820000000003</v>
      </c>
      <c r="K14" s="76">
        <f t="shared" si="2"/>
        <v>17.306035825814803</v>
      </c>
      <c r="L14" s="77">
        <v>7616.9579999999996</v>
      </c>
      <c r="M14" s="78">
        <f t="shared" si="3"/>
        <v>-6.3962658576991789</v>
      </c>
      <c r="N14" s="75">
        <v>7359.799</v>
      </c>
      <c r="O14" s="76">
        <f t="shared" si="4"/>
        <v>6.3728623854563571</v>
      </c>
    </row>
    <row r="15" spans="1:17" ht="15" customHeight="1" x14ac:dyDescent="0.25">
      <c r="A15" s="106"/>
      <c r="B15" s="1" t="s">
        <v>0</v>
      </c>
      <c r="C15" s="80">
        <v>8188.9870000000001</v>
      </c>
      <c r="D15" s="81">
        <v>6200.165</v>
      </c>
      <c r="E15" s="82"/>
      <c r="F15" s="83">
        <v>7289.58</v>
      </c>
      <c r="G15" s="78">
        <f t="shared" si="0"/>
        <v>-10.983128926691421</v>
      </c>
      <c r="H15" s="81">
        <v>6998.7269999999999</v>
      </c>
      <c r="I15" s="76">
        <f t="shared" si="1"/>
        <v>12.879689492134471</v>
      </c>
      <c r="J15" s="81">
        <v>7147.3109999999997</v>
      </c>
      <c r="K15" s="82">
        <f t="shared" si="2"/>
        <v>15.276141844612191</v>
      </c>
      <c r="L15" s="83">
        <v>7803.53</v>
      </c>
      <c r="M15" s="84">
        <f t="shared" si="3"/>
        <v>-4.7070168752252339</v>
      </c>
      <c r="N15" s="81">
        <v>7426.36</v>
      </c>
      <c r="O15" s="76">
        <f t="shared" si="4"/>
        <v>6.1101540322975767</v>
      </c>
      <c r="P15" s="99">
        <f t="shared" si="5"/>
        <v>0.42856793420553835</v>
      </c>
      <c r="Q15" s="99">
        <f t="shared" si="6"/>
        <v>0.5714320657944616</v>
      </c>
    </row>
    <row r="16" spans="1:17" ht="15" customHeight="1" x14ac:dyDescent="0.25">
      <c r="A16" s="102">
        <v>4</v>
      </c>
      <c r="B16" s="4" t="s">
        <v>58</v>
      </c>
      <c r="C16" s="74">
        <v>10351.41</v>
      </c>
      <c r="D16" s="75">
        <v>8137.8450000000003</v>
      </c>
      <c r="E16" s="76"/>
      <c r="F16" s="77">
        <v>9402.8539999999994</v>
      </c>
      <c r="G16" s="85">
        <f t="shared" si="0"/>
        <v>-9.1635439036807593</v>
      </c>
      <c r="H16" s="75">
        <v>8876.8060000000005</v>
      </c>
      <c r="I16" s="86">
        <f t="shared" si="1"/>
        <v>9.0805489659731897</v>
      </c>
      <c r="J16" s="75">
        <v>8845.4629999999997</v>
      </c>
      <c r="K16" s="76">
        <f t="shared" si="2"/>
        <v>8.6953978602443129</v>
      </c>
      <c r="L16" s="77">
        <v>9780.027</v>
      </c>
      <c r="M16" s="78">
        <f t="shared" si="3"/>
        <v>-5.5198567151721338</v>
      </c>
      <c r="N16" s="75">
        <v>9151.2309999999998</v>
      </c>
      <c r="O16" s="86">
        <f t="shared" si="4"/>
        <v>3.0914835809186192</v>
      </c>
    </row>
    <row r="17" spans="1:17" ht="15" customHeight="1" x14ac:dyDescent="0.25">
      <c r="A17" s="102"/>
      <c r="B17" s="4" t="s">
        <v>59</v>
      </c>
      <c r="C17" s="74">
        <v>10390.959999999999</v>
      </c>
      <c r="D17" s="75">
        <v>7594.2749999999996</v>
      </c>
      <c r="E17" s="76"/>
      <c r="F17" s="77">
        <v>8866.1569999999992</v>
      </c>
      <c r="G17" s="78">
        <f t="shared" si="0"/>
        <v>-14.674322680483808</v>
      </c>
      <c r="H17" s="75">
        <v>9094.009</v>
      </c>
      <c r="I17" s="76">
        <f t="shared" si="1"/>
        <v>19.74821823017998</v>
      </c>
      <c r="J17" s="75">
        <v>8436.7289999999994</v>
      </c>
      <c r="K17" s="76">
        <f t="shared" si="2"/>
        <v>11.093277501802334</v>
      </c>
      <c r="L17" s="77">
        <v>9321.1839999999993</v>
      </c>
      <c r="M17" s="78">
        <f t="shared" si="3"/>
        <v>-10.295256646161665</v>
      </c>
      <c r="N17" s="75">
        <v>9555.2260000000006</v>
      </c>
      <c r="O17" s="76">
        <f t="shared" si="4"/>
        <v>5.0716576154697046</v>
      </c>
    </row>
    <row r="18" spans="1:17" ht="15" customHeight="1" x14ac:dyDescent="0.25">
      <c r="A18" s="106"/>
      <c r="B18" s="1" t="s">
        <v>0</v>
      </c>
      <c r="C18" s="80">
        <v>10367.56</v>
      </c>
      <c r="D18" s="81">
        <v>7915.9340000000002</v>
      </c>
      <c r="E18" s="82"/>
      <c r="F18" s="83">
        <v>9183.7489999999998</v>
      </c>
      <c r="G18" s="78">
        <f t="shared" si="0"/>
        <v>-11.41841474753944</v>
      </c>
      <c r="H18" s="81">
        <v>8965.4789999999994</v>
      </c>
      <c r="I18" s="82">
        <f t="shared" si="1"/>
        <v>13.2586375783325</v>
      </c>
      <c r="J18" s="81">
        <v>8678.598</v>
      </c>
      <c r="K18" s="82">
        <f t="shared" si="2"/>
        <v>9.6345421778402773</v>
      </c>
      <c r="L18" s="83">
        <v>9592.7049999999999</v>
      </c>
      <c r="M18" s="84">
        <f t="shared" si="3"/>
        <v>-7.4738414824703225</v>
      </c>
      <c r="N18" s="81">
        <v>9316.1610000000001</v>
      </c>
      <c r="O18" s="76">
        <f t="shared" si="4"/>
        <v>3.9114697608460203</v>
      </c>
      <c r="P18" s="99">
        <f t="shared" si="5"/>
        <v>0.65454282820484022</v>
      </c>
      <c r="Q18" s="99">
        <f t="shared" si="6"/>
        <v>0.34545717179515978</v>
      </c>
    </row>
    <row r="19" spans="1:17" ht="15" customHeight="1" x14ac:dyDescent="0.25">
      <c r="A19" s="102">
        <v>5</v>
      </c>
      <c r="B19" s="4" t="s">
        <v>58</v>
      </c>
      <c r="C19" s="74">
        <v>12916.99</v>
      </c>
      <c r="D19" s="75">
        <v>10798.75</v>
      </c>
      <c r="E19" s="76"/>
      <c r="F19" s="77">
        <v>11981.47</v>
      </c>
      <c r="G19" s="85">
        <f t="shared" si="0"/>
        <v>-7.2425541863855303</v>
      </c>
      <c r="H19" s="75">
        <v>11253.88</v>
      </c>
      <c r="I19" s="86">
        <f t="shared" si="1"/>
        <v>4.214654473897439</v>
      </c>
      <c r="J19" s="75">
        <v>11329.93</v>
      </c>
      <c r="K19" s="76">
        <f t="shared" si="2"/>
        <v>4.9189026507697742</v>
      </c>
      <c r="L19" s="77">
        <v>12304.18</v>
      </c>
      <c r="M19" s="78">
        <f t="shared" si="3"/>
        <v>-4.7442167254135743</v>
      </c>
      <c r="N19" s="75">
        <v>11682.74</v>
      </c>
      <c r="O19" s="86">
        <f t="shared" si="4"/>
        <v>3.8107745950729965</v>
      </c>
    </row>
    <row r="20" spans="1:17" ht="15" customHeight="1" x14ac:dyDescent="0.25">
      <c r="A20" s="102"/>
      <c r="B20" s="4" t="s">
        <v>59</v>
      </c>
      <c r="C20" s="74">
        <v>13068.35</v>
      </c>
      <c r="D20" s="75">
        <v>10406.23</v>
      </c>
      <c r="E20" s="76"/>
      <c r="F20" s="77">
        <v>11510.74</v>
      </c>
      <c r="G20" s="78">
        <f t="shared" si="0"/>
        <v>-11.918949217001384</v>
      </c>
      <c r="H20" s="75">
        <v>11348.48</v>
      </c>
      <c r="I20" s="76">
        <f t="shared" si="1"/>
        <v>9.0546720570273678</v>
      </c>
      <c r="J20" s="75">
        <v>11239.94</v>
      </c>
      <c r="K20" s="76">
        <f t="shared" si="2"/>
        <v>8.0116430253799997</v>
      </c>
      <c r="L20" s="77">
        <v>11967.31</v>
      </c>
      <c r="M20" s="78">
        <f t="shared" si="3"/>
        <v>-8.4252411360271289</v>
      </c>
      <c r="N20" s="75">
        <v>11799.94</v>
      </c>
      <c r="O20" s="76">
        <f t="shared" si="4"/>
        <v>3.9781539025490753</v>
      </c>
    </row>
    <row r="21" spans="1:17" ht="15" customHeight="1" x14ac:dyDescent="0.25">
      <c r="A21" s="106"/>
      <c r="B21" s="1" t="s">
        <v>0</v>
      </c>
      <c r="C21" s="80">
        <v>12979.64</v>
      </c>
      <c r="D21" s="81">
        <v>10636.28</v>
      </c>
      <c r="E21" s="82"/>
      <c r="F21" s="83">
        <v>11786.63</v>
      </c>
      <c r="G21" s="78">
        <f t="shared" si="0"/>
        <v>-9.1913951388482236</v>
      </c>
      <c r="H21" s="81">
        <v>11293.04</v>
      </c>
      <c r="I21" s="82">
        <f t="shared" si="1"/>
        <v>6.1747152199829181</v>
      </c>
      <c r="J21" s="81">
        <v>11292.68</v>
      </c>
      <c r="K21" s="82">
        <f t="shared" si="2"/>
        <v>6.1713305779840244</v>
      </c>
      <c r="L21" s="83">
        <v>12164.75</v>
      </c>
      <c r="M21" s="84">
        <f t="shared" si="3"/>
        <v>-6.2782172695082465</v>
      </c>
      <c r="N21" s="81">
        <v>11731.25</v>
      </c>
      <c r="O21" s="76">
        <f t="shared" si="4"/>
        <v>3.8803546255038457</v>
      </c>
      <c r="P21" s="99">
        <f t="shared" si="5"/>
        <v>0.68305378831694663</v>
      </c>
      <c r="Q21" s="99">
        <f t="shared" si="6"/>
        <v>0.31694621168305337</v>
      </c>
    </row>
    <row r="22" spans="1:17" ht="15" customHeight="1" x14ac:dyDescent="0.25">
      <c r="A22" s="102">
        <v>6</v>
      </c>
      <c r="B22" s="4" t="s">
        <v>58</v>
      </c>
      <c r="C22" s="74">
        <v>16029.31</v>
      </c>
      <c r="D22" s="75">
        <v>13078.47</v>
      </c>
      <c r="E22" s="76"/>
      <c r="F22" s="77">
        <v>14952.7</v>
      </c>
      <c r="G22" s="85">
        <f t="shared" si="0"/>
        <v>-6.7165086956331832</v>
      </c>
      <c r="H22" s="75">
        <v>13798.04</v>
      </c>
      <c r="I22" s="76">
        <f t="shared" si="1"/>
        <v>5.501943270122589</v>
      </c>
      <c r="J22" s="75">
        <v>13504.72</v>
      </c>
      <c r="K22" s="76">
        <f t="shared" si="2"/>
        <v>3.2591732825016928</v>
      </c>
      <c r="L22" s="77">
        <v>15215.55</v>
      </c>
      <c r="M22" s="78">
        <f t="shared" si="3"/>
        <v>-5.076700119967736</v>
      </c>
      <c r="N22" s="75">
        <v>14120.81</v>
      </c>
      <c r="O22" s="86">
        <f t="shared" si="4"/>
        <v>2.3392452841128009</v>
      </c>
    </row>
    <row r="23" spans="1:17" ht="15" customHeight="1" x14ac:dyDescent="0.25">
      <c r="A23" s="102"/>
      <c r="B23" s="4" t="s">
        <v>59</v>
      </c>
      <c r="C23" s="74">
        <v>16003.89</v>
      </c>
      <c r="D23" s="75">
        <v>12742.28</v>
      </c>
      <c r="E23" s="76"/>
      <c r="F23" s="77">
        <v>14685.89</v>
      </c>
      <c r="G23" s="78">
        <f t="shared" si="0"/>
        <v>-8.2354977446108428</v>
      </c>
      <c r="H23" s="75">
        <v>13797.32</v>
      </c>
      <c r="I23" s="76">
        <f t="shared" si="1"/>
        <v>8.2798368894734686</v>
      </c>
      <c r="J23" s="75">
        <v>13345.17</v>
      </c>
      <c r="K23" s="76">
        <f t="shared" si="2"/>
        <v>4.7314138443041553</v>
      </c>
      <c r="L23" s="77">
        <v>15047.09</v>
      </c>
      <c r="M23" s="78">
        <f t="shared" si="3"/>
        <v>-5.9785464658904779</v>
      </c>
      <c r="N23" s="75">
        <v>14277.11</v>
      </c>
      <c r="O23" s="76">
        <f t="shared" si="4"/>
        <v>3.4774144544013064</v>
      </c>
    </row>
    <row r="24" spans="1:17" ht="15" customHeight="1" x14ac:dyDescent="0.25">
      <c r="A24" s="106"/>
      <c r="B24" s="1" t="s">
        <v>0</v>
      </c>
      <c r="C24" s="80">
        <v>16020.38</v>
      </c>
      <c r="D24" s="81">
        <v>12960.43</v>
      </c>
      <c r="E24" s="82"/>
      <c r="F24" s="83">
        <v>14859.02</v>
      </c>
      <c r="G24" s="78">
        <f t="shared" si="0"/>
        <v>-7.2492662471177249</v>
      </c>
      <c r="H24" s="81">
        <v>13797.79</v>
      </c>
      <c r="I24" s="82">
        <f t="shared" si="1"/>
        <v>6.4608967449382604</v>
      </c>
      <c r="J24" s="81">
        <v>13448.7</v>
      </c>
      <c r="K24" s="82">
        <f t="shared" si="2"/>
        <v>3.7673904338050512</v>
      </c>
      <c r="L24" s="83">
        <v>15156.4</v>
      </c>
      <c r="M24" s="84">
        <f t="shared" si="3"/>
        <v>-5.3930056590417941</v>
      </c>
      <c r="N24" s="81">
        <v>14175.69</v>
      </c>
      <c r="O24" s="82">
        <f t="shared" si="4"/>
        <v>2.7388444091408726</v>
      </c>
      <c r="P24" s="99">
        <f t="shared" si="5"/>
        <v>0.74393814148928916</v>
      </c>
      <c r="Q24" s="99">
        <f t="shared" si="6"/>
        <v>0.25606185851071084</v>
      </c>
    </row>
    <row r="25" spans="1:17" ht="15" customHeight="1" x14ac:dyDescent="0.25">
      <c r="A25" s="107">
        <v>7</v>
      </c>
      <c r="B25" s="4" t="s">
        <v>58</v>
      </c>
      <c r="C25" s="74">
        <v>19766.169999999998</v>
      </c>
      <c r="D25" s="75">
        <v>17050.88</v>
      </c>
      <c r="E25" s="76"/>
      <c r="F25" s="77">
        <v>18606.28</v>
      </c>
      <c r="G25" s="85">
        <f t="shared" si="0"/>
        <v>-5.8680563811805753</v>
      </c>
      <c r="H25" s="75">
        <v>17163.21</v>
      </c>
      <c r="I25" s="76">
        <f t="shared" si="1"/>
        <v>0.65879297725395247</v>
      </c>
      <c r="J25" s="75">
        <v>17370.169999999998</v>
      </c>
      <c r="K25" s="76">
        <f t="shared" si="2"/>
        <v>1.8725719728248436</v>
      </c>
      <c r="L25" s="77">
        <v>18828.52</v>
      </c>
      <c r="M25" s="78">
        <f t="shared" si="3"/>
        <v>-4.7437110983058357</v>
      </c>
      <c r="N25" s="75">
        <v>17536.78</v>
      </c>
      <c r="O25" s="76">
        <f t="shared" si="4"/>
        <v>2.176574195619585</v>
      </c>
    </row>
    <row r="26" spans="1:17" ht="15" customHeight="1" x14ac:dyDescent="0.25">
      <c r="A26" s="107"/>
      <c r="B26" s="4" t="s">
        <v>59</v>
      </c>
      <c r="C26" s="74">
        <v>19819.48</v>
      </c>
      <c r="D26" s="75">
        <v>16313.94</v>
      </c>
      <c r="E26" s="76"/>
      <c r="F26" s="77">
        <v>18438.55</v>
      </c>
      <c r="G26" s="78">
        <f t="shared" si="0"/>
        <v>-6.9675390070778835</v>
      </c>
      <c r="H26" s="75">
        <v>17031.93</v>
      </c>
      <c r="I26" s="76">
        <f t="shared" si="1"/>
        <v>4.4010827549935794</v>
      </c>
      <c r="J26" s="75">
        <v>16713.240000000002</v>
      </c>
      <c r="K26" s="76">
        <f t="shared" si="2"/>
        <v>2.4476000279515686</v>
      </c>
      <c r="L26" s="77">
        <v>18707.43</v>
      </c>
      <c r="M26" s="78">
        <f t="shared" si="3"/>
        <v>-5.6108939285995358</v>
      </c>
      <c r="N26" s="75">
        <v>17464.82</v>
      </c>
      <c r="O26" s="76">
        <f t="shared" si="4"/>
        <v>2.541637970564703</v>
      </c>
    </row>
    <row r="27" spans="1:17" ht="15" customHeight="1" x14ac:dyDescent="0.25">
      <c r="A27" s="108"/>
      <c r="B27" s="1" t="s">
        <v>0</v>
      </c>
      <c r="C27" s="80">
        <v>19788.46</v>
      </c>
      <c r="D27" s="81">
        <v>16742.740000000002</v>
      </c>
      <c r="E27" s="82"/>
      <c r="F27" s="83">
        <v>18536.150000000001</v>
      </c>
      <c r="G27" s="78">
        <f t="shared" si="0"/>
        <v>-6.3284864006597719</v>
      </c>
      <c r="H27" s="81">
        <v>17108.32</v>
      </c>
      <c r="I27" s="76">
        <f t="shared" si="1"/>
        <v>2.1835135706580688</v>
      </c>
      <c r="J27" s="81">
        <v>17095.490000000002</v>
      </c>
      <c r="K27" s="82">
        <f t="shared" si="2"/>
        <v>2.1068833416752586</v>
      </c>
      <c r="L27" s="83">
        <v>18777.89</v>
      </c>
      <c r="M27" s="84">
        <f t="shared" si="3"/>
        <v>-5.1068653144307312</v>
      </c>
      <c r="N27" s="81">
        <v>17506.689999999999</v>
      </c>
      <c r="O27" s="76">
        <f t="shared" si="4"/>
        <v>2.3285161839385671</v>
      </c>
      <c r="P27" s="99">
        <f t="shared" si="5"/>
        <v>0.8069647291804749</v>
      </c>
      <c r="Q27" s="99">
        <f t="shared" si="6"/>
        <v>0.1930352708195251</v>
      </c>
    </row>
    <row r="28" spans="1:17" ht="15" customHeight="1" x14ac:dyDescent="0.25">
      <c r="A28" s="102">
        <v>8</v>
      </c>
      <c r="B28" s="4" t="s">
        <v>58</v>
      </c>
      <c r="C28" s="74">
        <v>24918.61</v>
      </c>
      <c r="D28" s="75">
        <v>21643.42</v>
      </c>
      <c r="E28" s="76"/>
      <c r="F28" s="77">
        <v>23918.05</v>
      </c>
      <c r="G28" s="85">
        <f t="shared" si="0"/>
        <v>-4.0153122505629408</v>
      </c>
      <c r="H28" s="75">
        <v>21539.68</v>
      </c>
      <c r="I28" s="86">
        <f t="shared" si="1"/>
        <v>-0.47931426733851534</v>
      </c>
      <c r="J28" s="75">
        <v>21893.54</v>
      </c>
      <c r="K28" s="76">
        <f t="shared" si="2"/>
        <v>1.1556399127309991</v>
      </c>
      <c r="L28" s="77">
        <v>24109.03</v>
      </c>
      <c r="M28" s="78">
        <f t="shared" si="3"/>
        <v>-3.2488971094294605</v>
      </c>
      <c r="N28" s="75">
        <v>21922.71</v>
      </c>
      <c r="O28" s="86">
        <f t="shared" si="4"/>
        <v>1.7782529731175112</v>
      </c>
    </row>
    <row r="29" spans="1:17" ht="15" customHeight="1" x14ac:dyDescent="0.25">
      <c r="A29" s="102"/>
      <c r="B29" s="4" t="s">
        <v>59</v>
      </c>
      <c r="C29" s="74">
        <v>25243.15</v>
      </c>
      <c r="D29" s="75">
        <v>21842.46</v>
      </c>
      <c r="E29" s="76"/>
      <c r="F29" s="77">
        <v>24006.34</v>
      </c>
      <c r="G29" s="78">
        <f t="shared" si="0"/>
        <v>-4.8995866205287397</v>
      </c>
      <c r="H29" s="75">
        <v>22039.83</v>
      </c>
      <c r="I29" s="76">
        <f t="shared" si="1"/>
        <v>0.90360701129819088</v>
      </c>
      <c r="J29" s="75">
        <v>22231.05</v>
      </c>
      <c r="K29" s="76">
        <f t="shared" si="2"/>
        <v>1.7790578533736667</v>
      </c>
      <c r="L29" s="77">
        <v>24269.11</v>
      </c>
      <c r="M29" s="78">
        <f t="shared" si="3"/>
        <v>-3.8586309553284792</v>
      </c>
      <c r="N29" s="75">
        <v>22470.62</v>
      </c>
      <c r="O29" s="76">
        <f t="shared" si="4"/>
        <v>1.9545976534301568</v>
      </c>
    </row>
    <row r="30" spans="1:17" ht="15" customHeight="1" x14ac:dyDescent="0.25">
      <c r="A30" s="106"/>
      <c r="B30" s="1" t="s">
        <v>0</v>
      </c>
      <c r="C30" s="80">
        <v>25035.95</v>
      </c>
      <c r="D30" s="81">
        <v>21715.39</v>
      </c>
      <c r="E30" s="82"/>
      <c r="F30" s="83">
        <v>23949.98</v>
      </c>
      <c r="G30" s="78">
        <f t="shared" si="0"/>
        <v>-4.3376424701279559</v>
      </c>
      <c r="H30" s="81">
        <v>21720.52</v>
      </c>
      <c r="I30" s="76">
        <f t="shared" si="1"/>
        <v>2.3623798605498791E-2</v>
      </c>
      <c r="J30" s="81">
        <v>22015.58</v>
      </c>
      <c r="K30" s="82">
        <f t="shared" si="2"/>
        <v>1.3823836458843441</v>
      </c>
      <c r="L30" s="83">
        <v>24166.91</v>
      </c>
      <c r="M30" s="84">
        <f t="shared" si="3"/>
        <v>-3.4711684597548809</v>
      </c>
      <c r="N30" s="81">
        <v>22120.81</v>
      </c>
      <c r="O30" s="76">
        <f t="shared" si="4"/>
        <v>1.8429116798308831</v>
      </c>
      <c r="P30" s="99">
        <f t="shared" si="5"/>
        <v>0.80024310063814108</v>
      </c>
      <c r="Q30" s="99">
        <f t="shared" si="6"/>
        <v>0.19975689936185892</v>
      </c>
    </row>
    <row r="31" spans="1:17" ht="15" customHeight="1" x14ac:dyDescent="0.25">
      <c r="A31" s="102">
        <v>9</v>
      </c>
      <c r="B31" s="4" t="s">
        <v>58</v>
      </c>
      <c r="C31" s="74">
        <v>33496.910000000003</v>
      </c>
      <c r="D31" s="75">
        <v>28864.39</v>
      </c>
      <c r="E31" s="76"/>
      <c r="F31" s="77">
        <v>32104.32</v>
      </c>
      <c r="G31" s="85">
        <f t="shared" si="0"/>
        <v>-4.1573685453374809</v>
      </c>
      <c r="H31" s="75">
        <v>28270.49</v>
      </c>
      <c r="I31" s="86">
        <f t="shared" si="1"/>
        <v>-2.0575525760287983</v>
      </c>
      <c r="J31" s="75">
        <v>29086.2</v>
      </c>
      <c r="K31" s="76">
        <f t="shared" si="2"/>
        <v>0.7684555259958703</v>
      </c>
      <c r="L31" s="77">
        <v>32251.75</v>
      </c>
      <c r="M31" s="78">
        <f t="shared" si="3"/>
        <v>-3.717238396019229</v>
      </c>
      <c r="N31" s="75">
        <v>28527.16</v>
      </c>
      <c r="O31" s="86">
        <f t="shared" si="4"/>
        <v>0.90790785727448142</v>
      </c>
    </row>
    <row r="32" spans="1:17" ht="15" customHeight="1" x14ac:dyDescent="0.25">
      <c r="A32" s="102"/>
      <c r="B32" s="4" t="s">
        <v>59</v>
      </c>
      <c r="C32" s="74">
        <v>33553.120000000003</v>
      </c>
      <c r="D32" s="75">
        <v>29306.04</v>
      </c>
      <c r="E32" s="76"/>
      <c r="F32" s="77">
        <v>32431.15</v>
      </c>
      <c r="G32" s="78">
        <f t="shared" si="0"/>
        <v>-3.3438619120964019</v>
      </c>
      <c r="H32" s="75">
        <v>29186.19</v>
      </c>
      <c r="I32" s="76">
        <f t="shared" si="1"/>
        <v>-0.40896006420519937</v>
      </c>
      <c r="J32" s="75">
        <v>29518.87</v>
      </c>
      <c r="K32" s="76">
        <f t="shared" si="2"/>
        <v>0.72623254455395081</v>
      </c>
      <c r="L32" s="77">
        <v>32578.91</v>
      </c>
      <c r="M32" s="78">
        <f t="shared" si="3"/>
        <v>-2.9034855774962343</v>
      </c>
      <c r="N32" s="75">
        <v>29433.58</v>
      </c>
      <c r="O32" s="76">
        <f t="shared" si="4"/>
        <v>0.8476269084796817</v>
      </c>
    </row>
    <row r="33" spans="1:17" ht="15" customHeight="1" x14ac:dyDescent="0.25">
      <c r="A33" s="106"/>
      <c r="B33" s="1" t="s">
        <v>0</v>
      </c>
      <c r="C33" s="80">
        <v>33516.559999999998</v>
      </c>
      <c r="D33" s="81">
        <v>29018.77</v>
      </c>
      <c r="E33" s="82"/>
      <c r="F33" s="83">
        <v>32218.560000000001</v>
      </c>
      <c r="G33" s="78">
        <f t="shared" si="0"/>
        <v>-3.8727124740725039</v>
      </c>
      <c r="H33" s="81">
        <v>28590.560000000001</v>
      </c>
      <c r="I33" s="82">
        <f t="shared" si="1"/>
        <v>-1.4756311173767855</v>
      </c>
      <c r="J33" s="81">
        <v>29237.439999999999</v>
      </c>
      <c r="K33" s="82">
        <f t="shared" si="2"/>
        <v>0.75354675611680744</v>
      </c>
      <c r="L33" s="83">
        <v>32366.11</v>
      </c>
      <c r="M33" s="84">
        <f t="shared" si="3"/>
        <v>-3.4324823311222774</v>
      </c>
      <c r="N33" s="81">
        <v>28843.99</v>
      </c>
      <c r="O33" s="76">
        <f t="shared" si="4"/>
        <v>0.88641145888712636</v>
      </c>
      <c r="P33" s="99">
        <f t="shared" si="5"/>
        <v>0.88632511556240445</v>
      </c>
      <c r="Q33" s="99">
        <f t="shared" si="6"/>
        <v>0.11367488443759555</v>
      </c>
    </row>
    <row r="34" spans="1:17" ht="15" customHeight="1" x14ac:dyDescent="0.25">
      <c r="A34" s="107">
        <v>10</v>
      </c>
      <c r="B34" s="4" t="s">
        <v>58</v>
      </c>
      <c r="C34" s="74">
        <v>64140.62</v>
      </c>
      <c r="D34" s="87">
        <v>54420</v>
      </c>
      <c r="E34" s="76"/>
      <c r="F34" s="77">
        <v>61820.19</v>
      </c>
      <c r="G34" s="85">
        <f t="shared" si="0"/>
        <v>-3.6177230591160514</v>
      </c>
      <c r="H34" s="75">
        <v>52602.720000000001</v>
      </c>
      <c r="I34" s="86">
        <f t="shared" si="1"/>
        <v>-3.3393605292171946</v>
      </c>
      <c r="J34" s="75">
        <v>54571.47</v>
      </c>
      <c r="K34" s="76">
        <f t="shared" si="2"/>
        <v>0.27833517089306259</v>
      </c>
      <c r="L34" s="77">
        <v>61918.39</v>
      </c>
      <c r="M34" s="78">
        <f t="shared" si="3"/>
        <v>-3.4646219509571363</v>
      </c>
      <c r="N34" s="75">
        <v>52741.46</v>
      </c>
      <c r="O34" s="86">
        <f t="shared" si="4"/>
        <v>0.26375061973982206</v>
      </c>
    </row>
    <row r="35" spans="1:17" ht="15" customHeight="1" x14ac:dyDescent="0.25">
      <c r="A35" s="107"/>
      <c r="B35" s="4" t="s">
        <v>59</v>
      </c>
      <c r="C35" s="79">
        <v>65255.519999999997</v>
      </c>
      <c r="D35" s="87">
        <v>55919.73</v>
      </c>
      <c r="E35" s="76"/>
      <c r="F35" s="77">
        <v>63239.8</v>
      </c>
      <c r="G35" s="78">
        <f t="shared" si="0"/>
        <v>-3.0889647343243842</v>
      </c>
      <c r="H35" s="75">
        <v>55082.35</v>
      </c>
      <c r="I35" s="76">
        <f t="shared" si="1"/>
        <v>-1.4974678883463932</v>
      </c>
      <c r="J35" s="75">
        <v>56134.19</v>
      </c>
      <c r="K35" s="76">
        <f t="shared" si="2"/>
        <v>0.3835140119596403</v>
      </c>
      <c r="L35" s="77">
        <v>63364.63</v>
      </c>
      <c r="M35" s="78">
        <f t="shared" si="3"/>
        <v>-2.8976705725431318</v>
      </c>
      <c r="N35" s="75">
        <v>55220.25</v>
      </c>
      <c r="O35" s="76">
        <f t="shared" si="4"/>
        <v>0.2503524268663293</v>
      </c>
    </row>
    <row r="36" spans="1:17" ht="15" customHeight="1" thickBot="1" x14ac:dyDescent="0.3">
      <c r="A36" s="109"/>
      <c r="B36" s="3" t="s">
        <v>0</v>
      </c>
      <c r="C36" s="88">
        <v>64559.51</v>
      </c>
      <c r="D36" s="89">
        <v>54983.48</v>
      </c>
      <c r="E36" s="90"/>
      <c r="F36" s="91">
        <v>62353.56</v>
      </c>
      <c r="G36" s="95">
        <f t="shared" si="0"/>
        <v>-3.4169249425839876</v>
      </c>
      <c r="H36" s="89">
        <v>53534.37</v>
      </c>
      <c r="I36" s="76">
        <f t="shared" si="1"/>
        <v>-2.6355370740447914</v>
      </c>
      <c r="J36" s="89">
        <v>55158.61</v>
      </c>
      <c r="K36" s="76">
        <f t="shared" si="2"/>
        <v>0.31851385179693104</v>
      </c>
      <c r="L36" s="91">
        <v>62461.77</v>
      </c>
      <c r="M36" s="95">
        <f t="shared" si="3"/>
        <v>-3.2493121462663033</v>
      </c>
      <c r="N36" s="89">
        <v>53672.79</v>
      </c>
      <c r="O36" s="76">
        <f t="shared" si="4"/>
        <v>0.25856286344640989</v>
      </c>
      <c r="P36" s="99">
        <f t="shared" si="5"/>
        <v>0.95094630431333671</v>
      </c>
      <c r="Q36" s="99">
        <f t="shared" si="6"/>
        <v>4.905369568666329E-2</v>
      </c>
    </row>
    <row r="37" spans="1:17" x14ac:dyDescent="0.25">
      <c r="A37" s="101" t="s">
        <v>94</v>
      </c>
      <c r="B37" s="4" t="s">
        <v>58</v>
      </c>
      <c r="C37" s="92">
        <v>20717.02</v>
      </c>
      <c r="D37" s="75">
        <v>17458.46</v>
      </c>
      <c r="E37" s="76"/>
      <c r="F37" s="77">
        <v>19620.93</v>
      </c>
      <c r="G37" s="78">
        <f t="shared" si="0"/>
        <v>-5.2907705838001746</v>
      </c>
      <c r="H37" s="75">
        <v>17540.86</v>
      </c>
      <c r="I37" s="94">
        <f t="shared" si="1"/>
        <v>0.47197748255001226</v>
      </c>
      <c r="J37" s="75">
        <v>18013.990000000002</v>
      </c>
      <c r="K37" s="94">
        <f t="shared" si="2"/>
        <v>3.1820103262258037</v>
      </c>
      <c r="L37" s="77">
        <v>19945.97</v>
      </c>
      <c r="M37" s="78">
        <f t="shared" si="3"/>
        <v>-3.7218190647110405</v>
      </c>
      <c r="N37" s="75">
        <v>17894.22</v>
      </c>
      <c r="O37" s="94">
        <f t="shared" si="4"/>
        <v>2.0144964386010766</v>
      </c>
      <c r="P37" s="99">
        <f>M37/G37</f>
        <v>0.70345500825662122</v>
      </c>
      <c r="Q37" s="99">
        <f t="shared" si="6"/>
        <v>0.29654499174337878</v>
      </c>
    </row>
    <row r="38" spans="1:17" ht="15" customHeight="1" x14ac:dyDescent="0.25">
      <c r="A38" s="102"/>
      <c r="B38" s="4" t="s">
        <v>59</v>
      </c>
      <c r="C38" s="79">
        <v>18746.57</v>
      </c>
      <c r="D38" s="75">
        <v>15447.23</v>
      </c>
      <c r="E38" s="76"/>
      <c r="F38" s="77">
        <v>17473.900000000001</v>
      </c>
      <c r="G38" s="78">
        <f t="shared" si="0"/>
        <v>-6.7888152339334535</v>
      </c>
      <c r="H38" s="75">
        <v>16097.35</v>
      </c>
      <c r="I38" s="76">
        <f t="shared" si="1"/>
        <v>4.2086510008590539</v>
      </c>
      <c r="J38" s="75">
        <v>16211.4</v>
      </c>
      <c r="K38" s="76">
        <f t="shared" si="2"/>
        <v>4.9469710750730034</v>
      </c>
      <c r="L38" s="77">
        <v>17914.259999999998</v>
      </c>
      <c r="M38" s="78">
        <f t="shared" si="3"/>
        <v>-4.4397988538703466</v>
      </c>
      <c r="N38" s="75">
        <v>16561.78</v>
      </c>
      <c r="O38" s="76">
        <f t="shared" si="4"/>
        <v>2.885133267276907</v>
      </c>
      <c r="P38" s="100">
        <f>M38/G38</f>
        <v>0.65398728657075533</v>
      </c>
      <c r="Q38" s="100">
        <f t="shared" si="6"/>
        <v>0.34601271342924467</v>
      </c>
    </row>
    <row r="39" spans="1:17" ht="15" customHeight="1" thickBot="1" x14ac:dyDescent="0.3">
      <c r="A39" s="103"/>
      <c r="B39" s="3" t="s">
        <v>94</v>
      </c>
      <c r="C39" s="88">
        <v>19913.98</v>
      </c>
      <c r="D39" s="89">
        <v>16638.8</v>
      </c>
      <c r="E39" s="90"/>
      <c r="F39" s="91">
        <v>18745.93</v>
      </c>
      <c r="G39" s="95">
        <f t="shared" si="0"/>
        <v>-5.8654774183764307</v>
      </c>
      <c r="H39" s="89">
        <v>16952.57</v>
      </c>
      <c r="I39" s="76">
        <f t="shared" si="1"/>
        <v>1.8857730124768546</v>
      </c>
      <c r="J39" s="89">
        <v>17279.37</v>
      </c>
      <c r="K39" s="90">
        <f t="shared" si="2"/>
        <v>3.8498569608385269</v>
      </c>
      <c r="L39" s="91">
        <v>19117.97</v>
      </c>
      <c r="M39" s="95">
        <f t="shared" si="3"/>
        <v>-3.9972421384374068</v>
      </c>
      <c r="N39" s="89">
        <v>17351.2</v>
      </c>
      <c r="O39" s="90">
        <f t="shared" si="4"/>
        <v>2.3514428785724073</v>
      </c>
      <c r="P39" s="99">
        <f>M39/G39</f>
        <v>0.68148623774667039</v>
      </c>
      <c r="Q39" s="99">
        <f>1-P39</f>
        <v>0.31851376225332961</v>
      </c>
    </row>
    <row r="40" spans="1:17" x14ac:dyDescent="0.25">
      <c r="I40" s="73"/>
    </row>
  </sheetData>
  <mergeCells count="22">
    <mergeCell ref="A1:O1"/>
    <mergeCell ref="A3:A6"/>
    <mergeCell ref="B3:B6"/>
    <mergeCell ref="D3:I3"/>
    <mergeCell ref="J3:O3"/>
    <mergeCell ref="D4:E4"/>
    <mergeCell ref="F4:G4"/>
    <mergeCell ref="H4:I4"/>
    <mergeCell ref="J4:K4"/>
    <mergeCell ref="L4:M4"/>
    <mergeCell ref="A37:A39"/>
    <mergeCell ref="N4:O4"/>
    <mergeCell ref="A7:A9"/>
    <mergeCell ref="A10:A12"/>
    <mergeCell ref="A13:A15"/>
    <mergeCell ref="A16:A18"/>
    <mergeCell ref="A19:A21"/>
    <mergeCell ref="A22:A24"/>
    <mergeCell ref="A25:A27"/>
    <mergeCell ref="A28:A30"/>
    <mergeCell ref="A31:A33"/>
    <mergeCell ref="A34:A36"/>
  </mergeCells>
  <pageMargins left="0.7" right="0.7" top="0.75" bottom="0.75" header="0.3" footer="0.3"/>
  <pageSetup scale="42" orientation="portrait" r:id="rId1"/>
  <ignoredErrors>
    <ignoredError sqref="A9:B9 E9 A7 A8 A12:B12 A10:A11 A15:B15 A13:A14 A18:B18 A16:A17 A21:B21 A19:A20 A24:B24 A22:A23 A27:B27 A25:A26 A30:B30 A28:A29 A33:B33 A31:A32 A36:B36 A34:A35 A39 A38 E7 E12 E10 E15 E13 E18 E16 E21 E19 E24 E22 E27 E25 E30 E28 E33 E31 E39 E34 E8 E11 E14 E17 E20 E23 E26 E29 E32 E35 E36 E37 E38"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F089-3876-4585-884A-087B5D3CC5AD}">
  <sheetPr>
    <tabColor rgb="FFFF0000"/>
  </sheetPr>
  <dimension ref="A1:Q43"/>
  <sheetViews>
    <sheetView view="pageBreakPreview" zoomScale="80" zoomScaleNormal="80" zoomScaleSheetLayoutView="80" workbookViewId="0">
      <pane xSplit="2" ySplit="6" topLeftCell="C7" activePane="bottomRight" state="frozen"/>
      <selection activeCell="A3" sqref="A3:A5"/>
      <selection pane="topRight" activeCell="A3" sqref="A3:A5"/>
      <selection pane="bottomLeft" activeCell="A3" sqref="A3:A5"/>
      <selection pane="bottomRight" sqref="A1:O1"/>
    </sheetView>
  </sheetViews>
  <sheetFormatPr baseColWidth="10" defaultColWidth="11.42578125" defaultRowHeight="15" x14ac:dyDescent="0.25"/>
  <cols>
    <col min="1" max="1" width="35.7109375" style="2" customWidth="1"/>
    <col min="2" max="2" width="14.28515625" style="2" customWidth="1"/>
    <col min="3" max="3" width="14.140625" style="2" customWidth="1"/>
    <col min="4" max="4" width="10" style="2" customWidth="1"/>
    <col min="5" max="5" width="8.7109375" style="2" customWidth="1"/>
    <col min="6" max="6" width="10" style="2" customWidth="1"/>
    <col min="7" max="7" width="14.28515625" style="2" customWidth="1"/>
    <col min="8" max="8" width="10" style="2" customWidth="1"/>
    <col min="9" max="9" width="14.28515625" style="2" customWidth="1"/>
    <col min="10" max="10" width="10.140625" style="2" customWidth="1"/>
    <col min="11" max="11" width="11.5703125" style="2" customWidth="1"/>
    <col min="12" max="12" width="10.140625" style="2" customWidth="1"/>
    <col min="13" max="13" width="14.28515625" style="2" customWidth="1"/>
    <col min="14" max="14" width="10.140625" style="2" customWidth="1"/>
    <col min="15" max="15" width="12.85546875" style="2" customWidth="1"/>
    <col min="16" max="16384" width="11.42578125" style="2"/>
  </cols>
  <sheetData>
    <row r="1" spans="1:17" ht="18.75" x14ac:dyDescent="0.25">
      <c r="A1" s="110" t="s">
        <v>117</v>
      </c>
      <c r="B1" s="110"/>
      <c r="C1" s="110"/>
      <c r="D1" s="110"/>
      <c r="E1" s="110"/>
      <c r="F1" s="110"/>
      <c r="G1" s="110"/>
      <c r="H1" s="110"/>
      <c r="I1" s="110"/>
      <c r="J1" s="110"/>
      <c r="K1" s="110"/>
      <c r="L1" s="110"/>
      <c r="M1" s="110"/>
      <c r="N1" s="110"/>
      <c r="O1" s="110"/>
    </row>
    <row r="2" spans="1:17" ht="15.75" thickBot="1" x14ac:dyDescent="0.3"/>
    <row r="3" spans="1:17" ht="30" customHeight="1" thickBot="1" x14ac:dyDescent="0.3">
      <c r="A3" s="130" t="s">
        <v>115</v>
      </c>
      <c r="B3" s="114" t="s">
        <v>57</v>
      </c>
      <c r="C3" s="17" t="s">
        <v>112</v>
      </c>
      <c r="D3" s="117" t="s">
        <v>114</v>
      </c>
      <c r="E3" s="104"/>
      <c r="F3" s="104"/>
      <c r="G3" s="104"/>
      <c r="H3" s="104"/>
      <c r="I3" s="105"/>
      <c r="J3" s="117" t="s">
        <v>113</v>
      </c>
      <c r="K3" s="104"/>
      <c r="L3" s="104"/>
      <c r="M3" s="104"/>
      <c r="N3" s="104"/>
      <c r="O3" s="105"/>
    </row>
    <row r="4" spans="1:17" ht="22.5" customHeight="1" thickBot="1" x14ac:dyDescent="0.3">
      <c r="A4" s="131"/>
      <c r="B4" s="115"/>
      <c r="C4" s="11" t="s">
        <v>56</v>
      </c>
      <c r="D4" s="117" t="s">
        <v>110</v>
      </c>
      <c r="E4" s="104"/>
      <c r="F4" s="118" t="s">
        <v>109</v>
      </c>
      <c r="G4" s="119"/>
      <c r="H4" s="104" t="s">
        <v>111</v>
      </c>
      <c r="I4" s="105"/>
      <c r="J4" s="117" t="s">
        <v>110</v>
      </c>
      <c r="K4" s="104"/>
      <c r="L4" s="118" t="s">
        <v>109</v>
      </c>
      <c r="M4" s="119"/>
      <c r="N4" s="104" t="s">
        <v>111</v>
      </c>
      <c r="O4" s="105"/>
    </row>
    <row r="5" spans="1:17" ht="22.5" customHeight="1" thickBot="1" x14ac:dyDescent="0.3">
      <c r="A5" s="131"/>
      <c r="B5" s="115"/>
      <c r="C5" s="12" t="s">
        <v>2</v>
      </c>
      <c r="D5" s="9" t="s">
        <v>3</v>
      </c>
      <c r="E5" s="10" t="s">
        <v>4</v>
      </c>
      <c r="F5" s="14" t="s">
        <v>5</v>
      </c>
      <c r="G5" s="12" t="s">
        <v>6</v>
      </c>
      <c r="H5" s="9" t="s">
        <v>7</v>
      </c>
      <c r="I5" s="10" t="s">
        <v>8</v>
      </c>
      <c r="J5" s="9" t="s">
        <v>9</v>
      </c>
      <c r="K5" s="10" t="s">
        <v>10</v>
      </c>
      <c r="L5" s="16" t="s">
        <v>11</v>
      </c>
      <c r="M5" s="12" t="s">
        <v>12</v>
      </c>
      <c r="N5" s="9" t="s">
        <v>13</v>
      </c>
      <c r="O5" s="10" t="s">
        <v>14</v>
      </c>
    </row>
    <row r="6" spans="1:17" ht="37.5" customHeight="1" thickBot="1" x14ac:dyDescent="0.3">
      <c r="A6" s="132"/>
      <c r="B6" s="116"/>
      <c r="C6" s="13" t="s">
        <v>103</v>
      </c>
      <c r="D6" s="5" t="s">
        <v>103</v>
      </c>
      <c r="E6" s="6"/>
      <c r="F6" s="72" t="s">
        <v>103</v>
      </c>
      <c r="G6" s="15" t="s">
        <v>95</v>
      </c>
      <c r="H6" s="5" t="s">
        <v>103</v>
      </c>
      <c r="I6" s="8" t="s">
        <v>96</v>
      </c>
      <c r="J6" s="5" t="s">
        <v>103</v>
      </c>
      <c r="K6" s="8" t="s">
        <v>97</v>
      </c>
      <c r="L6" s="72" t="s">
        <v>103</v>
      </c>
      <c r="M6" s="15" t="s">
        <v>98</v>
      </c>
      <c r="N6" s="5" t="s">
        <v>103</v>
      </c>
      <c r="O6" s="8" t="s">
        <v>99</v>
      </c>
    </row>
    <row r="7" spans="1:17" ht="15" customHeight="1" x14ac:dyDescent="0.25">
      <c r="A7" s="126" t="s">
        <v>60</v>
      </c>
      <c r="B7" s="4" t="s">
        <v>58</v>
      </c>
      <c r="C7" s="74">
        <v>56304.42</v>
      </c>
      <c r="D7" s="75">
        <v>40918.589999999997</v>
      </c>
      <c r="E7" s="76"/>
      <c r="F7" s="77">
        <v>53038.29</v>
      </c>
      <c r="G7" s="78">
        <f t="shared" ref="G7:G42" si="0">(F7/$C7-1)*100</f>
        <v>-5.8008412128212949</v>
      </c>
      <c r="H7" s="75">
        <v>39632.04</v>
      </c>
      <c r="I7" s="76">
        <f t="shared" ref="I7:I42" si="1">(H7/$D7-1)*100</f>
        <v>-3.1441699237437004</v>
      </c>
      <c r="J7" s="75">
        <v>41331.199999999997</v>
      </c>
      <c r="K7" s="76">
        <f t="shared" ref="K7:K42" si="2">(J7/$D7-1)*100</f>
        <v>1.0083680791542537</v>
      </c>
      <c r="L7" s="77">
        <v>53232.160000000003</v>
      </c>
      <c r="M7" s="78">
        <f t="shared" ref="M7:M42" si="3">(L7/$C7-1)*100</f>
        <v>-5.4565165576698877</v>
      </c>
      <c r="N7" s="75">
        <v>39747.08</v>
      </c>
      <c r="O7" s="76">
        <f t="shared" ref="O7:O42" si="4">(N7/H7-1)*100</f>
        <v>0.29027019552867461</v>
      </c>
    </row>
    <row r="8" spans="1:17" ht="15" customHeight="1" x14ac:dyDescent="0.25">
      <c r="A8" s="124"/>
      <c r="B8" s="4" t="s">
        <v>59</v>
      </c>
      <c r="C8" s="79">
        <v>45107.98</v>
      </c>
      <c r="D8" s="75">
        <v>27249.21</v>
      </c>
      <c r="E8" s="76"/>
      <c r="F8" s="77">
        <v>42228.160000000003</v>
      </c>
      <c r="G8" s="78">
        <f t="shared" si="0"/>
        <v>-6.3842805641041718</v>
      </c>
      <c r="H8" s="75">
        <v>39299.35</v>
      </c>
      <c r="I8" s="76">
        <f t="shared" si="1"/>
        <v>44.221979279399278</v>
      </c>
      <c r="J8" s="75">
        <v>27869.94</v>
      </c>
      <c r="K8" s="76">
        <f t="shared" si="2"/>
        <v>2.2779742972365069</v>
      </c>
      <c r="L8" s="77">
        <v>42571.35</v>
      </c>
      <c r="M8" s="78">
        <f t="shared" si="3"/>
        <v>-5.6234617466798698</v>
      </c>
      <c r="N8" s="75">
        <v>39560.699999999997</v>
      </c>
      <c r="O8" s="76">
        <f t="shared" si="4"/>
        <v>0.66502372176637792</v>
      </c>
    </row>
    <row r="9" spans="1:17" ht="15" customHeight="1" x14ac:dyDescent="0.25">
      <c r="A9" s="125"/>
      <c r="B9" s="1" t="s">
        <v>0</v>
      </c>
      <c r="C9" s="80">
        <v>53055.75</v>
      </c>
      <c r="D9" s="81">
        <v>36952.400000000001</v>
      </c>
      <c r="E9" s="82"/>
      <c r="F9" s="83">
        <v>49901.71</v>
      </c>
      <c r="G9" s="78">
        <f t="shared" si="0"/>
        <v>-5.9447656474557409</v>
      </c>
      <c r="H9" s="81">
        <v>39535.5</v>
      </c>
      <c r="I9" s="82">
        <f t="shared" si="1"/>
        <v>6.9903443348740435</v>
      </c>
      <c r="J9" s="81">
        <v>37425.39</v>
      </c>
      <c r="K9" s="82">
        <f t="shared" si="2"/>
        <v>1.279998051547393</v>
      </c>
      <c r="L9" s="83">
        <v>50138.91</v>
      </c>
      <c r="M9" s="84">
        <f t="shared" si="3"/>
        <v>-5.4976887519260327</v>
      </c>
      <c r="N9" s="81">
        <v>39693</v>
      </c>
      <c r="O9" s="76">
        <f t="shared" si="4"/>
        <v>0.3983761429601218</v>
      </c>
      <c r="P9" s="99">
        <f>M9/G9</f>
        <v>0.92479486626675522</v>
      </c>
      <c r="Q9" s="99">
        <f>1-P9</f>
        <v>7.5205133733244778E-2</v>
      </c>
    </row>
    <row r="10" spans="1:17" ht="15" customHeight="1" x14ac:dyDescent="0.25">
      <c r="A10" s="123" t="s">
        <v>61</v>
      </c>
      <c r="B10" s="4" t="s">
        <v>58</v>
      </c>
      <c r="C10" s="74">
        <v>21323.77</v>
      </c>
      <c r="D10" s="75">
        <v>17459.009999999998</v>
      </c>
      <c r="E10" s="76"/>
      <c r="F10" s="77">
        <v>19812.11</v>
      </c>
      <c r="G10" s="85">
        <f t="shared" si="0"/>
        <v>-7.089084153505687</v>
      </c>
      <c r="H10" s="75">
        <v>17613.25</v>
      </c>
      <c r="I10" s="76">
        <f t="shared" si="1"/>
        <v>0.88344069910035739</v>
      </c>
      <c r="J10" s="75">
        <v>18030.3</v>
      </c>
      <c r="K10" s="76">
        <f t="shared" si="2"/>
        <v>3.2721786630513394</v>
      </c>
      <c r="L10" s="77">
        <v>20121.04</v>
      </c>
      <c r="M10" s="78">
        <f t="shared" si="3"/>
        <v>-5.6403253270880356</v>
      </c>
      <c r="N10" s="75">
        <v>17836.45</v>
      </c>
      <c r="O10" s="86">
        <f t="shared" si="4"/>
        <v>1.2672277972549217</v>
      </c>
    </row>
    <row r="11" spans="1:17" ht="15" customHeight="1" x14ac:dyDescent="0.25">
      <c r="A11" s="124"/>
      <c r="B11" s="4" t="s">
        <v>59</v>
      </c>
      <c r="C11" s="74">
        <v>21033.1</v>
      </c>
      <c r="D11" s="75">
        <v>16804.18</v>
      </c>
      <c r="E11" s="76"/>
      <c r="F11" s="77">
        <v>19344.05</v>
      </c>
      <c r="G11" s="78">
        <f t="shared" si="0"/>
        <v>-8.0304377386119956</v>
      </c>
      <c r="H11" s="75">
        <v>17788.740000000002</v>
      </c>
      <c r="I11" s="76">
        <f t="shared" si="1"/>
        <v>5.8590184108954002</v>
      </c>
      <c r="J11" s="75">
        <v>17568.96</v>
      </c>
      <c r="K11" s="76">
        <f t="shared" si="2"/>
        <v>4.5511295403881658</v>
      </c>
      <c r="L11" s="77">
        <v>19783.22</v>
      </c>
      <c r="M11" s="78">
        <f t="shared" si="3"/>
        <v>-5.9424431015874912</v>
      </c>
      <c r="N11" s="75">
        <v>18212.03</v>
      </c>
      <c r="O11" s="76">
        <f t="shared" si="4"/>
        <v>2.3795389667846001</v>
      </c>
    </row>
    <row r="12" spans="1:17" ht="15" customHeight="1" x14ac:dyDescent="0.25">
      <c r="A12" s="125"/>
      <c r="B12" s="1" t="s">
        <v>0</v>
      </c>
      <c r="C12" s="80">
        <v>21215.55</v>
      </c>
      <c r="D12" s="81">
        <v>17215.21</v>
      </c>
      <c r="E12" s="82"/>
      <c r="F12" s="83">
        <v>19637.849999999999</v>
      </c>
      <c r="G12" s="78">
        <f t="shared" si="0"/>
        <v>-7.4365265100362787</v>
      </c>
      <c r="H12" s="81">
        <v>17678.580000000002</v>
      </c>
      <c r="I12" s="76">
        <f t="shared" si="1"/>
        <v>2.6916314119897589</v>
      </c>
      <c r="J12" s="81">
        <v>17858.54</v>
      </c>
      <c r="K12" s="82">
        <f t="shared" si="2"/>
        <v>3.7369860722001214</v>
      </c>
      <c r="L12" s="83">
        <v>19995.259999999998</v>
      </c>
      <c r="M12" s="84">
        <f t="shared" si="3"/>
        <v>-5.7518659662370357</v>
      </c>
      <c r="N12" s="81">
        <v>17976.28</v>
      </c>
      <c r="O12" s="82">
        <f t="shared" si="4"/>
        <v>1.6839587794947208</v>
      </c>
      <c r="P12" s="99">
        <f>M12/G12</f>
        <v>0.7734613678139064</v>
      </c>
      <c r="Q12" s="99">
        <f>1-P12</f>
        <v>0.2265386321860936</v>
      </c>
    </row>
    <row r="13" spans="1:17" ht="15" customHeight="1" x14ac:dyDescent="0.25">
      <c r="A13" s="123" t="s">
        <v>62</v>
      </c>
      <c r="B13" s="4" t="s">
        <v>58</v>
      </c>
      <c r="C13" s="74">
        <v>15374.06</v>
      </c>
      <c r="D13" s="75">
        <v>11612.06</v>
      </c>
      <c r="E13" s="76"/>
      <c r="F13" s="77">
        <v>14153.37</v>
      </c>
      <c r="G13" s="85">
        <f t="shared" si="0"/>
        <v>-7.9399325877484443</v>
      </c>
      <c r="H13" s="75">
        <v>13290.1</v>
      </c>
      <c r="I13" s="86">
        <f t="shared" si="1"/>
        <v>14.450838180305659</v>
      </c>
      <c r="J13" s="75">
        <v>12812.13</v>
      </c>
      <c r="K13" s="76">
        <f t="shared" si="2"/>
        <v>10.334686524182612</v>
      </c>
      <c r="L13" s="77">
        <v>14776.55</v>
      </c>
      <c r="M13" s="78">
        <f t="shared" si="3"/>
        <v>-3.8864815149674214</v>
      </c>
      <c r="N13" s="75">
        <v>13639.33</v>
      </c>
      <c r="O13" s="76">
        <f t="shared" si="4"/>
        <v>2.6277454646691956</v>
      </c>
    </row>
    <row r="14" spans="1:17" ht="15" customHeight="1" x14ac:dyDescent="0.25">
      <c r="A14" s="124"/>
      <c r="B14" s="4" t="s">
        <v>59</v>
      </c>
      <c r="C14" s="74">
        <v>15141</v>
      </c>
      <c r="D14" s="75">
        <v>10491.7</v>
      </c>
      <c r="E14" s="76"/>
      <c r="F14" s="77">
        <v>13613.01</v>
      </c>
      <c r="G14" s="78">
        <f t="shared" si="0"/>
        <v>-10.091737665940158</v>
      </c>
      <c r="H14" s="75">
        <v>13155.74</v>
      </c>
      <c r="I14" s="76">
        <f t="shared" si="1"/>
        <v>25.391881201330555</v>
      </c>
      <c r="J14" s="75">
        <v>11391.54</v>
      </c>
      <c r="K14" s="76">
        <f t="shared" si="2"/>
        <v>8.5766844267373354</v>
      </c>
      <c r="L14" s="77">
        <v>14098.78</v>
      </c>
      <c r="M14" s="78">
        <f t="shared" si="3"/>
        <v>-6.8834290997952579</v>
      </c>
      <c r="N14" s="75">
        <v>13595.63</v>
      </c>
      <c r="O14" s="76">
        <f t="shared" si="4"/>
        <v>3.3437115662060757</v>
      </c>
    </row>
    <row r="15" spans="1:17" ht="15" customHeight="1" x14ac:dyDescent="0.25">
      <c r="A15" s="125"/>
      <c r="B15" s="1" t="s">
        <v>0</v>
      </c>
      <c r="C15" s="80">
        <v>15291.41</v>
      </c>
      <c r="D15" s="81">
        <v>11214.72</v>
      </c>
      <c r="E15" s="82"/>
      <c r="F15" s="83">
        <v>13961.73</v>
      </c>
      <c r="G15" s="78">
        <f t="shared" si="0"/>
        <v>-8.6956009942837262</v>
      </c>
      <c r="H15" s="81">
        <v>13242.45</v>
      </c>
      <c r="I15" s="76">
        <f t="shared" si="1"/>
        <v>18.080968584146561</v>
      </c>
      <c r="J15" s="81">
        <v>12308.31</v>
      </c>
      <c r="K15" s="82">
        <f t="shared" si="2"/>
        <v>9.7513803287108338</v>
      </c>
      <c r="L15" s="83">
        <v>14536.17</v>
      </c>
      <c r="M15" s="84">
        <f t="shared" si="3"/>
        <v>-4.9389820820970769</v>
      </c>
      <c r="N15" s="81">
        <v>13623.83</v>
      </c>
      <c r="O15" s="76">
        <f t="shared" si="4"/>
        <v>2.879980668229809</v>
      </c>
      <c r="P15" s="100">
        <f>M15/G15</f>
        <v>0.56798628241381388</v>
      </c>
      <c r="Q15" s="100">
        <f>1-P15</f>
        <v>0.43201371758618612</v>
      </c>
    </row>
    <row r="16" spans="1:17" ht="15" customHeight="1" x14ac:dyDescent="0.25">
      <c r="A16" s="123" t="s">
        <v>63</v>
      </c>
      <c r="B16" s="4" t="s">
        <v>58</v>
      </c>
      <c r="C16" s="74">
        <v>19850.79</v>
      </c>
      <c r="D16" s="75">
        <v>16106.53</v>
      </c>
      <c r="E16" s="76"/>
      <c r="F16" s="77">
        <v>18457.18</v>
      </c>
      <c r="G16" s="85">
        <f t="shared" si="0"/>
        <v>-7.0204258873324488</v>
      </c>
      <c r="H16" s="75">
        <v>16814.32</v>
      </c>
      <c r="I16" s="86">
        <f t="shared" si="1"/>
        <v>4.3944288434566436</v>
      </c>
      <c r="J16" s="75">
        <v>16929.47</v>
      </c>
      <c r="K16" s="76">
        <f t="shared" si="2"/>
        <v>5.1093562673027781</v>
      </c>
      <c r="L16" s="77">
        <v>18898.349999999999</v>
      </c>
      <c r="M16" s="78">
        <f t="shared" si="3"/>
        <v>-4.7979954450175661</v>
      </c>
      <c r="N16" s="75">
        <v>17138.259999999998</v>
      </c>
      <c r="O16" s="86">
        <f t="shared" si="4"/>
        <v>1.9265721123423285</v>
      </c>
    </row>
    <row r="17" spans="1:17" ht="15" customHeight="1" x14ac:dyDescent="0.25">
      <c r="A17" s="124"/>
      <c r="B17" s="4" t="s">
        <v>59</v>
      </c>
      <c r="C17" s="74">
        <v>18404.689999999999</v>
      </c>
      <c r="D17" s="75">
        <v>14112.03</v>
      </c>
      <c r="E17" s="76"/>
      <c r="F17" s="77">
        <v>16327.14</v>
      </c>
      <c r="G17" s="78">
        <f t="shared" si="0"/>
        <v>-11.288155356053265</v>
      </c>
      <c r="H17" s="75">
        <v>15272.52</v>
      </c>
      <c r="I17" s="76">
        <f t="shared" si="1"/>
        <v>8.2234093890106497</v>
      </c>
      <c r="J17" s="75">
        <v>15062.4</v>
      </c>
      <c r="K17" s="76">
        <f t="shared" si="2"/>
        <v>6.7344669760480924</v>
      </c>
      <c r="L17" s="77">
        <v>16821.71</v>
      </c>
      <c r="M17" s="78">
        <f t="shared" si="3"/>
        <v>-8.6009598640346514</v>
      </c>
      <c r="N17" s="75">
        <v>15635.29</v>
      </c>
      <c r="O17" s="76">
        <f t="shared" si="4"/>
        <v>2.3753119982818927</v>
      </c>
    </row>
    <row r="18" spans="1:17" ht="15" customHeight="1" x14ac:dyDescent="0.25">
      <c r="A18" s="125"/>
      <c r="B18" s="1" t="s">
        <v>0</v>
      </c>
      <c r="C18" s="80">
        <v>19276.84</v>
      </c>
      <c r="D18" s="81">
        <v>15314.92</v>
      </c>
      <c r="E18" s="82"/>
      <c r="F18" s="83">
        <v>17611.78</v>
      </c>
      <c r="G18" s="78">
        <f t="shared" si="0"/>
        <v>-8.6376190288449788</v>
      </c>
      <c r="H18" s="81">
        <v>16202.38</v>
      </c>
      <c r="I18" s="82">
        <f t="shared" si="1"/>
        <v>5.794741337205811</v>
      </c>
      <c r="J18" s="81">
        <v>16188.44</v>
      </c>
      <c r="K18" s="82">
        <f t="shared" si="2"/>
        <v>5.7037189877583439</v>
      </c>
      <c r="L18" s="83">
        <v>18074.14</v>
      </c>
      <c r="M18" s="84">
        <f t="shared" si="3"/>
        <v>-6.239093129371831</v>
      </c>
      <c r="N18" s="81">
        <v>16541.740000000002</v>
      </c>
      <c r="O18" s="76">
        <f t="shared" si="4"/>
        <v>2.0945071032774321</v>
      </c>
      <c r="P18" s="100">
        <f>M18/G18</f>
        <v>0.72231631292566068</v>
      </c>
      <c r="Q18" s="100">
        <f>1-P18</f>
        <v>0.27768368707433932</v>
      </c>
    </row>
    <row r="19" spans="1:17" ht="15" customHeight="1" x14ac:dyDescent="0.25">
      <c r="A19" s="123" t="s">
        <v>64</v>
      </c>
      <c r="B19" s="4" t="s">
        <v>58</v>
      </c>
      <c r="C19" s="74">
        <v>19093.849999999999</v>
      </c>
      <c r="D19" s="75">
        <v>13457.81</v>
      </c>
      <c r="E19" s="76"/>
      <c r="F19" s="77">
        <v>17006.560000000001</v>
      </c>
      <c r="G19" s="85">
        <f t="shared" si="0"/>
        <v>-10.9317398010354</v>
      </c>
      <c r="H19" s="75">
        <v>14496.96</v>
      </c>
      <c r="I19" s="86">
        <f t="shared" si="1"/>
        <v>7.721538645589443</v>
      </c>
      <c r="J19" s="75">
        <v>14233.79</v>
      </c>
      <c r="K19" s="76">
        <f t="shared" si="2"/>
        <v>5.7660198799061702</v>
      </c>
      <c r="L19" s="77">
        <v>17397.09</v>
      </c>
      <c r="M19" s="78">
        <f t="shared" si="3"/>
        <v>-8.8864215441097461</v>
      </c>
      <c r="N19" s="75">
        <v>14820.27</v>
      </c>
      <c r="O19" s="86">
        <f t="shared" si="4"/>
        <v>2.2301917091583467</v>
      </c>
    </row>
    <row r="20" spans="1:17" ht="15" customHeight="1" x14ac:dyDescent="0.25">
      <c r="A20" s="124"/>
      <c r="B20" s="4" t="s">
        <v>59</v>
      </c>
      <c r="C20" s="74">
        <v>19114.099999999999</v>
      </c>
      <c r="D20" s="75">
        <v>11954.32</v>
      </c>
      <c r="E20" s="76"/>
      <c r="F20" s="77">
        <v>15672.33</v>
      </c>
      <c r="G20" s="78">
        <f t="shared" si="0"/>
        <v>-18.006445503581126</v>
      </c>
      <c r="H20" s="75">
        <v>13119.81</v>
      </c>
      <c r="I20" s="76">
        <f t="shared" si="1"/>
        <v>9.7495298770653669</v>
      </c>
      <c r="J20" s="75">
        <v>12702.79</v>
      </c>
      <c r="K20" s="76">
        <f t="shared" si="2"/>
        <v>6.2610838592241258</v>
      </c>
      <c r="L20" s="77">
        <v>16034.16</v>
      </c>
      <c r="M20" s="78">
        <f t="shared" si="3"/>
        <v>-16.113445048419749</v>
      </c>
      <c r="N20" s="75">
        <v>13403.17</v>
      </c>
      <c r="O20" s="76">
        <f t="shared" si="4"/>
        <v>2.1597873749696017</v>
      </c>
    </row>
    <row r="21" spans="1:17" ht="15" customHeight="1" x14ac:dyDescent="0.25">
      <c r="A21" s="125"/>
      <c r="B21" s="1" t="s">
        <v>0</v>
      </c>
      <c r="C21" s="80">
        <v>19101.86</v>
      </c>
      <c r="D21" s="81">
        <v>12863.02</v>
      </c>
      <c r="E21" s="82"/>
      <c r="F21" s="83">
        <v>16478.73</v>
      </c>
      <c r="G21" s="78">
        <f t="shared" si="0"/>
        <v>-13.732327637203923</v>
      </c>
      <c r="H21" s="81">
        <v>13952.16</v>
      </c>
      <c r="I21" s="82">
        <f t="shared" si="1"/>
        <v>8.4672184292646548</v>
      </c>
      <c r="J21" s="81">
        <v>13628.12</v>
      </c>
      <c r="K21" s="82">
        <f t="shared" si="2"/>
        <v>5.9480588539860824</v>
      </c>
      <c r="L21" s="83">
        <v>16857.91</v>
      </c>
      <c r="M21" s="84">
        <f t="shared" si="3"/>
        <v>-11.74728534289331</v>
      </c>
      <c r="N21" s="81">
        <v>14259.66</v>
      </c>
      <c r="O21" s="76">
        <f t="shared" si="4"/>
        <v>2.2039598169745656</v>
      </c>
      <c r="P21" s="99">
        <f>M21/G21</f>
        <v>0.85544749974267342</v>
      </c>
      <c r="Q21" s="99">
        <f>1-P21</f>
        <v>0.14455250025732658</v>
      </c>
    </row>
    <row r="22" spans="1:17" ht="15" customHeight="1" x14ac:dyDescent="0.25">
      <c r="A22" s="127" t="s">
        <v>65</v>
      </c>
      <c r="B22" s="4" t="s">
        <v>58</v>
      </c>
      <c r="C22" s="74">
        <v>28323.040000000001</v>
      </c>
      <c r="D22" s="75">
        <v>23401.37</v>
      </c>
      <c r="E22" s="76"/>
      <c r="F22" s="77">
        <v>26483.29</v>
      </c>
      <c r="G22" s="85">
        <f t="shared" si="0"/>
        <v>-6.4955951056101302</v>
      </c>
      <c r="H22" s="75">
        <v>23417.21</v>
      </c>
      <c r="I22" s="76">
        <f t="shared" si="1"/>
        <v>6.7688344742200535E-2</v>
      </c>
      <c r="J22" s="75">
        <v>23908.93</v>
      </c>
      <c r="K22" s="76">
        <f t="shared" si="2"/>
        <v>2.1689328445300582</v>
      </c>
      <c r="L22" s="77">
        <v>26748.67</v>
      </c>
      <c r="M22" s="78">
        <f t="shared" si="3"/>
        <v>-5.5586194137352551</v>
      </c>
      <c r="N22" s="75">
        <v>23653.03</v>
      </c>
      <c r="O22" s="86">
        <f t="shared" si="4"/>
        <v>1.0070371320921589</v>
      </c>
    </row>
    <row r="23" spans="1:17" ht="15" customHeight="1" x14ac:dyDescent="0.25">
      <c r="A23" s="128"/>
      <c r="B23" s="4" t="s">
        <v>59</v>
      </c>
      <c r="C23" s="74">
        <v>33818.410000000003</v>
      </c>
      <c r="D23" s="75">
        <v>26145.23</v>
      </c>
      <c r="E23" s="76"/>
      <c r="F23" s="77">
        <v>31542.78</v>
      </c>
      <c r="G23" s="78">
        <f t="shared" si="0"/>
        <v>-6.728968038414596</v>
      </c>
      <c r="H23" s="75">
        <v>27437.88</v>
      </c>
      <c r="I23" s="76">
        <f t="shared" si="1"/>
        <v>4.9441140888796919</v>
      </c>
      <c r="J23" s="75">
        <v>26678.959999999999</v>
      </c>
      <c r="K23" s="76">
        <f t="shared" si="2"/>
        <v>2.041404875765096</v>
      </c>
      <c r="L23" s="77">
        <v>31772.58</v>
      </c>
      <c r="M23" s="78">
        <f t="shared" si="3"/>
        <v>-6.0494564942586093</v>
      </c>
      <c r="N23" s="75">
        <v>27579.22</v>
      </c>
      <c r="O23" s="76">
        <f t="shared" si="4"/>
        <v>0.51512726201878856</v>
      </c>
    </row>
    <row r="24" spans="1:17" ht="15" customHeight="1" x14ac:dyDescent="0.25">
      <c r="A24" s="129"/>
      <c r="B24" s="1" t="s">
        <v>0</v>
      </c>
      <c r="C24" s="80">
        <v>30023.03</v>
      </c>
      <c r="D24" s="81">
        <v>24250.18</v>
      </c>
      <c r="E24" s="82"/>
      <c r="F24" s="83">
        <v>28048.44</v>
      </c>
      <c r="G24" s="78">
        <f t="shared" si="0"/>
        <v>-6.5769177861128565</v>
      </c>
      <c r="H24" s="81">
        <v>24661</v>
      </c>
      <c r="I24" s="82">
        <f t="shared" si="1"/>
        <v>1.694090518090996</v>
      </c>
      <c r="J24" s="81">
        <v>24765.83</v>
      </c>
      <c r="K24" s="82">
        <f t="shared" si="2"/>
        <v>2.1263759691680706</v>
      </c>
      <c r="L24" s="83">
        <v>28302.81</v>
      </c>
      <c r="M24" s="84">
        <f t="shared" si="3"/>
        <v>-5.7296681913850733</v>
      </c>
      <c r="N24" s="81">
        <v>24867.599999999999</v>
      </c>
      <c r="O24" s="82">
        <f t="shared" si="4"/>
        <v>0.8377600259519058</v>
      </c>
      <c r="P24" s="99">
        <f>M24/G24</f>
        <v>0.87117832056274924</v>
      </c>
      <c r="Q24" s="99">
        <f>1-P24</f>
        <v>0.12882167943725076</v>
      </c>
    </row>
    <row r="25" spans="1:17" ht="15" customHeight="1" x14ac:dyDescent="0.25">
      <c r="A25" s="127" t="s">
        <v>66</v>
      </c>
      <c r="B25" s="4" t="s">
        <v>58</v>
      </c>
      <c r="C25" s="74">
        <v>32238.77</v>
      </c>
      <c r="D25" s="75">
        <v>26672.75</v>
      </c>
      <c r="E25" s="76"/>
      <c r="F25" s="77">
        <v>30308.12</v>
      </c>
      <c r="G25" s="85">
        <f t="shared" si="0"/>
        <v>-5.9885969594993931</v>
      </c>
      <c r="H25" s="75">
        <v>26632.31</v>
      </c>
      <c r="I25" s="76">
        <f t="shared" si="1"/>
        <v>-0.15161541273396306</v>
      </c>
      <c r="J25" s="75">
        <v>27005.13</v>
      </c>
      <c r="K25" s="76">
        <f t="shared" si="2"/>
        <v>1.2461407241473044</v>
      </c>
      <c r="L25" s="77">
        <v>30497.97</v>
      </c>
      <c r="M25" s="78">
        <f t="shared" si="3"/>
        <v>-5.3997097283798308</v>
      </c>
      <c r="N25" s="75">
        <v>26809.74</v>
      </c>
      <c r="O25" s="76">
        <f t="shared" si="4"/>
        <v>0.66622084227767608</v>
      </c>
    </row>
    <row r="26" spans="1:17" ht="15" customHeight="1" x14ac:dyDescent="0.25">
      <c r="A26" s="128"/>
      <c r="B26" s="4" t="s">
        <v>59</v>
      </c>
      <c r="C26" s="74">
        <v>31311.4</v>
      </c>
      <c r="D26" s="75">
        <v>24860.35</v>
      </c>
      <c r="E26" s="76"/>
      <c r="F26" s="77">
        <v>28501.33</v>
      </c>
      <c r="G26" s="78">
        <f t="shared" si="0"/>
        <v>-8.9745907241451928</v>
      </c>
      <c r="H26" s="75">
        <v>25774.26</v>
      </c>
      <c r="I26" s="76">
        <f t="shared" si="1"/>
        <v>3.6761751141878518</v>
      </c>
      <c r="J26" s="75">
        <v>25437.91</v>
      </c>
      <c r="K26" s="76">
        <f t="shared" si="2"/>
        <v>2.3232174929154414</v>
      </c>
      <c r="L26" s="77">
        <v>28805.599999999999</v>
      </c>
      <c r="M26" s="78">
        <f t="shared" si="3"/>
        <v>-8.0028360277726414</v>
      </c>
      <c r="N26" s="75">
        <v>25990.12</v>
      </c>
      <c r="O26" s="76">
        <f t="shared" si="4"/>
        <v>0.8375022212082861</v>
      </c>
    </row>
    <row r="27" spans="1:17" ht="15" customHeight="1" x14ac:dyDescent="0.25">
      <c r="A27" s="129"/>
      <c r="B27" s="1" t="s">
        <v>0</v>
      </c>
      <c r="C27" s="80">
        <v>31927</v>
      </c>
      <c r="D27" s="81">
        <v>26063.43</v>
      </c>
      <c r="E27" s="82"/>
      <c r="F27" s="83">
        <v>29700.69</v>
      </c>
      <c r="G27" s="78">
        <f t="shared" si="0"/>
        <v>-6.9731261941303639</v>
      </c>
      <c r="H27" s="81">
        <v>26343.84</v>
      </c>
      <c r="I27" s="76">
        <f t="shared" si="1"/>
        <v>1.0758752781195646</v>
      </c>
      <c r="J27" s="81">
        <v>26478.240000000002</v>
      </c>
      <c r="K27" s="82">
        <f t="shared" si="2"/>
        <v>1.5915403306471898</v>
      </c>
      <c r="L27" s="83">
        <v>29929.01</v>
      </c>
      <c r="M27" s="84">
        <f t="shared" si="3"/>
        <v>-6.2579948006389667</v>
      </c>
      <c r="N27" s="81">
        <v>26534.19</v>
      </c>
      <c r="O27" s="76">
        <f t="shared" si="4"/>
        <v>0.72255980904833983</v>
      </c>
      <c r="P27" s="99">
        <f>M27/G27</f>
        <v>0.897444650565286</v>
      </c>
      <c r="Q27" s="99">
        <f>1-P27</f>
        <v>0.102555349434714</v>
      </c>
    </row>
    <row r="28" spans="1:17" ht="15" customHeight="1" x14ac:dyDescent="0.25">
      <c r="A28" s="123" t="s">
        <v>67</v>
      </c>
      <c r="B28" s="4" t="s">
        <v>58</v>
      </c>
      <c r="C28" s="74">
        <v>30996.59</v>
      </c>
      <c r="D28" s="75">
        <v>25435.93</v>
      </c>
      <c r="E28" s="76"/>
      <c r="F28" s="77">
        <v>29348.38</v>
      </c>
      <c r="G28" s="85">
        <f t="shared" si="0"/>
        <v>-5.3173913646630151</v>
      </c>
      <c r="H28" s="75">
        <v>24513.8</v>
      </c>
      <c r="I28" s="86">
        <f t="shared" si="1"/>
        <v>-3.6253048345391781</v>
      </c>
      <c r="J28" s="75">
        <v>25532.41</v>
      </c>
      <c r="K28" s="76">
        <f t="shared" si="2"/>
        <v>0.37930596600950217</v>
      </c>
      <c r="L28" s="77">
        <v>29410.12</v>
      </c>
      <c r="M28" s="78">
        <f t="shared" si="3"/>
        <v>-5.1182081641883865</v>
      </c>
      <c r="N28" s="75">
        <v>24596.81</v>
      </c>
      <c r="O28" s="86">
        <f t="shared" si="4"/>
        <v>0.33862559048374319</v>
      </c>
    </row>
    <row r="29" spans="1:17" ht="15" customHeight="1" x14ac:dyDescent="0.25">
      <c r="A29" s="124"/>
      <c r="B29" s="4" t="s">
        <v>59</v>
      </c>
      <c r="C29" s="74">
        <v>27481.91</v>
      </c>
      <c r="D29" s="75">
        <v>22805.27</v>
      </c>
      <c r="E29" s="76"/>
      <c r="F29" s="77">
        <v>25805.82</v>
      </c>
      <c r="G29" s="78">
        <f t="shared" si="0"/>
        <v>-6.098884684507011</v>
      </c>
      <c r="H29" s="75">
        <v>22558</v>
      </c>
      <c r="I29" s="76">
        <f t="shared" si="1"/>
        <v>-1.0842669260219262</v>
      </c>
      <c r="J29" s="75">
        <v>23145.38</v>
      </c>
      <c r="K29" s="76">
        <f t="shared" si="2"/>
        <v>1.491365811498846</v>
      </c>
      <c r="L29" s="77">
        <v>25986.28</v>
      </c>
      <c r="M29" s="78">
        <f t="shared" si="3"/>
        <v>-5.442234546288816</v>
      </c>
      <c r="N29" s="75">
        <v>22659.29</v>
      </c>
      <c r="O29" s="76">
        <f t="shared" si="4"/>
        <v>0.44902030321838371</v>
      </c>
    </row>
    <row r="30" spans="1:17" ht="15" customHeight="1" x14ac:dyDescent="0.25">
      <c r="A30" s="125"/>
      <c r="B30" s="1" t="s">
        <v>0</v>
      </c>
      <c r="C30" s="80">
        <v>29432.89</v>
      </c>
      <c r="D30" s="81">
        <v>24265.53</v>
      </c>
      <c r="E30" s="82"/>
      <c r="F30" s="83">
        <v>27772.28</v>
      </c>
      <c r="G30" s="78">
        <f t="shared" si="0"/>
        <v>-5.642021561593169</v>
      </c>
      <c r="H30" s="81">
        <v>23643.65</v>
      </c>
      <c r="I30" s="76">
        <f t="shared" si="1"/>
        <v>-2.5628123515126111</v>
      </c>
      <c r="J30" s="81">
        <v>24470.41</v>
      </c>
      <c r="K30" s="82">
        <f t="shared" si="2"/>
        <v>0.84432526303772626</v>
      </c>
      <c r="L30" s="83">
        <v>27886.83</v>
      </c>
      <c r="M30" s="84">
        <f t="shared" si="3"/>
        <v>-5.2528311015330065</v>
      </c>
      <c r="N30" s="81">
        <v>23734.79</v>
      </c>
      <c r="O30" s="76">
        <f t="shared" si="4"/>
        <v>0.3854734780797342</v>
      </c>
      <c r="P30" s="99">
        <f>M30/G30</f>
        <v>0.93101932422422984</v>
      </c>
      <c r="Q30" s="99">
        <f>1-P30</f>
        <v>6.8980675775770162E-2</v>
      </c>
    </row>
    <row r="31" spans="1:17" ht="15" customHeight="1" x14ac:dyDescent="0.25">
      <c r="A31" s="123" t="s">
        <v>68</v>
      </c>
      <c r="B31" s="4" t="s">
        <v>58</v>
      </c>
      <c r="C31" s="74">
        <v>31758.44</v>
      </c>
      <c r="D31" s="75">
        <v>26880.54</v>
      </c>
      <c r="E31" s="76"/>
      <c r="F31" s="77">
        <v>30409.3</v>
      </c>
      <c r="G31" s="85">
        <f t="shared" si="0"/>
        <v>-4.2481305756831844</v>
      </c>
      <c r="H31" s="75">
        <v>25781.25</v>
      </c>
      <c r="I31" s="86">
        <f t="shared" si="1"/>
        <v>-4.0895383798093317</v>
      </c>
      <c r="J31" s="75">
        <v>27119.42</v>
      </c>
      <c r="K31" s="76">
        <f t="shared" si="2"/>
        <v>0.88867262339222819</v>
      </c>
      <c r="L31" s="77">
        <v>30543.279999999999</v>
      </c>
      <c r="M31" s="78">
        <f t="shared" si="3"/>
        <v>-3.8262584686149514</v>
      </c>
      <c r="N31" s="75">
        <v>25885.75</v>
      </c>
      <c r="O31" s="86">
        <f t="shared" si="4"/>
        <v>0.40533333333332422</v>
      </c>
    </row>
    <row r="32" spans="1:17" ht="15" customHeight="1" x14ac:dyDescent="0.25">
      <c r="A32" s="124"/>
      <c r="B32" s="4" t="s">
        <v>59</v>
      </c>
      <c r="C32" s="74">
        <v>32768.120000000003</v>
      </c>
      <c r="D32" s="75">
        <v>27434.65</v>
      </c>
      <c r="E32" s="76"/>
      <c r="F32" s="77">
        <v>31288.2</v>
      </c>
      <c r="G32" s="78">
        <f t="shared" si="0"/>
        <v>-4.5163408825407148</v>
      </c>
      <c r="H32" s="75">
        <v>26674.51</v>
      </c>
      <c r="I32" s="76">
        <f t="shared" si="1"/>
        <v>-2.770729715888498</v>
      </c>
      <c r="J32" s="75">
        <v>27769.18</v>
      </c>
      <c r="K32" s="76">
        <f t="shared" si="2"/>
        <v>1.2193703947380286</v>
      </c>
      <c r="L32" s="77">
        <v>31477.73</v>
      </c>
      <c r="M32" s="78">
        <f t="shared" si="3"/>
        <v>-3.9379433424926558</v>
      </c>
      <c r="N32" s="75">
        <v>26835.83</v>
      </c>
      <c r="O32" s="76">
        <f t="shared" si="4"/>
        <v>0.60477212139979919</v>
      </c>
    </row>
    <row r="33" spans="1:17" ht="15" customHeight="1" x14ac:dyDescent="0.25">
      <c r="A33" s="125"/>
      <c r="B33" s="1" t="s">
        <v>0</v>
      </c>
      <c r="C33" s="80">
        <v>32157.200000000001</v>
      </c>
      <c r="D33" s="81">
        <v>27099.38</v>
      </c>
      <c r="E33" s="82"/>
      <c r="F33" s="83">
        <v>30756.41</v>
      </c>
      <c r="G33" s="78">
        <f t="shared" si="0"/>
        <v>-4.3560695582948838</v>
      </c>
      <c r="H33" s="81">
        <v>26134.03</v>
      </c>
      <c r="I33" s="82">
        <f t="shared" si="1"/>
        <v>-3.5622586199389183</v>
      </c>
      <c r="J33" s="81">
        <v>27376.03</v>
      </c>
      <c r="K33" s="82">
        <f t="shared" si="2"/>
        <v>1.0208720642317148</v>
      </c>
      <c r="L33" s="83">
        <v>30912.32</v>
      </c>
      <c r="M33" s="84">
        <f t="shared" si="3"/>
        <v>-3.8712325699998829</v>
      </c>
      <c r="N33" s="81">
        <v>26260.97</v>
      </c>
      <c r="O33" s="76">
        <f t="shared" si="4"/>
        <v>0.48572684733276805</v>
      </c>
      <c r="P33" s="99">
        <f>M33/G33</f>
        <v>0.88869852012078909</v>
      </c>
      <c r="Q33" s="99">
        <f>1-P33</f>
        <v>0.11130147987921091</v>
      </c>
    </row>
    <row r="34" spans="1:17" ht="15" customHeight="1" x14ac:dyDescent="0.25">
      <c r="A34" s="123" t="s">
        <v>69</v>
      </c>
      <c r="B34" s="4" t="s">
        <v>58</v>
      </c>
      <c r="C34" s="74">
        <v>13895.11</v>
      </c>
      <c r="D34" s="75">
        <v>10456.25</v>
      </c>
      <c r="E34" s="76"/>
      <c r="F34" s="77">
        <v>12273.08</v>
      </c>
      <c r="G34" s="85">
        <f t="shared" si="0"/>
        <v>-11.67338725638013</v>
      </c>
      <c r="H34" s="75">
        <v>11126.84</v>
      </c>
      <c r="I34" s="86">
        <f t="shared" si="1"/>
        <v>6.4132934847579204</v>
      </c>
      <c r="J34" s="75">
        <v>11295.08</v>
      </c>
      <c r="K34" s="76">
        <f t="shared" si="2"/>
        <v>8.0222833233711821</v>
      </c>
      <c r="L34" s="77">
        <v>12736.84</v>
      </c>
      <c r="M34" s="78">
        <f t="shared" si="3"/>
        <v>-8.335810223884522</v>
      </c>
      <c r="N34" s="75">
        <v>11463.59</v>
      </c>
      <c r="O34" s="86">
        <f t="shared" si="4"/>
        <v>3.0264657351053881</v>
      </c>
    </row>
    <row r="35" spans="1:17" ht="15" customHeight="1" x14ac:dyDescent="0.25">
      <c r="A35" s="124"/>
      <c r="B35" s="4" t="s">
        <v>59</v>
      </c>
      <c r="C35" s="74">
        <v>13470.54</v>
      </c>
      <c r="D35" s="75">
        <v>9692.3979999999992</v>
      </c>
      <c r="E35" s="76"/>
      <c r="F35" s="77">
        <v>11632.23</v>
      </c>
      <c r="G35" s="78">
        <f t="shared" si="0"/>
        <v>-13.646891661358795</v>
      </c>
      <c r="H35" s="75">
        <v>10836.47</v>
      </c>
      <c r="I35" s="76">
        <f t="shared" si="1"/>
        <v>11.803807478809691</v>
      </c>
      <c r="J35" s="75">
        <v>11450.13</v>
      </c>
      <c r="K35" s="76">
        <f t="shared" si="2"/>
        <v>18.135161185085469</v>
      </c>
      <c r="L35" s="77">
        <v>12545.36</v>
      </c>
      <c r="M35" s="78">
        <f t="shared" si="3"/>
        <v>-6.8681730650738571</v>
      </c>
      <c r="N35" s="75">
        <v>11360.08</v>
      </c>
      <c r="O35" s="76">
        <f t="shared" si="4"/>
        <v>4.8319240490676485</v>
      </c>
    </row>
    <row r="36" spans="1:17" ht="15" customHeight="1" x14ac:dyDescent="0.25">
      <c r="A36" s="125"/>
      <c r="B36" s="1" t="s">
        <v>0</v>
      </c>
      <c r="C36" s="80">
        <v>13645.89</v>
      </c>
      <c r="D36" s="81">
        <v>10007.870000000001</v>
      </c>
      <c r="E36" s="82"/>
      <c r="F36" s="83">
        <v>11896.91</v>
      </c>
      <c r="G36" s="78">
        <f t="shared" si="0"/>
        <v>-12.816899447379393</v>
      </c>
      <c r="H36" s="81">
        <v>10956.39</v>
      </c>
      <c r="I36" s="76">
        <f t="shared" si="1"/>
        <v>9.4777410178189534</v>
      </c>
      <c r="J36" s="81">
        <v>11386.09</v>
      </c>
      <c r="K36" s="82">
        <f t="shared" si="2"/>
        <v>13.771361938154669</v>
      </c>
      <c r="L36" s="83">
        <v>12624.44</v>
      </c>
      <c r="M36" s="84">
        <f t="shared" si="3"/>
        <v>-7.4854040300779134</v>
      </c>
      <c r="N36" s="81">
        <v>11402.83</v>
      </c>
      <c r="O36" s="82">
        <f t="shared" si="4"/>
        <v>4.0746997870648949</v>
      </c>
      <c r="P36" s="100">
        <f>M36/G36</f>
        <v>0.58402611808025195</v>
      </c>
      <c r="Q36" s="100">
        <f>1-P36</f>
        <v>0.41597388191974805</v>
      </c>
    </row>
    <row r="37" spans="1:17" ht="15" customHeight="1" x14ac:dyDescent="0.25">
      <c r="A37" s="127" t="s">
        <v>70</v>
      </c>
      <c r="B37" s="4" t="s">
        <v>58</v>
      </c>
      <c r="C37" s="74">
        <v>23005.55</v>
      </c>
      <c r="D37" s="87">
        <v>18935.7</v>
      </c>
      <c r="E37" s="76"/>
      <c r="F37" s="77">
        <v>21455.08</v>
      </c>
      <c r="G37" s="85">
        <f t="shared" si="0"/>
        <v>-6.7395476308977464</v>
      </c>
      <c r="H37" s="75">
        <v>19012.38</v>
      </c>
      <c r="I37" s="86">
        <f t="shared" si="1"/>
        <v>0.40494938132733527</v>
      </c>
      <c r="J37" s="75">
        <v>19610.57</v>
      </c>
      <c r="K37" s="76">
        <f t="shared" si="2"/>
        <v>3.5640087242615692</v>
      </c>
      <c r="L37" s="77">
        <v>21804.240000000002</v>
      </c>
      <c r="M37" s="78">
        <f t="shared" si="3"/>
        <v>-5.2218269069854824</v>
      </c>
      <c r="N37" s="75">
        <v>19252.09</v>
      </c>
      <c r="O37" s="86">
        <f t="shared" si="4"/>
        <v>1.2608100616545492</v>
      </c>
    </row>
    <row r="38" spans="1:17" ht="15" customHeight="1" x14ac:dyDescent="0.25">
      <c r="A38" s="128"/>
      <c r="B38" s="4" t="s">
        <v>59</v>
      </c>
      <c r="C38" s="79">
        <v>20032.43</v>
      </c>
      <c r="D38" s="87">
        <v>16246.92</v>
      </c>
      <c r="E38" s="76"/>
      <c r="F38" s="77">
        <v>18434.650000000001</v>
      </c>
      <c r="G38" s="78">
        <f t="shared" si="0"/>
        <v>-7.975966969558856</v>
      </c>
      <c r="H38" s="75">
        <v>16855.16</v>
      </c>
      <c r="I38" s="76">
        <f t="shared" si="1"/>
        <v>3.7437249644855841</v>
      </c>
      <c r="J38" s="75">
        <v>17461.62</v>
      </c>
      <c r="K38" s="76">
        <f t="shared" si="2"/>
        <v>7.4764940062485685</v>
      </c>
      <c r="L38" s="77">
        <v>19062.04</v>
      </c>
      <c r="M38" s="78">
        <f t="shared" si="3"/>
        <v>-4.8440952994719062</v>
      </c>
      <c r="N38" s="75">
        <v>17268.27</v>
      </c>
      <c r="O38" s="76">
        <f t="shared" si="4"/>
        <v>2.4509408394818077</v>
      </c>
    </row>
    <row r="39" spans="1:17" ht="15" customHeight="1" thickBot="1" x14ac:dyDescent="0.3">
      <c r="A39" s="129"/>
      <c r="B39" s="3" t="s">
        <v>0</v>
      </c>
      <c r="C39" s="88">
        <v>22007.43</v>
      </c>
      <c r="D39" s="89">
        <v>18033.05</v>
      </c>
      <c r="E39" s="90"/>
      <c r="F39" s="91">
        <v>20441.09</v>
      </c>
      <c r="G39" s="78">
        <f t="shared" si="0"/>
        <v>-7.1173235584527594</v>
      </c>
      <c r="H39" s="89">
        <v>18288.18</v>
      </c>
      <c r="I39" s="90">
        <f t="shared" si="1"/>
        <v>1.4147911750924003</v>
      </c>
      <c r="J39" s="89">
        <v>18889.14</v>
      </c>
      <c r="K39" s="90">
        <f t="shared" si="2"/>
        <v>4.7473389138276589</v>
      </c>
      <c r="L39" s="91">
        <v>20883.650000000001</v>
      </c>
      <c r="M39" s="78">
        <f t="shared" si="3"/>
        <v>-5.106366349910008</v>
      </c>
      <c r="N39" s="89">
        <v>18586.099999999999</v>
      </c>
      <c r="O39" s="76">
        <f t="shared" si="4"/>
        <v>1.6290303354407065</v>
      </c>
      <c r="P39" s="99">
        <f>M39/G39</f>
        <v>0.71745598018310197</v>
      </c>
      <c r="Q39" s="99">
        <f>1-P39</f>
        <v>0.28254401981689803</v>
      </c>
    </row>
    <row r="40" spans="1:17" x14ac:dyDescent="0.25">
      <c r="A40" s="120" t="s">
        <v>94</v>
      </c>
      <c r="B40" s="4" t="s">
        <v>58</v>
      </c>
      <c r="C40" s="92">
        <v>24977.46</v>
      </c>
      <c r="D40" s="75">
        <v>20353.91</v>
      </c>
      <c r="E40" s="76"/>
      <c r="F40" s="77">
        <v>23404.51</v>
      </c>
      <c r="G40" s="93">
        <f t="shared" si="0"/>
        <v>-6.2974778059898817</v>
      </c>
      <c r="H40" s="75">
        <v>20454.88</v>
      </c>
      <c r="I40" s="76">
        <f t="shared" si="1"/>
        <v>0.49607176213317672</v>
      </c>
      <c r="J40" s="75">
        <v>20927.16</v>
      </c>
      <c r="K40" s="76">
        <f t="shared" si="2"/>
        <v>2.8164121782989104</v>
      </c>
      <c r="L40" s="77">
        <v>23711.72</v>
      </c>
      <c r="M40" s="93">
        <f t="shared" si="3"/>
        <v>-5.0675288840418382</v>
      </c>
      <c r="N40" s="75">
        <v>20681.87</v>
      </c>
      <c r="O40" s="94">
        <f t="shared" si="4"/>
        <v>1.109710738953229</v>
      </c>
      <c r="P40" s="99">
        <f>M40/G40</f>
        <v>0.80469182110047766</v>
      </c>
      <c r="Q40" s="99">
        <f>1-P40</f>
        <v>0.19530817889952234</v>
      </c>
    </row>
    <row r="41" spans="1:17" ht="15" customHeight="1" x14ac:dyDescent="0.25">
      <c r="A41" s="121"/>
      <c r="B41" s="4" t="s">
        <v>59</v>
      </c>
      <c r="C41" s="79">
        <v>23659.16</v>
      </c>
      <c r="D41" s="75">
        <v>18586.47</v>
      </c>
      <c r="E41" s="76"/>
      <c r="F41" s="77">
        <v>21718.79</v>
      </c>
      <c r="G41" s="78">
        <f t="shared" si="0"/>
        <v>-8.2013478077835327</v>
      </c>
      <c r="H41" s="75">
        <v>19417.060000000001</v>
      </c>
      <c r="I41" s="76">
        <f t="shared" si="1"/>
        <v>4.4687883175234422</v>
      </c>
      <c r="J41" s="75">
        <v>19384.37</v>
      </c>
      <c r="K41" s="76">
        <f t="shared" si="2"/>
        <v>4.2929076903790664</v>
      </c>
      <c r="L41" s="77">
        <v>22139.01</v>
      </c>
      <c r="M41" s="78">
        <f t="shared" si="3"/>
        <v>-6.4252069811438828</v>
      </c>
      <c r="N41" s="75">
        <v>19722.62</v>
      </c>
      <c r="O41" s="76">
        <f t="shared" si="4"/>
        <v>1.573667692225289</v>
      </c>
      <c r="P41" s="100">
        <f>M41/G41</f>
        <v>0.78343305658199325</v>
      </c>
      <c r="Q41" s="100">
        <f>1-P41</f>
        <v>0.21656694341800675</v>
      </c>
    </row>
    <row r="42" spans="1:17" ht="15" customHeight="1" thickBot="1" x14ac:dyDescent="0.3">
      <c r="A42" s="122"/>
      <c r="B42" s="3" t="s">
        <v>94</v>
      </c>
      <c r="C42" s="88">
        <v>24460.16</v>
      </c>
      <c r="D42" s="89">
        <v>19660.36</v>
      </c>
      <c r="E42" s="90"/>
      <c r="F42" s="91">
        <v>22743.03</v>
      </c>
      <c r="G42" s="78">
        <f t="shared" si="0"/>
        <v>-7.0201094350977318</v>
      </c>
      <c r="H42" s="89">
        <v>20047.63</v>
      </c>
      <c r="I42" s="90">
        <f t="shared" si="1"/>
        <v>1.9698011633561219</v>
      </c>
      <c r="J42" s="89">
        <v>20321.759999999998</v>
      </c>
      <c r="K42" s="90">
        <f t="shared" si="2"/>
        <v>3.3641296497113782</v>
      </c>
      <c r="L42" s="91">
        <v>23094.58</v>
      </c>
      <c r="M42" s="78">
        <f t="shared" si="3"/>
        <v>-5.5828743556869505</v>
      </c>
      <c r="N42" s="89">
        <v>20305.46</v>
      </c>
      <c r="O42" s="90">
        <f t="shared" si="4"/>
        <v>1.2860871833727971</v>
      </c>
      <c r="P42" s="99">
        <f>M42/G42</f>
        <v>0.79526884976675971</v>
      </c>
      <c r="Q42" s="99">
        <f>1-P42</f>
        <v>0.20473115023324029</v>
      </c>
    </row>
    <row r="43" spans="1:17" x14ac:dyDescent="0.25">
      <c r="G43" s="73"/>
      <c r="M43" s="73"/>
    </row>
  </sheetData>
  <mergeCells count="23">
    <mergeCell ref="A1:O1"/>
    <mergeCell ref="A3:A6"/>
    <mergeCell ref="B3:B6"/>
    <mergeCell ref="D3:I3"/>
    <mergeCell ref="J3:O3"/>
    <mergeCell ref="D4:E4"/>
    <mergeCell ref="F4:G4"/>
    <mergeCell ref="H4:I4"/>
    <mergeCell ref="J4:K4"/>
    <mergeCell ref="L4:M4"/>
    <mergeCell ref="A40:A42"/>
    <mergeCell ref="A28:A30"/>
    <mergeCell ref="N4:O4"/>
    <mergeCell ref="A7:A9"/>
    <mergeCell ref="A10:A12"/>
    <mergeCell ref="A13:A15"/>
    <mergeCell ref="A16:A18"/>
    <mergeCell ref="A19:A21"/>
    <mergeCell ref="A22:A24"/>
    <mergeCell ref="A25:A27"/>
    <mergeCell ref="A31:A33"/>
    <mergeCell ref="A34:A36"/>
    <mergeCell ref="A37:A39"/>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4CA7-8F4D-4D8E-994C-98877F032D98}">
  <sheetPr>
    <tabColor rgb="FFFFFF00"/>
  </sheetPr>
  <dimension ref="A1:BE38"/>
  <sheetViews>
    <sheetView zoomScale="80" zoomScaleNormal="80" workbookViewId="0">
      <selection sqref="A1:G1"/>
    </sheetView>
  </sheetViews>
  <sheetFormatPr baseColWidth="10" defaultRowHeight="15" x14ac:dyDescent="0.25"/>
  <cols>
    <col min="1" max="1" width="11.42578125" style="18"/>
    <col min="2" max="2" width="28.7109375" style="18" customWidth="1"/>
    <col min="3" max="6" width="11.42578125" style="18"/>
    <col min="7" max="7" width="11.28515625" style="18" customWidth="1"/>
    <col min="8" max="8" width="11.42578125" style="18"/>
    <col min="9" max="9" width="64.28515625" style="18" bestFit="1" customWidth="1"/>
    <col min="10" max="16" width="11.42578125" style="18"/>
    <col min="17" max="17" width="16.7109375" style="18" bestFit="1" customWidth="1"/>
    <col min="18" max="37" width="11.42578125" style="18"/>
    <col min="38" max="57" width="11.42578125" style="19"/>
    <col min="58" max="16384" width="11.42578125" style="18"/>
  </cols>
  <sheetData>
    <row r="1" spans="1:57" x14ac:dyDescent="0.25">
      <c r="A1" s="141" t="s">
        <v>39</v>
      </c>
      <c r="B1" s="141"/>
      <c r="C1" s="141"/>
      <c r="D1" s="141"/>
      <c r="E1" s="141"/>
      <c r="F1" s="141"/>
      <c r="G1" s="141"/>
      <c r="I1" s="141" t="s">
        <v>40</v>
      </c>
      <c r="J1" s="141"/>
      <c r="K1" s="141"/>
      <c r="L1" s="141"/>
      <c r="M1" s="141"/>
      <c r="N1" s="141"/>
      <c r="O1" s="141"/>
      <c r="Q1" s="141" t="s">
        <v>41</v>
      </c>
      <c r="R1" s="141"/>
      <c r="S1" s="141"/>
      <c r="T1" s="141"/>
      <c r="V1" s="141" t="s">
        <v>42</v>
      </c>
      <c r="W1" s="141"/>
      <c r="X1" s="141"/>
      <c r="Y1" s="141"/>
      <c r="Z1" s="141"/>
      <c r="AA1" s="141"/>
      <c r="AB1" s="141"/>
      <c r="AC1" s="141"/>
      <c r="AD1" s="141"/>
      <c r="AE1" s="141"/>
      <c r="AF1" s="141"/>
      <c r="AG1" s="141"/>
      <c r="AH1" s="141"/>
      <c r="AI1" s="141"/>
      <c r="AJ1" s="141"/>
      <c r="AK1" s="141"/>
    </row>
    <row r="3" spans="1:57" x14ac:dyDescent="0.25">
      <c r="A3" s="137" t="s">
        <v>0</v>
      </c>
      <c r="B3" s="138" t="s">
        <v>46</v>
      </c>
      <c r="C3" s="139"/>
      <c r="D3" s="140"/>
      <c r="E3" s="138" t="s">
        <v>48</v>
      </c>
      <c r="F3" s="139"/>
      <c r="G3" s="140"/>
      <c r="I3" s="142" t="s">
        <v>115</v>
      </c>
      <c r="J3" s="138" t="s">
        <v>46</v>
      </c>
      <c r="K3" s="139"/>
      <c r="L3" s="140"/>
      <c r="M3" s="138" t="s">
        <v>48</v>
      </c>
      <c r="N3" s="139"/>
      <c r="O3" s="140"/>
      <c r="Q3" s="20" t="s">
        <v>116</v>
      </c>
      <c r="R3" s="21" t="s">
        <v>16</v>
      </c>
      <c r="S3" s="21" t="s">
        <v>17</v>
      </c>
      <c r="T3" s="21" t="s">
        <v>18</v>
      </c>
      <c r="V3" s="137" t="s">
        <v>0</v>
      </c>
      <c r="W3" s="138" t="s">
        <v>25</v>
      </c>
      <c r="X3" s="139"/>
      <c r="Y3" s="140"/>
      <c r="Z3" s="138" t="s">
        <v>37</v>
      </c>
      <c r="AA3" s="139"/>
      <c r="AB3" s="140"/>
      <c r="AC3" s="138" t="s">
        <v>38</v>
      </c>
      <c r="AD3" s="139"/>
      <c r="AE3" s="140"/>
      <c r="AF3" s="138" t="s">
        <v>36</v>
      </c>
      <c r="AG3" s="139"/>
      <c r="AH3" s="140"/>
      <c r="AI3" s="138" t="s">
        <v>28</v>
      </c>
      <c r="AJ3" s="139"/>
      <c r="AK3" s="140"/>
    </row>
    <row r="4" spans="1:57" x14ac:dyDescent="0.25">
      <c r="A4" s="134"/>
      <c r="B4" s="21" t="s">
        <v>16</v>
      </c>
      <c r="C4" s="21" t="s">
        <v>17</v>
      </c>
      <c r="D4" s="21" t="s">
        <v>18</v>
      </c>
      <c r="E4" s="21" t="s">
        <v>16</v>
      </c>
      <c r="F4" s="21" t="s">
        <v>17</v>
      </c>
      <c r="G4" s="21" t="s">
        <v>18</v>
      </c>
      <c r="I4" s="143"/>
      <c r="J4" s="21" t="s">
        <v>16</v>
      </c>
      <c r="K4" s="21" t="s">
        <v>17</v>
      </c>
      <c r="L4" s="21" t="s">
        <v>18</v>
      </c>
      <c r="M4" s="21" t="s">
        <v>16</v>
      </c>
      <c r="N4" s="21" t="s">
        <v>17</v>
      </c>
      <c r="O4" s="21" t="s">
        <v>18</v>
      </c>
      <c r="Q4" s="22" t="s">
        <v>25</v>
      </c>
      <c r="R4" s="23">
        <v>3834206</v>
      </c>
      <c r="S4" s="23">
        <v>3647228</v>
      </c>
      <c r="T4" s="23">
        <f>SUM(R4:S4)</f>
        <v>7481434</v>
      </c>
      <c r="V4" s="134"/>
      <c r="W4" s="21" t="s">
        <v>16</v>
      </c>
      <c r="X4" s="21" t="s">
        <v>17</v>
      </c>
      <c r="Y4" s="21" t="s">
        <v>18</v>
      </c>
      <c r="Z4" s="21" t="s">
        <v>16</v>
      </c>
      <c r="AA4" s="21" t="s">
        <v>17</v>
      </c>
      <c r="AB4" s="21" t="s">
        <v>18</v>
      </c>
      <c r="AC4" s="21" t="s">
        <v>16</v>
      </c>
      <c r="AD4" s="21" t="s">
        <v>17</v>
      </c>
      <c r="AE4" s="21" t="s">
        <v>18</v>
      </c>
      <c r="AF4" s="21" t="s">
        <v>16</v>
      </c>
      <c r="AG4" s="21" t="s">
        <v>17</v>
      </c>
      <c r="AH4" s="21" t="s">
        <v>18</v>
      </c>
      <c r="AI4" s="21" t="s">
        <v>16</v>
      </c>
      <c r="AJ4" s="21" t="s">
        <v>17</v>
      </c>
      <c r="AK4" s="21" t="s">
        <v>18</v>
      </c>
    </row>
    <row r="5" spans="1:57" x14ac:dyDescent="0.25">
      <c r="A5" s="24">
        <v>1</v>
      </c>
      <c r="B5" s="23">
        <v>1396450</v>
      </c>
      <c r="C5" s="23">
        <v>1452339</v>
      </c>
      <c r="D5" s="23">
        <f t="shared" ref="D5:D14" si="0">SUM(B5:C5)</f>
        <v>2848789</v>
      </c>
      <c r="E5" s="23">
        <v>1349987</v>
      </c>
      <c r="F5" s="23">
        <v>1498802</v>
      </c>
      <c r="G5" s="23">
        <f t="shared" ref="G5:G14" si="1">SUM(E5:F5)</f>
        <v>2848789</v>
      </c>
      <c r="I5" s="25" t="s">
        <v>22</v>
      </c>
      <c r="J5" s="23">
        <v>91750</v>
      </c>
      <c r="K5" s="23">
        <v>29883</v>
      </c>
      <c r="L5" s="23">
        <f t="shared" ref="L5:L15" si="2">SUM(J5:K5)</f>
        <v>121633</v>
      </c>
      <c r="M5" s="23">
        <v>86341</v>
      </c>
      <c r="N5" s="23">
        <v>35292</v>
      </c>
      <c r="O5" s="23">
        <f t="shared" ref="O5:O15" si="3">SUM(M5:N5)</f>
        <v>121633</v>
      </c>
      <c r="Q5" s="22" t="s">
        <v>37</v>
      </c>
      <c r="R5" s="23">
        <v>1612883</v>
      </c>
      <c r="S5" s="23">
        <v>1650255</v>
      </c>
      <c r="T5" s="23">
        <f>SUM(R5:S5)</f>
        <v>3263138</v>
      </c>
      <c r="V5" s="24">
        <v>1</v>
      </c>
      <c r="W5" s="23">
        <v>692613</v>
      </c>
      <c r="X5" s="23">
        <v>629619</v>
      </c>
      <c r="Y5" s="23">
        <f t="shared" ref="Y5:Y14" si="4">SUM(W5:X5)</f>
        <v>1322232</v>
      </c>
      <c r="Z5" s="23">
        <v>190481</v>
      </c>
      <c r="AA5" s="23">
        <v>172068</v>
      </c>
      <c r="AB5" s="23">
        <f t="shared" ref="AB5:AB14" si="5">SUM(Z5:AA5)</f>
        <v>362549</v>
      </c>
      <c r="AC5" s="23">
        <v>255828</v>
      </c>
      <c r="AD5" s="23">
        <v>355260</v>
      </c>
      <c r="AE5" s="23">
        <f t="shared" ref="AE5:AE14" si="6">SUM(AC5:AD5)</f>
        <v>611088</v>
      </c>
      <c r="AF5" s="23">
        <v>237011</v>
      </c>
      <c r="AG5" s="23">
        <v>278868</v>
      </c>
      <c r="AH5" s="23">
        <f t="shared" ref="AH5:AH14" si="7">SUM(AF5:AG5)</f>
        <v>515879</v>
      </c>
      <c r="AI5" s="23">
        <v>20517</v>
      </c>
      <c r="AJ5" s="23">
        <v>16524</v>
      </c>
      <c r="AK5" s="23">
        <f t="shared" ref="AK5:AK14" si="8">SUM(AI5:AJ5)</f>
        <v>37041</v>
      </c>
    </row>
    <row r="6" spans="1:57" x14ac:dyDescent="0.25">
      <c r="A6" s="24">
        <v>2</v>
      </c>
      <c r="B6" s="23">
        <v>1346685</v>
      </c>
      <c r="C6" s="23">
        <v>1509800</v>
      </c>
      <c r="D6" s="23">
        <f t="shared" si="0"/>
        <v>2856485</v>
      </c>
      <c r="E6" s="23">
        <v>1533354</v>
      </c>
      <c r="F6" s="23">
        <v>1323131</v>
      </c>
      <c r="G6" s="23">
        <f t="shared" si="1"/>
        <v>2856485</v>
      </c>
      <c r="I6" s="26" t="s">
        <v>24</v>
      </c>
      <c r="J6" s="23">
        <v>874726</v>
      </c>
      <c r="K6" s="23">
        <v>451827</v>
      </c>
      <c r="L6" s="23">
        <f t="shared" si="2"/>
        <v>1326553</v>
      </c>
      <c r="M6" s="23">
        <v>832665</v>
      </c>
      <c r="N6" s="23">
        <v>493888</v>
      </c>
      <c r="O6" s="23">
        <f t="shared" si="3"/>
        <v>1326553</v>
      </c>
      <c r="Q6" s="22" t="s">
        <v>38</v>
      </c>
      <c r="R6" s="23">
        <v>3267291</v>
      </c>
      <c r="S6" s="23">
        <v>3322403</v>
      </c>
      <c r="T6" s="23">
        <f>SUM(R6:S6)</f>
        <v>6589694</v>
      </c>
      <c r="V6" s="24">
        <v>2</v>
      </c>
      <c r="W6" s="23">
        <v>584427</v>
      </c>
      <c r="X6" s="23">
        <v>575383</v>
      </c>
      <c r="Y6" s="23">
        <f t="shared" si="4"/>
        <v>1159810</v>
      </c>
      <c r="Z6" s="23">
        <v>188462</v>
      </c>
      <c r="AA6" s="23">
        <v>230135</v>
      </c>
      <c r="AB6" s="23">
        <f t="shared" si="5"/>
        <v>418597</v>
      </c>
      <c r="AC6" s="23">
        <v>268267</v>
      </c>
      <c r="AD6" s="23">
        <v>356917</v>
      </c>
      <c r="AE6" s="23">
        <f t="shared" si="6"/>
        <v>625184</v>
      </c>
      <c r="AF6" s="23">
        <v>257244</v>
      </c>
      <c r="AG6" s="23">
        <v>289559</v>
      </c>
      <c r="AH6" s="23">
        <f t="shared" si="7"/>
        <v>546803</v>
      </c>
      <c r="AI6" s="23">
        <v>48285</v>
      </c>
      <c r="AJ6" s="23">
        <v>57806</v>
      </c>
      <c r="AK6" s="23">
        <f t="shared" si="8"/>
        <v>106091</v>
      </c>
    </row>
    <row r="7" spans="1:57" x14ac:dyDescent="0.25">
      <c r="A7" s="24">
        <v>3</v>
      </c>
      <c r="B7" s="23">
        <v>1395130</v>
      </c>
      <c r="C7" s="23">
        <v>1457178</v>
      </c>
      <c r="D7" s="23">
        <f t="shared" si="0"/>
        <v>2852308</v>
      </c>
      <c r="E7" s="23">
        <v>1688805</v>
      </c>
      <c r="F7" s="23">
        <v>1163503</v>
      </c>
      <c r="G7" s="23">
        <f t="shared" si="1"/>
        <v>2852308</v>
      </c>
      <c r="I7" s="26" t="s">
        <v>26</v>
      </c>
      <c r="J7" s="23">
        <v>1044273</v>
      </c>
      <c r="K7" s="23">
        <v>22001</v>
      </c>
      <c r="L7" s="23">
        <f t="shared" si="2"/>
        <v>1066274</v>
      </c>
      <c r="M7" s="23">
        <v>688115</v>
      </c>
      <c r="N7" s="23">
        <v>378159</v>
      </c>
      <c r="O7" s="23">
        <f t="shared" si="3"/>
        <v>1066274</v>
      </c>
      <c r="Q7" s="22" t="s">
        <v>36</v>
      </c>
      <c r="R7" s="23">
        <v>3435011</v>
      </c>
      <c r="S7" s="23">
        <v>3986096</v>
      </c>
      <c r="T7" s="23">
        <f>SUM(R7:S7)</f>
        <v>7421107</v>
      </c>
      <c r="V7" s="24">
        <v>3</v>
      </c>
      <c r="W7" s="23">
        <v>558585</v>
      </c>
      <c r="X7" s="23">
        <v>479365</v>
      </c>
      <c r="Y7" s="23">
        <f t="shared" si="4"/>
        <v>1037950</v>
      </c>
      <c r="Z7" s="23">
        <v>188703</v>
      </c>
      <c r="AA7" s="23">
        <v>233296</v>
      </c>
      <c r="AB7" s="23">
        <f t="shared" si="5"/>
        <v>421999</v>
      </c>
      <c r="AC7" s="23">
        <v>336436</v>
      </c>
      <c r="AD7" s="23">
        <v>366868</v>
      </c>
      <c r="AE7" s="23">
        <f t="shared" si="6"/>
        <v>703304</v>
      </c>
      <c r="AF7" s="23">
        <v>274723</v>
      </c>
      <c r="AG7" s="23">
        <v>326267</v>
      </c>
      <c r="AH7" s="23">
        <f t="shared" si="7"/>
        <v>600990</v>
      </c>
      <c r="AI7" s="23">
        <v>36683</v>
      </c>
      <c r="AJ7" s="23">
        <v>51382</v>
      </c>
      <c r="AK7" s="23">
        <f t="shared" si="8"/>
        <v>88065</v>
      </c>
    </row>
    <row r="8" spans="1:57" x14ac:dyDescent="0.25">
      <c r="A8" s="24">
        <v>4</v>
      </c>
      <c r="B8" s="23">
        <v>1355268</v>
      </c>
      <c r="C8" s="23">
        <v>1498131</v>
      </c>
      <c r="D8" s="23">
        <f t="shared" si="0"/>
        <v>2853399</v>
      </c>
      <c r="E8" s="23">
        <v>1688506</v>
      </c>
      <c r="F8" s="23">
        <v>1164893</v>
      </c>
      <c r="G8" s="23">
        <f t="shared" si="1"/>
        <v>2853399</v>
      </c>
      <c r="I8" s="26" t="s">
        <v>27</v>
      </c>
      <c r="J8" s="23">
        <v>1311071</v>
      </c>
      <c r="K8" s="23">
        <v>883783</v>
      </c>
      <c r="L8" s="23">
        <f t="shared" si="2"/>
        <v>2194854</v>
      </c>
      <c r="M8" s="23">
        <v>1323727</v>
      </c>
      <c r="N8" s="23">
        <v>871127</v>
      </c>
      <c r="O8" s="23">
        <f t="shared" si="3"/>
        <v>2194854</v>
      </c>
      <c r="Q8" s="27" t="s">
        <v>28</v>
      </c>
      <c r="R8" s="28">
        <v>1560377</v>
      </c>
      <c r="S8" s="28">
        <v>2208908</v>
      </c>
      <c r="T8" s="28">
        <f>SUM(R8:S8)</f>
        <v>3769285</v>
      </c>
      <c r="V8" s="24">
        <v>4</v>
      </c>
      <c r="W8" s="23">
        <v>459749</v>
      </c>
      <c r="X8" s="23">
        <v>490308</v>
      </c>
      <c r="Y8" s="23">
        <f t="shared" si="4"/>
        <v>950057</v>
      </c>
      <c r="Z8" s="23">
        <v>163304</v>
      </c>
      <c r="AA8" s="23">
        <v>176331</v>
      </c>
      <c r="AB8" s="23">
        <f t="shared" si="5"/>
        <v>339635</v>
      </c>
      <c r="AC8" s="23">
        <v>371186</v>
      </c>
      <c r="AD8" s="23">
        <v>381301</v>
      </c>
      <c r="AE8" s="23">
        <f t="shared" si="6"/>
        <v>752487</v>
      </c>
      <c r="AF8" s="23">
        <v>301892</v>
      </c>
      <c r="AG8" s="23">
        <v>361582</v>
      </c>
      <c r="AH8" s="23">
        <f t="shared" si="7"/>
        <v>663474</v>
      </c>
      <c r="AI8" s="23">
        <v>59137</v>
      </c>
      <c r="AJ8" s="23">
        <v>88609</v>
      </c>
      <c r="AK8" s="23">
        <f t="shared" si="8"/>
        <v>147746</v>
      </c>
    </row>
    <row r="9" spans="1:57" x14ac:dyDescent="0.25">
      <c r="A9" s="24">
        <v>5</v>
      </c>
      <c r="B9" s="23">
        <v>1394964</v>
      </c>
      <c r="C9" s="23">
        <v>1457277</v>
      </c>
      <c r="D9" s="23">
        <f t="shared" si="0"/>
        <v>2852241</v>
      </c>
      <c r="E9" s="23">
        <v>1671668</v>
      </c>
      <c r="F9" s="23">
        <v>1180573</v>
      </c>
      <c r="G9" s="23">
        <f t="shared" si="1"/>
        <v>2852241</v>
      </c>
      <c r="I9" s="26" t="s">
        <v>29</v>
      </c>
      <c r="J9" s="23">
        <v>278457</v>
      </c>
      <c r="K9" s="23">
        <v>183943</v>
      </c>
      <c r="L9" s="23">
        <f t="shared" si="2"/>
        <v>462400</v>
      </c>
      <c r="M9" s="23">
        <v>279473</v>
      </c>
      <c r="N9" s="23">
        <v>182927</v>
      </c>
      <c r="O9" s="23">
        <f t="shared" si="3"/>
        <v>462400</v>
      </c>
      <c r="Q9" s="29" t="s">
        <v>18</v>
      </c>
      <c r="R9" s="30">
        <f>SUM(R4:R8)</f>
        <v>13709768</v>
      </c>
      <c r="S9" s="30">
        <f>SUM(S4:S8)</f>
        <v>14814890</v>
      </c>
      <c r="T9" s="30">
        <f>SUM(T4:T8)</f>
        <v>28524658</v>
      </c>
      <c r="V9" s="24">
        <v>5</v>
      </c>
      <c r="W9" s="23">
        <v>378261</v>
      </c>
      <c r="X9" s="23">
        <v>333854</v>
      </c>
      <c r="Y9" s="23">
        <f t="shared" si="4"/>
        <v>712115</v>
      </c>
      <c r="Z9" s="23">
        <v>211296</v>
      </c>
      <c r="AA9" s="23">
        <v>202799</v>
      </c>
      <c r="AB9" s="23">
        <f t="shared" si="5"/>
        <v>414095</v>
      </c>
      <c r="AC9" s="23">
        <v>306537</v>
      </c>
      <c r="AD9" s="23">
        <v>316445</v>
      </c>
      <c r="AE9" s="23">
        <f t="shared" si="6"/>
        <v>622982</v>
      </c>
      <c r="AF9" s="23">
        <v>337710</v>
      </c>
      <c r="AG9" s="23">
        <v>422567</v>
      </c>
      <c r="AH9" s="23">
        <f t="shared" si="7"/>
        <v>760277</v>
      </c>
      <c r="AI9" s="23">
        <v>161160</v>
      </c>
      <c r="AJ9" s="23">
        <v>181612</v>
      </c>
      <c r="AK9" s="23">
        <f t="shared" si="8"/>
        <v>342772</v>
      </c>
    </row>
    <row r="10" spans="1:57" x14ac:dyDescent="0.25">
      <c r="A10" s="24">
        <v>6</v>
      </c>
      <c r="B10" s="23">
        <v>1351911</v>
      </c>
      <c r="C10" s="23">
        <v>1498849</v>
      </c>
      <c r="D10" s="23">
        <f t="shared" si="0"/>
        <v>2850760</v>
      </c>
      <c r="E10" s="23">
        <v>1849796</v>
      </c>
      <c r="F10" s="23">
        <v>1000964</v>
      </c>
      <c r="G10" s="23">
        <f t="shared" si="1"/>
        <v>2850760</v>
      </c>
      <c r="I10" s="26" t="s">
        <v>30</v>
      </c>
      <c r="J10" s="23">
        <v>778999</v>
      </c>
      <c r="K10" s="23">
        <v>135834</v>
      </c>
      <c r="L10" s="23">
        <f t="shared" si="2"/>
        <v>914833</v>
      </c>
      <c r="M10" s="23">
        <v>631830</v>
      </c>
      <c r="N10" s="23">
        <v>283003</v>
      </c>
      <c r="O10" s="23">
        <f t="shared" si="3"/>
        <v>914833</v>
      </c>
      <c r="V10" s="24">
        <v>6</v>
      </c>
      <c r="W10" s="23">
        <v>334653</v>
      </c>
      <c r="X10" s="23">
        <v>297814</v>
      </c>
      <c r="Y10" s="23">
        <f t="shared" si="4"/>
        <v>632467</v>
      </c>
      <c r="Z10" s="23">
        <v>178197</v>
      </c>
      <c r="AA10" s="23">
        <v>176885</v>
      </c>
      <c r="AB10" s="23">
        <f t="shared" si="5"/>
        <v>355082</v>
      </c>
      <c r="AC10" s="23">
        <v>332359</v>
      </c>
      <c r="AD10" s="23">
        <v>314614</v>
      </c>
      <c r="AE10" s="23">
        <f t="shared" si="6"/>
        <v>646973</v>
      </c>
      <c r="AF10" s="23">
        <v>370556</v>
      </c>
      <c r="AG10" s="23">
        <v>481966</v>
      </c>
      <c r="AH10" s="23">
        <f t="shared" si="7"/>
        <v>852522</v>
      </c>
      <c r="AI10" s="23">
        <v>136146</v>
      </c>
      <c r="AJ10" s="23">
        <v>227570</v>
      </c>
      <c r="AK10" s="23">
        <f t="shared" si="8"/>
        <v>363716</v>
      </c>
    </row>
    <row r="11" spans="1:57" x14ac:dyDescent="0.25">
      <c r="A11" s="24">
        <v>7</v>
      </c>
      <c r="B11" s="23">
        <v>1321287</v>
      </c>
      <c r="C11" s="23">
        <v>1531951</v>
      </c>
      <c r="D11" s="23">
        <f t="shared" si="0"/>
        <v>2853238</v>
      </c>
      <c r="E11" s="23">
        <v>1660213</v>
      </c>
      <c r="F11" s="23">
        <v>1193025</v>
      </c>
      <c r="G11" s="23">
        <f t="shared" si="1"/>
        <v>2853238</v>
      </c>
      <c r="I11" s="26" t="s">
        <v>31</v>
      </c>
      <c r="J11" s="23">
        <v>783739</v>
      </c>
      <c r="K11" s="23">
        <v>528898</v>
      </c>
      <c r="L11" s="23">
        <f t="shared" si="2"/>
        <v>1312637</v>
      </c>
      <c r="M11" s="23">
        <v>871336</v>
      </c>
      <c r="N11" s="23">
        <v>441301</v>
      </c>
      <c r="O11" s="23">
        <f t="shared" si="3"/>
        <v>1312637</v>
      </c>
      <c r="V11" s="24">
        <v>7</v>
      </c>
      <c r="W11" s="23">
        <v>258347</v>
      </c>
      <c r="X11" s="23">
        <v>292611</v>
      </c>
      <c r="Y11" s="23">
        <f t="shared" si="4"/>
        <v>550958</v>
      </c>
      <c r="Z11" s="23">
        <v>150366</v>
      </c>
      <c r="AA11" s="23">
        <v>159004</v>
      </c>
      <c r="AB11" s="23">
        <f t="shared" si="5"/>
        <v>309370</v>
      </c>
      <c r="AC11" s="23">
        <v>333979</v>
      </c>
      <c r="AD11" s="23">
        <v>331792</v>
      </c>
      <c r="AE11" s="23">
        <f t="shared" si="6"/>
        <v>665771</v>
      </c>
      <c r="AF11" s="23">
        <v>366188</v>
      </c>
      <c r="AG11" s="23">
        <v>411801</v>
      </c>
      <c r="AH11" s="23">
        <f t="shared" si="7"/>
        <v>777989</v>
      </c>
      <c r="AI11" s="23">
        <v>212407</v>
      </c>
      <c r="AJ11" s="23">
        <v>336594</v>
      </c>
      <c r="AK11" s="23">
        <f t="shared" si="8"/>
        <v>549001</v>
      </c>
    </row>
    <row r="12" spans="1:57" x14ac:dyDescent="0.25">
      <c r="A12" s="24">
        <v>8</v>
      </c>
      <c r="B12" s="23">
        <v>1366160</v>
      </c>
      <c r="C12" s="23">
        <v>1488565</v>
      </c>
      <c r="D12" s="23">
        <f t="shared" si="0"/>
        <v>2854725</v>
      </c>
      <c r="E12" s="23">
        <v>1822545</v>
      </c>
      <c r="F12" s="23">
        <v>1032180</v>
      </c>
      <c r="G12" s="23">
        <f t="shared" si="1"/>
        <v>2854725</v>
      </c>
      <c r="I12" s="26" t="s">
        <v>32</v>
      </c>
      <c r="J12" s="23">
        <v>239797</v>
      </c>
      <c r="K12" s="23">
        <v>735108</v>
      </c>
      <c r="L12" s="23">
        <f t="shared" si="2"/>
        <v>974905</v>
      </c>
      <c r="M12" s="23">
        <v>541164</v>
      </c>
      <c r="N12" s="23">
        <v>433741</v>
      </c>
      <c r="O12" s="23">
        <f t="shared" si="3"/>
        <v>974905</v>
      </c>
      <c r="V12" s="24">
        <v>8</v>
      </c>
      <c r="W12" s="23">
        <v>240748</v>
      </c>
      <c r="X12" s="23">
        <v>230526</v>
      </c>
      <c r="Y12" s="23">
        <f t="shared" si="4"/>
        <v>471274</v>
      </c>
      <c r="Z12" s="23">
        <v>130507</v>
      </c>
      <c r="AA12" s="23">
        <v>97135</v>
      </c>
      <c r="AB12" s="23">
        <f t="shared" si="5"/>
        <v>227642</v>
      </c>
      <c r="AC12" s="23">
        <v>284899</v>
      </c>
      <c r="AD12" s="23">
        <v>285740</v>
      </c>
      <c r="AE12" s="23">
        <f t="shared" si="6"/>
        <v>570639</v>
      </c>
      <c r="AF12" s="23">
        <v>383018</v>
      </c>
      <c r="AG12" s="23">
        <v>441117</v>
      </c>
      <c r="AH12" s="23">
        <f t="shared" si="7"/>
        <v>824135</v>
      </c>
      <c r="AI12" s="23">
        <v>326988</v>
      </c>
      <c r="AJ12" s="23">
        <v>434047</v>
      </c>
      <c r="AK12" s="23">
        <f t="shared" si="8"/>
        <v>761035</v>
      </c>
    </row>
    <row r="13" spans="1:57" x14ac:dyDescent="0.25">
      <c r="A13" s="24">
        <v>9</v>
      </c>
      <c r="B13" s="23">
        <v>1391883</v>
      </c>
      <c r="C13" s="23">
        <v>1460255</v>
      </c>
      <c r="D13" s="23">
        <f t="shared" si="0"/>
        <v>2852138</v>
      </c>
      <c r="E13" s="23">
        <v>1855198</v>
      </c>
      <c r="F13" s="23">
        <v>996940</v>
      </c>
      <c r="G13" s="23">
        <f t="shared" si="1"/>
        <v>2852138</v>
      </c>
      <c r="I13" s="26" t="s">
        <v>33</v>
      </c>
      <c r="J13" s="23">
        <v>1033530</v>
      </c>
      <c r="K13" s="23">
        <v>1123807</v>
      </c>
      <c r="L13" s="23">
        <f t="shared" si="2"/>
        <v>2157337</v>
      </c>
      <c r="M13" s="23">
        <v>1305326</v>
      </c>
      <c r="N13" s="23">
        <v>852011</v>
      </c>
      <c r="O13" s="23">
        <f t="shared" si="3"/>
        <v>2157337</v>
      </c>
      <c r="V13" s="24">
        <v>9</v>
      </c>
      <c r="W13" s="23">
        <v>208308</v>
      </c>
      <c r="X13" s="23">
        <v>197940</v>
      </c>
      <c r="Y13" s="23">
        <f t="shared" si="4"/>
        <v>406248</v>
      </c>
      <c r="Z13" s="23">
        <v>128828</v>
      </c>
      <c r="AA13" s="23">
        <v>111144</v>
      </c>
      <c r="AB13" s="23">
        <f t="shared" si="5"/>
        <v>239972</v>
      </c>
      <c r="AC13" s="23">
        <v>332710</v>
      </c>
      <c r="AD13" s="23">
        <v>282235</v>
      </c>
      <c r="AE13" s="23">
        <f t="shared" si="6"/>
        <v>614945</v>
      </c>
      <c r="AF13" s="23">
        <v>448185</v>
      </c>
      <c r="AG13" s="23">
        <v>463641</v>
      </c>
      <c r="AH13" s="23">
        <f t="shared" si="7"/>
        <v>911826</v>
      </c>
      <c r="AI13" s="23">
        <v>273852</v>
      </c>
      <c r="AJ13" s="23">
        <v>402696</v>
      </c>
      <c r="AK13" s="23">
        <f t="shared" si="8"/>
        <v>676548</v>
      </c>
    </row>
    <row r="14" spans="1:57" x14ac:dyDescent="0.25">
      <c r="A14" s="31">
        <v>10</v>
      </c>
      <c r="B14" s="28">
        <v>1390030</v>
      </c>
      <c r="C14" s="28">
        <v>1463440</v>
      </c>
      <c r="D14" s="23">
        <f t="shared" si="0"/>
        <v>2853470</v>
      </c>
      <c r="E14" s="28">
        <v>1781367</v>
      </c>
      <c r="F14" s="28">
        <v>1072103</v>
      </c>
      <c r="G14" s="23">
        <f t="shared" si="1"/>
        <v>2853470</v>
      </c>
      <c r="I14" s="26" t="s">
        <v>34</v>
      </c>
      <c r="J14" s="23">
        <v>47380</v>
      </c>
      <c r="K14" s="23">
        <v>933034</v>
      </c>
      <c r="L14" s="23">
        <f t="shared" si="2"/>
        <v>980414</v>
      </c>
      <c r="M14" s="23">
        <v>404912</v>
      </c>
      <c r="N14" s="23">
        <v>575502</v>
      </c>
      <c r="O14" s="23">
        <f t="shared" si="3"/>
        <v>980414</v>
      </c>
      <c r="V14" s="31">
        <v>10</v>
      </c>
      <c r="W14" s="28">
        <v>118515</v>
      </c>
      <c r="X14" s="28">
        <v>119808</v>
      </c>
      <c r="Y14" s="23">
        <f t="shared" si="4"/>
        <v>238323</v>
      </c>
      <c r="Z14" s="28">
        <v>82739</v>
      </c>
      <c r="AA14" s="28">
        <v>91458</v>
      </c>
      <c r="AB14" s="23">
        <f t="shared" si="5"/>
        <v>174197</v>
      </c>
      <c r="AC14" s="28">
        <v>445090</v>
      </c>
      <c r="AD14" s="28">
        <v>331231</v>
      </c>
      <c r="AE14" s="23">
        <f t="shared" si="6"/>
        <v>776321</v>
      </c>
      <c r="AF14" s="28">
        <v>458484</v>
      </c>
      <c r="AG14" s="28">
        <v>508728</v>
      </c>
      <c r="AH14" s="23">
        <f t="shared" si="7"/>
        <v>967212</v>
      </c>
      <c r="AI14" s="28">
        <v>285202</v>
      </c>
      <c r="AJ14" s="28">
        <v>412068</v>
      </c>
      <c r="AK14" s="23">
        <f t="shared" si="8"/>
        <v>697270</v>
      </c>
    </row>
    <row r="15" spans="1:57" x14ac:dyDescent="0.25">
      <c r="A15" s="32" t="s">
        <v>18</v>
      </c>
      <c r="B15" s="33">
        <f t="shared" ref="B15:G15" si="9">SUM(B5:B14)</f>
        <v>13709768</v>
      </c>
      <c r="C15" s="33">
        <f t="shared" si="9"/>
        <v>14817785</v>
      </c>
      <c r="D15" s="30">
        <f t="shared" si="9"/>
        <v>28527553</v>
      </c>
      <c r="E15" s="33">
        <f t="shared" si="9"/>
        <v>16901439</v>
      </c>
      <c r="F15" s="33">
        <f t="shared" si="9"/>
        <v>11626114</v>
      </c>
      <c r="G15" s="30">
        <f t="shared" si="9"/>
        <v>28527553</v>
      </c>
      <c r="I15" s="26" t="s">
        <v>35</v>
      </c>
      <c r="J15" s="23">
        <v>246806</v>
      </c>
      <c r="K15" s="23">
        <v>276809</v>
      </c>
      <c r="L15" s="23">
        <f t="shared" si="2"/>
        <v>523615</v>
      </c>
      <c r="M15" s="23">
        <v>347831</v>
      </c>
      <c r="N15" s="23">
        <v>175784</v>
      </c>
      <c r="O15" s="23">
        <f t="shared" si="3"/>
        <v>523615</v>
      </c>
      <c r="V15" s="32" t="s">
        <v>18</v>
      </c>
      <c r="W15" s="33">
        <f t="shared" ref="W15:AK15" si="10">SUM(W5:W14)</f>
        <v>3834206</v>
      </c>
      <c r="X15" s="33">
        <f t="shared" si="10"/>
        <v>3647228</v>
      </c>
      <c r="Y15" s="30">
        <f t="shared" si="10"/>
        <v>7481434</v>
      </c>
      <c r="Z15" s="33">
        <f t="shared" si="10"/>
        <v>1612883</v>
      </c>
      <c r="AA15" s="33">
        <f t="shared" si="10"/>
        <v>1650255</v>
      </c>
      <c r="AB15" s="30">
        <f t="shared" si="10"/>
        <v>3263138</v>
      </c>
      <c r="AC15" s="33">
        <f t="shared" si="10"/>
        <v>3267291</v>
      </c>
      <c r="AD15" s="33">
        <f t="shared" si="10"/>
        <v>3322403</v>
      </c>
      <c r="AE15" s="30">
        <f t="shared" si="10"/>
        <v>6589694</v>
      </c>
      <c r="AF15" s="33">
        <f t="shared" si="10"/>
        <v>3435011</v>
      </c>
      <c r="AG15" s="33">
        <f t="shared" si="10"/>
        <v>3986096</v>
      </c>
      <c r="AH15" s="30">
        <f t="shared" si="10"/>
        <v>7421107</v>
      </c>
      <c r="AI15" s="33">
        <f t="shared" si="10"/>
        <v>1560377</v>
      </c>
      <c r="AJ15" s="33">
        <f t="shared" si="10"/>
        <v>2208908</v>
      </c>
      <c r="AK15" s="30">
        <f t="shared" si="10"/>
        <v>3769285</v>
      </c>
    </row>
    <row r="16" spans="1:57" x14ac:dyDescent="0.25">
      <c r="H16" s="34"/>
      <c r="I16" s="20" t="s">
        <v>18</v>
      </c>
      <c r="J16" s="35">
        <f t="shared" ref="J16:O16" si="11">SUM(J5:J15)</f>
        <v>6730528</v>
      </c>
      <c r="K16" s="35">
        <f t="shared" si="11"/>
        <v>5304927</v>
      </c>
      <c r="L16" s="35">
        <f t="shared" si="11"/>
        <v>12035455</v>
      </c>
      <c r="M16" s="35">
        <f t="shared" si="11"/>
        <v>7312720</v>
      </c>
      <c r="N16" s="35">
        <f t="shared" si="11"/>
        <v>4722735</v>
      </c>
      <c r="O16" s="35">
        <f t="shared" si="11"/>
        <v>12035455</v>
      </c>
      <c r="P16" s="36"/>
      <c r="U16" s="19"/>
      <c r="V16" s="19"/>
      <c r="W16" s="19"/>
      <c r="X16" s="19"/>
      <c r="Y16" s="19"/>
      <c r="Z16" s="19"/>
      <c r="AA16" s="19"/>
      <c r="AB16" s="19"/>
      <c r="AC16" s="19"/>
      <c r="AD16" s="19"/>
      <c r="AE16" s="19"/>
      <c r="AF16" s="19"/>
      <c r="AG16" s="19"/>
      <c r="AH16" s="19"/>
      <c r="AI16" s="19"/>
      <c r="AJ16" s="19"/>
      <c r="AK16" s="19"/>
      <c r="AL16" s="18"/>
      <c r="AM16" s="18"/>
      <c r="AN16" s="18"/>
      <c r="AO16" s="18"/>
      <c r="AP16" s="18"/>
      <c r="AQ16" s="18"/>
      <c r="AR16" s="18"/>
      <c r="AS16" s="18"/>
      <c r="AT16" s="18"/>
      <c r="AU16" s="18"/>
      <c r="AV16" s="18"/>
      <c r="AW16" s="18"/>
      <c r="AX16" s="18"/>
      <c r="AY16" s="18"/>
      <c r="AZ16" s="18"/>
      <c r="BA16" s="18"/>
      <c r="BB16" s="18"/>
      <c r="BC16" s="18"/>
      <c r="BD16" s="18"/>
      <c r="BE16" s="18"/>
    </row>
    <row r="17" spans="1:57" x14ac:dyDescent="0.25">
      <c r="V17" s="19"/>
      <c r="W17" s="19"/>
      <c r="X17" s="19"/>
      <c r="Y17" s="19"/>
      <c r="Z17" s="19"/>
      <c r="AA17" s="19"/>
      <c r="AB17" s="19"/>
      <c r="AC17" s="19"/>
      <c r="AD17" s="19"/>
      <c r="AE17" s="19"/>
      <c r="AF17" s="19"/>
      <c r="AG17" s="19"/>
      <c r="AH17" s="19"/>
      <c r="AI17" s="19"/>
      <c r="AJ17" s="19"/>
      <c r="AK17" s="19"/>
      <c r="AP17" s="18"/>
      <c r="AQ17" s="18"/>
      <c r="AR17" s="18"/>
      <c r="AS17" s="18"/>
      <c r="AT17" s="18"/>
      <c r="AU17" s="18"/>
      <c r="AV17" s="18"/>
      <c r="AW17" s="18"/>
      <c r="AX17" s="18"/>
      <c r="AY17" s="18"/>
      <c r="AZ17" s="18"/>
      <c r="BA17" s="18"/>
      <c r="BB17" s="18"/>
      <c r="BC17" s="18"/>
      <c r="BD17" s="18"/>
      <c r="BE17" s="18"/>
    </row>
    <row r="18" spans="1:57" x14ac:dyDescent="0.25">
      <c r="A18" s="137" t="s">
        <v>15</v>
      </c>
      <c r="B18" s="37" t="s">
        <v>17</v>
      </c>
      <c r="C18" s="38">
        <v>0.44077494369760012</v>
      </c>
      <c r="V18" s="19"/>
      <c r="W18" s="19"/>
      <c r="X18" s="19"/>
      <c r="Y18" s="19"/>
      <c r="Z18" s="19"/>
      <c r="AA18" s="19"/>
      <c r="AB18" s="19"/>
      <c r="AC18" s="19"/>
      <c r="AD18" s="19"/>
      <c r="AE18" s="19"/>
      <c r="AF18" s="19"/>
      <c r="AG18" s="19"/>
      <c r="AH18" s="19"/>
      <c r="AI18" s="19"/>
      <c r="AJ18" s="19"/>
      <c r="AK18" s="19"/>
      <c r="AP18" s="18"/>
      <c r="AQ18" s="18"/>
      <c r="AR18" s="18"/>
      <c r="AS18" s="18"/>
      <c r="AT18" s="18"/>
      <c r="AU18" s="18"/>
      <c r="AV18" s="18"/>
      <c r="AW18" s="18"/>
      <c r="AX18" s="18"/>
      <c r="AY18" s="18"/>
      <c r="AZ18" s="18"/>
      <c r="BA18" s="18"/>
      <c r="BB18" s="18"/>
      <c r="BC18" s="18"/>
      <c r="BD18" s="18"/>
      <c r="BE18" s="18"/>
    </row>
    <row r="19" spans="1:57" x14ac:dyDescent="0.25">
      <c r="A19" s="134"/>
      <c r="B19" s="27" t="s">
        <v>16</v>
      </c>
      <c r="C19" s="39">
        <v>0.55922505630239983</v>
      </c>
      <c r="S19" s="19"/>
      <c r="T19" s="19"/>
      <c r="U19" s="19"/>
      <c r="V19" s="19"/>
      <c r="W19" s="19"/>
      <c r="X19" s="19"/>
      <c r="Y19" s="19"/>
      <c r="Z19" s="19"/>
      <c r="AA19" s="19"/>
      <c r="AB19" s="19"/>
      <c r="AC19" s="19"/>
      <c r="AD19" s="19"/>
      <c r="AE19" s="19"/>
      <c r="AF19" s="19"/>
      <c r="AG19" s="19"/>
      <c r="AH19" s="19"/>
      <c r="AI19" s="19"/>
      <c r="AJ19" s="19"/>
      <c r="AK19" s="19"/>
      <c r="AM19" s="18"/>
      <c r="AN19" s="18"/>
      <c r="AO19" s="18"/>
      <c r="AP19" s="18"/>
      <c r="AQ19" s="18"/>
      <c r="AR19" s="18"/>
      <c r="AS19" s="18"/>
      <c r="AT19" s="18"/>
      <c r="AU19" s="18"/>
      <c r="AV19" s="18"/>
      <c r="AW19" s="18"/>
      <c r="AX19" s="18"/>
      <c r="AY19" s="18"/>
      <c r="AZ19" s="18"/>
      <c r="BA19" s="18"/>
      <c r="BB19" s="18"/>
      <c r="BC19" s="18"/>
      <c r="BD19" s="18"/>
      <c r="BE19" s="18"/>
    </row>
    <row r="20" spans="1:57" x14ac:dyDescent="0.25">
      <c r="A20" s="40"/>
      <c r="B20" s="41"/>
      <c r="C20" s="42"/>
      <c r="N20" s="19"/>
      <c r="O20" s="19"/>
      <c r="P20" s="19"/>
      <c r="Q20" s="19"/>
      <c r="R20" s="19"/>
      <c r="S20" s="19"/>
      <c r="T20" s="19"/>
      <c r="U20" s="19"/>
      <c r="V20" s="19"/>
      <c r="W20" s="19"/>
      <c r="X20" s="19"/>
      <c r="Y20" s="19"/>
      <c r="Z20" s="19"/>
      <c r="AA20" s="19"/>
      <c r="AB20" s="19"/>
      <c r="AC20" s="19"/>
      <c r="AD20" s="19"/>
      <c r="AE20" s="19"/>
      <c r="AF20" s="19"/>
      <c r="AG20" s="19"/>
      <c r="AL20" s="18"/>
      <c r="AM20" s="18"/>
      <c r="AN20" s="18"/>
      <c r="AO20" s="18"/>
      <c r="AP20" s="18"/>
      <c r="AQ20" s="18"/>
      <c r="AR20" s="18"/>
      <c r="AS20" s="18"/>
      <c r="AT20" s="18"/>
      <c r="AU20" s="18"/>
      <c r="AV20" s="18"/>
      <c r="AW20" s="18"/>
      <c r="AX20" s="18"/>
      <c r="AY20" s="18"/>
      <c r="AZ20" s="18"/>
      <c r="BA20" s="18"/>
      <c r="BB20" s="18"/>
      <c r="BC20" s="18"/>
      <c r="BD20" s="18"/>
      <c r="BE20" s="18"/>
    </row>
    <row r="21" spans="1:57" x14ac:dyDescent="0.25">
      <c r="A21" s="133" t="s">
        <v>88</v>
      </c>
      <c r="B21" s="22" t="s">
        <v>90</v>
      </c>
      <c r="C21" s="38">
        <v>0.10574058064277586</v>
      </c>
      <c r="N21" s="19"/>
      <c r="O21" s="19"/>
      <c r="P21" s="19"/>
      <c r="Q21" s="19"/>
      <c r="R21" s="19"/>
      <c r="S21" s="19"/>
      <c r="T21" s="19"/>
      <c r="U21" s="19"/>
      <c r="V21" s="19"/>
      <c r="W21" s="19"/>
      <c r="X21" s="19"/>
      <c r="Y21" s="19"/>
      <c r="Z21" s="19"/>
      <c r="AA21" s="19"/>
      <c r="AB21" s="19"/>
      <c r="AC21" s="19"/>
      <c r="AD21" s="19"/>
      <c r="AE21" s="19"/>
      <c r="AF21" s="19"/>
      <c r="AG21" s="19"/>
      <c r="AL21" s="18"/>
      <c r="AM21" s="18"/>
      <c r="AN21" s="18"/>
      <c r="AO21" s="18"/>
      <c r="AP21" s="18"/>
      <c r="AQ21" s="18"/>
      <c r="AR21" s="18"/>
      <c r="AS21" s="18"/>
      <c r="AT21" s="18"/>
      <c r="AU21" s="18"/>
      <c r="AV21" s="18"/>
      <c r="AW21" s="18"/>
      <c r="AX21" s="18"/>
      <c r="AY21" s="18"/>
      <c r="AZ21" s="18"/>
      <c r="BA21" s="18"/>
      <c r="BB21" s="18"/>
      <c r="BC21" s="18"/>
      <c r="BD21" s="18"/>
      <c r="BE21" s="18"/>
    </row>
    <row r="22" spans="1:57" x14ac:dyDescent="0.25">
      <c r="A22" s="133"/>
      <c r="B22" s="22" t="s">
        <v>89</v>
      </c>
      <c r="C22" s="43">
        <v>0.10763922095176294</v>
      </c>
      <c r="N22" s="19"/>
      <c r="O22" s="19"/>
      <c r="P22" s="19"/>
      <c r="Q22" s="19"/>
      <c r="R22" s="19"/>
      <c r="S22" s="19"/>
      <c r="T22" s="19"/>
      <c r="U22" s="19"/>
      <c r="V22" s="19"/>
      <c r="W22" s="19"/>
      <c r="X22" s="19"/>
      <c r="Y22" s="19"/>
      <c r="Z22" s="19"/>
      <c r="AA22" s="19"/>
      <c r="AB22" s="19"/>
      <c r="AC22" s="19"/>
      <c r="AD22" s="19"/>
      <c r="AE22" s="19"/>
      <c r="AF22" s="19"/>
      <c r="AG22" s="19"/>
      <c r="AL22" s="18"/>
      <c r="AM22" s="18"/>
      <c r="AN22" s="18"/>
      <c r="AO22" s="18"/>
      <c r="AP22" s="18"/>
      <c r="AQ22" s="18"/>
      <c r="AR22" s="18"/>
      <c r="AS22" s="18"/>
      <c r="AT22" s="18"/>
      <c r="AU22" s="18"/>
      <c r="AV22" s="18"/>
      <c r="AW22" s="18"/>
      <c r="AX22" s="18"/>
      <c r="AY22" s="18"/>
      <c r="AZ22" s="18"/>
      <c r="BA22" s="18"/>
      <c r="BB22" s="18"/>
      <c r="BC22" s="18"/>
      <c r="BD22" s="18"/>
      <c r="BE22" s="18"/>
    </row>
    <row r="23" spans="1:57" x14ac:dyDescent="0.25">
      <c r="A23" s="133"/>
      <c r="B23" s="22" t="s">
        <v>91</v>
      </c>
      <c r="C23" s="43">
        <v>0.17159550677560592</v>
      </c>
      <c r="N23" s="19"/>
      <c r="O23" s="19"/>
      <c r="P23" s="19"/>
      <c r="Q23" s="19"/>
      <c r="R23" s="19"/>
      <c r="S23" s="19"/>
      <c r="T23" s="19"/>
      <c r="U23" s="19"/>
      <c r="V23" s="19"/>
      <c r="W23" s="19"/>
      <c r="X23" s="19"/>
      <c r="Y23" s="19"/>
      <c r="Z23" s="19"/>
      <c r="AA23" s="19"/>
      <c r="AB23" s="19"/>
      <c r="AC23" s="19"/>
      <c r="AD23" s="19"/>
      <c r="AE23" s="19"/>
      <c r="AF23" s="19"/>
      <c r="AG23" s="19"/>
      <c r="AL23" s="18"/>
      <c r="AM23" s="18"/>
      <c r="AN23" s="18"/>
      <c r="AO23" s="18"/>
      <c r="AP23" s="18"/>
      <c r="AQ23" s="18"/>
      <c r="AR23" s="18"/>
      <c r="AS23" s="18"/>
      <c r="AT23" s="18"/>
      <c r="AU23" s="18"/>
      <c r="AV23" s="18"/>
      <c r="AW23" s="18"/>
      <c r="AX23" s="18"/>
      <c r="AY23" s="18"/>
      <c r="AZ23" s="18"/>
      <c r="BA23" s="18"/>
      <c r="BB23" s="18"/>
      <c r="BC23" s="18"/>
      <c r="BD23" s="18"/>
      <c r="BE23" s="18"/>
    </row>
    <row r="24" spans="1:57" x14ac:dyDescent="0.25">
      <c r="A24" s="133"/>
      <c r="B24" s="22" t="s">
        <v>92</v>
      </c>
      <c r="C24" s="43">
        <v>0.25065699634953559</v>
      </c>
      <c r="N24" s="19"/>
      <c r="O24" s="19"/>
      <c r="P24" s="19"/>
      <c r="Q24" s="19"/>
      <c r="R24" s="19"/>
      <c r="S24" s="19"/>
      <c r="T24" s="19"/>
      <c r="U24" s="19"/>
      <c r="V24" s="19"/>
      <c r="W24" s="19"/>
      <c r="X24" s="19"/>
      <c r="Y24" s="19"/>
      <c r="Z24" s="19"/>
      <c r="AA24" s="19"/>
      <c r="AB24" s="19"/>
      <c r="AC24" s="19"/>
      <c r="AD24" s="19"/>
      <c r="AE24" s="19"/>
      <c r="AF24" s="19"/>
      <c r="AG24" s="19"/>
      <c r="AL24" s="18"/>
      <c r="AM24" s="18"/>
      <c r="AN24" s="18"/>
      <c r="AO24" s="18"/>
      <c r="AP24" s="18"/>
      <c r="AQ24" s="18"/>
      <c r="AR24" s="18"/>
      <c r="AS24" s="18"/>
      <c r="AT24" s="18"/>
      <c r="AU24" s="18"/>
      <c r="AV24" s="18"/>
      <c r="AW24" s="18"/>
      <c r="AX24" s="18"/>
      <c r="AY24" s="18"/>
      <c r="AZ24" s="18"/>
      <c r="BA24" s="18"/>
      <c r="BB24" s="18"/>
      <c r="BC24" s="18"/>
      <c r="BD24" s="18"/>
      <c r="BE24" s="18"/>
    </row>
    <row r="25" spans="1:57" x14ac:dyDescent="0.25">
      <c r="A25" s="134"/>
      <c r="B25" s="22" t="s">
        <v>93</v>
      </c>
      <c r="C25" s="39">
        <v>0.3643676952803197</v>
      </c>
      <c r="N25" s="19"/>
      <c r="O25" s="19"/>
      <c r="P25" s="19"/>
      <c r="Q25" s="19"/>
      <c r="R25" s="19"/>
      <c r="S25" s="19"/>
      <c r="T25" s="19"/>
      <c r="U25" s="19"/>
      <c r="V25" s="19"/>
      <c r="W25" s="19"/>
      <c r="X25" s="19"/>
      <c r="Y25" s="19"/>
      <c r="Z25" s="19"/>
      <c r="AA25" s="19"/>
      <c r="AB25" s="19"/>
      <c r="AC25" s="19"/>
      <c r="AD25" s="19"/>
      <c r="AE25" s="19"/>
      <c r="AF25" s="19"/>
      <c r="AG25" s="19"/>
      <c r="AL25" s="18"/>
      <c r="AM25" s="18"/>
      <c r="AN25" s="18"/>
      <c r="AO25" s="18"/>
      <c r="AP25" s="18"/>
      <c r="AQ25" s="18"/>
      <c r="AR25" s="18"/>
      <c r="AS25" s="18"/>
      <c r="AT25" s="18"/>
      <c r="AU25" s="18"/>
      <c r="AV25" s="18"/>
      <c r="AW25" s="18"/>
      <c r="AX25" s="18"/>
      <c r="AY25" s="18"/>
      <c r="AZ25" s="18"/>
      <c r="BA25" s="18"/>
      <c r="BB25" s="18"/>
      <c r="BC25" s="18"/>
      <c r="BD25" s="18"/>
      <c r="BE25" s="18"/>
    </row>
    <row r="26" spans="1:57" x14ac:dyDescent="0.25">
      <c r="A26" s="40"/>
      <c r="B26" s="41"/>
      <c r="C26" s="42"/>
      <c r="N26" s="19"/>
      <c r="O26" s="19"/>
      <c r="P26" s="19"/>
      <c r="Q26" s="19"/>
      <c r="R26" s="19"/>
      <c r="S26" s="19"/>
      <c r="T26" s="19"/>
      <c r="U26" s="19"/>
      <c r="V26" s="19"/>
      <c r="W26" s="19"/>
      <c r="X26" s="19"/>
      <c r="Y26" s="19"/>
      <c r="Z26" s="19"/>
      <c r="AA26" s="19"/>
      <c r="AB26" s="19"/>
      <c r="AC26" s="19"/>
      <c r="AD26" s="19"/>
      <c r="AE26" s="19"/>
      <c r="AF26" s="19"/>
      <c r="AG26" s="19"/>
      <c r="AL26" s="18"/>
      <c r="AM26" s="18"/>
      <c r="AN26" s="18"/>
      <c r="AO26" s="18"/>
      <c r="AP26" s="18"/>
      <c r="AQ26" s="18"/>
      <c r="AR26" s="18"/>
      <c r="AS26" s="18"/>
      <c r="AT26" s="18"/>
      <c r="AU26" s="18"/>
      <c r="AV26" s="18"/>
      <c r="AW26" s="18"/>
      <c r="AX26" s="18"/>
      <c r="AY26" s="18"/>
      <c r="AZ26" s="18"/>
      <c r="BA26" s="18"/>
      <c r="BB26" s="18"/>
      <c r="BC26" s="18"/>
      <c r="BD26" s="18"/>
      <c r="BE26" s="18"/>
    </row>
    <row r="27" spans="1:57" x14ac:dyDescent="0.25">
      <c r="A27" s="135" t="s">
        <v>115</v>
      </c>
      <c r="B27" s="26" t="s">
        <v>80</v>
      </c>
      <c r="C27" s="43">
        <v>1.0106223653364164E-2</v>
      </c>
      <c r="R27" s="19"/>
      <c r="S27" s="19"/>
      <c r="T27" s="19"/>
      <c r="U27" s="19"/>
      <c r="V27" s="19"/>
      <c r="W27" s="19"/>
      <c r="X27" s="19"/>
      <c r="Y27" s="19"/>
      <c r="Z27" s="19"/>
      <c r="AA27" s="19"/>
      <c r="AB27" s="19"/>
      <c r="AC27" s="19"/>
      <c r="AD27" s="19"/>
      <c r="AE27" s="19"/>
      <c r="AF27" s="19"/>
      <c r="AG27" s="19"/>
      <c r="AH27" s="19"/>
      <c r="AI27" s="19"/>
      <c r="AJ27" s="19"/>
      <c r="AK27" s="19"/>
      <c r="AL27" s="18"/>
      <c r="AM27" s="18"/>
      <c r="AN27" s="18"/>
      <c r="AO27" s="18"/>
      <c r="AP27" s="18"/>
      <c r="AQ27" s="18"/>
      <c r="AR27" s="18"/>
      <c r="AS27" s="18"/>
      <c r="AT27" s="18"/>
      <c r="AU27" s="18"/>
      <c r="AV27" s="18"/>
      <c r="AW27" s="18"/>
      <c r="AX27" s="18"/>
      <c r="AY27" s="18"/>
      <c r="AZ27" s="18"/>
      <c r="BA27" s="18"/>
      <c r="BB27" s="18"/>
      <c r="BC27" s="18"/>
      <c r="BD27" s="18"/>
      <c r="BE27" s="18"/>
    </row>
    <row r="28" spans="1:57" x14ac:dyDescent="0.25">
      <c r="A28" s="135"/>
      <c r="B28" s="26" t="s">
        <v>82</v>
      </c>
      <c r="C28" s="43">
        <v>3.8419818777104812E-2</v>
      </c>
      <c r="R28" s="19"/>
      <c r="S28" s="19"/>
      <c r="T28" s="19"/>
      <c r="U28" s="19"/>
      <c r="V28" s="19"/>
      <c r="W28" s="19"/>
      <c r="X28" s="19"/>
      <c r="Y28" s="19"/>
      <c r="Z28" s="19"/>
      <c r="AA28" s="19"/>
      <c r="AB28" s="19"/>
      <c r="AC28" s="19"/>
      <c r="AD28" s="19"/>
      <c r="AE28" s="19"/>
      <c r="AF28" s="19"/>
      <c r="AG28" s="19"/>
      <c r="AH28" s="19"/>
      <c r="AI28" s="19"/>
      <c r="AJ28" s="19"/>
      <c r="AK28" s="19"/>
      <c r="AL28" s="18"/>
      <c r="AM28" s="18"/>
      <c r="AN28" s="18"/>
      <c r="AO28" s="18"/>
      <c r="AP28" s="18"/>
      <c r="AQ28" s="18"/>
      <c r="AR28" s="18"/>
      <c r="AS28" s="18"/>
      <c r="AT28" s="18"/>
      <c r="AU28" s="18"/>
      <c r="AV28" s="18"/>
      <c r="AW28" s="18"/>
      <c r="AX28" s="18"/>
      <c r="AY28" s="18"/>
      <c r="AZ28" s="18"/>
      <c r="BA28" s="18"/>
      <c r="BB28" s="18"/>
      <c r="BC28" s="18"/>
      <c r="BD28" s="18"/>
      <c r="BE28" s="18"/>
    </row>
    <row r="29" spans="1:57" x14ac:dyDescent="0.25">
      <c r="A29" s="135"/>
      <c r="B29" s="26" t="s">
        <v>81</v>
      </c>
      <c r="C29" s="43">
        <v>4.350604110937227E-2</v>
      </c>
      <c r="R29" s="19"/>
      <c r="S29" s="19"/>
      <c r="T29" s="19"/>
      <c r="U29" s="19"/>
      <c r="V29" s="19"/>
      <c r="W29" s="19"/>
      <c r="X29" s="19"/>
      <c r="Y29" s="19"/>
      <c r="Z29" s="19"/>
      <c r="AA29" s="19"/>
      <c r="AB29" s="19"/>
      <c r="AC29" s="19"/>
      <c r="AD29" s="19"/>
      <c r="AE29" s="19"/>
      <c r="AF29" s="19"/>
      <c r="AG29" s="19"/>
      <c r="AH29" s="19"/>
      <c r="AI29" s="19"/>
      <c r="AJ29" s="19"/>
      <c r="AK29" s="19"/>
      <c r="AL29" s="18"/>
      <c r="AM29" s="18"/>
      <c r="AN29" s="18"/>
      <c r="AO29" s="18"/>
      <c r="AP29" s="18"/>
      <c r="AQ29" s="18"/>
      <c r="AR29" s="18"/>
      <c r="AS29" s="18"/>
      <c r="AT29" s="18"/>
      <c r="AU29" s="18"/>
      <c r="AV29" s="18"/>
      <c r="AW29" s="18"/>
      <c r="AX29" s="18"/>
      <c r="AY29" s="18"/>
      <c r="AZ29" s="18"/>
      <c r="BA29" s="18"/>
      <c r="BB29" s="18"/>
      <c r="BC29" s="18"/>
      <c r="BD29" s="18"/>
      <c r="BE29" s="18"/>
    </row>
    <row r="30" spans="1:57" x14ac:dyDescent="0.25">
      <c r="A30" s="135"/>
      <c r="B30" s="26" t="s">
        <v>78</v>
      </c>
      <c r="C30" s="43">
        <v>7.6011501019280114E-2</v>
      </c>
      <c r="R30" s="19"/>
      <c r="S30" s="19"/>
      <c r="T30" s="19"/>
      <c r="U30" s="19"/>
      <c r="V30" s="19"/>
      <c r="W30" s="19"/>
      <c r="X30" s="19"/>
      <c r="Y30" s="19"/>
      <c r="Z30" s="19"/>
      <c r="AA30" s="19"/>
      <c r="AB30" s="19"/>
      <c r="AC30" s="19"/>
      <c r="AD30" s="19"/>
      <c r="AE30" s="19"/>
      <c r="AF30" s="19"/>
      <c r="AG30" s="19"/>
      <c r="AH30" s="19"/>
      <c r="AI30" s="19"/>
      <c r="AJ30" s="19"/>
      <c r="AK30" s="19"/>
      <c r="AL30" s="18"/>
      <c r="AM30" s="18"/>
      <c r="AN30" s="18"/>
      <c r="AO30" s="18"/>
      <c r="AP30" s="18"/>
      <c r="AQ30" s="18"/>
      <c r="AR30" s="18"/>
      <c r="AS30" s="18"/>
      <c r="AT30" s="18"/>
      <c r="AU30" s="18"/>
      <c r="AV30" s="18"/>
      <c r="AW30" s="18"/>
      <c r="AX30" s="18"/>
      <c r="AY30" s="18"/>
      <c r="AZ30" s="18"/>
      <c r="BA30" s="18"/>
      <c r="BB30" s="18"/>
      <c r="BC30" s="18"/>
      <c r="BD30" s="18"/>
      <c r="BE30" s="18"/>
    </row>
    <row r="31" spans="1:57" x14ac:dyDescent="0.25">
      <c r="A31" s="135"/>
      <c r="B31" s="26" t="s">
        <v>32</v>
      </c>
      <c r="C31" s="43">
        <v>8.1002753946568695E-2</v>
      </c>
      <c r="R31" s="19"/>
      <c r="S31" s="19"/>
      <c r="T31" s="19"/>
      <c r="U31" s="19"/>
      <c r="V31" s="19"/>
      <c r="W31" s="19"/>
      <c r="X31" s="19"/>
      <c r="Y31" s="19"/>
      <c r="Z31" s="19"/>
      <c r="AA31" s="19"/>
      <c r="AB31" s="19"/>
      <c r="AC31" s="19"/>
      <c r="AD31" s="19"/>
      <c r="AE31" s="19"/>
      <c r="AF31" s="19"/>
      <c r="AG31" s="19"/>
      <c r="AH31" s="19"/>
      <c r="AI31" s="19"/>
      <c r="AJ31" s="19"/>
      <c r="AK31" s="19"/>
      <c r="AL31" s="18"/>
      <c r="AM31" s="18"/>
      <c r="AN31" s="18"/>
      <c r="AO31" s="18"/>
      <c r="AP31" s="18"/>
      <c r="AQ31" s="18"/>
      <c r="AR31" s="18"/>
      <c r="AS31" s="18"/>
      <c r="AT31" s="18"/>
      <c r="AU31" s="18"/>
      <c r="AV31" s="18"/>
      <c r="AW31" s="18"/>
      <c r="AX31" s="18"/>
      <c r="AY31" s="18"/>
      <c r="AZ31" s="18"/>
      <c r="BA31" s="18"/>
      <c r="BB31" s="18"/>
      <c r="BC31" s="18"/>
      <c r="BD31" s="18"/>
      <c r="BE31" s="18"/>
    </row>
    <row r="32" spans="1:57" x14ac:dyDescent="0.25">
      <c r="A32" s="135"/>
      <c r="B32" s="26" t="s">
        <v>87</v>
      </c>
      <c r="C32" s="43">
        <v>8.1460484875727587E-2</v>
      </c>
      <c r="R32" s="19"/>
      <c r="S32" s="19"/>
      <c r="T32" s="19"/>
      <c r="U32" s="19"/>
      <c r="V32" s="19"/>
      <c r="W32" s="19"/>
      <c r="X32" s="19"/>
      <c r="Y32" s="19"/>
      <c r="Z32" s="19"/>
      <c r="AA32" s="19"/>
      <c r="AB32" s="19"/>
      <c r="AC32" s="19"/>
      <c r="AD32" s="19"/>
      <c r="AE32" s="19"/>
      <c r="AF32" s="19"/>
      <c r="AG32" s="19"/>
      <c r="AH32" s="19"/>
      <c r="AI32" s="19"/>
      <c r="AJ32" s="19"/>
      <c r="AK32" s="19"/>
      <c r="AL32" s="18"/>
      <c r="AM32" s="18"/>
      <c r="AN32" s="18"/>
      <c r="AO32" s="18"/>
      <c r="AP32" s="18"/>
      <c r="AQ32" s="18"/>
      <c r="AR32" s="18"/>
      <c r="AS32" s="18"/>
      <c r="AT32" s="18"/>
      <c r="AU32" s="18"/>
      <c r="AV32" s="18"/>
      <c r="AW32" s="18"/>
      <c r="AX32" s="18"/>
      <c r="AY32" s="18"/>
      <c r="AZ32" s="18"/>
      <c r="BA32" s="18"/>
      <c r="BB32" s="18"/>
      <c r="BC32" s="18"/>
      <c r="BD32" s="18"/>
      <c r="BE32" s="18"/>
    </row>
    <row r="33" spans="1:57" x14ac:dyDescent="0.25">
      <c r="A33" s="135"/>
      <c r="B33" s="26" t="s">
        <v>26</v>
      </c>
      <c r="C33" s="43">
        <v>8.8594407107998818E-2</v>
      </c>
      <c r="R33" s="19"/>
      <c r="S33" s="19"/>
      <c r="T33" s="19"/>
      <c r="U33" s="19"/>
      <c r="V33" s="19"/>
      <c r="W33" s="19"/>
      <c r="X33" s="19"/>
      <c r="Y33" s="19"/>
      <c r="Z33" s="19"/>
      <c r="AA33" s="19"/>
      <c r="AB33" s="19"/>
      <c r="AC33" s="19"/>
      <c r="AD33" s="19"/>
      <c r="AE33" s="19"/>
      <c r="AF33" s="19"/>
      <c r="AG33" s="19"/>
      <c r="AH33" s="19"/>
      <c r="AI33" s="19"/>
      <c r="AJ33" s="19"/>
      <c r="AK33" s="19"/>
      <c r="AL33" s="18"/>
      <c r="AM33" s="18"/>
      <c r="AN33" s="18"/>
      <c r="AO33" s="18"/>
      <c r="AP33" s="18"/>
      <c r="AQ33" s="18"/>
      <c r="AR33" s="18"/>
      <c r="AS33" s="18"/>
      <c r="AT33" s="18"/>
      <c r="AU33" s="18"/>
      <c r="AV33" s="18"/>
      <c r="AW33" s="18"/>
      <c r="AX33" s="18"/>
      <c r="AY33" s="18"/>
      <c r="AZ33" s="18"/>
      <c r="BA33" s="18"/>
      <c r="BB33" s="18"/>
      <c r="BC33" s="18"/>
      <c r="BD33" s="18"/>
      <c r="BE33" s="18"/>
    </row>
    <row r="34" spans="1:57" x14ac:dyDescent="0.25">
      <c r="A34" s="135"/>
      <c r="B34" s="26" t="s">
        <v>85</v>
      </c>
      <c r="C34" s="43">
        <v>0.10906417746566291</v>
      </c>
      <c r="U34" s="19"/>
      <c r="V34" s="19"/>
      <c r="W34" s="19"/>
      <c r="X34" s="19"/>
      <c r="Y34" s="19"/>
      <c r="Z34" s="19"/>
      <c r="AA34" s="19"/>
      <c r="AB34" s="19"/>
      <c r="AC34" s="19"/>
      <c r="AD34" s="19"/>
      <c r="AE34" s="19"/>
      <c r="AF34" s="19"/>
      <c r="AG34" s="19"/>
      <c r="AH34" s="19"/>
      <c r="AI34" s="19"/>
      <c r="AJ34" s="19"/>
      <c r="AK34" s="19"/>
      <c r="AO34" s="18"/>
      <c r="AP34" s="18"/>
      <c r="AQ34" s="18"/>
      <c r="AR34" s="18"/>
      <c r="AS34" s="18"/>
      <c r="AT34" s="18"/>
      <c r="AU34" s="18"/>
      <c r="AV34" s="18"/>
      <c r="AW34" s="18"/>
      <c r="AX34" s="18"/>
      <c r="AY34" s="18"/>
      <c r="AZ34" s="18"/>
      <c r="BA34" s="18"/>
      <c r="BB34" s="18"/>
      <c r="BC34" s="18"/>
      <c r="BD34" s="18"/>
      <c r="BE34" s="18"/>
    </row>
    <row r="35" spans="1:57" x14ac:dyDescent="0.25">
      <c r="A35" s="135"/>
      <c r="B35" s="26" t="s">
        <v>86</v>
      </c>
      <c r="C35" s="43">
        <v>0.11022042789408461</v>
      </c>
      <c r="U35" s="19"/>
      <c r="V35" s="19"/>
      <c r="W35" s="19"/>
      <c r="X35" s="19"/>
      <c r="Y35" s="19"/>
      <c r="Z35" s="19"/>
      <c r="AA35" s="19"/>
      <c r="AB35" s="19"/>
      <c r="AC35" s="19"/>
      <c r="AD35" s="19"/>
      <c r="AE35" s="19"/>
      <c r="AF35" s="19"/>
      <c r="AG35" s="19"/>
      <c r="AH35" s="19"/>
      <c r="AI35" s="19"/>
      <c r="AJ35" s="19"/>
      <c r="AK35" s="19"/>
      <c r="AO35" s="18"/>
      <c r="AP35" s="18"/>
      <c r="AQ35" s="18"/>
      <c r="AR35" s="18"/>
      <c r="AS35" s="18"/>
      <c r="AT35" s="18"/>
      <c r="AU35" s="18"/>
      <c r="AV35" s="18"/>
      <c r="AW35" s="18"/>
      <c r="AX35" s="18"/>
      <c r="AY35" s="18"/>
      <c r="AZ35" s="18"/>
      <c r="BA35" s="18"/>
      <c r="BB35" s="18"/>
      <c r="BC35" s="18"/>
      <c r="BD35" s="18"/>
      <c r="BE35" s="18"/>
    </row>
    <row r="36" spans="1:57" x14ac:dyDescent="0.25">
      <c r="A36" s="135"/>
      <c r="B36" s="26" t="s">
        <v>79</v>
      </c>
      <c r="C36" s="43">
        <v>0.17924847876544758</v>
      </c>
      <c r="U36" s="19"/>
      <c r="V36" s="19"/>
      <c r="W36" s="19"/>
      <c r="X36" s="19"/>
      <c r="Y36" s="19"/>
      <c r="Z36" s="19"/>
      <c r="AA36" s="19"/>
      <c r="AB36" s="19"/>
      <c r="AC36" s="19"/>
      <c r="AD36" s="19"/>
      <c r="AE36" s="19"/>
      <c r="AF36" s="19"/>
      <c r="AG36" s="19"/>
      <c r="AH36" s="19"/>
      <c r="AI36" s="19"/>
      <c r="AJ36" s="19"/>
      <c r="AK36" s="19"/>
      <c r="AO36" s="18"/>
      <c r="AP36" s="18"/>
      <c r="AQ36" s="18"/>
      <c r="AR36" s="18"/>
      <c r="AS36" s="18"/>
      <c r="AT36" s="18"/>
      <c r="AU36" s="18"/>
      <c r="AV36" s="18"/>
      <c r="AW36" s="18"/>
      <c r="AX36" s="18"/>
      <c r="AY36" s="18"/>
      <c r="AZ36" s="18"/>
      <c r="BA36" s="18"/>
      <c r="BB36" s="18"/>
      <c r="BC36" s="18"/>
      <c r="BD36" s="18"/>
      <c r="BE36" s="18"/>
    </row>
    <row r="37" spans="1:57" x14ac:dyDescent="0.25">
      <c r="A37" s="136"/>
      <c r="B37" s="44" t="s">
        <v>27</v>
      </c>
      <c r="C37" s="39">
        <v>0.18236568538538842</v>
      </c>
      <c r="U37" s="19"/>
      <c r="V37" s="19"/>
      <c r="W37" s="19"/>
      <c r="X37" s="19"/>
      <c r="Y37" s="19"/>
      <c r="Z37" s="19"/>
      <c r="AA37" s="19"/>
      <c r="AB37" s="19"/>
      <c r="AC37" s="19"/>
      <c r="AD37" s="19"/>
      <c r="AE37" s="19"/>
      <c r="AF37" s="19"/>
      <c r="AG37" s="19"/>
      <c r="AH37" s="19"/>
      <c r="AI37" s="19"/>
      <c r="AJ37" s="19"/>
      <c r="AK37" s="19"/>
      <c r="AO37" s="18"/>
      <c r="AP37" s="18"/>
      <c r="AQ37" s="18"/>
      <c r="AR37" s="18"/>
      <c r="AS37" s="18"/>
      <c r="AT37" s="18"/>
      <c r="AU37" s="18"/>
      <c r="AV37" s="18"/>
      <c r="AW37" s="18"/>
      <c r="AX37" s="18"/>
      <c r="AY37" s="18"/>
      <c r="AZ37" s="18"/>
      <c r="BA37" s="18"/>
      <c r="BB37" s="18"/>
      <c r="BC37" s="18"/>
      <c r="BD37" s="18"/>
      <c r="BE37" s="18"/>
    </row>
    <row r="38" spans="1:57" x14ac:dyDescent="0.25">
      <c r="U38" s="19"/>
      <c r="V38" s="19"/>
      <c r="W38" s="19"/>
      <c r="X38" s="19"/>
      <c r="Y38" s="19"/>
      <c r="Z38" s="19"/>
      <c r="AA38" s="19"/>
      <c r="AB38" s="19"/>
      <c r="AC38" s="19"/>
      <c r="AD38" s="19"/>
      <c r="AE38" s="19"/>
      <c r="AF38" s="19"/>
      <c r="AG38" s="19"/>
      <c r="AH38" s="19"/>
      <c r="AI38" s="19"/>
      <c r="AJ38" s="19"/>
      <c r="AK38" s="19"/>
      <c r="AO38" s="18"/>
      <c r="AP38" s="18"/>
      <c r="AQ38" s="18"/>
      <c r="AR38" s="18"/>
      <c r="AS38" s="18"/>
      <c r="AT38" s="18"/>
      <c r="AU38" s="18"/>
      <c r="AV38" s="18"/>
      <c r="AW38" s="18"/>
      <c r="AX38" s="18"/>
      <c r="AY38" s="18"/>
      <c r="AZ38" s="18"/>
      <c r="BA38" s="18"/>
      <c r="BB38" s="18"/>
      <c r="BC38" s="18"/>
      <c r="BD38" s="18"/>
      <c r="BE38" s="18"/>
    </row>
  </sheetData>
  <mergeCells count="19">
    <mergeCell ref="A1:G1"/>
    <mergeCell ref="I1:O1"/>
    <mergeCell ref="Q1:T1"/>
    <mergeCell ref="V1:AK1"/>
    <mergeCell ref="AI3:AK3"/>
    <mergeCell ref="A3:A4"/>
    <mergeCell ref="B3:D3"/>
    <mergeCell ref="E3:G3"/>
    <mergeCell ref="I3:I4"/>
    <mergeCell ref="J3:L3"/>
    <mergeCell ref="M3:O3"/>
    <mergeCell ref="V3:V4"/>
    <mergeCell ref="W3:Y3"/>
    <mergeCell ref="Z3:AB3"/>
    <mergeCell ref="A21:A25"/>
    <mergeCell ref="A27:A37"/>
    <mergeCell ref="A18:A19"/>
    <mergeCell ref="AC3:AE3"/>
    <mergeCell ref="AF3:AH3"/>
  </mergeCells>
  <pageMargins left="0.7" right="0.7" top="0.75" bottom="0.75" header="0.3" footer="0.3"/>
  <pageSetup orientation="portrait" r:id="rId1"/>
  <ignoredErrors>
    <ignoredError sqref="D5:D14 Y5:Y14"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4220-481E-48D3-8048-FC9CA3E153AB}">
  <sheetPr>
    <tabColor rgb="FFFFFF00"/>
  </sheetPr>
  <dimension ref="A1:X29"/>
  <sheetViews>
    <sheetView zoomScale="80" zoomScaleNormal="80" workbookViewId="0">
      <selection sqref="A1:C1"/>
    </sheetView>
  </sheetViews>
  <sheetFormatPr baseColWidth="10" defaultRowHeight="15" x14ac:dyDescent="0.25"/>
  <cols>
    <col min="1" max="1" width="11.42578125" style="18"/>
    <col min="2" max="2" width="12.42578125" style="18" bestFit="1" customWidth="1"/>
    <col min="3" max="4" width="17.85546875" style="18" customWidth="1"/>
    <col min="5" max="5" width="64.28515625" style="18" bestFit="1" customWidth="1"/>
    <col min="6" max="6" width="11.42578125" style="18"/>
    <col min="7" max="7" width="17.85546875" style="18" customWidth="1"/>
    <col min="8" max="8" width="11.42578125" style="18"/>
    <col min="9" max="9" width="17.85546875" style="18" customWidth="1"/>
    <col min="10" max="10" width="11.42578125" style="18" customWidth="1"/>
    <col min="11" max="11" width="17.85546875" style="18" customWidth="1"/>
    <col min="12" max="17" width="11.42578125" style="18"/>
    <col min="18" max="18" width="64.28515625" style="18" customWidth="1"/>
    <col min="19" max="21" width="11.42578125" style="18"/>
    <col min="22" max="22" width="17.85546875" style="18" customWidth="1"/>
    <col min="23" max="16384" width="11.42578125" style="18"/>
  </cols>
  <sheetData>
    <row r="1" spans="1:22" x14ac:dyDescent="0.25">
      <c r="A1" s="141" t="s">
        <v>39</v>
      </c>
      <c r="B1" s="141"/>
      <c r="C1" s="141"/>
      <c r="E1" s="141" t="s">
        <v>40</v>
      </c>
      <c r="F1" s="141"/>
      <c r="G1" s="141"/>
      <c r="I1" s="141" t="s">
        <v>41</v>
      </c>
      <c r="J1" s="141"/>
      <c r="K1" s="141"/>
      <c r="M1" s="141" t="s">
        <v>42</v>
      </c>
      <c r="N1" s="141"/>
      <c r="O1" s="141"/>
      <c r="P1" s="141"/>
      <c r="R1" s="141" t="s">
        <v>43</v>
      </c>
      <c r="S1" s="141"/>
      <c r="T1" s="141"/>
      <c r="U1" s="141"/>
      <c r="V1" s="141"/>
    </row>
    <row r="3" spans="1:22" x14ac:dyDescent="0.25">
      <c r="A3" s="40" t="s">
        <v>0</v>
      </c>
      <c r="B3" s="21" t="s">
        <v>44</v>
      </c>
      <c r="C3" s="21" t="s">
        <v>45</v>
      </c>
      <c r="E3" s="20" t="s">
        <v>115</v>
      </c>
      <c r="F3" s="21" t="s">
        <v>44</v>
      </c>
      <c r="G3" s="21" t="s">
        <v>45</v>
      </c>
      <c r="H3" s="24"/>
      <c r="I3" s="20" t="s">
        <v>46</v>
      </c>
      <c r="J3" s="21" t="s">
        <v>44</v>
      </c>
      <c r="K3" s="21" t="s">
        <v>45</v>
      </c>
      <c r="M3" s="40" t="s">
        <v>0</v>
      </c>
      <c r="N3" s="21" t="s">
        <v>16</v>
      </c>
      <c r="O3" s="21" t="s">
        <v>17</v>
      </c>
      <c r="P3" s="21" t="s">
        <v>18</v>
      </c>
      <c r="R3" s="20" t="s">
        <v>115</v>
      </c>
      <c r="S3" s="21" t="s">
        <v>16</v>
      </c>
      <c r="T3" s="21" t="s">
        <v>17</v>
      </c>
      <c r="U3" s="21" t="s">
        <v>18</v>
      </c>
    </row>
    <row r="4" spans="1:22" x14ac:dyDescent="0.25">
      <c r="A4" s="24">
        <v>1</v>
      </c>
      <c r="B4" s="23">
        <v>555663</v>
      </c>
      <c r="C4" s="45">
        <v>0.86374139999999999</v>
      </c>
      <c r="E4" s="26" t="s">
        <v>22</v>
      </c>
      <c r="F4" s="23">
        <v>28486</v>
      </c>
      <c r="G4" s="45">
        <v>0.2341963</v>
      </c>
      <c r="H4" s="24"/>
      <c r="I4" s="22" t="s">
        <v>16</v>
      </c>
      <c r="J4" s="23">
        <v>2577462</v>
      </c>
      <c r="K4" s="46">
        <v>0.38295089999999998</v>
      </c>
      <c r="M4" s="24">
        <v>1</v>
      </c>
      <c r="N4" s="23">
        <v>296165</v>
      </c>
      <c r="O4" s="23">
        <v>259498</v>
      </c>
      <c r="P4" s="23">
        <f t="shared" ref="P4:P13" si="0">SUM(N4:O4)</f>
        <v>555663</v>
      </c>
      <c r="R4" s="26" t="s">
        <v>22</v>
      </c>
      <c r="S4" s="23">
        <v>19969</v>
      </c>
      <c r="T4" s="23">
        <v>8517</v>
      </c>
      <c r="U4" s="23">
        <f t="shared" ref="U4:U14" si="1">SUM(S4:T4)</f>
        <v>28486</v>
      </c>
    </row>
    <row r="5" spans="1:22" x14ac:dyDescent="0.25">
      <c r="A5" s="24">
        <v>2</v>
      </c>
      <c r="B5" s="23">
        <v>635923</v>
      </c>
      <c r="C5" s="45">
        <v>0.75532290000000002</v>
      </c>
      <c r="E5" s="26" t="s">
        <v>24</v>
      </c>
      <c r="F5" s="23">
        <v>543468</v>
      </c>
      <c r="G5" s="45">
        <v>0.4096843</v>
      </c>
      <c r="H5" s="24"/>
      <c r="I5" s="22" t="s">
        <v>17</v>
      </c>
      <c r="J5" s="23">
        <v>2195230</v>
      </c>
      <c r="K5" s="45">
        <v>0.4138097</v>
      </c>
      <c r="M5" s="24">
        <v>2</v>
      </c>
      <c r="N5" s="23">
        <v>365945</v>
      </c>
      <c r="O5" s="23">
        <v>269978</v>
      </c>
      <c r="P5" s="23">
        <f t="shared" si="0"/>
        <v>635923</v>
      </c>
      <c r="R5" s="26" t="s">
        <v>24</v>
      </c>
      <c r="S5" s="23">
        <v>307217</v>
      </c>
      <c r="T5" s="23">
        <v>236251</v>
      </c>
      <c r="U5" s="23">
        <f t="shared" si="1"/>
        <v>543468</v>
      </c>
    </row>
    <row r="6" spans="1:22" x14ac:dyDescent="0.25">
      <c r="A6" s="24">
        <v>3</v>
      </c>
      <c r="B6" s="23">
        <v>670505</v>
      </c>
      <c r="C6" s="45">
        <v>0.68161459999999996</v>
      </c>
      <c r="E6" s="26" t="s">
        <v>26</v>
      </c>
      <c r="F6" s="23">
        <v>697403</v>
      </c>
      <c r="G6" s="45">
        <v>0.65405610000000003</v>
      </c>
      <c r="H6" s="24"/>
      <c r="I6" s="20" t="s">
        <v>18</v>
      </c>
      <c r="J6" s="30">
        <f>SUM(J4:J5)</f>
        <v>4772692</v>
      </c>
      <c r="K6" s="47">
        <v>0.39655269999999998</v>
      </c>
      <c r="M6" s="24">
        <v>3</v>
      </c>
      <c r="N6" s="23">
        <v>376588</v>
      </c>
      <c r="O6" s="23">
        <v>293917</v>
      </c>
      <c r="P6" s="23">
        <f t="shared" si="0"/>
        <v>670505</v>
      </c>
      <c r="R6" s="26" t="s">
        <v>26</v>
      </c>
      <c r="S6" s="23">
        <v>691773</v>
      </c>
      <c r="T6" s="23">
        <v>5630</v>
      </c>
      <c r="U6" s="23">
        <f t="shared" si="1"/>
        <v>697403</v>
      </c>
    </row>
    <row r="7" spans="1:22" x14ac:dyDescent="0.25">
      <c r="A7" s="24">
        <v>4</v>
      </c>
      <c r="B7" s="23">
        <v>644720</v>
      </c>
      <c r="C7" s="45">
        <v>0.58198070000000002</v>
      </c>
      <c r="E7" s="26" t="s">
        <v>27</v>
      </c>
      <c r="F7" s="23">
        <v>1145268</v>
      </c>
      <c r="G7" s="45">
        <v>0.52179690000000001</v>
      </c>
      <c r="M7" s="24">
        <v>4</v>
      </c>
      <c r="N7" s="23">
        <v>340320</v>
      </c>
      <c r="O7" s="23">
        <v>304400</v>
      </c>
      <c r="P7" s="23">
        <f t="shared" si="0"/>
        <v>644720</v>
      </c>
      <c r="R7" s="26" t="s">
        <v>27</v>
      </c>
      <c r="S7" s="23">
        <v>636368</v>
      </c>
      <c r="T7" s="23">
        <v>508900</v>
      </c>
      <c r="U7" s="23">
        <f t="shared" si="1"/>
        <v>1145268</v>
      </c>
    </row>
    <row r="8" spans="1:22" x14ac:dyDescent="0.25">
      <c r="A8" s="24">
        <v>5</v>
      </c>
      <c r="B8" s="23">
        <v>638778</v>
      </c>
      <c r="C8" s="45">
        <v>0.55108639999999998</v>
      </c>
      <c r="E8" s="26" t="s">
        <v>29</v>
      </c>
      <c r="F8" s="23">
        <v>212376</v>
      </c>
      <c r="G8" s="45">
        <v>0.4592907</v>
      </c>
      <c r="M8" s="24">
        <v>5</v>
      </c>
      <c r="N8" s="23">
        <v>361196</v>
      </c>
      <c r="O8" s="23">
        <v>277582</v>
      </c>
      <c r="P8" s="23">
        <f t="shared" si="0"/>
        <v>638778</v>
      </c>
      <c r="R8" s="26" t="s">
        <v>29</v>
      </c>
      <c r="S8" s="23">
        <v>120973</v>
      </c>
      <c r="T8" s="23">
        <v>91403</v>
      </c>
      <c r="U8" s="23">
        <f t="shared" si="1"/>
        <v>212376</v>
      </c>
    </row>
    <row r="9" spans="1:22" x14ac:dyDescent="0.25">
      <c r="A9" s="24">
        <v>6</v>
      </c>
      <c r="B9" s="23">
        <v>608522</v>
      </c>
      <c r="C9" s="45">
        <v>0.47562110000000002</v>
      </c>
      <c r="E9" s="26" t="s">
        <v>30</v>
      </c>
      <c r="F9" s="23">
        <v>267449</v>
      </c>
      <c r="G9" s="45">
        <v>0.29234729999999998</v>
      </c>
      <c r="M9" s="24">
        <v>6</v>
      </c>
      <c r="N9" s="23">
        <v>334836</v>
      </c>
      <c r="O9" s="23">
        <v>273686</v>
      </c>
      <c r="P9" s="23">
        <f t="shared" si="0"/>
        <v>608522</v>
      </c>
      <c r="R9" s="26" t="s">
        <v>30</v>
      </c>
      <c r="S9" s="23">
        <v>237137</v>
      </c>
      <c r="T9" s="23">
        <v>30312</v>
      </c>
      <c r="U9" s="23">
        <f t="shared" si="1"/>
        <v>267449</v>
      </c>
    </row>
    <row r="10" spans="1:22" x14ac:dyDescent="0.25">
      <c r="A10" s="24">
        <v>7</v>
      </c>
      <c r="B10" s="23">
        <v>325287</v>
      </c>
      <c r="C10" s="45">
        <v>0.24020830000000001</v>
      </c>
      <c r="E10" s="26" t="s">
        <v>47</v>
      </c>
      <c r="F10" s="23">
        <v>347907</v>
      </c>
      <c r="G10" s="45">
        <v>0.26504430000000001</v>
      </c>
      <c r="M10" s="24">
        <v>7</v>
      </c>
      <c r="N10" s="23">
        <v>160900</v>
      </c>
      <c r="O10" s="23">
        <v>164387</v>
      </c>
      <c r="P10" s="23">
        <f t="shared" si="0"/>
        <v>325287</v>
      </c>
      <c r="R10" s="26" t="s">
        <v>31</v>
      </c>
      <c r="S10" s="23">
        <v>220183</v>
      </c>
      <c r="T10" s="23">
        <v>127724</v>
      </c>
      <c r="U10" s="23">
        <f t="shared" si="1"/>
        <v>347907</v>
      </c>
    </row>
    <row r="11" spans="1:22" x14ac:dyDescent="0.25">
      <c r="A11" s="24">
        <v>8</v>
      </c>
      <c r="B11" s="23">
        <v>252191</v>
      </c>
      <c r="C11" s="45">
        <v>0.19423979999999999</v>
      </c>
      <c r="E11" s="26" t="s">
        <v>32</v>
      </c>
      <c r="F11" s="23">
        <v>105807</v>
      </c>
      <c r="G11" s="45">
        <v>0.1085306</v>
      </c>
      <c r="M11" s="24">
        <v>8</v>
      </c>
      <c r="N11" s="23">
        <v>136064</v>
      </c>
      <c r="O11" s="23">
        <v>116127</v>
      </c>
      <c r="P11" s="23">
        <f t="shared" si="0"/>
        <v>252191</v>
      </c>
      <c r="R11" s="26" t="s">
        <v>32</v>
      </c>
      <c r="S11" s="23">
        <v>25399</v>
      </c>
      <c r="T11" s="23">
        <v>80408</v>
      </c>
      <c r="U11" s="23">
        <f t="shared" si="1"/>
        <v>105807</v>
      </c>
    </row>
    <row r="12" spans="1:22" x14ac:dyDescent="0.25">
      <c r="A12" s="24">
        <v>9</v>
      </c>
      <c r="B12" s="23">
        <v>247378</v>
      </c>
      <c r="C12" s="45">
        <v>0.16190679999999999</v>
      </c>
      <c r="E12" s="26" t="s">
        <v>33</v>
      </c>
      <c r="F12" s="23">
        <v>417374</v>
      </c>
      <c r="G12" s="45">
        <v>0.19346720000000001</v>
      </c>
      <c r="M12" s="24">
        <v>9</v>
      </c>
      <c r="N12" s="23">
        <v>119349</v>
      </c>
      <c r="O12" s="23">
        <v>128029</v>
      </c>
      <c r="P12" s="23">
        <f t="shared" si="0"/>
        <v>247378</v>
      </c>
      <c r="R12" s="26" t="s">
        <v>33</v>
      </c>
      <c r="S12" s="23">
        <v>182790</v>
      </c>
      <c r="T12" s="23">
        <v>234584</v>
      </c>
      <c r="U12" s="23">
        <f t="shared" si="1"/>
        <v>417374</v>
      </c>
    </row>
    <row r="13" spans="1:22" x14ac:dyDescent="0.25">
      <c r="A13" s="31">
        <v>10</v>
      </c>
      <c r="B13" s="28">
        <v>193725</v>
      </c>
      <c r="C13" s="48">
        <v>0.10530150000000001</v>
      </c>
      <c r="E13" s="26" t="s">
        <v>34</v>
      </c>
      <c r="F13" s="23">
        <v>746824</v>
      </c>
      <c r="G13" s="45">
        <v>0.76174350000000002</v>
      </c>
      <c r="M13" s="31">
        <v>10</v>
      </c>
      <c r="N13" s="28">
        <v>86099</v>
      </c>
      <c r="O13" s="28">
        <v>107626</v>
      </c>
      <c r="P13" s="23">
        <f t="shared" si="0"/>
        <v>193725</v>
      </c>
      <c r="R13" s="26" t="s">
        <v>34</v>
      </c>
      <c r="S13" s="23">
        <v>43973</v>
      </c>
      <c r="T13" s="23">
        <v>702851</v>
      </c>
      <c r="U13" s="23">
        <f t="shared" si="1"/>
        <v>746824</v>
      </c>
    </row>
    <row r="14" spans="1:22" x14ac:dyDescent="0.25">
      <c r="A14" s="32" t="s">
        <v>18</v>
      </c>
      <c r="B14" s="33">
        <v>4772692</v>
      </c>
      <c r="C14" s="49">
        <v>0.39655269999999998</v>
      </c>
      <c r="E14" s="26" t="s">
        <v>35</v>
      </c>
      <c r="F14" s="28">
        <v>260330</v>
      </c>
      <c r="G14" s="48">
        <v>0.49717830000000002</v>
      </c>
      <c r="M14" s="32" t="s">
        <v>18</v>
      </c>
      <c r="N14" s="33">
        <f>SUM(N4:N13)</f>
        <v>2577462</v>
      </c>
      <c r="O14" s="33">
        <f>SUM(O4:O13)</f>
        <v>2195230</v>
      </c>
      <c r="P14" s="30">
        <f>SUM(P4:P13)</f>
        <v>4772692</v>
      </c>
      <c r="R14" s="26" t="s">
        <v>35</v>
      </c>
      <c r="S14" s="23">
        <v>91680</v>
      </c>
      <c r="T14" s="23">
        <v>168650</v>
      </c>
      <c r="U14" s="23">
        <f t="shared" si="1"/>
        <v>260330</v>
      </c>
    </row>
    <row r="15" spans="1:22" x14ac:dyDescent="0.25">
      <c r="E15" s="20" t="s">
        <v>18</v>
      </c>
      <c r="F15" s="33">
        <f>SUM(F4:F14)</f>
        <v>4772692</v>
      </c>
      <c r="G15" s="49">
        <v>0.39674100000000001</v>
      </c>
      <c r="R15" s="20" t="s">
        <v>18</v>
      </c>
      <c r="S15" s="30">
        <f>SUM(S4:S14)</f>
        <v>2577462</v>
      </c>
      <c r="T15" s="30">
        <f>SUM(T4:T14)</f>
        <v>2195230</v>
      </c>
      <c r="U15" s="30">
        <f>SUM(U4:U14)</f>
        <v>4772692</v>
      </c>
    </row>
    <row r="17" spans="1:24" x14ac:dyDescent="0.25">
      <c r="A17" s="40" t="s">
        <v>0</v>
      </c>
      <c r="B17" s="21" t="s">
        <v>16</v>
      </c>
      <c r="C17" s="21" t="s">
        <v>17</v>
      </c>
      <c r="D17" s="21" t="s">
        <v>45</v>
      </c>
      <c r="R17" s="20" t="s">
        <v>115</v>
      </c>
      <c r="S17" s="21" t="s">
        <v>16</v>
      </c>
      <c r="T17" s="21" t="s">
        <v>17</v>
      </c>
      <c r="U17" s="21" t="s">
        <v>18</v>
      </c>
      <c r="V17" s="21" t="s">
        <v>45</v>
      </c>
      <c r="W17" s="21" t="s">
        <v>16</v>
      </c>
      <c r="X17" s="21" t="s">
        <v>17</v>
      </c>
    </row>
    <row r="18" spans="1:24" x14ac:dyDescent="0.25">
      <c r="A18" s="24">
        <v>1</v>
      </c>
      <c r="B18" s="23">
        <v>296165</v>
      </c>
      <c r="C18" s="23">
        <v>259498</v>
      </c>
      <c r="D18" s="43">
        <v>0.86374139999999999</v>
      </c>
      <c r="R18" s="50" t="s">
        <v>87</v>
      </c>
      <c r="S18" s="23">
        <v>43973</v>
      </c>
      <c r="T18" s="23">
        <v>702851</v>
      </c>
      <c r="U18" s="23">
        <v>746824</v>
      </c>
      <c r="V18" s="38">
        <v>0.76174350000000002</v>
      </c>
      <c r="W18" s="38">
        <v>4.4851460217534521E-2</v>
      </c>
      <c r="X18" s="51">
        <v>0.71689203978246552</v>
      </c>
    </row>
    <row r="19" spans="1:24" x14ac:dyDescent="0.25">
      <c r="A19" s="24">
        <v>2</v>
      </c>
      <c r="B19" s="23">
        <v>365945</v>
      </c>
      <c r="C19" s="23">
        <v>269978</v>
      </c>
      <c r="D19" s="43">
        <v>0.75532290000000002</v>
      </c>
      <c r="R19" s="26" t="s">
        <v>26</v>
      </c>
      <c r="S19" s="23">
        <v>691773</v>
      </c>
      <c r="T19" s="23">
        <v>5630</v>
      </c>
      <c r="U19" s="23">
        <v>697403</v>
      </c>
      <c r="V19" s="43">
        <v>0.65405610000000003</v>
      </c>
      <c r="W19" s="43">
        <v>0.64877603116892246</v>
      </c>
      <c r="X19" s="52">
        <v>5.2800688310775841E-3</v>
      </c>
    </row>
    <row r="20" spans="1:24" x14ac:dyDescent="0.25">
      <c r="A20" s="24">
        <v>3</v>
      </c>
      <c r="B20" s="23">
        <v>376588</v>
      </c>
      <c r="C20" s="23">
        <v>293917</v>
      </c>
      <c r="D20" s="43">
        <v>0.68161459999999996</v>
      </c>
      <c r="R20" s="26" t="s">
        <v>27</v>
      </c>
      <c r="S20" s="23">
        <v>636368</v>
      </c>
      <c r="T20" s="23">
        <v>508900</v>
      </c>
      <c r="U20" s="23">
        <v>1145268</v>
      </c>
      <c r="V20" s="43">
        <v>0.52179690000000001</v>
      </c>
      <c r="W20" s="43">
        <v>0.28993637267364492</v>
      </c>
      <c r="X20" s="52">
        <v>0.23186052732635504</v>
      </c>
    </row>
    <row r="21" spans="1:24" x14ac:dyDescent="0.25">
      <c r="A21" s="24">
        <v>4</v>
      </c>
      <c r="B21" s="23">
        <v>340320</v>
      </c>
      <c r="C21" s="23">
        <v>304400</v>
      </c>
      <c r="D21" s="43">
        <v>0.58198070000000002</v>
      </c>
      <c r="R21" s="50" t="s">
        <v>100</v>
      </c>
      <c r="S21" s="23">
        <v>91680</v>
      </c>
      <c r="T21" s="23">
        <v>168650</v>
      </c>
      <c r="U21" s="23">
        <v>260330</v>
      </c>
      <c r="V21" s="43">
        <v>0.49717830000000002</v>
      </c>
      <c r="W21" s="43">
        <v>0.17509048724311452</v>
      </c>
      <c r="X21" s="52">
        <v>0.32208781275688547</v>
      </c>
    </row>
    <row r="22" spans="1:24" x14ac:dyDescent="0.25">
      <c r="A22" s="24">
        <v>5</v>
      </c>
      <c r="B22" s="23">
        <v>361196</v>
      </c>
      <c r="C22" s="23">
        <v>277582</v>
      </c>
      <c r="D22" s="43">
        <v>0.55108639999999998</v>
      </c>
      <c r="R22" s="50" t="s">
        <v>82</v>
      </c>
      <c r="S22" s="23">
        <v>120973</v>
      </c>
      <c r="T22" s="23">
        <v>91403</v>
      </c>
      <c r="U22" s="23">
        <v>212376</v>
      </c>
      <c r="V22" s="43">
        <v>0.4592907</v>
      </c>
      <c r="W22" s="43">
        <v>0.26161983393180022</v>
      </c>
      <c r="X22" s="52">
        <v>0.19767086606819981</v>
      </c>
    </row>
    <row r="23" spans="1:24" x14ac:dyDescent="0.25">
      <c r="A23" s="24">
        <v>6</v>
      </c>
      <c r="B23" s="23">
        <v>334836</v>
      </c>
      <c r="C23" s="23">
        <v>273686</v>
      </c>
      <c r="D23" s="43">
        <v>0.47562110000000002</v>
      </c>
      <c r="R23" s="50" t="s">
        <v>86</v>
      </c>
      <c r="S23" s="23">
        <v>307217</v>
      </c>
      <c r="T23" s="23">
        <v>236251</v>
      </c>
      <c r="U23" s="23">
        <v>543468</v>
      </c>
      <c r="V23" s="43">
        <v>0.4096843</v>
      </c>
      <c r="W23" s="43">
        <v>0.23159041855840637</v>
      </c>
      <c r="X23" s="52">
        <v>0.17809388144159363</v>
      </c>
    </row>
    <row r="24" spans="1:24" x14ac:dyDescent="0.25">
      <c r="A24" s="24">
        <v>7</v>
      </c>
      <c r="B24" s="23">
        <v>160900</v>
      </c>
      <c r="C24" s="23">
        <v>164387</v>
      </c>
      <c r="D24" s="43">
        <v>0.24020830000000001</v>
      </c>
      <c r="R24" s="50" t="s">
        <v>101</v>
      </c>
      <c r="S24" s="23">
        <v>237137</v>
      </c>
      <c r="T24" s="23">
        <v>30312</v>
      </c>
      <c r="U24" s="23">
        <v>267449</v>
      </c>
      <c r="V24" s="43">
        <v>0.29234729999999998</v>
      </c>
      <c r="W24" s="43">
        <v>0.25921338902033658</v>
      </c>
      <c r="X24" s="52">
        <v>3.3133910979663408E-2</v>
      </c>
    </row>
    <row r="25" spans="1:24" x14ac:dyDescent="0.25">
      <c r="A25" s="24">
        <v>8</v>
      </c>
      <c r="B25" s="23">
        <v>136064</v>
      </c>
      <c r="C25" s="23">
        <v>116127</v>
      </c>
      <c r="D25" s="43">
        <v>0.19423979999999999</v>
      </c>
      <c r="R25" s="50" t="s">
        <v>102</v>
      </c>
      <c r="S25" s="23">
        <v>220183</v>
      </c>
      <c r="T25" s="23">
        <v>127724</v>
      </c>
      <c r="U25" s="23">
        <v>347907</v>
      </c>
      <c r="V25" s="43">
        <v>0.26504430000000001</v>
      </c>
      <c r="W25" s="43">
        <v>0.16774094544490337</v>
      </c>
      <c r="X25" s="52">
        <v>9.730335455509663E-2</v>
      </c>
    </row>
    <row r="26" spans="1:24" x14ac:dyDescent="0.25">
      <c r="A26" s="24">
        <v>9</v>
      </c>
      <c r="B26" s="23">
        <v>119349</v>
      </c>
      <c r="C26" s="23">
        <v>128029</v>
      </c>
      <c r="D26" s="43">
        <v>0.16190679999999999</v>
      </c>
      <c r="R26" s="50" t="s">
        <v>80</v>
      </c>
      <c r="S26" s="23">
        <v>19969</v>
      </c>
      <c r="T26" s="23">
        <v>8517</v>
      </c>
      <c r="U26" s="23">
        <v>28486</v>
      </c>
      <c r="V26" s="43">
        <v>0.2341963</v>
      </c>
      <c r="W26" s="43">
        <v>0.16417418783613003</v>
      </c>
      <c r="X26" s="52">
        <v>7.0022112163869971E-2</v>
      </c>
    </row>
    <row r="27" spans="1:24" x14ac:dyDescent="0.25">
      <c r="A27" s="31">
        <v>10</v>
      </c>
      <c r="B27" s="28">
        <v>86099</v>
      </c>
      <c r="C27" s="28">
        <v>107626</v>
      </c>
      <c r="D27" s="39">
        <v>0.10530150000000001</v>
      </c>
      <c r="R27" s="50" t="s">
        <v>79</v>
      </c>
      <c r="S27" s="23">
        <v>182790</v>
      </c>
      <c r="T27" s="23">
        <v>234584</v>
      </c>
      <c r="U27" s="23">
        <v>417374</v>
      </c>
      <c r="V27" s="43">
        <v>0.19346720000000001</v>
      </c>
      <c r="W27" s="43">
        <v>8.4729450056783603E-2</v>
      </c>
      <c r="X27" s="52">
        <v>0.10873774994321639</v>
      </c>
    </row>
    <row r="28" spans="1:24" x14ac:dyDescent="0.25">
      <c r="R28" s="26" t="s">
        <v>32</v>
      </c>
      <c r="S28" s="28">
        <v>25399</v>
      </c>
      <c r="T28" s="28">
        <v>80408</v>
      </c>
      <c r="U28" s="28">
        <v>105807</v>
      </c>
      <c r="V28" s="39">
        <v>0.1085306</v>
      </c>
      <c r="W28" s="39">
        <v>2.6052800943226821E-2</v>
      </c>
      <c r="X28" s="53">
        <v>8.2477799056773188E-2</v>
      </c>
    </row>
    <row r="29" spans="1:24" x14ac:dyDescent="0.25">
      <c r="R29" s="54"/>
    </row>
  </sheetData>
  <autoFilter ref="R17:X28" xr:uid="{5B684220-481E-48D3-8048-FC9CA3E153AB}">
    <sortState xmlns:xlrd2="http://schemas.microsoft.com/office/spreadsheetml/2017/richdata2" ref="R18:X28">
      <sortCondition descending="1" ref="V17:V28"/>
    </sortState>
  </autoFilter>
  <mergeCells count="5">
    <mergeCell ref="A1:C1"/>
    <mergeCell ref="E1:G1"/>
    <mergeCell ref="I1:K1"/>
    <mergeCell ref="M1:P1"/>
    <mergeCell ref="R1:V1"/>
  </mergeCells>
  <pageMargins left="0.7" right="0.7" top="0.75" bottom="0.75" header="0.3" footer="0.3"/>
  <pageSetup orientation="portrait" r:id="rId1"/>
  <ignoredErrors>
    <ignoredError sqref="P4:P13"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AA41-1CD6-44D4-AE03-224710671231}">
  <sheetPr>
    <tabColor rgb="FFFFFF00"/>
  </sheetPr>
  <dimension ref="A1:DL29"/>
  <sheetViews>
    <sheetView zoomScale="80" zoomScaleNormal="80" workbookViewId="0">
      <selection sqref="A1:V1"/>
    </sheetView>
  </sheetViews>
  <sheetFormatPr baseColWidth="10" defaultRowHeight="15" x14ac:dyDescent="0.25"/>
  <cols>
    <col min="1" max="1" width="17.85546875" style="18" customWidth="1"/>
    <col min="2" max="23" width="11.42578125" style="18"/>
    <col min="24" max="24" width="17.85546875" style="18" customWidth="1"/>
    <col min="25" max="59" width="15.7109375" style="18" customWidth="1"/>
    <col min="60" max="60" width="11.42578125" style="18"/>
    <col min="61" max="61" width="64.28515625" style="18" bestFit="1" customWidth="1"/>
    <col min="62" max="63" width="11.42578125" style="18"/>
    <col min="64" max="65" width="11.42578125" style="18" customWidth="1"/>
    <col min="66" max="83" width="11.42578125" style="18"/>
    <col min="84" max="84" width="64.42578125" style="18" customWidth="1"/>
    <col min="85" max="86" width="21.42578125" style="18" customWidth="1"/>
    <col min="87" max="87" width="11.42578125" style="18"/>
    <col min="88" max="88" width="14.28515625" style="18" customWidth="1"/>
    <col min="89" max="91" width="11.42578125" style="18"/>
    <col min="92" max="92" width="14.28515625" style="18" customWidth="1"/>
    <col min="93" max="95" width="11.42578125" style="18"/>
    <col min="96" max="96" width="14.28515625" style="18" customWidth="1"/>
    <col min="97" max="16384" width="11.42578125" style="18"/>
  </cols>
  <sheetData>
    <row r="1" spans="1:96" x14ac:dyDescent="0.25">
      <c r="A1" s="141" t="s">
        <v>39</v>
      </c>
      <c r="B1" s="141"/>
      <c r="C1" s="141"/>
      <c r="D1" s="141"/>
      <c r="E1" s="141"/>
      <c r="F1" s="141"/>
      <c r="G1" s="141"/>
      <c r="H1" s="141"/>
      <c r="I1" s="141"/>
      <c r="J1" s="141"/>
      <c r="K1" s="141"/>
      <c r="L1" s="141"/>
      <c r="M1" s="141"/>
      <c r="N1" s="141"/>
      <c r="O1" s="141"/>
      <c r="P1" s="141"/>
      <c r="Q1" s="141"/>
      <c r="R1" s="141"/>
      <c r="S1" s="141"/>
      <c r="T1" s="141"/>
      <c r="U1" s="141"/>
      <c r="V1" s="141"/>
      <c r="X1" s="141" t="s">
        <v>40</v>
      </c>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c r="BB1" s="141"/>
      <c r="BC1" s="141"/>
      <c r="BD1" s="141"/>
      <c r="BE1" s="141"/>
      <c r="BF1" s="141"/>
      <c r="BG1" s="141"/>
      <c r="BI1" s="141" t="s">
        <v>41</v>
      </c>
      <c r="BJ1" s="141"/>
      <c r="BK1" s="141"/>
      <c r="BL1" s="141"/>
      <c r="BM1" s="141"/>
      <c r="BN1" s="141"/>
      <c r="BO1" s="141"/>
      <c r="BP1" s="141"/>
      <c r="BQ1" s="141"/>
      <c r="BR1" s="141"/>
      <c r="BS1" s="141"/>
      <c r="BT1" s="141"/>
      <c r="BU1" s="141"/>
      <c r="BV1" s="141"/>
      <c r="BW1" s="141"/>
      <c r="BX1" s="141"/>
      <c r="BY1" s="141"/>
      <c r="BZ1" s="141"/>
      <c r="CA1" s="141"/>
      <c r="CB1" s="141"/>
      <c r="CC1" s="141"/>
      <c r="CD1" s="141"/>
      <c r="CF1" s="141" t="s">
        <v>42</v>
      </c>
      <c r="CG1" s="141"/>
      <c r="CH1" s="141"/>
      <c r="CI1" s="141"/>
      <c r="CJ1" s="141"/>
      <c r="CK1" s="141"/>
      <c r="CL1" s="141"/>
      <c r="CM1" s="141"/>
      <c r="CN1" s="141"/>
      <c r="CO1" s="141"/>
      <c r="CP1" s="141"/>
      <c r="CQ1" s="141"/>
      <c r="CR1" s="141"/>
    </row>
    <row r="2" spans="1:96" x14ac:dyDescent="0.25">
      <c r="A2" s="55"/>
      <c r="X2" s="55"/>
    </row>
    <row r="3" spans="1:96" x14ac:dyDescent="0.25">
      <c r="A3" s="142" t="s">
        <v>116</v>
      </c>
      <c r="B3" s="154" t="s">
        <v>19</v>
      </c>
      <c r="C3" s="155"/>
      <c r="D3" s="156"/>
      <c r="E3" s="145" t="s">
        <v>20</v>
      </c>
      <c r="F3" s="146"/>
      <c r="G3" s="146"/>
      <c r="H3" s="146"/>
      <c r="I3" s="146"/>
      <c r="J3" s="152"/>
      <c r="K3" s="147" t="s">
        <v>49</v>
      </c>
      <c r="L3" s="148"/>
      <c r="M3" s="148"/>
      <c r="N3" s="148"/>
      <c r="O3" s="148"/>
      <c r="P3" s="151"/>
      <c r="Q3" s="149" t="s">
        <v>50</v>
      </c>
      <c r="R3" s="150"/>
      <c r="S3" s="150"/>
      <c r="T3" s="150"/>
      <c r="U3" s="150"/>
      <c r="V3" s="153"/>
      <c r="X3" s="142" t="s">
        <v>116</v>
      </c>
      <c r="Y3" s="154" t="s">
        <v>19</v>
      </c>
      <c r="Z3" s="155"/>
      <c r="AA3" s="155"/>
      <c r="AB3" s="155"/>
      <c r="AC3" s="156"/>
      <c r="AD3" s="145" t="s">
        <v>20</v>
      </c>
      <c r="AE3" s="146"/>
      <c r="AF3" s="146"/>
      <c r="AG3" s="146"/>
      <c r="AH3" s="146"/>
      <c r="AI3" s="146"/>
      <c r="AJ3" s="146"/>
      <c r="AK3" s="146"/>
      <c r="AL3" s="146"/>
      <c r="AM3" s="152"/>
      <c r="AN3" s="147" t="s">
        <v>49</v>
      </c>
      <c r="AO3" s="148"/>
      <c r="AP3" s="148"/>
      <c r="AQ3" s="148"/>
      <c r="AR3" s="148"/>
      <c r="AS3" s="148"/>
      <c r="AT3" s="148"/>
      <c r="AU3" s="148"/>
      <c r="AV3" s="148"/>
      <c r="AW3" s="151"/>
      <c r="AX3" s="149" t="s">
        <v>50</v>
      </c>
      <c r="AY3" s="150"/>
      <c r="AZ3" s="150"/>
      <c r="BA3" s="150"/>
      <c r="BB3" s="150"/>
      <c r="BC3" s="150"/>
      <c r="BD3" s="150"/>
      <c r="BE3" s="150"/>
      <c r="BF3" s="150"/>
      <c r="BG3" s="153"/>
      <c r="BI3" s="142" t="s">
        <v>115</v>
      </c>
      <c r="BJ3" s="154" t="s">
        <v>19</v>
      </c>
      <c r="BK3" s="155"/>
      <c r="BL3" s="156"/>
      <c r="BM3" s="145" t="s">
        <v>20</v>
      </c>
      <c r="BN3" s="146"/>
      <c r="BO3" s="146"/>
      <c r="BP3" s="146"/>
      <c r="BQ3" s="146"/>
      <c r="BR3" s="152"/>
      <c r="BS3" s="147" t="s">
        <v>49</v>
      </c>
      <c r="BT3" s="148"/>
      <c r="BU3" s="148"/>
      <c r="BV3" s="148"/>
      <c r="BW3" s="148"/>
      <c r="BX3" s="151"/>
      <c r="BY3" s="149" t="s">
        <v>50</v>
      </c>
      <c r="BZ3" s="150"/>
      <c r="CA3" s="150"/>
      <c r="CB3" s="150"/>
      <c r="CC3" s="150"/>
      <c r="CD3" s="153"/>
      <c r="CF3" s="142" t="s">
        <v>115</v>
      </c>
      <c r="CG3" s="145" t="s">
        <v>20</v>
      </c>
      <c r="CH3" s="146"/>
      <c r="CI3" s="146"/>
      <c r="CJ3" s="146"/>
      <c r="CK3" s="147" t="s">
        <v>49</v>
      </c>
      <c r="CL3" s="148"/>
      <c r="CM3" s="148"/>
      <c r="CN3" s="148"/>
      <c r="CO3" s="149" t="s">
        <v>50</v>
      </c>
      <c r="CP3" s="150"/>
      <c r="CQ3" s="150"/>
      <c r="CR3" s="150"/>
    </row>
    <row r="4" spans="1:96" x14ac:dyDescent="0.25">
      <c r="A4" s="143"/>
      <c r="B4" s="138" t="s">
        <v>51</v>
      </c>
      <c r="C4" s="139"/>
      <c r="D4" s="140"/>
      <c r="E4" s="138" t="s">
        <v>51</v>
      </c>
      <c r="F4" s="139"/>
      <c r="G4" s="140"/>
      <c r="H4" s="138" t="s">
        <v>21</v>
      </c>
      <c r="I4" s="139"/>
      <c r="J4" s="140"/>
      <c r="K4" s="138" t="s">
        <v>51</v>
      </c>
      <c r="L4" s="139"/>
      <c r="M4" s="140"/>
      <c r="N4" s="138" t="s">
        <v>21</v>
      </c>
      <c r="O4" s="139"/>
      <c r="P4" s="140"/>
      <c r="Q4" s="138" t="s">
        <v>51</v>
      </c>
      <c r="R4" s="139"/>
      <c r="S4" s="140"/>
      <c r="T4" s="138" t="s">
        <v>21</v>
      </c>
      <c r="U4" s="139"/>
      <c r="V4" s="140"/>
      <c r="X4" s="143"/>
      <c r="Y4" s="138" t="s">
        <v>51</v>
      </c>
      <c r="Z4" s="139"/>
      <c r="AA4" s="139"/>
      <c r="AB4" s="139"/>
      <c r="AC4" s="140"/>
      <c r="AD4" s="138" t="s">
        <v>51</v>
      </c>
      <c r="AE4" s="139"/>
      <c r="AF4" s="139"/>
      <c r="AG4" s="139"/>
      <c r="AH4" s="140"/>
      <c r="AI4" s="138" t="s">
        <v>21</v>
      </c>
      <c r="AJ4" s="139"/>
      <c r="AK4" s="139"/>
      <c r="AL4" s="139"/>
      <c r="AM4" s="140"/>
      <c r="AN4" s="138" t="s">
        <v>51</v>
      </c>
      <c r="AO4" s="139"/>
      <c r="AP4" s="139"/>
      <c r="AQ4" s="139"/>
      <c r="AR4" s="140"/>
      <c r="AS4" s="138" t="s">
        <v>21</v>
      </c>
      <c r="AT4" s="139"/>
      <c r="AU4" s="139"/>
      <c r="AV4" s="139"/>
      <c r="AW4" s="140"/>
      <c r="AX4" s="138" t="s">
        <v>51</v>
      </c>
      <c r="AY4" s="139"/>
      <c r="AZ4" s="139"/>
      <c r="BA4" s="139"/>
      <c r="BB4" s="140"/>
      <c r="BC4" s="138" t="s">
        <v>21</v>
      </c>
      <c r="BD4" s="139"/>
      <c r="BE4" s="139"/>
      <c r="BF4" s="139"/>
      <c r="BG4" s="140"/>
      <c r="BI4" s="143"/>
      <c r="BJ4" s="138" t="s">
        <v>52</v>
      </c>
      <c r="BK4" s="139"/>
      <c r="BL4" s="140"/>
      <c r="BM4" s="138" t="s">
        <v>52</v>
      </c>
      <c r="BN4" s="139"/>
      <c r="BO4" s="140"/>
      <c r="BP4" s="138" t="s">
        <v>21</v>
      </c>
      <c r="BQ4" s="139"/>
      <c r="BR4" s="140"/>
      <c r="BS4" s="138" t="s">
        <v>52</v>
      </c>
      <c r="BT4" s="139"/>
      <c r="BU4" s="140"/>
      <c r="BV4" s="138" t="s">
        <v>21</v>
      </c>
      <c r="BW4" s="139"/>
      <c r="BX4" s="140"/>
      <c r="BY4" s="138" t="s">
        <v>52</v>
      </c>
      <c r="BZ4" s="139"/>
      <c r="CA4" s="140"/>
      <c r="CB4" s="138" t="s">
        <v>21</v>
      </c>
      <c r="CC4" s="139"/>
      <c r="CD4" s="140"/>
      <c r="CF4" s="144"/>
      <c r="CG4" s="21" t="s">
        <v>16</v>
      </c>
      <c r="CH4" s="21" t="s">
        <v>17</v>
      </c>
      <c r="CI4" s="21" t="s">
        <v>18</v>
      </c>
      <c r="CJ4" s="21" t="s">
        <v>77</v>
      </c>
      <c r="CK4" s="21" t="s">
        <v>16</v>
      </c>
      <c r="CL4" s="21" t="s">
        <v>17</v>
      </c>
      <c r="CM4" s="21" t="s">
        <v>18</v>
      </c>
      <c r="CN4" s="21" t="s">
        <v>77</v>
      </c>
      <c r="CO4" s="21" t="s">
        <v>16</v>
      </c>
      <c r="CP4" s="21" t="s">
        <v>17</v>
      </c>
      <c r="CQ4" s="21" t="s">
        <v>18</v>
      </c>
      <c r="CR4" s="21" t="s">
        <v>77</v>
      </c>
    </row>
    <row r="5" spans="1:96" x14ac:dyDescent="0.25">
      <c r="A5" s="144"/>
      <c r="B5" s="21" t="s">
        <v>16</v>
      </c>
      <c r="C5" s="21" t="s">
        <v>17</v>
      </c>
      <c r="D5" s="21" t="s">
        <v>18</v>
      </c>
      <c r="E5" s="21" t="s">
        <v>16</v>
      </c>
      <c r="F5" s="21" t="s">
        <v>17</v>
      </c>
      <c r="G5" s="21" t="s">
        <v>18</v>
      </c>
      <c r="H5" s="21" t="s">
        <v>16</v>
      </c>
      <c r="I5" s="21" t="s">
        <v>17</v>
      </c>
      <c r="J5" s="21" t="s">
        <v>18</v>
      </c>
      <c r="K5" s="21" t="s">
        <v>16</v>
      </c>
      <c r="L5" s="21" t="s">
        <v>17</v>
      </c>
      <c r="M5" s="21" t="s">
        <v>18</v>
      </c>
      <c r="N5" s="21" t="s">
        <v>16</v>
      </c>
      <c r="O5" s="21" t="s">
        <v>17</v>
      </c>
      <c r="P5" s="21" t="s">
        <v>18</v>
      </c>
      <c r="Q5" s="21" t="s">
        <v>16</v>
      </c>
      <c r="R5" s="21" t="s">
        <v>17</v>
      </c>
      <c r="S5" s="21" t="s">
        <v>18</v>
      </c>
      <c r="T5" s="21" t="s">
        <v>16</v>
      </c>
      <c r="U5" s="21" t="s">
        <v>17</v>
      </c>
      <c r="V5" s="21" t="s">
        <v>18</v>
      </c>
      <c r="X5" s="144"/>
      <c r="Y5" s="21" t="s">
        <v>105</v>
      </c>
      <c r="Z5" s="21" t="s">
        <v>107</v>
      </c>
      <c r="AA5" s="21" t="s">
        <v>108</v>
      </c>
      <c r="AB5" s="21" t="s">
        <v>106</v>
      </c>
      <c r="AC5" s="21" t="s">
        <v>18</v>
      </c>
      <c r="AD5" s="21" t="s">
        <v>105</v>
      </c>
      <c r="AE5" s="21" t="s">
        <v>107</v>
      </c>
      <c r="AF5" s="21" t="s">
        <v>108</v>
      </c>
      <c r="AG5" s="21" t="s">
        <v>106</v>
      </c>
      <c r="AH5" s="21" t="s">
        <v>18</v>
      </c>
      <c r="AI5" s="21" t="s">
        <v>105</v>
      </c>
      <c r="AJ5" s="21" t="s">
        <v>107</v>
      </c>
      <c r="AK5" s="21" t="s">
        <v>108</v>
      </c>
      <c r="AL5" s="21" t="s">
        <v>106</v>
      </c>
      <c r="AM5" s="21" t="s">
        <v>18</v>
      </c>
      <c r="AN5" s="21" t="s">
        <v>105</v>
      </c>
      <c r="AO5" s="21" t="s">
        <v>107</v>
      </c>
      <c r="AP5" s="21" t="s">
        <v>108</v>
      </c>
      <c r="AQ5" s="21" t="s">
        <v>106</v>
      </c>
      <c r="AR5" s="21" t="s">
        <v>18</v>
      </c>
      <c r="AS5" s="21" t="s">
        <v>23</v>
      </c>
      <c r="AT5" s="21" t="s">
        <v>107</v>
      </c>
      <c r="AU5" s="21" t="s">
        <v>108</v>
      </c>
      <c r="AV5" s="21" t="s">
        <v>106</v>
      </c>
      <c r="AW5" s="21" t="s">
        <v>18</v>
      </c>
      <c r="AX5" s="21" t="s">
        <v>105</v>
      </c>
      <c r="AY5" s="21" t="s">
        <v>107</v>
      </c>
      <c r="AZ5" s="21" t="s">
        <v>108</v>
      </c>
      <c r="BA5" s="21" t="s">
        <v>106</v>
      </c>
      <c r="BB5" s="21" t="s">
        <v>18</v>
      </c>
      <c r="BC5" s="21" t="s">
        <v>105</v>
      </c>
      <c r="BD5" s="21" t="s">
        <v>107</v>
      </c>
      <c r="BE5" s="21" t="s">
        <v>108</v>
      </c>
      <c r="BF5" s="21" t="s">
        <v>106</v>
      </c>
      <c r="BG5" s="21" t="s">
        <v>18</v>
      </c>
      <c r="BI5" s="143"/>
      <c r="BJ5" s="21" t="s">
        <v>16</v>
      </c>
      <c r="BK5" s="21" t="s">
        <v>17</v>
      </c>
      <c r="BL5" s="21" t="s">
        <v>18</v>
      </c>
      <c r="BM5" s="21" t="s">
        <v>16</v>
      </c>
      <c r="BN5" s="21" t="s">
        <v>17</v>
      </c>
      <c r="BO5" s="21" t="s">
        <v>18</v>
      </c>
      <c r="BP5" s="21" t="s">
        <v>16</v>
      </c>
      <c r="BQ5" s="21" t="s">
        <v>17</v>
      </c>
      <c r="BR5" s="21" t="s">
        <v>18</v>
      </c>
      <c r="BS5" s="21" t="s">
        <v>16</v>
      </c>
      <c r="BT5" s="21" t="s">
        <v>17</v>
      </c>
      <c r="BU5" s="21" t="s">
        <v>18</v>
      </c>
      <c r="BV5" s="21" t="s">
        <v>16</v>
      </c>
      <c r="BW5" s="21" t="s">
        <v>17</v>
      </c>
      <c r="BX5" s="21" t="s">
        <v>18</v>
      </c>
      <c r="BY5" s="21" t="s">
        <v>16</v>
      </c>
      <c r="BZ5" s="21" t="s">
        <v>17</v>
      </c>
      <c r="CA5" s="21" t="s">
        <v>18</v>
      </c>
      <c r="CB5" s="21" t="s">
        <v>16</v>
      </c>
      <c r="CC5" s="21" t="s">
        <v>17</v>
      </c>
      <c r="CD5" s="21" t="s">
        <v>18</v>
      </c>
      <c r="CF5" s="56" t="s">
        <v>22</v>
      </c>
      <c r="CG5" s="23">
        <v>23845</v>
      </c>
      <c r="CH5" s="23">
        <v>1711</v>
      </c>
      <c r="CI5" s="23">
        <f t="shared" ref="CI5:CI15" si="0">SUM(CG5:CH5)</f>
        <v>25556</v>
      </c>
      <c r="CJ5" s="43">
        <f t="shared" ref="CJ5:CJ16" si="1">CH5/CI5</f>
        <v>6.6951009547660034E-2</v>
      </c>
      <c r="CK5" s="23">
        <v>12709</v>
      </c>
      <c r="CL5" s="23">
        <v>1284</v>
      </c>
      <c r="CM5" s="23">
        <f t="shared" ref="CM5:CM15" si="2">SUM(CK5:CL5)</f>
        <v>13993</v>
      </c>
      <c r="CN5" s="43">
        <f t="shared" ref="CN5:CN16" si="3">CL5/CM5</f>
        <v>9.1760165797184309E-2</v>
      </c>
      <c r="CO5" s="23">
        <v>14703</v>
      </c>
      <c r="CP5" s="23">
        <v>1560</v>
      </c>
      <c r="CQ5" s="23">
        <f t="shared" ref="CQ5:CQ15" si="4">SUM(CO5:CP5)</f>
        <v>16263</v>
      </c>
      <c r="CR5" s="43">
        <f t="shared" ref="CR5:CR16" si="5">CP5/CQ5</f>
        <v>9.5923261390887291E-2</v>
      </c>
    </row>
    <row r="6" spans="1:96" x14ac:dyDescent="0.25">
      <c r="A6" s="22" t="s">
        <v>71</v>
      </c>
      <c r="B6" s="57">
        <v>1.18656E-2</v>
      </c>
      <c r="C6" s="57">
        <v>5.1444999999999998E-3</v>
      </c>
      <c r="D6" s="57">
        <v>8.5889999999999994E-3</v>
      </c>
      <c r="E6" s="57">
        <v>4.2293000000000001E-3</v>
      </c>
      <c r="F6" s="57">
        <v>7.6800000000000002E-4</v>
      </c>
      <c r="G6" s="58">
        <v>2.5419000000000001E-3</v>
      </c>
      <c r="H6" s="43">
        <f t="shared" ref="H6:H11" si="6">E6/$B6-1</f>
        <v>-0.64356627562028046</v>
      </c>
      <c r="I6" s="59">
        <f t="shared" ref="I6:I11" si="7">F6/$C6-1</f>
        <v>-0.85071435513655358</v>
      </c>
      <c r="J6" s="43">
        <f t="shared" ref="J6:J11" si="8">G6/$D6-1</f>
        <v>-0.7040516940272441</v>
      </c>
      <c r="K6" s="57">
        <v>4.2598000000000002E-3</v>
      </c>
      <c r="L6" s="57">
        <v>1.6069999999999999E-3</v>
      </c>
      <c r="M6" s="58">
        <v>2.9665E-3</v>
      </c>
      <c r="N6" s="43">
        <f t="shared" ref="N6:N11" si="9">K6/$B6-1</f>
        <v>-0.64099581984897513</v>
      </c>
      <c r="O6" s="59">
        <f t="shared" ref="O6:O11" si="10">L6/$C6-1</f>
        <v>-0.68762756341724174</v>
      </c>
      <c r="P6" s="43">
        <f t="shared" ref="P6:P11" si="11">M6/$D6-1</f>
        <v>-0.65461636977529403</v>
      </c>
      <c r="Q6" s="57">
        <v>6.3374E-3</v>
      </c>
      <c r="R6" s="57">
        <v>9.2100000000000005E-4</v>
      </c>
      <c r="S6" s="58">
        <v>3.6968999999999999E-3</v>
      </c>
      <c r="T6" s="43">
        <f t="shared" ref="T6:T11" si="12">Q6/$B6-1</f>
        <v>-0.46590142934196332</v>
      </c>
      <c r="U6" s="59">
        <f t="shared" ref="U6:U11" si="13">R6/$C6-1</f>
        <v>-0.82097385557391389</v>
      </c>
      <c r="V6" s="43">
        <f t="shared" ref="V6:V11" si="14">S6/$D6-1</f>
        <v>-0.56957736639888235</v>
      </c>
      <c r="X6" s="22" t="s">
        <v>71</v>
      </c>
      <c r="Y6" s="57">
        <v>1.6741599999999999E-2</v>
      </c>
      <c r="Z6" s="57">
        <v>1.1790399999999999E-2</v>
      </c>
      <c r="AA6" s="57">
        <v>0</v>
      </c>
      <c r="AB6" s="57">
        <v>5.2183999999999998E-3</v>
      </c>
      <c r="AC6" s="57">
        <v>8.5889999999999994E-3</v>
      </c>
      <c r="AD6" s="57">
        <v>0</v>
      </c>
      <c r="AE6" s="57">
        <v>4.2944999999999997E-3</v>
      </c>
      <c r="AF6" s="57">
        <v>0</v>
      </c>
      <c r="AG6" s="58">
        <v>7.7899999999999996E-4</v>
      </c>
      <c r="AH6" s="58">
        <v>2.5419000000000001E-3</v>
      </c>
      <c r="AI6" s="60">
        <f t="shared" ref="AI6:AI11" si="15">AD6/$Y6-1</f>
        <v>-1</v>
      </c>
      <c r="AJ6" s="60">
        <f t="shared" ref="AJ6:AJ11" si="16">AE6/$Z6-1</f>
        <v>-0.63576299362192978</v>
      </c>
      <c r="AK6" s="60" t="e">
        <f t="shared" ref="AK6:AK11" si="17">AF6/$AA6-1</f>
        <v>#DIV/0!</v>
      </c>
      <c r="AL6" s="60">
        <f t="shared" ref="AL6:AL11" si="18">AG6/$AB6-1</f>
        <v>-0.85072052736470949</v>
      </c>
      <c r="AM6" s="60">
        <f t="shared" ref="AM6:AM11" si="19">AH6/$AC6-1</f>
        <v>-0.7040516940272441</v>
      </c>
      <c r="AN6" s="57">
        <v>0</v>
      </c>
      <c r="AO6" s="57">
        <v>4.3255000000000004E-3</v>
      </c>
      <c r="AP6" s="57">
        <v>0</v>
      </c>
      <c r="AQ6" s="58">
        <v>1.6301E-3</v>
      </c>
      <c r="AR6" s="58">
        <v>2.9665E-3</v>
      </c>
      <c r="AS6" s="60">
        <f t="shared" ref="AS6:AS11" si="20">AN6/$Y6-1</f>
        <v>-1</v>
      </c>
      <c r="AT6" s="60">
        <f t="shared" ref="AT6:AT11" si="21">AO6/$Z6-1</f>
        <v>-0.63313373592074906</v>
      </c>
      <c r="AU6" s="60" t="e">
        <f t="shared" ref="AU6:AU11" si="22">AP6/$AA6-1</f>
        <v>#DIV/0!</v>
      </c>
      <c r="AV6" s="60">
        <f t="shared" ref="AV6:AV11" si="23">AQ6/$AB6-1</f>
        <v>-0.68762455925187793</v>
      </c>
      <c r="AW6" s="60">
        <f t="shared" ref="AW6:AW11" si="24">AR6/$AC6-1</f>
        <v>-0.65461636977529403</v>
      </c>
      <c r="AX6" s="57">
        <v>0</v>
      </c>
      <c r="AY6" s="57">
        <v>6.4352000000000003E-3</v>
      </c>
      <c r="AZ6" s="57">
        <v>0</v>
      </c>
      <c r="BA6" s="58">
        <v>9.3420000000000005E-4</v>
      </c>
      <c r="BB6" s="58">
        <v>3.6968999999999999E-3</v>
      </c>
      <c r="BC6" s="60">
        <f t="shared" ref="BC6:BC11" si="25">AX6/$Y6-1</f>
        <v>-1</v>
      </c>
      <c r="BD6" s="60">
        <f t="shared" ref="BD6:BD11" si="26">AY6/$Z6-1</f>
        <v>-0.4542000271407246</v>
      </c>
      <c r="BE6" s="60" t="e">
        <f t="shared" ref="BE6:BE11" si="27">AZ6/$AA6-1</f>
        <v>#DIV/0!</v>
      </c>
      <c r="BF6" s="60">
        <f t="shared" ref="BF6:BF11" si="28">BA6/$AB6-1</f>
        <v>-0.82097961060861568</v>
      </c>
      <c r="BG6" s="60">
        <f t="shared" ref="BG6:BG11" si="29">BB6/$AC6-1</f>
        <v>-0.56957736639888235</v>
      </c>
      <c r="BI6" s="56" t="s">
        <v>22</v>
      </c>
      <c r="BJ6" s="23">
        <v>91750</v>
      </c>
      <c r="BK6" s="23">
        <v>29883</v>
      </c>
      <c r="BL6" s="23">
        <f t="shared" ref="BL6:BL16" si="30">SUM(BJ6:BK6)</f>
        <v>121633</v>
      </c>
      <c r="BM6" s="23">
        <v>67905</v>
      </c>
      <c r="BN6" s="23">
        <v>28172</v>
      </c>
      <c r="BO6" s="23">
        <f t="shared" ref="BO6:BO16" si="31">SUM(BM6:BN6)</f>
        <v>96077</v>
      </c>
      <c r="BP6" s="43">
        <f t="shared" ref="BP6:BP17" si="32">BM6/$BJ6-1</f>
        <v>-0.25989100817438693</v>
      </c>
      <c r="BQ6" s="60">
        <f t="shared" ref="BQ6:BQ17" si="33">BN6/$BK6-1</f>
        <v>-5.7256634206739654E-2</v>
      </c>
      <c r="BR6" s="43">
        <f t="shared" ref="BR6:BR17" si="34">BO6/$BL6-1</f>
        <v>-0.21010745439148915</v>
      </c>
      <c r="BS6" s="23">
        <v>79041</v>
      </c>
      <c r="BT6" s="23">
        <v>28599</v>
      </c>
      <c r="BU6" s="23">
        <f t="shared" ref="BU6:BU16" si="35">SUM(BS6:BT6)</f>
        <v>107640</v>
      </c>
      <c r="BV6" s="43">
        <f t="shared" ref="BV6:BV17" si="36">BS6/$BJ6-1</f>
        <v>-0.13851771117166212</v>
      </c>
      <c r="BW6" s="60">
        <f t="shared" ref="BW6:BW17" si="37">BT6/$BK6-1</f>
        <v>-4.296757353679348E-2</v>
      </c>
      <c r="BX6" s="43">
        <f t="shared" ref="BX6:BX17" si="38">BU6/$BL6-1</f>
        <v>-0.1150427926631753</v>
      </c>
      <c r="BY6" s="23">
        <v>77047</v>
      </c>
      <c r="BZ6" s="23">
        <v>28323</v>
      </c>
      <c r="CA6" s="23">
        <f t="shared" ref="CA6:CA16" si="39">SUM(BY6:BZ6)</f>
        <v>105370</v>
      </c>
      <c r="CB6" s="43">
        <f t="shared" ref="CB6:CB17" si="40">BY6/$BJ6-1</f>
        <v>-0.16025068119891006</v>
      </c>
      <c r="CC6" s="60">
        <f t="shared" ref="CC6:CC17" si="41">BZ6/$BK6-1</f>
        <v>-5.2203594016664967E-2</v>
      </c>
      <c r="CD6" s="43">
        <f t="shared" ref="CD6:CD17" si="42">CA6/$BL6-1</f>
        <v>-0.1337054911084985</v>
      </c>
      <c r="CF6" s="50" t="s">
        <v>24</v>
      </c>
      <c r="CG6" s="23">
        <v>123813</v>
      </c>
      <c r="CH6" s="23">
        <v>115845</v>
      </c>
      <c r="CI6" s="23">
        <f t="shared" si="0"/>
        <v>239658</v>
      </c>
      <c r="CJ6" s="43">
        <f t="shared" si="1"/>
        <v>0.48337631124352204</v>
      </c>
      <c r="CK6" s="23">
        <v>77715</v>
      </c>
      <c r="CL6" s="23">
        <v>73212</v>
      </c>
      <c r="CM6" s="23">
        <f t="shared" si="2"/>
        <v>150927</v>
      </c>
      <c r="CN6" s="43">
        <f t="shared" si="3"/>
        <v>0.48508219205311176</v>
      </c>
      <c r="CO6" s="23">
        <v>0</v>
      </c>
      <c r="CP6" s="23">
        <v>0</v>
      </c>
      <c r="CQ6" s="23">
        <f t="shared" si="4"/>
        <v>0</v>
      </c>
      <c r="CR6" s="43" t="e">
        <f t="shared" si="5"/>
        <v>#DIV/0!</v>
      </c>
    </row>
    <row r="7" spans="1:96" x14ac:dyDescent="0.25">
      <c r="A7" s="22" t="s">
        <v>37</v>
      </c>
      <c r="B7" s="57">
        <v>0.44746089999999999</v>
      </c>
      <c r="C7" s="57">
        <v>0.30875649999999999</v>
      </c>
      <c r="D7" s="57">
        <v>0.37731439999999999</v>
      </c>
      <c r="E7" s="57">
        <v>0.16756389999999999</v>
      </c>
      <c r="F7" s="57">
        <v>7.78504E-2</v>
      </c>
      <c r="G7" s="58">
        <v>0.12219339999999999</v>
      </c>
      <c r="H7" s="60">
        <f t="shared" si="6"/>
        <v>-0.62552281104337837</v>
      </c>
      <c r="I7" s="59">
        <f t="shared" si="7"/>
        <v>-0.74785826371266673</v>
      </c>
      <c r="J7" s="43">
        <f t="shared" si="8"/>
        <v>-0.67614965132526084</v>
      </c>
      <c r="K7" s="57">
        <v>0.25445060000000003</v>
      </c>
      <c r="L7" s="57">
        <v>9.6528100000000006E-2</v>
      </c>
      <c r="M7" s="58">
        <v>0.17458499999999999</v>
      </c>
      <c r="N7" s="60">
        <f t="shared" si="9"/>
        <v>-0.43134562148335187</v>
      </c>
      <c r="O7" s="59">
        <f t="shared" si="10"/>
        <v>-0.68736496235706768</v>
      </c>
      <c r="P7" s="43">
        <f t="shared" si="11"/>
        <v>-0.5372956876281425</v>
      </c>
      <c r="Q7" s="57">
        <v>0.34054859999999998</v>
      </c>
      <c r="R7" s="57">
        <v>0.13807440000000001</v>
      </c>
      <c r="S7" s="58">
        <v>0.238152</v>
      </c>
      <c r="T7" s="60">
        <f t="shared" si="12"/>
        <v>-0.23893104403088627</v>
      </c>
      <c r="U7" s="59">
        <f t="shared" si="13"/>
        <v>-0.55280488022114516</v>
      </c>
      <c r="V7" s="43">
        <f t="shared" si="14"/>
        <v>-0.36882345333228728</v>
      </c>
      <c r="X7" s="22" t="s">
        <v>37</v>
      </c>
      <c r="Y7" s="57">
        <v>0.4143635</v>
      </c>
      <c r="Z7" s="57">
        <v>0.47988189999999997</v>
      </c>
      <c r="AA7" s="57">
        <v>0.34940510000000002</v>
      </c>
      <c r="AB7" s="57">
        <v>0.28041899999999997</v>
      </c>
      <c r="AC7" s="57">
        <v>0.37731439999999999</v>
      </c>
      <c r="AD7" s="57">
        <v>0.1247109</v>
      </c>
      <c r="AE7" s="57">
        <v>0.20954139999999999</v>
      </c>
      <c r="AF7" s="57">
        <v>9.6619200000000002E-2</v>
      </c>
      <c r="AG7" s="58">
        <v>6.4766000000000004E-2</v>
      </c>
      <c r="AH7" s="58">
        <v>0.12219339999999999</v>
      </c>
      <c r="AI7" s="60">
        <f t="shared" si="15"/>
        <v>-0.69903019932981547</v>
      </c>
      <c r="AJ7" s="60">
        <f t="shared" si="16"/>
        <v>-0.56334798207642334</v>
      </c>
      <c r="AK7" s="60">
        <f t="shared" si="17"/>
        <v>-0.72347512958454241</v>
      </c>
      <c r="AL7" s="59">
        <f t="shared" si="18"/>
        <v>-0.76903847456841368</v>
      </c>
      <c r="AM7" s="60">
        <f t="shared" si="19"/>
        <v>-0.67614965132526084</v>
      </c>
      <c r="AN7" s="57">
        <v>0.20890020000000001</v>
      </c>
      <c r="AO7" s="57">
        <v>0.29907030000000001</v>
      </c>
      <c r="AP7" s="57">
        <v>0.1265183</v>
      </c>
      <c r="AQ7" s="58">
        <v>7.5620900000000005E-2</v>
      </c>
      <c r="AR7" s="58">
        <v>0.17458499999999999</v>
      </c>
      <c r="AS7" s="60">
        <f t="shared" si="20"/>
        <v>-0.49585279591469811</v>
      </c>
      <c r="AT7" s="60">
        <f t="shared" si="21"/>
        <v>-0.37678353778294194</v>
      </c>
      <c r="AU7" s="60">
        <f t="shared" si="22"/>
        <v>-0.63790368257360863</v>
      </c>
      <c r="AV7" s="59">
        <f t="shared" si="23"/>
        <v>-0.73032890068076695</v>
      </c>
      <c r="AW7" s="60">
        <f t="shared" si="24"/>
        <v>-0.5372956876281425</v>
      </c>
      <c r="AX7" s="57">
        <v>0.28286919999999999</v>
      </c>
      <c r="AY7" s="57">
        <v>0.3970495</v>
      </c>
      <c r="AZ7" s="57">
        <v>0.16649459999999999</v>
      </c>
      <c r="BA7" s="58">
        <v>0.1182617</v>
      </c>
      <c r="BB7" s="58">
        <v>0.238152</v>
      </c>
      <c r="BC7" s="60">
        <f t="shared" si="25"/>
        <v>-0.3173404510773753</v>
      </c>
      <c r="BD7" s="60">
        <f t="shared" si="26"/>
        <v>-0.1726099692445161</v>
      </c>
      <c r="BE7" s="60">
        <f t="shared" si="27"/>
        <v>-0.52349121406642318</v>
      </c>
      <c r="BF7" s="59">
        <f t="shared" si="28"/>
        <v>-0.57826787771156729</v>
      </c>
      <c r="BG7" s="60">
        <f t="shared" si="29"/>
        <v>-0.36882345333228728</v>
      </c>
      <c r="BI7" s="50" t="s">
        <v>24</v>
      </c>
      <c r="BJ7" s="23">
        <v>874726</v>
      </c>
      <c r="BK7" s="23">
        <v>451827</v>
      </c>
      <c r="BL7" s="23">
        <f t="shared" si="30"/>
        <v>1326553</v>
      </c>
      <c r="BM7" s="23">
        <v>750913</v>
      </c>
      <c r="BN7" s="23">
        <v>335982</v>
      </c>
      <c r="BO7" s="23">
        <f t="shared" si="31"/>
        <v>1086895</v>
      </c>
      <c r="BP7" s="43">
        <f t="shared" si="32"/>
        <v>-0.14154489520146885</v>
      </c>
      <c r="BQ7" s="59">
        <f t="shared" si="33"/>
        <v>-0.25639238026943945</v>
      </c>
      <c r="BR7" s="43">
        <f t="shared" si="34"/>
        <v>-0.18066221251619796</v>
      </c>
      <c r="BS7" s="23">
        <v>797011</v>
      </c>
      <c r="BT7" s="23">
        <v>378615</v>
      </c>
      <c r="BU7" s="23">
        <f t="shared" si="35"/>
        <v>1175626</v>
      </c>
      <c r="BV7" s="43">
        <f t="shared" si="36"/>
        <v>-8.8844964023019779E-2</v>
      </c>
      <c r="BW7" s="59">
        <f t="shared" si="37"/>
        <v>-0.16203546932786217</v>
      </c>
      <c r="BX7" s="43">
        <f t="shared" si="38"/>
        <v>-0.11377381830955868</v>
      </c>
      <c r="BY7" s="23">
        <v>874726</v>
      </c>
      <c r="BZ7" s="23">
        <v>451827</v>
      </c>
      <c r="CA7" s="23">
        <f t="shared" si="39"/>
        <v>1326553</v>
      </c>
      <c r="CB7" s="43">
        <f t="shared" si="40"/>
        <v>0</v>
      </c>
      <c r="CC7" s="60">
        <f t="shared" si="41"/>
        <v>0</v>
      </c>
      <c r="CD7" s="43">
        <f t="shared" si="42"/>
        <v>0</v>
      </c>
      <c r="CF7" s="50" t="s">
        <v>26</v>
      </c>
      <c r="CG7" s="23">
        <v>395536</v>
      </c>
      <c r="CH7" s="23">
        <v>3820</v>
      </c>
      <c r="CI7" s="23">
        <f t="shared" si="0"/>
        <v>399356</v>
      </c>
      <c r="CJ7" s="43">
        <f t="shared" si="1"/>
        <v>9.565400294474103E-3</v>
      </c>
      <c r="CK7" s="23">
        <v>157503</v>
      </c>
      <c r="CL7" s="23">
        <v>807</v>
      </c>
      <c r="CM7" s="23">
        <f t="shared" si="2"/>
        <v>158310</v>
      </c>
      <c r="CN7" s="43">
        <f t="shared" si="3"/>
        <v>5.0975933295433007E-3</v>
      </c>
      <c r="CO7" s="23">
        <v>0</v>
      </c>
      <c r="CP7" s="23">
        <v>0</v>
      </c>
      <c r="CQ7" s="23">
        <f t="shared" si="4"/>
        <v>0</v>
      </c>
      <c r="CR7" s="43" t="e">
        <f t="shared" si="5"/>
        <v>#DIV/0!</v>
      </c>
    </row>
    <row r="8" spans="1:96" x14ac:dyDescent="0.25">
      <c r="A8" s="22" t="s">
        <v>38</v>
      </c>
      <c r="B8" s="57">
        <v>0.85001400000000005</v>
      </c>
      <c r="C8" s="57">
        <v>0.63955430000000002</v>
      </c>
      <c r="D8" s="57">
        <v>0.74390409999999996</v>
      </c>
      <c r="E8" s="57">
        <v>0.65800170000000002</v>
      </c>
      <c r="F8" s="57">
        <v>0.46455020000000002</v>
      </c>
      <c r="G8" s="58">
        <v>0.56046700000000005</v>
      </c>
      <c r="H8" s="60">
        <f t="shared" si="6"/>
        <v>-0.22589310293712817</v>
      </c>
      <c r="I8" s="59">
        <f t="shared" si="7"/>
        <v>-0.27363446700303629</v>
      </c>
      <c r="J8" s="43">
        <f t="shared" si="8"/>
        <v>-0.24658702647290143</v>
      </c>
      <c r="K8" s="57">
        <v>0.7526661</v>
      </c>
      <c r="L8" s="57">
        <v>0.52984659999999995</v>
      </c>
      <c r="M8" s="58">
        <v>0.64032460000000002</v>
      </c>
      <c r="N8" s="60">
        <f t="shared" si="9"/>
        <v>-0.11452505488144904</v>
      </c>
      <c r="O8" s="59">
        <f t="shared" si="10"/>
        <v>-0.17153774120508625</v>
      </c>
      <c r="P8" s="43">
        <f t="shared" si="11"/>
        <v>-0.13923770550531978</v>
      </c>
      <c r="Q8" s="57">
        <v>0.7981471</v>
      </c>
      <c r="R8" s="57">
        <v>0.57161070000000003</v>
      </c>
      <c r="S8" s="58">
        <v>0.68393159999999997</v>
      </c>
      <c r="T8" s="60">
        <f t="shared" si="12"/>
        <v>-6.1018877336138089E-2</v>
      </c>
      <c r="U8" s="59">
        <f t="shared" si="13"/>
        <v>-0.10623585831570515</v>
      </c>
      <c r="V8" s="43">
        <f t="shared" si="14"/>
        <v>-8.0618590487671726E-2</v>
      </c>
      <c r="X8" s="22" t="s">
        <v>38</v>
      </c>
      <c r="Y8" s="57">
        <v>0.80287500000000001</v>
      </c>
      <c r="Z8" s="57">
        <v>0.8889205</v>
      </c>
      <c r="AA8" s="57">
        <v>0.74090140000000004</v>
      </c>
      <c r="AB8" s="57">
        <v>0.59372539999999996</v>
      </c>
      <c r="AC8" s="57">
        <v>0.74390409999999996</v>
      </c>
      <c r="AD8" s="57">
        <v>0.55736459999999999</v>
      </c>
      <c r="AE8" s="57">
        <v>0.74106340000000004</v>
      </c>
      <c r="AF8" s="57">
        <v>0.5461551</v>
      </c>
      <c r="AG8" s="58">
        <v>0.4276488</v>
      </c>
      <c r="AH8" s="58">
        <v>0.56046700000000005</v>
      </c>
      <c r="AI8" s="60">
        <f t="shared" si="15"/>
        <v>-0.30578907052779081</v>
      </c>
      <c r="AJ8" s="60">
        <f t="shared" si="16"/>
        <v>-0.16633332227122666</v>
      </c>
      <c r="AK8" s="60">
        <f t="shared" si="17"/>
        <v>-0.26285049535606231</v>
      </c>
      <c r="AL8" s="59">
        <f t="shared" si="18"/>
        <v>-0.27971954711723634</v>
      </c>
      <c r="AM8" s="60">
        <f t="shared" si="19"/>
        <v>-0.24658702647290143</v>
      </c>
      <c r="AN8" s="57">
        <v>0.65678479999999995</v>
      </c>
      <c r="AO8" s="57">
        <v>0.8318025</v>
      </c>
      <c r="AP8" s="57">
        <v>0.60603969999999996</v>
      </c>
      <c r="AQ8" s="58">
        <v>0.49539240000000001</v>
      </c>
      <c r="AR8" s="58">
        <v>0.64032460000000002</v>
      </c>
      <c r="AS8" s="60">
        <f t="shared" si="20"/>
        <v>-0.18195883543515501</v>
      </c>
      <c r="AT8" s="60">
        <f t="shared" si="21"/>
        <v>-6.4255464915028981E-2</v>
      </c>
      <c r="AU8" s="60">
        <f t="shared" si="22"/>
        <v>-0.18202381585457938</v>
      </c>
      <c r="AV8" s="59">
        <f t="shared" si="23"/>
        <v>-0.16562033559622003</v>
      </c>
      <c r="AW8" s="60">
        <f t="shared" si="24"/>
        <v>-0.13923770550531978</v>
      </c>
      <c r="AX8" s="57">
        <v>0.71829229999999999</v>
      </c>
      <c r="AY8" s="57">
        <v>0.86405609999999999</v>
      </c>
      <c r="AZ8" s="57">
        <v>0.64691520000000002</v>
      </c>
      <c r="BA8" s="58">
        <v>0.53755830000000004</v>
      </c>
      <c r="BB8" s="58">
        <v>0.68393159999999997</v>
      </c>
      <c r="BC8" s="60">
        <f t="shared" si="25"/>
        <v>-0.10534977424879344</v>
      </c>
      <c r="BD8" s="60">
        <f t="shared" si="26"/>
        <v>-2.7971455265122125E-2</v>
      </c>
      <c r="BE8" s="60">
        <f t="shared" si="27"/>
        <v>-0.12685385666702753</v>
      </c>
      <c r="BF8" s="60">
        <f t="shared" si="28"/>
        <v>-9.4601140527253658E-2</v>
      </c>
      <c r="BG8" s="60">
        <f t="shared" si="29"/>
        <v>-8.0618590487671726E-2</v>
      </c>
      <c r="BI8" s="50" t="s">
        <v>26</v>
      </c>
      <c r="BJ8" s="23">
        <v>1044273</v>
      </c>
      <c r="BK8" s="23">
        <v>22001</v>
      </c>
      <c r="BL8" s="23">
        <f t="shared" si="30"/>
        <v>1066274</v>
      </c>
      <c r="BM8" s="23">
        <v>648737</v>
      </c>
      <c r="BN8" s="23">
        <v>18181</v>
      </c>
      <c r="BO8" s="23">
        <f t="shared" si="31"/>
        <v>666918</v>
      </c>
      <c r="BP8" s="43">
        <f t="shared" si="32"/>
        <v>-0.37876685502737306</v>
      </c>
      <c r="BQ8" s="60">
        <f t="shared" si="33"/>
        <v>-0.17362847143311666</v>
      </c>
      <c r="BR8" s="43">
        <f t="shared" si="34"/>
        <v>-0.3745341253749036</v>
      </c>
      <c r="BS8" s="23">
        <v>886770</v>
      </c>
      <c r="BT8" s="23">
        <v>21194</v>
      </c>
      <c r="BU8" s="23">
        <f t="shared" si="35"/>
        <v>907964</v>
      </c>
      <c r="BV8" s="43">
        <f t="shared" si="36"/>
        <v>-0.15082550252663818</v>
      </c>
      <c r="BW8" s="60">
        <f t="shared" si="37"/>
        <v>-3.6680150902231756E-2</v>
      </c>
      <c r="BX8" s="43">
        <f t="shared" si="38"/>
        <v>-0.14847028062205403</v>
      </c>
      <c r="BY8" s="23">
        <v>1044273</v>
      </c>
      <c r="BZ8" s="23">
        <v>22001</v>
      </c>
      <c r="CA8" s="23">
        <f t="shared" si="39"/>
        <v>1066274</v>
      </c>
      <c r="CB8" s="43">
        <f t="shared" si="40"/>
        <v>0</v>
      </c>
      <c r="CC8" s="60">
        <f t="shared" si="41"/>
        <v>0</v>
      </c>
      <c r="CD8" s="43">
        <f t="shared" si="42"/>
        <v>0</v>
      </c>
      <c r="CF8" s="50" t="s">
        <v>27</v>
      </c>
      <c r="CG8" s="23">
        <v>325997</v>
      </c>
      <c r="CH8" s="23">
        <v>282753</v>
      </c>
      <c r="CI8" s="23">
        <f t="shared" si="0"/>
        <v>608750</v>
      </c>
      <c r="CJ8" s="43">
        <f t="shared" si="1"/>
        <v>0.46448131416837785</v>
      </c>
      <c r="CK8" s="23">
        <v>208060</v>
      </c>
      <c r="CL8" s="23">
        <v>213177</v>
      </c>
      <c r="CM8" s="23">
        <f t="shared" si="2"/>
        <v>421237</v>
      </c>
      <c r="CN8" s="43">
        <f t="shared" si="3"/>
        <v>0.50607377794448261</v>
      </c>
      <c r="CO8" s="23">
        <v>154141</v>
      </c>
      <c r="CP8" s="23">
        <v>157432</v>
      </c>
      <c r="CQ8" s="23">
        <f t="shared" si="4"/>
        <v>311573</v>
      </c>
      <c r="CR8" s="43">
        <f t="shared" si="5"/>
        <v>0.50528126634849613</v>
      </c>
    </row>
    <row r="9" spans="1:96" x14ac:dyDescent="0.25">
      <c r="A9" s="22" t="s">
        <v>36</v>
      </c>
      <c r="B9" s="57">
        <v>0.8273644</v>
      </c>
      <c r="C9" s="57">
        <v>0.60355190000000003</v>
      </c>
      <c r="D9" s="57">
        <v>0.70714809999999995</v>
      </c>
      <c r="E9" s="57">
        <v>0.75473299999999999</v>
      </c>
      <c r="F9" s="57">
        <v>0.56483830000000002</v>
      </c>
      <c r="G9" s="57">
        <v>0.65273490000000001</v>
      </c>
      <c r="H9" s="60">
        <f t="shared" si="6"/>
        <v>-8.7786469903708753E-2</v>
      </c>
      <c r="I9" s="60">
        <f t="shared" si="7"/>
        <v>-6.4142951086725075E-2</v>
      </c>
      <c r="J9" s="43">
        <f t="shared" si="8"/>
        <v>-7.6947389097135277E-2</v>
      </c>
      <c r="K9" s="57">
        <v>0.79817009999999999</v>
      </c>
      <c r="L9" s="57">
        <v>0.58613490000000001</v>
      </c>
      <c r="M9" s="57">
        <v>0.68427970000000005</v>
      </c>
      <c r="N9" s="60">
        <f t="shared" si="9"/>
        <v>-3.5285903043447364E-2</v>
      </c>
      <c r="O9" s="60">
        <f t="shared" si="10"/>
        <v>-2.8857501732659663E-2</v>
      </c>
      <c r="P9" s="43">
        <f t="shared" si="11"/>
        <v>-3.2338911749886456E-2</v>
      </c>
      <c r="Q9" s="57">
        <v>0.81366119999999997</v>
      </c>
      <c r="R9" s="57">
        <v>0.59552879999999997</v>
      </c>
      <c r="S9" s="57">
        <v>0.6964958</v>
      </c>
      <c r="T9" s="60">
        <f t="shared" si="12"/>
        <v>-1.6562472351964952E-2</v>
      </c>
      <c r="U9" s="60">
        <f t="shared" si="13"/>
        <v>-1.3293140159114869E-2</v>
      </c>
      <c r="V9" s="43">
        <f t="shared" si="14"/>
        <v>-1.5063746901108788E-2</v>
      </c>
      <c r="X9" s="22" t="s">
        <v>36</v>
      </c>
      <c r="Y9" s="57">
        <v>0.77987050000000002</v>
      </c>
      <c r="Z9" s="57">
        <v>0.8778494</v>
      </c>
      <c r="AA9" s="57">
        <v>0.5732836</v>
      </c>
      <c r="AB9" s="57">
        <v>0.63909419999999995</v>
      </c>
      <c r="AC9" s="57">
        <v>0.70714809999999995</v>
      </c>
      <c r="AD9" s="57">
        <v>0.68493420000000005</v>
      </c>
      <c r="AE9" s="57">
        <v>0.82892730000000003</v>
      </c>
      <c r="AF9" s="57">
        <v>0.54123089999999996</v>
      </c>
      <c r="AG9" s="57">
        <v>0.59255919999999995</v>
      </c>
      <c r="AH9" s="57">
        <v>0.65273490000000001</v>
      </c>
      <c r="AI9" s="60">
        <f t="shared" si="15"/>
        <v>-0.12173341599663012</v>
      </c>
      <c r="AJ9" s="60">
        <f t="shared" si="16"/>
        <v>-5.5729490730414555E-2</v>
      </c>
      <c r="AK9" s="60">
        <f t="shared" si="17"/>
        <v>-5.5910722023096548E-2</v>
      </c>
      <c r="AL9" s="59">
        <f t="shared" si="18"/>
        <v>-7.2813992053127663E-2</v>
      </c>
      <c r="AM9" s="60">
        <f t="shared" si="19"/>
        <v>-7.6947389097135277E-2</v>
      </c>
      <c r="AN9" s="57">
        <v>0.73945709999999998</v>
      </c>
      <c r="AO9" s="57">
        <v>0.86058060000000003</v>
      </c>
      <c r="AP9" s="57">
        <v>0.55747460000000004</v>
      </c>
      <c r="AQ9" s="57">
        <v>0.61978889999999998</v>
      </c>
      <c r="AR9" s="57">
        <v>0.68427970000000005</v>
      </c>
      <c r="AS9" s="60">
        <f t="shared" si="20"/>
        <v>-5.1820654839489388E-2</v>
      </c>
      <c r="AT9" s="60">
        <f t="shared" si="21"/>
        <v>-1.9671711343654086E-2</v>
      </c>
      <c r="AU9" s="60">
        <f t="shared" si="22"/>
        <v>-2.7576229286865983E-2</v>
      </c>
      <c r="AV9" s="59">
        <f t="shared" si="23"/>
        <v>-3.0207283996631418E-2</v>
      </c>
      <c r="AW9" s="60">
        <f t="shared" si="24"/>
        <v>-3.2338911749886456E-2</v>
      </c>
      <c r="AX9" s="57">
        <v>0.76333479999999998</v>
      </c>
      <c r="AY9" s="57">
        <v>0.86715679999999995</v>
      </c>
      <c r="AZ9" s="57">
        <v>0.56362350000000006</v>
      </c>
      <c r="BA9" s="57">
        <v>0.63299329999999998</v>
      </c>
      <c r="BB9" s="57">
        <v>0.6964958</v>
      </c>
      <c r="BC9" s="60">
        <f t="shared" si="25"/>
        <v>-2.1203135648803273E-2</v>
      </c>
      <c r="BD9" s="60">
        <f t="shared" si="26"/>
        <v>-1.2180449174995278E-2</v>
      </c>
      <c r="BE9" s="60">
        <f t="shared" si="27"/>
        <v>-1.6850473308498537E-2</v>
      </c>
      <c r="BF9" s="60">
        <f t="shared" si="28"/>
        <v>-9.5461670595664572E-3</v>
      </c>
      <c r="BG9" s="60">
        <f t="shared" si="29"/>
        <v>-1.5063746901108788E-2</v>
      </c>
      <c r="BI9" s="50" t="s">
        <v>27</v>
      </c>
      <c r="BJ9" s="23">
        <v>1311071</v>
      </c>
      <c r="BK9" s="23">
        <v>883783</v>
      </c>
      <c r="BL9" s="23">
        <f t="shared" si="30"/>
        <v>2194854</v>
      </c>
      <c r="BM9" s="23">
        <v>985074</v>
      </c>
      <c r="BN9" s="23">
        <v>601030</v>
      </c>
      <c r="BO9" s="23">
        <f t="shared" si="31"/>
        <v>1586104</v>
      </c>
      <c r="BP9" s="43">
        <f t="shared" si="32"/>
        <v>-0.24864938664648972</v>
      </c>
      <c r="BQ9" s="59">
        <f t="shared" si="33"/>
        <v>-0.31993487089025252</v>
      </c>
      <c r="BR9" s="43">
        <f t="shared" si="34"/>
        <v>-0.27735330003726899</v>
      </c>
      <c r="BS9" s="23">
        <v>1103011</v>
      </c>
      <c r="BT9" s="23">
        <v>670606</v>
      </c>
      <c r="BU9" s="23">
        <f t="shared" si="35"/>
        <v>1773617</v>
      </c>
      <c r="BV9" s="43">
        <f t="shared" si="36"/>
        <v>-0.15869468548995436</v>
      </c>
      <c r="BW9" s="59">
        <f t="shared" si="37"/>
        <v>-0.24120966345811135</v>
      </c>
      <c r="BX9" s="43">
        <f t="shared" si="38"/>
        <v>-0.19192028262472127</v>
      </c>
      <c r="BY9" s="23">
        <v>1156930</v>
      </c>
      <c r="BZ9" s="23">
        <v>726351</v>
      </c>
      <c r="CA9" s="23">
        <f t="shared" si="39"/>
        <v>1883281</v>
      </c>
      <c r="CB9" s="43">
        <f t="shared" si="40"/>
        <v>-0.11756876629869784</v>
      </c>
      <c r="CC9" s="59">
        <f t="shared" si="41"/>
        <v>-0.17813422525665235</v>
      </c>
      <c r="CD9" s="43">
        <f t="shared" si="42"/>
        <v>-0.14195613922383898</v>
      </c>
      <c r="CF9" s="50" t="s">
        <v>29</v>
      </c>
      <c r="CG9" s="23">
        <v>111628</v>
      </c>
      <c r="CH9" s="23">
        <v>97926</v>
      </c>
      <c r="CI9" s="23">
        <f t="shared" si="0"/>
        <v>209554</v>
      </c>
      <c r="CJ9" s="43">
        <f t="shared" si="1"/>
        <v>0.467306756253758</v>
      </c>
      <c r="CK9" s="23">
        <v>55970</v>
      </c>
      <c r="CL9" s="23">
        <v>56418</v>
      </c>
      <c r="CM9" s="23">
        <f t="shared" si="2"/>
        <v>112388</v>
      </c>
      <c r="CN9" s="43">
        <f t="shared" si="3"/>
        <v>0.50199309534825787</v>
      </c>
      <c r="CO9" s="23">
        <v>87630</v>
      </c>
      <c r="CP9" s="23">
        <v>75064</v>
      </c>
      <c r="CQ9" s="23">
        <f t="shared" si="4"/>
        <v>162694</v>
      </c>
      <c r="CR9" s="43">
        <f t="shared" si="5"/>
        <v>0.46138148917599914</v>
      </c>
    </row>
    <row r="10" spans="1:96" x14ac:dyDescent="0.25">
      <c r="A10" s="27" t="s">
        <v>28</v>
      </c>
      <c r="B10" s="61">
        <v>0.22051209999999999</v>
      </c>
      <c r="C10" s="61">
        <v>0.1113509</v>
      </c>
      <c r="D10" s="61">
        <v>0.1565406</v>
      </c>
      <c r="E10" s="61">
        <v>0.19646530000000001</v>
      </c>
      <c r="F10" s="61">
        <v>0.1111124</v>
      </c>
      <c r="G10" s="62">
        <v>0.1464461</v>
      </c>
      <c r="H10" s="43">
        <f t="shared" si="6"/>
        <v>-0.10904979817434046</v>
      </c>
      <c r="I10" s="43">
        <f t="shared" si="7"/>
        <v>-2.1418776139213724E-3</v>
      </c>
      <c r="J10" s="43">
        <f t="shared" si="8"/>
        <v>-6.448486846223922E-2</v>
      </c>
      <c r="K10" s="61">
        <v>0.21196860000000001</v>
      </c>
      <c r="L10" s="61">
        <v>0.1113509</v>
      </c>
      <c r="M10" s="62">
        <v>0.1530038</v>
      </c>
      <c r="N10" s="43">
        <f t="shared" si="9"/>
        <v>-3.8743905663226608E-2</v>
      </c>
      <c r="O10" s="60">
        <f t="shared" si="10"/>
        <v>0</v>
      </c>
      <c r="P10" s="43">
        <f t="shared" si="11"/>
        <v>-2.2593499705507725E-2</v>
      </c>
      <c r="Q10" s="61">
        <v>0.2191919</v>
      </c>
      <c r="R10" s="61">
        <v>0.1113509</v>
      </c>
      <c r="S10" s="62">
        <v>0.15599399999999999</v>
      </c>
      <c r="T10" s="43">
        <f t="shared" si="12"/>
        <v>-5.9869730504584773E-3</v>
      </c>
      <c r="U10" s="60">
        <f t="shared" si="13"/>
        <v>0</v>
      </c>
      <c r="V10" s="43">
        <f t="shared" si="14"/>
        <v>-3.4917459112844274E-3</v>
      </c>
      <c r="X10" s="27" t="s">
        <v>28</v>
      </c>
      <c r="Y10" s="61">
        <v>0.21620139999999999</v>
      </c>
      <c r="Z10" s="61">
        <v>0.26371939999999999</v>
      </c>
      <c r="AA10" s="61">
        <v>0.1075948</v>
      </c>
      <c r="AB10" s="61">
        <v>0.14230319999999999</v>
      </c>
      <c r="AC10" s="61">
        <v>0.1565406</v>
      </c>
      <c r="AD10" s="61">
        <v>0.1904576</v>
      </c>
      <c r="AE10" s="61">
        <v>0.2566831</v>
      </c>
      <c r="AF10" s="61">
        <v>0.1073273</v>
      </c>
      <c r="AG10" s="62">
        <v>0.14230319999999999</v>
      </c>
      <c r="AH10" s="62">
        <v>0.1464461</v>
      </c>
      <c r="AI10" s="60">
        <f t="shared" si="15"/>
        <v>-0.11907323449339358</v>
      </c>
      <c r="AJ10" s="60">
        <f t="shared" si="16"/>
        <v>-2.6681010194926857E-2</v>
      </c>
      <c r="AK10" s="60">
        <f t="shared" si="17"/>
        <v>-2.4861796294988192E-3</v>
      </c>
      <c r="AL10" s="60">
        <f t="shared" si="18"/>
        <v>0</v>
      </c>
      <c r="AM10" s="60">
        <f t="shared" si="19"/>
        <v>-6.448486846223922E-2</v>
      </c>
      <c r="AN10" s="61">
        <v>0.20742089999999999</v>
      </c>
      <c r="AO10" s="61">
        <v>0.257552</v>
      </c>
      <c r="AP10" s="61">
        <v>0.1075948</v>
      </c>
      <c r="AQ10" s="62">
        <v>0.14230319999999999</v>
      </c>
      <c r="AR10" s="62">
        <v>0.1530038</v>
      </c>
      <c r="AS10" s="60">
        <f t="shared" si="20"/>
        <v>-4.061259547810514E-2</v>
      </c>
      <c r="AT10" s="60">
        <f t="shared" si="21"/>
        <v>-2.3386220353906473E-2</v>
      </c>
      <c r="AU10" s="60">
        <f t="shared" si="22"/>
        <v>0</v>
      </c>
      <c r="AV10" s="60">
        <f t="shared" si="23"/>
        <v>0</v>
      </c>
      <c r="AW10" s="60">
        <f t="shared" si="24"/>
        <v>-2.2593499705507725E-2</v>
      </c>
      <c r="AX10" s="61">
        <v>0.21474950000000001</v>
      </c>
      <c r="AY10" s="61">
        <v>0.26371939999999999</v>
      </c>
      <c r="AZ10" s="61">
        <v>0.1075948</v>
      </c>
      <c r="BA10" s="62">
        <v>0.14230319999999999</v>
      </c>
      <c r="BB10" s="62">
        <v>0.15599399999999999</v>
      </c>
      <c r="BC10" s="60">
        <f t="shared" si="25"/>
        <v>-6.7154976794784327E-3</v>
      </c>
      <c r="BD10" s="60">
        <f t="shared" si="26"/>
        <v>0</v>
      </c>
      <c r="BE10" s="60">
        <f t="shared" si="27"/>
        <v>0</v>
      </c>
      <c r="BF10" s="60">
        <f t="shared" si="28"/>
        <v>0</v>
      </c>
      <c r="BG10" s="60">
        <f t="shared" si="29"/>
        <v>-3.4917459112844274E-3</v>
      </c>
      <c r="BI10" s="50" t="s">
        <v>29</v>
      </c>
      <c r="BJ10" s="23">
        <v>278457</v>
      </c>
      <c r="BK10" s="23">
        <v>183943</v>
      </c>
      <c r="BL10" s="23">
        <f t="shared" si="30"/>
        <v>462400</v>
      </c>
      <c r="BM10" s="23">
        <v>166829</v>
      </c>
      <c r="BN10" s="23">
        <v>86017</v>
      </c>
      <c r="BO10" s="23">
        <f t="shared" si="31"/>
        <v>252846</v>
      </c>
      <c r="BP10" s="43">
        <f t="shared" si="32"/>
        <v>-0.4008805668379678</v>
      </c>
      <c r="BQ10" s="59">
        <f t="shared" si="33"/>
        <v>-0.53237144115296586</v>
      </c>
      <c r="BR10" s="43">
        <f t="shared" si="34"/>
        <v>-0.45318771626297583</v>
      </c>
      <c r="BS10" s="23">
        <v>222487</v>
      </c>
      <c r="BT10" s="23">
        <v>127525</v>
      </c>
      <c r="BU10" s="23">
        <f t="shared" si="35"/>
        <v>350012</v>
      </c>
      <c r="BV10" s="43">
        <f t="shared" si="36"/>
        <v>-0.2010005135442815</v>
      </c>
      <c r="BW10" s="59">
        <f t="shared" si="37"/>
        <v>-0.30671458006012731</v>
      </c>
      <c r="BX10" s="43">
        <f t="shared" si="38"/>
        <v>-0.24305363321799311</v>
      </c>
      <c r="BY10" s="23">
        <v>190827</v>
      </c>
      <c r="BZ10" s="23">
        <v>108879</v>
      </c>
      <c r="CA10" s="23">
        <f t="shared" si="39"/>
        <v>299706</v>
      </c>
      <c r="CB10" s="43">
        <f t="shared" si="40"/>
        <v>-0.31469849922968363</v>
      </c>
      <c r="CC10" s="59">
        <f t="shared" si="41"/>
        <v>-0.4080829387364564</v>
      </c>
      <c r="CD10" s="43">
        <f t="shared" si="42"/>
        <v>-0.35184688581314882</v>
      </c>
      <c r="CF10" s="50" t="s">
        <v>30</v>
      </c>
      <c r="CG10" s="23">
        <v>156867</v>
      </c>
      <c r="CH10" s="23">
        <v>35346</v>
      </c>
      <c r="CI10" s="23">
        <f t="shared" si="0"/>
        <v>192213</v>
      </c>
      <c r="CJ10" s="43">
        <f t="shared" si="1"/>
        <v>0.18388974731157623</v>
      </c>
      <c r="CK10" s="23">
        <v>63589</v>
      </c>
      <c r="CL10" s="23">
        <v>22387</v>
      </c>
      <c r="CM10" s="23">
        <f t="shared" si="2"/>
        <v>85976</v>
      </c>
      <c r="CN10" s="43">
        <f t="shared" si="3"/>
        <v>0.26038661952172698</v>
      </c>
      <c r="CO10" s="23">
        <v>79522</v>
      </c>
      <c r="CP10" s="23">
        <v>24834</v>
      </c>
      <c r="CQ10" s="23">
        <f t="shared" si="4"/>
        <v>104356</v>
      </c>
      <c r="CR10" s="43">
        <f t="shared" si="5"/>
        <v>0.23797385871440072</v>
      </c>
    </row>
    <row r="11" spans="1:96" x14ac:dyDescent="0.25">
      <c r="A11" s="29" t="s">
        <v>18</v>
      </c>
      <c r="B11" s="63">
        <v>0.49092940000000002</v>
      </c>
      <c r="C11" s="63">
        <v>0.35808069999999997</v>
      </c>
      <c r="D11" s="63">
        <v>0.42193160000000002</v>
      </c>
      <c r="E11" s="63">
        <v>0.38917040000000003</v>
      </c>
      <c r="F11" s="63">
        <v>0.2815839</v>
      </c>
      <c r="G11" s="64">
        <v>0.33329310000000001</v>
      </c>
      <c r="H11" s="65">
        <f t="shared" si="6"/>
        <v>-0.2072782766727761</v>
      </c>
      <c r="I11" s="65">
        <f t="shared" si="7"/>
        <v>-0.2136300560180987</v>
      </c>
      <c r="J11" s="65">
        <f t="shared" si="8"/>
        <v>-0.21007788940197891</v>
      </c>
      <c r="K11" s="63">
        <v>0.43460870000000001</v>
      </c>
      <c r="L11" s="63">
        <v>0.30427999999999999</v>
      </c>
      <c r="M11" s="64">
        <v>0.36691970000000002</v>
      </c>
      <c r="N11" s="65">
        <f t="shared" si="9"/>
        <v>-0.11472260573516269</v>
      </c>
      <c r="O11" s="65">
        <f t="shared" si="10"/>
        <v>-0.15024741629470673</v>
      </c>
      <c r="P11" s="65">
        <f t="shared" si="11"/>
        <v>-0.13038108546503746</v>
      </c>
      <c r="Q11" s="63">
        <v>0.46086120000000003</v>
      </c>
      <c r="R11" s="63">
        <v>0.32063259999999999</v>
      </c>
      <c r="S11" s="64">
        <v>0.3880305</v>
      </c>
      <c r="T11" s="65">
        <f t="shared" si="12"/>
        <v>-6.124750320514516E-2</v>
      </c>
      <c r="U11" s="65">
        <f t="shared" si="13"/>
        <v>-0.10458005695364203</v>
      </c>
      <c r="V11" s="65">
        <f t="shared" si="14"/>
        <v>-8.0347383319950505E-2</v>
      </c>
      <c r="X11" s="29" t="s">
        <v>18</v>
      </c>
      <c r="Y11" s="63">
        <v>0.58033579999999996</v>
      </c>
      <c r="Z11" s="63">
        <v>0.43062339999999999</v>
      </c>
      <c r="AA11" s="63">
        <v>0.41609639999999998</v>
      </c>
      <c r="AB11" s="63">
        <v>0.31982840000000001</v>
      </c>
      <c r="AC11" s="63">
        <v>0.42193160000000002</v>
      </c>
      <c r="AD11" s="63">
        <v>0.4355792</v>
      </c>
      <c r="AE11" s="63">
        <v>0.35786699999999999</v>
      </c>
      <c r="AF11" s="63">
        <v>0.3409507</v>
      </c>
      <c r="AG11" s="64">
        <v>0.24244060000000001</v>
      </c>
      <c r="AH11" s="64">
        <v>0.33329310000000001</v>
      </c>
      <c r="AI11" s="66">
        <f t="shared" si="15"/>
        <v>-0.24943593002534048</v>
      </c>
      <c r="AJ11" s="66">
        <f t="shared" si="16"/>
        <v>-0.16895598334879158</v>
      </c>
      <c r="AK11" s="66">
        <f t="shared" si="17"/>
        <v>-0.1805968520756247</v>
      </c>
      <c r="AL11" s="66">
        <f t="shared" si="18"/>
        <v>-0.24196662960512572</v>
      </c>
      <c r="AM11" s="66">
        <f t="shared" si="19"/>
        <v>-0.21007788940197891</v>
      </c>
      <c r="AN11" s="63">
        <v>0.49617549999999999</v>
      </c>
      <c r="AO11" s="63">
        <v>0.39308100000000001</v>
      </c>
      <c r="AP11" s="63">
        <v>0.36094779999999999</v>
      </c>
      <c r="AQ11" s="64">
        <v>0.2669163</v>
      </c>
      <c r="AR11" s="64">
        <v>0.36691970000000002</v>
      </c>
      <c r="AS11" s="66">
        <f t="shared" si="20"/>
        <v>-0.1450200039356524</v>
      </c>
      <c r="AT11" s="66">
        <f t="shared" si="21"/>
        <v>-8.7181514056133502E-2</v>
      </c>
      <c r="AU11" s="66">
        <f t="shared" si="22"/>
        <v>-0.13253803685876642</v>
      </c>
      <c r="AV11" s="66">
        <f t="shared" si="23"/>
        <v>-0.16543902917939746</v>
      </c>
      <c r="AW11" s="66">
        <f t="shared" si="24"/>
        <v>-0.13038108546503746</v>
      </c>
      <c r="AX11" s="63">
        <v>0.53285550000000004</v>
      </c>
      <c r="AY11" s="63">
        <v>0.4122999</v>
      </c>
      <c r="AZ11" s="63">
        <v>0.37498340000000002</v>
      </c>
      <c r="BA11" s="64">
        <v>0.28479660000000001</v>
      </c>
      <c r="BB11" s="64">
        <v>0.3880305</v>
      </c>
      <c r="BC11" s="66">
        <f t="shared" si="25"/>
        <v>-8.1815218016879077E-2</v>
      </c>
      <c r="BD11" s="66">
        <f t="shared" si="26"/>
        <v>-4.2551101496110078E-2</v>
      </c>
      <c r="BE11" s="66">
        <f t="shared" si="27"/>
        <v>-9.8806430432947678E-2</v>
      </c>
      <c r="BF11" s="66">
        <f t="shared" si="28"/>
        <v>-0.10953311213138051</v>
      </c>
      <c r="BG11" s="66">
        <f t="shared" si="29"/>
        <v>-8.0347383319950505E-2</v>
      </c>
      <c r="BI11" s="50" t="s">
        <v>30</v>
      </c>
      <c r="BJ11" s="23">
        <v>778999</v>
      </c>
      <c r="BK11" s="23">
        <v>135834</v>
      </c>
      <c r="BL11" s="23">
        <f t="shared" si="30"/>
        <v>914833</v>
      </c>
      <c r="BM11" s="23">
        <v>622132</v>
      </c>
      <c r="BN11" s="23">
        <v>100488</v>
      </c>
      <c r="BO11" s="23">
        <f t="shared" si="31"/>
        <v>722620</v>
      </c>
      <c r="BP11" s="43">
        <f t="shared" si="32"/>
        <v>-0.2013699632477064</v>
      </c>
      <c r="BQ11" s="59">
        <f t="shared" si="33"/>
        <v>-0.26021467379301211</v>
      </c>
      <c r="BR11" s="43">
        <f t="shared" si="34"/>
        <v>-0.21010719989331383</v>
      </c>
      <c r="BS11" s="23">
        <v>715410</v>
      </c>
      <c r="BT11" s="23">
        <v>113447</v>
      </c>
      <c r="BU11" s="23">
        <f t="shared" si="35"/>
        <v>828857</v>
      </c>
      <c r="BV11" s="43">
        <f t="shared" si="36"/>
        <v>-8.16291163403291E-2</v>
      </c>
      <c r="BW11" s="59">
        <f t="shared" si="37"/>
        <v>-0.16481146104804389</v>
      </c>
      <c r="BX11" s="43">
        <f t="shared" si="38"/>
        <v>-9.3979994162869063E-2</v>
      </c>
      <c r="BY11" s="23">
        <v>699477</v>
      </c>
      <c r="BZ11" s="23">
        <v>111000</v>
      </c>
      <c r="CA11" s="23">
        <f t="shared" si="39"/>
        <v>810477</v>
      </c>
      <c r="CB11" s="43">
        <f t="shared" si="40"/>
        <v>-0.10208228765377103</v>
      </c>
      <c r="CC11" s="59">
        <f t="shared" si="41"/>
        <v>-0.18282609655903526</v>
      </c>
      <c r="CD11" s="43">
        <f t="shared" si="42"/>
        <v>-0.11407109275682015</v>
      </c>
      <c r="CF11" s="50" t="s">
        <v>31</v>
      </c>
      <c r="CG11" s="23">
        <v>143952</v>
      </c>
      <c r="CH11" s="23">
        <v>91283</v>
      </c>
      <c r="CI11" s="23">
        <f t="shared" si="0"/>
        <v>235235</v>
      </c>
      <c r="CJ11" s="43">
        <f t="shared" si="1"/>
        <v>0.38805024762471568</v>
      </c>
      <c r="CK11" s="23">
        <v>110257</v>
      </c>
      <c r="CL11" s="23">
        <v>77441</v>
      </c>
      <c r="CM11" s="23">
        <f t="shared" si="2"/>
        <v>187698</v>
      </c>
      <c r="CN11" s="43">
        <f t="shared" si="3"/>
        <v>0.4125829790407996</v>
      </c>
      <c r="CO11" s="23">
        <v>29367</v>
      </c>
      <c r="CP11" s="23">
        <v>26962</v>
      </c>
      <c r="CQ11" s="23">
        <f t="shared" si="4"/>
        <v>56329</v>
      </c>
      <c r="CR11" s="43">
        <f t="shared" si="5"/>
        <v>0.47865220401569353</v>
      </c>
    </row>
    <row r="12" spans="1:96" x14ac:dyDescent="0.25">
      <c r="BI12" s="50" t="s">
        <v>31</v>
      </c>
      <c r="BJ12" s="23">
        <v>783739</v>
      </c>
      <c r="BK12" s="23">
        <v>528898</v>
      </c>
      <c r="BL12" s="23">
        <f t="shared" si="30"/>
        <v>1312637</v>
      </c>
      <c r="BM12" s="23">
        <v>639787</v>
      </c>
      <c r="BN12" s="23">
        <v>437615</v>
      </c>
      <c r="BO12" s="23">
        <f t="shared" si="31"/>
        <v>1077402</v>
      </c>
      <c r="BP12" s="43">
        <f t="shared" si="32"/>
        <v>-0.18367339126928739</v>
      </c>
      <c r="BQ12" s="60">
        <f t="shared" si="33"/>
        <v>-0.17259093435785355</v>
      </c>
      <c r="BR12" s="43">
        <f t="shared" si="34"/>
        <v>-0.17920796076904733</v>
      </c>
      <c r="BS12" s="23">
        <v>673482</v>
      </c>
      <c r="BT12" s="23">
        <v>451457</v>
      </c>
      <c r="BU12" s="23">
        <f t="shared" si="35"/>
        <v>1124939</v>
      </c>
      <c r="BV12" s="43">
        <f t="shared" si="36"/>
        <v>-0.14068076234562776</v>
      </c>
      <c r="BW12" s="59">
        <f t="shared" si="37"/>
        <v>-0.14641953647017003</v>
      </c>
      <c r="BX12" s="43">
        <f t="shared" si="38"/>
        <v>-0.14299307424672625</v>
      </c>
      <c r="BY12" s="23">
        <v>754372</v>
      </c>
      <c r="BZ12" s="23">
        <v>501936</v>
      </c>
      <c r="CA12" s="23">
        <f t="shared" si="39"/>
        <v>1256308</v>
      </c>
      <c r="CB12" s="43">
        <f t="shared" si="40"/>
        <v>-3.7470382359433452E-2</v>
      </c>
      <c r="CC12" s="59">
        <f t="shared" si="41"/>
        <v>-5.0977693241418987E-2</v>
      </c>
      <c r="CD12" s="43">
        <f t="shared" si="42"/>
        <v>-4.2912854048758331E-2</v>
      </c>
      <c r="CF12" s="50" t="s">
        <v>32</v>
      </c>
      <c r="CG12" s="23">
        <v>6810</v>
      </c>
      <c r="CH12" s="23">
        <v>31315</v>
      </c>
      <c r="CI12" s="23">
        <f t="shared" si="0"/>
        <v>38125</v>
      </c>
      <c r="CJ12" s="43">
        <f t="shared" si="1"/>
        <v>0.82137704918032783</v>
      </c>
      <c r="CK12" s="23">
        <v>6810</v>
      </c>
      <c r="CL12" s="23">
        <v>30376</v>
      </c>
      <c r="CM12" s="23">
        <f t="shared" si="2"/>
        <v>37186</v>
      </c>
      <c r="CN12" s="43">
        <f t="shared" si="3"/>
        <v>0.81686656268488145</v>
      </c>
      <c r="CO12" s="23">
        <v>4028</v>
      </c>
      <c r="CP12" s="23">
        <v>17518</v>
      </c>
      <c r="CQ12" s="23">
        <f t="shared" si="4"/>
        <v>21546</v>
      </c>
      <c r="CR12" s="43">
        <f t="shared" si="5"/>
        <v>0.81305114638447973</v>
      </c>
    </row>
    <row r="13" spans="1:96" x14ac:dyDescent="0.25">
      <c r="X13" s="97" t="s">
        <v>116</v>
      </c>
      <c r="Y13" s="21" t="s">
        <v>105</v>
      </c>
      <c r="Z13" s="21" t="s">
        <v>107</v>
      </c>
      <c r="AA13" s="21" t="s">
        <v>108</v>
      </c>
      <c r="AB13" s="21" t="s">
        <v>106</v>
      </c>
      <c r="BI13" s="50" t="s">
        <v>32</v>
      </c>
      <c r="BJ13" s="23">
        <v>239797</v>
      </c>
      <c r="BK13" s="23">
        <v>735108</v>
      </c>
      <c r="BL13" s="23">
        <f t="shared" si="30"/>
        <v>974905</v>
      </c>
      <c r="BM13" s="23">
        <v>232987</v>
      </c>
      <c r="BN13" s="23">
        <v>703793</v>
      </c>
      <c r="BO13" s="23">
        <f t="shared" si="31"/>
        <v>936780</v>
      </c>
      <c r="BP13" s="43">
        <f t="shared" si="32"/>
        <v>-2.8399020838459244E-2</v>
      </c>
      <c r="BQ13" s="59">
        <f t="shared" si="33"/>
        <v>-4.2599182705126304E-2</v>
      </c>
      <c r="BR13" s="43">
        <f t="shared" si="34"/>
        <v>-3.9106374467255733E-2</v>
      </c>
      <c r="BS13" s="23">
        <v>232987</v>
      </c>
      <c r="BT13" s="23">
        <v>704732</v>
      </c>
      <c r="BU13" s="23">
        <f t="shared" si="35"/>
        <v>937719</v>
      </c>
      <c r="BV13" s="43">
        <f t="shared" si="36"/>
        <v>-2.8399020838459244E-2</v>
      </c>
      <c r="BW13" s="59">
        <f t="shared" si="37"/>
        <v>-4.132181937892121E-2</v>
      </c>
      <c r="BX13" s="43">
        <f t="shared" si="38"/>
        <v>-3.8143203696770489E-2</v>
      </c>
      <c r="BY13" s="23">
        <v>235769</v>
      </c>
      <c r="BZ13" s="23">
        <v>717590</v>
      </c>
      <c r="CA13" s="23">
        <f t="shared" si="39"/>
        <v>953359</v>
      </c>
      <c r="CB13" s="43">
        <f t="shared" si="40"/>
        <v>-1.6797541253643744E-2</v>
      </c>
      <c r="CC13" s="59">
        <f t="shared" si="41"/>
        <v>-2.383051197919217E-2</v>
      </c>
      <c r="CD13" s="43">
        <f t="shared" si="42"/>
        <v>-2.2100614931711338E-2</v>
      </c>
      <c r="CF13" s="50" t="s">
        <v>33</v>
      </c>
      <c r="CG13" s="23">
        <v>28512</v>
      </c>
      <c r="CH13" s="23">
        <v>45771</v>
      </c>
      <c r="CI13" s="23">
        <f t="shared" si="0"/>
        <v>74283</v>
      </c>
      <c r="CJ13" s="43">
        <f t="shared" si="1"/>
        <v>0.61617059084851178</v>
      </c>
      <c r="CK13" s="23">
        <v>14185</v>
      </c>
      <c r="CL13" s="23">
        <v>17783</v>
      </c>
      <c r="CM13" s="23">
        <f t="shared" si="2"/>
        <v>31968</v>
      </c>
      <c r="CN13" s="43">
        <f t="shared" si="3"/>
        <v>0.55627502502502502</v>
      </c>
      <c r="CO13" s="23">
        <v>0</v>
      </c>
      <c r="CP13" s="23">
        <v>0</v>
      </c>
      <c r="CQ13" s="23">
        <f t="shared" si="4"/>
        <v>0</v>
      </c>
      <c r="CR13" s="43" t="e">
        <f t="shared" si="5"/>
        <v>#DIV/0!</v>
      </c>
    </row>
    <row r="14" spans="1:96" x14ac:dyDescent="0.25">
      <c r="X14" s="22" t="s">
        <v>37</v>
      </c>
      <c r="Y14" s="60">
        <v>-0.69903019932981547</v>
      </c>
      <c r="Z14" s="60">
        <v>-0.56334798207642334</v>
      </c>
      <c r="AA14" s="60">
        <v>-0.72347512958454241</v>
      </c>
      <c r="AB14" s="60">
        <v>-0.76903847456841368</v>
      </c>
      <c r="BI14" s="50" t="s">
        <v>33</v>
      </c>
      <c r="BJ14" s="23">
        <v>1033530</v>
      </c>
      <c r="BK14" s="23">
        <v>1123807</v>
      </c>
      <c r="BL14" s="23">
        <f t="shared" si="30"/>
        <v>2157337</v>
      </c>
      <c r="BM14" s="23">
        <v>1005018</v>
      </c>
      <c r="BN14" s="23">
        <v>1078036</v>
      </c>
      <c r="BO14" s="23">
        <f t="shared" si="31"/>
        <v>2083054</v>
      </c>
      <c r="BP14" s="43">
        <f t="shared" si="32"/>
        <v>-2.7587007634030991E-2</v>
      </c>
      <c r="BQ14" s="59">
        <f t="shared" si="33"/>
        <v>-4.072852366998958E-2</v>
      </c>
      <c r="BR14" s="43">
        <f t="shared" si="34"/>
        <v>-3.4432728868971307E-2</v>
      </c>
      <c r="BS14" s="23">
        <v>1019345</v>
      </c>
      <c r="BT14" s="23">
        <v>1106024</v>
      </c>
      <c r="BU14" s="23">
        <f t="shared" si="35"/>
        <v>2125369</v>
      </c>
      <c r="BV14" s="43">
        <f t="shared" si="36"/>
        <v>-1.3724807214110846E-2</v>
      </c>
      <c r="BW14" s="59">
        <f t="shared" si="37"/>
        <v>-1.5823891468908835E-2</v>
      </c>
      <c r="BX14" s="43">
        <f t="shared" si="38"/>
        <v>-1.4818269004796214E-2</v>
      </c>
      <c r="BY14" s="23">
        <v>1033530</v>
      </c>
      <c r="BZ14" s="23">
        <v>1123807</v>
      </c>
      <c r="CA14" s="23">
        <f t="shared" si="39"/>
        <v>2157337</v>
      </c>
      <c r="CB14" s="43">
        <f t="shared" si="40"/>
        <v>0</v>
      </c>
      <c r="CC14" s="60">
        <f t="shared" si="41"/>
        <v>0</v>
      </c>
      <c r="CD14" s="43">
        <f t="shared" si="42"/>
        <v>0</v>
      </c>
      <c r="CF14" s="50" t="s">
        <v>34</v>
      </c>
      <c r="CG14" s="23">
        <v>32893</v>
      </c>
      <c r="CH14" s="23">
        <v>345481</v>
      </c>
      <c r="CI14" s="23">
        <f t="shared" si="0"/>
        <v>378374</v>
      </c>
      <c r="CJ14" s="43">
        <f t="shared" si="1"/>
        <v>0.91306749406671706</v>
      </c>
      <c r="CK14" s="23">
        <v>30077</v>
      </c>
      <c r="CL14" s="23">
        <v>247623</v>
      </c>
      <c r="CM14" s="23">
        <f t="shared" si="2"/>
        <v>277700</v>
      </c>
      <c r="CN14" s="43">
        <f t="shared" si="3"/>
        <v>0.89169247389268991</v>
      </c>
      <c r="CO14" s="23">
        <v>16023</v>
      </c>
      <c r="CP14" s="23">
        <v>194656</v>
      </c>
      <c r="CQ14" s="23">
        <f t="shared" si="4"/>
        <v>210679</v>
      </c>
      <c r="CR14" s="43">
        <f t="shared" si="5"/>
        <v>0.92394590823005618</v>
      </c>
    </row>
    <row r="15" spans="1:96" x14ac:dyDescent="0.25">
      <c r="X15" s="22" t="s">
        <v>38</v>
      </c>
      <c r="Y15" s="60">
        <v>-0.30578907052779081</v>
      </c>
      <c r="Z15" s="60">
        <v>-0.16633332227122666</v>
      </c>
      <c r="AA15" s="60">
        <v>-0.26285049535606231</v>
      </c>
      <c r="AB15" s="60">
        <v>-0.27971954711723634</v>
      </c>
      <c r="BI15" s="50" t="s">
        <v>34</v>
      </c>
      <c r="BJ15" s="23">
        <v>47380</v>
      </c>
      <c r="BK15" s="23">
        <v>933034</v>
      </c>
      <c r="BL15" s="23">
        <f t="shared" si="30"/>
        <v>980414</v>
      </c>
      <c r="BM15" s="23">
        <v>14487</v>
      </c>
      <c r="BN15" s="23">
        <v>587553</v>
      </c>
      <c r="BO15" s="23">
        <f t="shared" si="31"/>
        <v>602040</v>
      </c>
      <c r="BP15" s="43">
        <f t="shared" si="32"/>
        <v>-0.69423807513718871</v>
      </c>
      <c r="BQ15" s="60">
        <f t="shared" si="33"/>
        <v>-0.37027696739883009</v>
      </c>
      <c r="BR15" s="43">
        <f t="shared" si="34"/>
        <v>-0.38593288141540205</v>
      </c>
      <c r="BS15" s="23">
        <v>17303</v>
      </c>
      <c r="BT15" s="23">
        <v>685411</v>
      </c>
      <c r="BU15" s="23">
        <f t="shared" si="35"/>
        <v>702714</v>
      </c>
      <c r="BV15" s="43">
        <f t="shared" si="36"/>
        <v>-0.6348037146475306</v>
      </c>
      <c r="BW15" s="60">
        <f t="shared" si="37"/>
        <v>-0.26539547326249635</v>
      </c>
      <c r="BX15" s="43">
        <f t="shared" si="38"/>
        <v>-0.28324768924148369</v>
      </c>
      <c r="BY15" s="23">
        <v>31357</v>
      </c>
      <c r="BZ15" s="23">
        <v>738378</v>
      </c>
      <c r="CA15" s="23">
        <f t="shared" si="39"/>
        <v>769735</v>
      </c>
      <c r="CB15" s="43">
        <f t="shared" si="40"/>
        <v>-0.33818066694807936</v>
      </c>
      <c r="CC15" s="60">
        <f t="shared" si="41"/>
        <v>-0.20862690963030284</v>
      </c>
      <c r="CD15" s="43">
        <f t="shared" si="42"/>
        <v>-0.21488779229998756</v>
      </c>
      <c r="CF15" s="50" t="s">
        <v>35</v>
      </c>
      <c r="CG15" s="23">
        <v>45239</v>
      </c>
      <c r="CH15" s="23">
        <v>82042</v>
      </c>
      <c r="CI15" s="23">
        <f t="shared" si="0"/>
        <v>127281</v>
      </c>
      <c r="CJ15" s="43">
        <f t="shared" si="1"/>
        <v>0.64457381698761007</v>
      </c>
      <c r="CK15" s="23">
        <v>35268</v>
      </c>
      <c r="CL15" s="23">
        <v>56544</v>
      </c>
      <c r="CM15" s="23">
        <f t="shared" si="2"/>
        <v>91812</v>
      </c>
      <c r="CN15" s="43">
        <f t="shared" si="3"/>
        <v>0.61586720690105867</v>
      </c>
      <c r="CO15" s="23">
        <v>26814</v>
      </c>
      <c r="CP15" s="23">
        <v>56764</v>
      </c>
      <c r="CQ15" s="23">
        <f t="shared" si="4"/>
        <v>83578</v>
      </c>
      <c r="CR15" s="43">
        <f t="shared" si="5"/>
        <v>0.67917394529660913</v>
      </c>
    </row>
    <row r="16" spans="1:96" x14ac:dyDescent="0.25">
      <c r="X16" s="27" t="s">
        <v>36</v>
      </c>
      <c r="Y16" s="98">
        <v>-0.12173341599663012</v>
      </c>
      <c r="Z16" s="98">
        <v>-5.5729490730414555E-2</v>
      </c>
      <c r="AA16" s="98">
        <v>-5.5910722023096548E-2</v>
      </c>
      <c r="AB16" s="98">
        <v>-7.2813992053127663E-2</v>
      </c>
      <c r="BI16" s="50" t="s">
        <v>35</v>
      </c>
      <c r="BJ16" s="23">
        <v>246806</v>
      </c>
      <c r="BK16" s="23">
        <v>276809</v>
      </c>
      <c r="BL16" s="23">
        <f t="shared" si="30"/>
        <v>523615</v>
      </c>
      <c r="BM16" s="23">
        <v>201567</v>
      </c>
      <c r="BN16" s="23">
        <v>194767</v>
      </c>
      <c r="BO16" s="23">
        <f t="shared" si="31"/>
        <v>396334</v>
      </c>
      <c r="BP16" s="39">
        <f t="shared" si="32"/>
        <v>-0.18329781285706181</v>
      </c>
      <c r="BQ16" s="67">
        <f t="shared" si="33"/>
        <v>-0.29638487187916573</v>
      </c>
      <c r="BR16" s="39">
        <f t="shared" si="34"/>
        <v>-0.24308127154493286</v>
      </c>
      <c r="BS16" s="23">
        <v>211538</v>
      </c>
      <c r="BT16" s="23">
        <v>220265</v>
      </c>
      <c r="BU16" s="23">
        <f t="shared" si="35"/>
        <v>431803</v>
      </c>
      <c r="BV16" s="39">
        <f t="shared" si="36"/>
        <v>-0.14289766051068453</v>
      </c>
      <c r="BW16" s="67">
        <f t="shared" si="37"/>
        <v>-0.20427081489402443</v>
      </c>
      <c r="BX16" s="39">
        <f t="shared" si="38"/>
        <v>-0.17534257040000767</v>
      </c>
      <c r="BY16" s="23">
        <v>219992</v>
      </c>
      <c r="BZ16" s="23">
        <v>220045</v>
      </c>
      <c r="CA16" s="23">
        <f t="shared" si="39"/>
        <v>440037</v>
      </c>
      <c r="CB16" s="39">
        <f t="shared" si="40"/>
        <v>-0.10864403620657526</v>
      </c>
      <c r="CC16" s="67">
        <f t="shared" si="41"/>
        <v>-0.2050655867403155</v>
      </c>
      <c r="CD16" s="39">
        <f t="shared" si="42"/>
        <v>-0.15961727605206111</v>
      </c>
      <c r="CF16" s="20" t="s">
        <v>18</v>
      </c>
      <c r="CG16" s="35">
        <f>SUM(CG5:CG15)</f>
        <v>1395092</v>
      </c>
      <c r="CH16" s="35">
        <f>SUM(CH5:CH15)</f>
        <v>1133293</v>
      </c>
      <c r="CI16" s="35">
        <f>SUM(CI5:CI15)</f>
        <v>2528385</v>
      </c>
      <c r="CJ16" s="65">
        <f t="shared" si="1"/>
        <v>0.44822801907146259</v>
      </c>
      <c r="CK16" s="35">
        <f>SUM(CK5:CK15)</f>
        <v>772143</v>
      </c>
      <c r="CL16" s="35">
        <f>SUM(CL5:CL15)</f>
        <v>797052</v>
      </c>
      <c r="CM16" s="35">
        <f>SUM(CM5:CM15)</f>
        <v>1569195</v>
      </c>
      <c r="CN16" s="65">
        <f t="shared" si="3"/>
        <v>0.50793687209046678</v>
      </c>
      <c r="CO16" s="35">
        <f>SUM(CO5:CO15)</f>
        <v>412228</v>
      </c>
      <c r="CP16" s="35">
        <f>SUM(CP5:CP15)</f>
        <v>554790</v>
      </c>
      <c r="CQ16" s="35">
        <f>SUM(CQ5:CQ15)</f>
        <v>967018</v>
      </c>
      <c r="CR16" s="65">
        <f t="shared" si="5"/>
        <v>0.57371217495434423</v>
      </c>
    </row>
    <row r="17" spans="61:116" x14ac:dyDescent="0.25">
      <c r="BI17" s="20" t="s">
        <v>18</v>
      </c>
      <c r="BJ17" s="35">
        <f t="shared" ref="BJ17:BO17" si="43">SUM(BJ6:BJ16)</f>
        <v>6730528</v>
      </c>
      <c r="BK17" s="35">
        <f t="shared" si="43"/>
        <v>5304927</v>
      </c>
      <c r="BL17" s="35">
        <f t="shared" si="43"/>
        <v>12035455</v>
      </c>
      <c r="BM17" s="35">
        <f t="shared" si="43"/>
        <v>5335436</v>
      </c>
      <c r="BN17" s="35">
        <f t="shared" si="43"/>
        <v>4171634</v>
      </c>
      <c r="BO17" s="35">
        <f t="shared" si="43"/>
        <v>9507070</v>
      </c>
      <c r="BP17" s="65">
        <f t="shared" si="32"/>
        <v>-0.20727824028070307</v>
      </c>
      <c r="BQ17" s="66">
        <f t="shared" si="33"/>
        <v>-0.21363027238640608</v>
      </c>
      <c r="BR17" s="65">
        <f t="shared" si="34"/>
        <v>-0.21007805687445968</v>
      </c>
      <c r="BS17" s="35">
        <f>SUM(BS6:BS16)</f>
        <v>5958385</v>
      </c>
      <c r="BT17" s="35">
        <f>SUM(BT6:BT16)</f>
        <v>4507875</v>
      </c>
      <c r="BU17" s="35">
        <f>SUM(BU6:BU16)</f>
        <v>10466260</v>
      </c>
      <c r="BV17" s="65">
        <f t="shared" si="36"/>
        <v>-0.11472250022583663</v>
      </c>
      <c r="BW17" s="66">
        <f t="shared" si="37"/>
        <v>-0.15024749633689582</v>
      </c>
      <c r="BX17" s="65">
        <f t="shared" si="38"/>
        <v>-0.1303810283865463</v>
      </c>
      <c r="BY17" s="35">
        <f>SUM(BY6:BY16)</f>
        <v>6318300</v>
      </c>
      <c r="BZ17" s="35">
        <f>SUM(BZ6:BZ16)</f>
        <v>4750137</v>
      </c>
      <c r="CA17" s="35">
        <f>SUM(CA6:CA16)</f>
        <v>11068437</v>
      </c>
      <c r="CB17" s="65">
        <f t="shared" si="40"/>
        <v>-6.1247497967469977E-2</v>
      </c>
      <c r="CC17" s="66">
        <f t="shared" si="41"/>
        <v>-0.10458013842603298</v>
      </c>
      <c r="CD17" s="65">
        <f t="shared" si="42"/>
        <v>-8.034744012586148E-2</v>
      </c>
      <c r="CJ17" s="54"/>
    </row>
    <row r="18" spans="61:116" x14ac:dyDescent="0.25">
      <c r="CF18" s="96" t="s">
        <v>115</v>
      </c>
      <c r="CG18" s="40" t="s">
        <v>84</v>
      </c>
      <c r="CH18" s="40" t="s">
        <v>83</v>
      </c>
    </row>
    <row r="19" spans="61:116" x14ac:dyDescent="0.25">
      <c r="CF19" s="56" t="s">
        <v>27</v>
      </c>
      <c r="CG19" s="23">
        <v>608750</v>
      </c>
      <c r="CH19" s="43">
        <v>0.46448131416837785</v>
      </c>
    </row>
    <row r="20" spans="61:116" x14ac:dyDescent="0.25">
      <c r="CF20" s="50" t="s">
        <v>26</v>
      </c>
      <c r="CG20" s="23">
        <v>399356</v>
      </c>
      <c r="CH20" s="43">
        <v>9.565400294474103E-3</v>
      </c>
    </row>
    <row r="21" spans="61:116" x14ac:dyDescent="0.25">
      <c r="CF21" s="50" t="s">
        <v>87</v>
      </c>
      <c r="CG21" s="23">
        <v>378374</v>
      </c>
      <c r="CH21" s="43">
        <v>0.91306749406671706</v>
      </c>
    </row>
    <row r="22" spans="61:116" x14ac:dyDescent="0.25">
      <c r="CF22" s="50" t="s">
        <v>86</v>
      </c>
      <c r="CG22" s="23">
        <v>239658</v>
      </c>
      <c r="CH22" s="43">
        <v>0.48337631124352204</v>
      </c>
      <c r="CI22" s="68"/>
      <c r="CJ22" s="68"/>
      <c r="CK22" s="68"/>
      <c r="CL22" s="68"/>
      <c r="CM22" s="68"/>
      <c r="CN22" s="68"/>
      <c r="CO22" s="68"/>
      <c r="CP22" s="68"/>
    </row>
    <row r="23" spans="61:116" x14ac:dyDescent="0.25">
      <c r="CF23" s="50" t="s">
        <v>102</v>
      </c>
      <c r="CG23" s="23">
        <v>235235</v>
      </c>
      <c r="CH23" s="43">
        <v>0.38805024762471568</v>
      </c>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8"/>
      <c r="DH23" s="68"/>
      <c r="DI23" s="68"/>
      <c r="DJ23" s="68"/>
      <c r="DK23" s="68"/>
      <c r="DL23" s="68"/>
    </row>
    <row r="24" spans="61:116" ht="15" customHeight="1" x14ac:dyDescent="0.25">
      <c r="CF24" s="50" t="s">
        <v>82</v>
      </c>
      <c r="CG24" s="23">
        <v>209554</v>
      </c>
      <c r="CH24" s="43">
        <v>0.467306756253758</v>
      </c>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row>
    <row r="25" spans="61:116" ht="15" customHeight="1" x14ac:dyDescent="0.25">
      <c r="CF25" s="50" t="s">
        <v>101</v>
      </c>
      <c r="CG25" s="23">
        <v>192213</v>
      </c>
      <c r="CH25" s="43">
        <v>0.18388974731157623</v>
      </c>
      <c r="CQ25" s="68"/>
      <c r="CR25" s="68"/>
      <c r="CS25" s="68"/>
      <c r="CT25" s="68"/>
      <c r="CU25" s="68"/>
      <c r="CV25" s="68"/>
      <c r="CW25" s="68"/>
      <c r="CX25" s="68"/>
      <c r="CY25" s="68"/>
      <c r="CZ25" s="68"/>
      <c r="DA25" s="68"/>
      <c r="DB25" s="68"/>
      <c r="DC25" s="68"/>
      <c r="DD25" s="68"/>
      <c r="DE25" s="68"/>
      <c r="DF25" s="68"/>
      <c r="DG25" s="68"/>
      <c r="DH25" s="68"/>
      <c r="DI25" s="68"/>
      <c r="DJ25" s="68"/>
      <c r="DK25" s="68"/>
      <c r="DL25" s="68"/>
    </row>
    <row r="26" spans="61:116" x14ac:dyDescent="0.25">
      <c r="CF26" s="50" t="s">
        <v>100</v>
      </c>
      <c r="CG26" s="23">
        <v>127281</v>
      </c>
      <c r="CH26" s="43">
        <v>0.64457381698761007</v>
      </c>
    </row>
    <row r="27" spans="61:116" x14ac:dyDescent="0.25">
      <c r="CF27" s="50" t="s">
        <v>79</v>
      </c>
      <c r="CG27" s="23">
        <v>74283</v>
      </c>
      <c r="CH27" s="43">
        <v>0.61617059084851178</v>
      </c>
    </row>
    <row r="28" spans="61:116" x14ac:dyDescent="0.25">
      <c r="CF28" s="50" t="s">
        <v>32</v>
      </c>
      <c r="CG28" s="23">
        <v>38125</v>
      </c>
      <c r="CH28" s="43">
        <v>0.82137704918032783</v>
      </c>
    </row>
    <row r="29" spans="61:116" x14ac:dyDescent="0.25">
      <c r="CF29" s="69" t="s">
        <v>80</v>
      </c>
      <c r="CG29" s="28">
        <v>25556</v>
      </c>
      <c r="CH29" s="39">
        <v>6.6951009547660034E-2</v>
      </c>
    </row>
  </sheetData>
  <mergeCells count="44">
    <mergeCell ref="X1:BG1"/>
    <mergeCell ref="BI1:CD1"/>
    <mergeCell ref="A1:V1"/>
    <mergeCell ref="A3:A5"/>
    <mergeCell ref="B3:D3"/>
    <mergeCell ref="X3:X5"/>
    <mergeCell ref="Y3:AC3"/>
    <mergeCell ref="BI3:BI5"/>
    <mergeCell ref="BC4:BG4"/>
    <mergeCell ref="AX4:BB4"/>
    <mergeCell ref="AD4:AH4"/>
    <mergeCell ref="AI4:AM4"/>
    <mergeCell ref="E3:J3"/>
    <mergeCell ref="H4:J4"/>
    <mergeCell ref="E4:G4"/>
    <mergeCell ref="B4:D4"/>
    <mergeCell ref="BY4:CA4"/>
    <mergeCell ref="Q3:V3"/>
    <mergeCell ref="Q4:S4"/>
    <mergeCell ref="T4:V4"/>
    <mergeCell ref="AX3:BG3"/>
    <mergeCell ref="BJ3:BL3"/>
    <mergeCell ref="BJ4:BL4"/>
    <mergeCell ref="BY3:CD3"/>
    <mergeCell ref="CB4:CD4"/>
    <mergeCell ref="BS3:BX3"/>
    <mergeCell ref="BS4:BU4"/>
    <mergeCell ref="BV4:BX4"/>
    <mergeCell ref="BM3:BR3"/>
    <mergeCell ref="BM4:BO4"/>
    <mergeCell ref="BP4:BR4"/>
    <mergeCell ref="K3:P3"/>
    <mergeCell ref="K4:M4"/>
    <mergeCell ref="N4:P4"/>
    <mergeCell ref="AN3:AW3"/>
    <mergeCell ref="AN4:AR4"/>
    <mergeCell ref="AS4:AW4"/>
    <mergeCell ref="AD3:AM3"/>
    <mergeCell ref="Y4:AC4"/>
    <mergeCell ref="CF3:CF4"/>
    <mergeCell ref="CF1:CR1"/>
    <mergeCell ref="CG3:CJ3"/>
    <mergeCell ref="CK3:CN3"/>
    <mergeCell ref="CO3:CR3"/>
  </mergeCells>
  <pageMargins left="0.7" right="0.7" top="0.75" bottom="0.75" header="0.3" footer="0.3"/>
  <ignoredErrors>
    <ignoredError sqref="H6:J11 BC6:BG11 CB6:CD17 N11:P11 AI11:AM11 BP17:BX17 N6:P6 T6:V6 N7:P7 T7:V7 N8:P8 T8:V8 N9:P9 T9:V9 N10:P10 T10:V10 T11:V11 BP6:BR6 BU6:BX6 BP7:BR7 BU7:BX7 BP8:BR8 BU8:BX8 BP9:BR9 BU9:BX9 BP10:BR10 BU10:BX10 BP11:BR11 BU11:BX11 BP12:BR12 BU12:BX12 BP13:BR13 BU13:BX13 BP14:BR14 BU14:BX14 BP15:BR15 BU15:BX15 BP16:BR16 BU16:BX16 AI6:AM6 AS6:AW6 AI7:AM7 AS7:AW7 AI8:AM8 AS8:AW8 AI9:AM9 AS9:AW9 AI10:AM10 AS10:AW10 AS11:AW11 CJ15 CO16:CR16 CJ5 CM5:CN5 CJ6 CM6:CN6 CJ7 CM7:CN7 CJ8 CM8:CN8 CJ9 CM9:CN9 CJ10 CM10:CN10 CJ11 CM11:CN11 CJ12 CM12:CN12 CJ13 CM13:CN13 CJ14 CM14:CN14 CM15:CN15 CQ5:CR5 CQ6:CR6 CQ7:CR7 CQ8:CR8 CQ9:CR9 CQ10:CR10 CQ11:CR11 CQ12:CR12 CQ14:CR14 CQ15:CR15 CQ13:CR13" evalError="1"/>
    <ignoredError sqref="CJ16:CN16" formula="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418A-8F2C-42E9-933B-B57CDBA39E23}">
  <sheetPr>
    <tabColor rgb="FFFFFF00"/>
  </sheetPr>
  <dimension ref="A1:T15"/>
  <sheetViews>
    <sheetView zoomScale="80" zoomScaleNormal="80" workbookViewId="0">
      <selection sqref="A1:J1"/>
    </sheetView>
  </sheetViews>
  <sheetFormatPr baseColWidth="10" defaultRowHeight="15" x14ac:dyDescent="0.25"/>
  <cols>
    <col min="1" max="11" width="11.42578125" style="19"/>
    <col min="12" max="12" width="21.42578125" style="19" customWidth="1"/>
    <col min="13" max="13" width="11.42578125" style="19"/>
    <col min="14" max="14" width="11.140625" style="19" customWidth="1"/>
    <col min="15" max="15" width="11.42578125" style="19"/>
    <col min="16" max="16" width="14.28515625" style="19" customWidth="1"/>
    <col min="17" max="17" width="11.42578125" style="19"/>
    <col min="18" max="19" width="11.42578125" style="19" customWidth="1"/>
    <col min="20" max="20" width="14.28515625" style="19" customWidth="1"/>
    <col min="21" max="16384" width="11.42578125" style="19"/>
  </cols>
  <sheetData>
    <row r="1" spans="1:20" x14ac:dyDescent="0.25">
      <c r="A1" s="141" t="s">
        <v>39</v>
      </c>
      <c r="B1" s="141"/>
      <c r="C1" s="141"/>
      <c r="D1" s="141"/>
      <c r="E1" s="141"/>
      <c r="F1" s="141"/>
      <c r="G1" s="141"/>
      <c r="H1" s="141"/>
      <c r="I1" s="141"/>
      <c r="J1" s="141"/>
      <c r="L1" s="141" t="s">
        <v>40</v>
      </c>
      <c r="M1" s="141"/>
      <c r="N1" s="141"/>
      <c r="O1" s="141"/>
      <c r="P1" s="141"/>
      <c r="Q1" s="141"/>
      <c r="R1" s="141"/>
      <c r="S1" s="141"/>
      <c r="T1" s="141"/>
    </row>
    <row r="3" spans="1:20" x14ac:dyDescent="0.25">
      <c r="A3" s="137" t="s">
        <v>0</v>
      </c>
      <c r="B3" s="138" t="s">
        <v>1</v>
      </c>
      <c r="C3" s="139"/>
      <c r="D3" s="140"/>
      <c r="E3" s="138" t="s">
        <v>55</v>
      </c>
      <c r="F3" s="139"/>
      <c r="G3" s="140"/>
      <c r="H3" s="138" t="s">
        <v>54</v>
      </c>
      <c r="I3" s="139"/>
      <c r="J3" s="140"/>
      <c r="L3" s="142" t="s">
        <v>53</v>
      </c>
      <c r="M3" s="138" t="s">
        <v>46</v>
      </c>
      <c r="N3" s="139"/>
      <c r="O3" s="139"/>
      <c r="P3" s="140"/>
      <c r="Q3" s="138" t="s">
        <v>48</v>
      </c>
      <c r="R3" s="139"/>
      <c r="S3" s="139"/>
      <c r="T3" s="140"/>
    </row>
    <row r="4" spans="1:20" x14ac:dyDescent="0.25">
      <c r="A4" s="134"/>
      <c r="B4" s="21" t="s">
        <v>120</v>
      </c>
      <c r="C4" s="21" t="s">
        <v>118</v>
      </c>
      <c r="D4" s="21" t="s">
        <v>119</v>
      </c>
      <c r="E4" s="21" t="s">
        <v>120</v>
      </c>
      <c r="F4" s="21" t="s">
        <v>118</v>
      </c>
      <c r="G4" s="21" t="s">
        <v>119</v>
      </c>
      <c r="H4" s="21" t="s">
        <v>120</v>
      </c>
      <c r="I4" s="21" t="s">
        <v>118</v>
      </c>
      <c r="J4" s="21" t="s">
        <v>119</v>
      </c>
      <c r="L4" s="144"/>
      <c r="M4" s="21" t="s">
        <v>16</v>
      </c>
      <c r="N4" s="21" t="s">
        <v>17</v>
      </c>
      <c r="O4" s="21" t="s">
        <v>18</v>
      </c>
      <c r="P4" s="21" t="s">
        <v>77</v>
      </c>
      <c r="Q4" s="21" t="s">
        <v>16</v>
      </c>
      <c r="R4" s="21" t="s">
        <v>17</v>
      </c>
      <c r="S4" s="21" t="s">
        <v>18</v>
      </c>
      <c r="T4" s="21" t="s">
        <v>77</v>
      </c>
    </row>
    <row r="5" spans="1:20" x14ac:dyDescent="0.25">
      <c r="A5" s="24">
        <v>1</v>
      </c>
      <c r="B5" s="23">
        <v>496186</v>
      </c>
      <c r="C5" s="43">
        <f t="shared" ref="C5:C14" si="0">B5/B$15</f>
        <v>0.23785044623383247</v>
      </c>
      <c r="D5" s="43">
        <v>0.23769195652059361</v>
      </c>
      <c r="E5" s="23">
        <v>1054095</v>
      </c>
      <c r="F5" s="43">
        <f t="shared" ref="F5:F14" si="1">E5/E$15</f>
        <v>0.33506902944272932</v>
      </c>
      <c r="G5" s="43">
        <v>0.33487229344054553</v>
      </c>
      <c r="H5" s="23">
        <v>64369</v>
      </c>
      <c r="I5" s="43">
        <v>2.3824108210580702E-2</v>
      </c>
      <c r="J5" s="43">
        <v>2.3824108210580702E-2</v>
      </c>
      <c r="L5" s="22" t="s">
        <v>1</v>
      </c>
      <c r="M5" s="23">
        <v>2034321</v>
      </c>
      <c r="N5" s="23">
        <v>2401546</v>
      </c>
      <c r="O5" s="23">
        <f>SUM(M5:N5)</f>
        <v>4435867</v>
      </c>
      <c r="P5" s="43">
        <f>N5/O5</f>
        <v>0.54139269730133932</v>
      </c>
      <c r="Q5" s="23">
        <v>2371480</v>
      </c>
      <c r="R5" s="23">
        <v>2064387</v>
      </c>
      <c r="S5" s="23">
        <f>SUM(Q5:R5)</f>
        <v>4435867</v>
      </c>
      <c r="T5" s="43">
        <f>R5/S5</f>
        <v>0.46538523359694961</v>
      </c>
    </row>
    <row r="6" spans="1:20" x14ac:dyDescent="0.25">
      <c r="A6" s="24">
        <v>2</v>
      </c>
      <c r="B6" s="23">
        <v>370043</v>
      </c>
      <c r="C6" s="43">
        <f t="shared" si="0"/>
        <v>0.17738286182138566</v>
      </c>
      <c r="D6" s="43">
        <v>0.41493793822996411</v>
      </c>
      <c r="E6" s="23">
        <v>749036</v>
      </c>
      <c r="F6" s="43">
        <f t="shared" si="1"/>
        <v>0.23809881038963682</v>
      </c>
      <c r="G6" s="43">
        <v>0.5730450745116541</v>
      </c>
      <c r="H6" s="23">
        <v>180729</v>
      </c>
      <c r="I6" s="43">
        <v>6.6891007360531315E-2</v>
      </c>
      <c r="J6" s="43">
        <v>9.0715115571112018E-2</v>
      </c>
      <c r="L6" s="22" t="s">
        <v>55</v>
      </c>
      <c r="M6" s="23">
        <v>1577917</v>
      </c>
      <c r="N6" s="23">
        <v>2077186</v>
      </c>
      <c r="O6" s="23">
        <f>SUM(M6:N6)</f>
        <v>3655103</v>
      </c>
      <c r="P6" s="43">
        <f>N6/O6</f>
        <v>0.56829752814079382</v>
      </c>
      <c r="Q6" s="23">
        <v>1946022</v>
      </c>
      <c r="R6" s="23">
        <v>1709081</v>
      </c>
      <c r="S6" s="23">
        <f>SUM(Q6:R6)</f>
        <v>3655103</v>
      </c>
      <c r="T6" s="43">
        <f>R6/S6</f>
        <v>0.46758764390497343</v>
      </c>
    </row>
    <row r="7" spans="1:20" x14ac:dyDescent="0.25">
      <c r="A7" s="24">
        <v>3</v>
      </c>
      <c r="B7" s="23">
        <v>335971</v>
      </c>
      <c r="C7" s="43">
        <f t="shared" si="0"/>
        <v>0.1610501954340246</v>
      </c>
      <c r="D7" s="43">
        <v>0.57649063456728733</v>
      </c>
      <c r="E7" s="23">
        <v>525163</v>
      </c>
      <c r="F7" s="43">
        <f t="shared" si="1"/>
        <v>0.16693548182016998</v>
      </c>
      <c r="G7" s="43">
        <v>0.74053049932377735</v>
      </c>
      <c r="H7" s="23">
        <v>165679</v>
      </c>
      <c r="I7" s="43">
        <v>6.1320735512759253E-2</v>
      </c>
      <c r="J7" s="43">
        <v>0.15203585108387127</v>
      </c>
      <c r="L7" s="27" t="s">
        <v>54</v>
      </c>
      <c r="M7" s="28">
        <v>955854</v>
      </c>
      <c r="N7" s="28">
        <v>1745989</v>
      </c>
      <c r="O7" s="23">
        <f>SUM(M7:N7)</f>
        <v>2701843</v>
      </c>
      <c r="P7" s="43">
        <f>N7/O7</f>
        <v>0.64622148659267031</v>
      </c>
      <c r="Q7" s="28">
        <v>1497805</v>
      </c>
      <c r="R7" s="28">
        <v>1204038</v>
      </c>
      <c r="S7" s="28">
        <f>SUM(Q7:R7)</f>
        <v>2701843</v>
      </c>
      <c r="T7" s="39">
        <f>R7/S7</f>
        <v>0.44563581229553306</v>
      </c>
    </row>
    <row r="8" spans="1:20" x14ac:dyDescent="0.25">
      <c r="A8" s="24">
        <v>4</v>
      </c>
      <c r="B8" s="23">
        <v>272012</v>
      </c>
      <c r="C8" s="43">
        <f t="shared" si="0"/>
        <v>0.13039097350783221</v>
      </c>
      <c r="D8" s="43">
        <v>0.70735615566244492</v>
      </c>
      <c r="E8" s="23">
        <v>332428</v>
      </c>
      <c r="F8" s="43">
        <f t="shared" si="1"/>
        <v>0.1056701030927835</v>
      </c>
      <c r="G8" s="43">
        <v>0.84561491746396489</v>
      </c>
      <c r="H8" s="23">
        <v>199223</v>
      </c>
      <c r="I8" s="43">
        <v>7.3735964673002835E-2</v>
      </c>
      <c r="J8" s="43">
        <v>0.22577181575687411</v>
      </c>
      <c r="O8" s="70"/>
      <c r="P8" s="70"/>
    </row>
    <row r="9" spans="1:20" x14ac:dyDescent="0.25">
      <c r="A9" s="24">
        <v>5</v>
      </c>
      <c r="B9" s="23">
        <v>211545</v>
      </c>
      <c r="C9" s="43">
        <f t="shared" si="0"/>
        <v>0.10140566773052059</v>
      </c>
      <c r="D9" s="43">
        <v>0.80852515213049769</v>
      </c>
      <c r="E9" s="23">
        <v>192270</v>
      </c>
      <c r="F9" s="43">
        <f t="shared" si="1"/>
        <v>6.1117567478219295E-2</v>
      </c>
      <c r="G9" s="43">
        <v>0.90718773426963817</v>
      </c>
      <c r="H9" s="23">
        <v>399600</v>
      </c>
      <c r="I9" s="43">
        <v>0.14789904520729</v>
      </c>
      <c r="J9" s="43">
        <v>0.37367086096416413</v>
      </c>
    </row>
    <row r="10" spans="1:20" x14ac:dyDescent="0.25">
      <c r="A10" s="24">
        <v>6</v>
      </c>
      <c r="B10" s="23">
        <v>147741</v>
      </c>
      <c r="C10" s="43">
        <f t="shared" si="0"/>
        <v>7.0820746206125607E-2</v>
      </c>
      <c r="D10" s="43">
        <v>0.87929870750753181</v>
      </c>
      <c r="E10" s="23">
        <v>145447</v>
      </c>
      <c r="F10" s="43">
        <f t="shared" si="1"/>
        <v>4.6233769371220479E-2</v>
      </c>
      <c r="G10" s="43">
        <v>0.9531174592597349</v>
      </c>
      <c r="H10" s="23">
        <v>358164</v>
      </c>
      <c r="I10" s="43">
        <v>0.1325628469159755</v>
      </c>
      <c r="J10" s="43">
        <v>0.50623370788013966</v>
      </c>
    </row>
    <row r="11" spans="1:20" x14ac:dyDescent="0.25">
      <c r="A11" s="24">
        <v>7</v>
      </c>
      <c r="B11" s="23">
        <v>84691</v>
      </c>
      <c r="C11" s="43">
        <f t="shared" si="0"/>
        <v>4.0597260184667659E-2</v>
      </c>
      <c r="D11" s="43">
        <v>0.91986891603757015</v>
      </c>
      <c r="E11" s="23">
        <v>93163</v>
      </c>
      <c r="F11" s="43">
        <f t="shared" si="1"/>
        <v>2.9614063239056247E-2</v>
      </c>
      <c r="G11" s="43">
        <v>0.98273613584730013</v>
      </c>
      <c r="H11" s="23">
        <v>416473</v>
      </c>
      <c r="I11" s="43">
        <v>0.15414404167821744</v>
      </c>
      <c r="J11" s="43">
        <v>0.66037774955835715</v>
      </c>
    </row>
    <row r="12" spans="1:20" x14ac:dyDescent="0.25">
      <c r="A12" s="24">
        <v>8</v>
      </c>
      <c r="B12" s="23">
        <v>62313</v>
      </c>
      <c r="C12" s="43">
        <f t="shared" si="0"/>
        <v>2.9870199594847099E-2</v>
      </c>
      <c r="D12" s="43">
        <v>0.94940208870155329</v>
      </c>
      <c r="E12" s="23">
        <v>21119</v>
      </c>
      <c r="F12" s="43">
        <f t="shared" si="1"/>
        <v>6.7131737014225479E-3</v>
      </c>
      <c r="G12" s="43">
        <v>0.98945035534273063</v>
      </c>
      <c r="H12" s="23">
        <v>468087</v>
      </c>
      <c r="I12" s="43">
        <v>0.17324729823309495</v>
      </c>
      <c r="J12" s="43">
        <v>0.83362504779145208</v>
      </c>
    </row>
    <row r="13" spans="1:20" x14ac:dyDescent="0.25">
      <c r="A13" s="24">
        <v>9</v>
      </c>
      <c r="B13" s="23">
        <v>52280</v>
      </c>
      <c r="C13" s="43">
        <f t="shared" si="0"/>
        <v>2.506080649011613E-2</v>
      </c>
      <c r="D13" s="43">
        <v>0.97444619612678629</v>
      </c>
      <c r="E13" s="23">
        <v>13721</v>
      </c>
      <c r="F13" s="43">
        <f t="shared" si="1"/>
        <v>4.3615444082209754E-3</v>
      </c>
      <c r="G13" s="43">
        <v>0.99381257920261046</v>
      </c>
      <c r="H13" s="23">
        <v>295832</v>
      </c>
      <c r="I13" s="43">
        <v>0.10949266852293046</v>
      </c>
      <c r="J13" s="43">
        <v>0.94311771631438257</v>
      </c>
    </row>
    <row r="14" spans="1:20" x14ac:dyDescent="0.25">
      <c r="A14" s="31">
        <v>10</v>
      </c>
      <c r="B14" s="28">
        <v>53344</v>
      </c>
      <c r="C14" s="43">
        <f t="shared" si="0"/>
        <v>2.5570842796647949E-2</v>
      </c>
      <c r="D14" s="43">
        <v>1.0000000000000002</v>
      </c>
      <c r="E14" s="28">
        <v>19462</v>
      </c>
      <c r="F14" s="43">
        <f t="shared" si="1"/>
        <v>6.1864570565408226E-3</v>
      </c>
      <c r="G14" s="43">
        <v>0.99999999999999989</v>
      </c>
      <c r="H14" s="28">
        <v>153687</v>
      </c>
      <c r="I14" s="43">
        <v>5.6882283685617561E-2</v>
      </c>
      <c r="J14" s="43">
        <v>1.0000000000000002</v>
      </c>
    </row>
    <row r="15" spans="1:20" x14ac:dyDescent="0.25">
      <c r="A15" s="32" t="s">
        <v>18</v>
      </c>
      <c r="B15" s="33">
        <f>SUM(B5:B14)</f>
        <v>2086126</v>
      </c>
      <c r="C15" s="65">
        <v>1.0000000000000002</v>
      </c>
      <c r="D15" s="71"/>
      <c r="E15" s="33">
        <f>SUM(E5:E14)</f>
        <v>3145904</v>
      </c>
      <c r="F15" s="65">
        <v>0.99999999999999989</v>
      </c>
      <c r="G15" s="71"/>
      <c r="H15" s="33">
        <f>SUM(H5:H14)</f>
        <v>2701843</v>
      </c>
      <c r="I15" s="65">
        <v>1.0000000000000002</v>
      </c>
      <c r="J15" s="71"/>
    </row>
  </sheetData>
  <mergeCells count="9">
    <mergeCell ref="A1:J1"/>
    <mergeCell ref="L1:T1"/>
    <mergeCell ref="A3:A4"/>
    <mergeCell ref="B3:D3"/>
    <mergeCell ref="E3:G3"/>
    <mergeCell ref="H3:J3"/>
    <mergeCell ref="L3:L4"/>
    <mergeCell ref="Q3:T3"/>
    <mergeCell ref="M3:P3"/>
  </mergeCells>
  <pageMargins left="0.7" right="0.7" top="0.75" bottom="0.75" header="0.3" footer="0.3"/>
  <pageSetup paperSize="9" orientation="portrait" horizontalDpi="0" verticalDpi="0" r:id="rId1"/>
  <ignoredErrors>
    <ignoredError sqref="E15 H15" evalError="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FE08-0320-4D89-A33F-22A755A1478E}">
  <sheetPr>
    <tabColor rgb="FFFFC000"/>
  </sheetPr>
  <dimension ref="A1:AH1"/>
  <sheetViews>
    <sheetView zoomScale="80" zoomScaleNormal="80" workbookViewId="0">
      <selection sqref="A1:F1"/>
    </sheetView>
  </sheetViews>
  <sheetFormatPr baseColWidth="10" defaultRowHeight="15" x14ac:dyDescent="0.25"/>
  <cols>
    <col min="1" max="16384" width="11.42578125" style="18"/>
  </cols>
  <sheetData>
    <row r="1" spans="1:34" x14ac:dyDescent="0.25">
      <c r="A1" s="157" t="s">
        <v>72</v>
      </c>
      <c r="B1" s="157"/>
      <c r="C1" s="157"/>
      <c r="D1" s="157"/>
      <c r="E1" s="157"/>
      <c r="F1" s="157"/>
      <c r="H1" s="157" t="s">
        <v>76</v>
      </c>
      <c r="I1" s="157"/>
      <c r="J1" s="157"/>
      <c r="K1" s="157"/>
      <c r="L1" s="157"/>
      <c r="M1" s="157"/>
      <c r="O1" s="157" t="s">
        <v>75</v>
      </c>
      <c r="P1" s="157"/>
      <c r="Q1" s="157"/>
      <c r="R1" s="157"/>
      <c r="S1" s="157"/>
      <c r="T1" s="157"/>
      <c r="V1" s="157" t="s">
        <v>74</v>
      </c>
      <c r="W1" s="157"/>
      <c r="X1" s="157"/>
      <c r="Y1" s="157"/>
      <c r="Z1" s="157"/>
      <c r="AA1" s="157"/>
      <c r="AC1" s="157" t="s">
        <v>73</v>
      </c>
      <c r="AD1" s="157"/>
      <c r="AE1" s="157"/>
      <c r="AF1" s="157"/>
      <c r="AG1" s="157"/>
      <c r="AH1" s="157"/>
    </row>
  </sheetData>
  <mergeCells count="5">
    <mergeCell ref="A1:F1"/>
    <mergeCell ref="H1:M1"/>
    <mergeCell ref="O1:T1"/>
    <mergeCell ref="V1:AA1"/>
    <mergeCell ref="AC1:A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Ingreso Promedio por Decil</vt:lpstr>
      <vt:lpstr>Ingreso Promedio por Sector</vt:lpstr>
      <vt:lpstr>Género - Grupos de Edad</vt:lpstr>
      <vt:lpstr>Informalidad</vt:lpstr>
      <vt:lpstr>Empleo Perdido</vt:lpstr>
      <vt:lpstr>Respuesta de Política</vt:lpstr>
      <vt:lpstr>Figuras</vt:lpstr>
      <vt:lpstr>'Ingreso Promedio por Decil'!Área_de_impresión</vt:lpstr>
      <vt:lpstr>'Ingreso Promedio por Sector'!Área_de_impresión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Menduiña</dc:creator>
  <cp:lastModifiedBy>Juan Menduiña</cp:lastModifiedBy>
  <dcterms:created xsi:type="dcterms:W3CDTF">2020-10-19T23:05:24Z</dcterms:created>
  <dcterms:modified xsi:type="dcterms:W3CDTF">2021-07-31T18:27:47Z</dcterms:modified>
</cp:coreProperties>
</file>