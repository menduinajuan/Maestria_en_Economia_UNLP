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uanc\Desktop\Economía\Maestría en Economía\16. Economía de Género\Monografía\Datos\Material\"/>
    </mc:Choice>
  </mc:AlternateContent>
  <xr:revisionPtr revIDLastSave="0" documentId="13_ncr:1_{8A32B7B6-38C6-42AD-9F7F-33C2576BFA69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Empleo Población" sheetId="2" r:id="rId1"/>
    <sheet name="Empleo Formales" sheetId="7" r:id="rId2"/>
    <sheet name="Empleo Informales" sheetId="4" r:id="rId3"/>
    <sheet name="Resumen" sheetId="5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_1_0CUADRO_N__4.">[1]Afiliados!#REF!</definedName>
    <definedName name="_2_0GRÁFICO_N_10.2">[1]Afiliados!#REF!</definedName>
    <definedName name="_cd1" localSheetId="2" hidden="1">{"'cua 42'!$A$1:$O$40"}</definedName>
    <definedName name="_cd1" localSheetId="0" hidden="1">{"'cua 42'!$A$1:$O$40"}</definedName>
    <definedName name="_cd1" hidden="1">{"'cua 42'!$A$1:$O$40"}</definedName>
    <definedName name="_COL1">#REF!</definedName>
    <definedName name="_COL2">#REF!</definedName>
    <definedName name="_COL3">#REF!</definedName>
    <definedName name="_COL4">#REF!</definedName>
    <definedName name="_COL5">#REF!</definedName>
    <definedName name="_COL6">#REF!</definedName>
    <definedName name="_COL7">#REF!</definedName>
    <definedName name="_COL8">#REF!</definedName>
    <definedName name="_COL9">#REF!</definedName>
    <definedName name="_Key1" localSheetId="2" hidden="1">'[2]dep pre'!#REF!</definedName>
    <definedName name="_Key1" hidden="1">'[2]dep pre'!#REF!</definedName>
    <definedName name="_Order1" hidden="1">255</definedName>
    <definedName name="_Parse_In" localSheetId="2" hidden="1">'[2]dep pre'!#REF!</definedName>
    <definedName name="_Parse_In" hidden="1">'[2]dep pre'!#REF!</definedName>
    <definedName name="_Parse_Out" localSheetId="2" hidden="1">'[2]dep pre'!#REF!</definedName>
    <definedName name="_Parse_Out" hidden="1">'[2]dep pre'!#REF!</definedName>
    <definedName name="_Sort" localSheetId="2" hidden="1">'[2]dep pre'!#REF!</definedName>
    <definedName name="_Sort" hidden="1">'[2]dep pre'!#REF!</definedName>
    <definedName name="A">#REF!</definedName>
    <definedName name="A_impresión_IM">#REF!</definedName>
    <definedName name="AA" localSheetId="2" hidden="1">{"'cua 42'!$A$1:$O$40"}</definedName>
    <definedName name="AA" localSheetId="0" hidden="1">{"'cua 42'!$A$1:$O$40"}</definedName>
    <definedName name="AA" hidden="1">{"'cua 42'!$A$1:$O$40"}</definedName>
    <definedName name="ab" localSheetId="2" hidden="1">{"'cua 42'!$A$1:$O$40"}</definedName>
    <definedName name="ab" localSheetId="0" hidden="1">{"'cua 42'!$A$1:$O$40"}</definedName>
    <definedName name="ab" hidden="1">{"'cua 42'!$A$1:$O$40"}</definedName>
    <definedName name="adf">'[3]dep pre'!#REF!</definedName>
    <definedName name="af">'[4]sist. financiero_san Luis'!#REF!</definedName>
    <definedName name="affff" localSheetId="2" hidden="1">{"'cua 42'!$A$1:$O$40"}</definedName>
    <definedName name="affff" localSheetId="0" hidden="1">{"'cua 42'!$A$1:$O$40"}</definedName>
    <definedName name="affff" hidden="1">{"'cua 42'!$A$1:$O$40"}</definedName>
    <definedName name="AMPO5">"Gráfico 8"</definedName>
    <definedName name="_xlnm.Extract">'[2]dep pre'!#REF!</definedName>
    <definedName name="_xlnm.Print_Area" localSheetId="2">'Empleo Informales'!$A$1:$BE$82</definedName>
    <definedName name="_xlnm.Print_Area" localSheetId="0">'Empleo Población'!$A$1:$BE$87</definedName>
    <definedName name="_xlnm.Print_Area">#N/A</definedName>
    <definedName name="asd">'[5]graf 1'!$A$3:$C$28</definedName>
    <definedName name="asdf">'[3]dep pre'!#REF!</definedName>
    <definedName name="Base_datos_IM">'[4]sist. financiero_san Luis'!#REF!</definedName>
    <definedName name="_xlnm.Database">[6]compara!$A$1:$C$27</definedName>
    <definedName name="BB" localSheetId="2" hidden="1">{"'cua 42'!$A$1:$O$40"}</definedName>
    <definedName name="BB" localSheetId="0" hidden="1">{"'cua 42'!$A$1:$O$40"}</definedName>
    <definedName name="BB" hidden="1">{"'cua 42'!$A$1:$O$40"}</definedName>
    <definedName name="BORRA_CUADROS">[7]!BORRA_CUADROS</definedName>
    <definedName name="cacho">[8]GRAFPROM!#REF!</definedName>
    <definedName name="carajo">#REF!</definedName>
    <definedName name="cc" localSheetId="2" hidden="1">{"'cua 42'!$A$1:$O$40"}</definedName>
    <definedName name="cc" localSheetId="0" hidden="1">{"'cua 42'!$A$1:$O$40"}</definedName>
    <definedName name="cc" hidden="1">{"'cua 42'!$A$1:$O$40"}</definedName>
    <definedName name="Cobertura_del_Plan_Jefes_as_de_Hogar__por_municipio___Junio_2002">#REF!</definedName>
    <definedName name="_xlnm.Criteria">'[4]sist. financiero_san Luis'!#REF!</definedName>
    <definedName name="Criterios_IM">'[4]sist. financiero_san Luis'!#REF!</definedName>
    <definedName name="CUADRO_10.3.1">'[9]fondo promedio'!$A$36:$L$74</definedName>
    <definedName name="CUADRO_N__4.1.3">#REF!</definedName>
    <definedName name="culo">'[5]graf 1'!$A$1:$IV$2</definedName>
    <definedName name="datos">#REF!</definedName>
    <definedName name="dd" localSheetId="2" hidden="1">{"'cua 42'!$A$1:$O$40"}</definedName>
    <definedName name="dd" localSheetId="0" hidden="1">{"'cua 42'!$A$1:$O$40"}</definedName>
    <definedName name="dd" hidden="1">{"'cua 42'!$A$1:$O$40"}</definedName>
    <definedName name="dfg" localSheetId="2" hidden="1">{"'cua 42'!$A$1:$O$40"}</definedName>
    <definedName name="dfg" localSheetId="0" hidden="1">{"'cua 42'!$A$1:$O$40"}</definedName>
    <definedName name="dfg" hidden="1">{"'cua 42'!$A$1:$O$40"}</definedName>
    <definedName name="dfgh" localSheetId="2" hidden="1">{"'cua 42'!$A$1:$O$40"}</definedName>
    <definedName name="dfgh" localSheetId="0" hidden="1">{"'cua 42'!$A$1:$O$40"}</definedName>
    <definedName name="dfgh" hidden="1">{"'cua 42'!$A$1:$O$40"}</definedName>
    <definedName name="dobleclick">#REF!</definedName>
    <definedName name="Extracción_IM">'[2]dep pre'!#REF!</definedName>
    <definedName name="FECHA">#REF!</definedName>
    <definedName name="feo">#REF!</definedName>
    <definedName name="fffffffffff" localSheetId="2" hidden="1">{"'tasa de salida'!$A$1:$G$48"}</definedName>
    <definedName name="fffffffffff" localSheetId="0" hidden="1">{"'tasa de salida'!$A$1:$G$48"}</definedName>
    <definedName name="fffffffffff" hidden="1">{"'tasa de salida'!$A$1:$G$48"}</definedName>
    <definedName name="GRÁFICO_10.3.1.">'[9]GRÁFICO DE FONDO POR AFILIADO'!$A$3:$H$35</definedName>
    <definedName name="GRÁFICO_10.3.2">'[9]GRÁFICO DE FONDO POR AFILIADO'!$A$36:$H$68</definedName>
    <definedName name="GRÁFICO_10.3.3">'[9]GRÁFICO DE FONDO POR AFILIADO'!$A$69:$H$101</definedName>
    <definedName name="GRÁFICO_10.3.4.">'[9]GRÁFICO DE FONDO POR AFILIADO'!$A$103:$H$135</definedName>
    <definedName name="GRÁFICO_N_10.2.4.">#REF!</definedName>
    <definedName name="gu" localSheetId="2" hidden="1">'[3]dep pre'!#REF!</definedName>
    <definedName name="gu" hidden="1">'[3]dep pre'!#REF!</definedName>
    <definedName name="hh" localSheetId="2" hidden="1">{"'cuadro 18 '!$A$1:$L$34"}</definedName>
    <definedName name="hh" localSheetId="0" hidden="1">{"'cuadro 18 '!$A$1:$L$34"}</definedName>
    <definedName name="hh" hidden="1">{"'cuadro 18 '!$A$1:$L$34"}</definedName>
    <definedName name="hllliun" hidden="1">'[3]dep pre'!#REF!</definedName>
    <definedName name="hp9pk">'[4]sist. financiero_san Luis'!#REF!</definedName>
    <definedName name="HTML_CodePage" hidden="1">1252</definedName>
    <definedName name="HTML_Control" localSheetId="2" hidden="1">{"'tasa de salida'!$A$1:$G$48"}</definedName>
    <definedName name="HTML_Control" localSheetId="0" hidden="1">{"'tasa de salida'!$A$1:$G$48"}</definedName>
    <definedName name="HTML_Control" hidden="1">{"'tasa de salida'!$A$1:$G$48"}</definedName>
    <definedName name="HTML_Control2" localSheetId="2" hidden="1">{"'tasa de salida'!$A$1:$G$48"}</definedName>
    <definedName name="HTML_Control2" localSheetId="0" hidden="1">{"'tasa de salida'!$A$1:$G$48"}</definedName>
    <definedName name="HTML_Control2" hidden="1">{"'tasa de salida'!$A$1:$G$48"}</definedName>
    <definedName name="HTML_Control3" localSheetId="2" hidden="1">{"'tasa de salida'!$A$1:$G$48"}</definedName>
    <definedName name="HTML_Control3" localSheetId="0" hidden="1">{"'tasa de salida'!$A$1:$G$48"}</definedName>
    <definedName name="HTML_Control3" hidden="1">{"'tasa de salida'!$A$1:$G$48"}</definedName>
    <definedName name="HTML_Description" hidden="1">""</definedName>
    <definedName name="HTML_Email" hidden="1">"dnrmt@trabajo.gov.ar"</definedName>
    <definedName name="HTML_Header" hidden="1">""</definedName>
    <definedName name="HTML_LastUpdate" hidden="1">"22/02/1999"</definedName>
    <definedName name="HTML_LineAfter" hidden="1">TRUE</definedName>
    <definedName name="HTML_LineBefore" hidden="1">FALSE</definedName>
    <definedName name="HTML_Name" hidden="1">"MTSS - SEyCL - DNRMT"</definedName>
    <definedName name="HTML_OBDlg2" hidden="1">TRUE</definedName>
    <definedName name="HTML_OBDlg4" hidden="1">TRUE</definedName>
    <definedName name="HTML_OS" hidden="1">0</definedName>
    <definedName name="HTML_PathFile" hidden="1">"Z:\juanpi\anexo eil - web\html\eil0199\1207.html"</definedName>
    <definedName name="HTML_Title" hidden="1">""</definedName>
    <definedName name="iupg">'[3]dep pre'!#REF!</definedName>
    <definedName name="jjjjjjjjjjj" localSheetId="2" hidden="1">{"'cua 42'!$A$1:$O$40"}</definedName>
    <definedName name="jjjjjjjjjjj" localSheetId="0" hidden="1">{"'cua 42'!$A$1:$O$40"}</definedName>
    <definedName name="jjjjjjjjjjj" hidden="1">{"'cua 42'!$A$1:$O$40"}</definedName>
    <definedName name="jppmpñ" localSheetId="2" hidden="1">{"'cua 42'!$A$1:$O$40"}</definedName>
    <definedName name="jppmpñ" localSheetId="0" hidden="1">{"'cua 42'!$A$1:$O$40"}</definedName>
    <definedName name="jppmpñ" hidden="1">{"'cua 42'!$A$1:$O$40"}</definedName>
    <definedName name="lkjp" hidden="1">'[3]dep pre'!#REF!</definedName>
    <definedName name="MUJERES">[10]Mujeres!$B$77:$V$109</definedName>
    <definedName name="nnnnnnnnnnn" localSheetId="2" hidden="1">{"'cua 42'!$A$1:$O$40"}</definedName>
    <definedName name="nnnnnnnnnnn" localSheetId="0" hidden="1">{"'cua 42'!$A$1:$O$40"}</definedName>
    <definedName name="nnnnnnnnnnn" hidden="1">{"'cua 42'!$A$1:$O$40"}</definedName>
    <definedName name="npppppnj">'[3]dep pre'!#REF!</definedName>
    <definedName name="PIJIS">#REF!</definedName>
    <definedName name="Print_Area_MI">#REF!</definedName>
    <definedName name="PRINT_TITLES_MI">#REF!</definedName>
    <definedName name="promgraf">[8]GRAFPROM!#REF!</definedName>
    <definedName name="puto">#REF!</definedName>
    <definedName name="santiago" localSheetId="2" hidden="1">{"'cua 42'!$A$1:$O$40"}</definedName>
    <definedName name="santiago" localSheetId="0" hidden="1">{"'cua 42'!$A$1:$O$40"}</definedName>
    <definedName name="santiago" hidden="1">{"'cua 42'!$A$1:$O$40"}</definedName>
    <definedName name="sertes" localSheetId="2" hidden="1">{"'cua 42'!$A$1:$O$40"}</definedName>
    <definedName name="sertes" localSheetId="0" hidden="1">{"'cua 42'!$A$1:$O$40"}</definedName>
    <definedName name="sertes" hidden="1">{"'cua 42'!$A$1:$O$40"}</definedName>
    <definedName name="sfg" hidden="1">'[3]dep pre'!#REF!</definedName>
    <definedName name="shit" localSheetId="2" hidden="1">{"'cua 42'!$A$1:$O$40"}</definedName>
    <definedName name="shit" localSheetId="0" hidden="1">{"'cua 42'!$A$1:$O$40"}</definedName>
    <definedName name="shit" hidden="1">{"'cua 42'!$A$1:$O$40"}</definedName>
    <definedName name="SOPA">#REF!</definedName>
    <definedName name="sopapita">#REF!</definedName>
    <definedName name="ssssss" localSheetId="2" hidden="1">{"'tasa de salida'!$A$1:$G$48"}</definedName>
    <definedName name="ssssss" localSheetId="0" hidden="1">{"'tasa de salida'!$A$1:$G$48"}</definedName>
    <definedName name="ssssss" hidden="1">{"'tasa de salida'!$A$1:$G$48"}</definedName>
    <definedName name="Títulos_a_imprimir_IM">#REF!</definedName>
    <definedName name="TRANSFERENCIA">[7]!TRANSFERENCIA</definedName>
    <definedName name="tyurt" localSheetId="2" hidden="1">{"'cua 42'!$A$1:$O$40"}</definedName>
    <definedName name="tyurt" localSheetId="0" hidden="1">{"'cua 42'!$A$1:$O$40"}</definedName>
    <definedName name="tyurt" hidden="1">{"'cua 42'!$A$1:$O$40"}</definedName>
    <definedName name="v">#REF!</definedName>
    <definedName name="VARONES">[10]Varones!$B$77:$V$109</definedName>
    <definedName name="YO">[8]GRAFPROM!#REF!</definedName>
    <definedName name="yuetyy" localSheetId="2" hidden="1">{"'cua 42'!$A$1:$O$40"}</definedName>
    <definedName name="yuetyy" localSheetId="0" hidden="1">{"'cua 42'!$A$1:$O$40"}</definedName>
    <definedName name="yuetyy" hidden="1">{"'cua 42'!$A$1:$O$40"}</definedName>
  </definedNames>
  <calcPr calcId="191029"/>
</workbook>
</file>

<file path=xl/calcChain.xml><?xml version="1.0" encoding="utf-8"?>
<calcChain xmlns="http://schemas.openxmlformats.org/spreadsheetml/2006/main">
  <c r="G14" i="5" l="1"/>
  <c r="F14" i="5"/>
  <c r="E14" i="5"/>
  <c r="D14" i="5"/>
  <c r="C14" i="5"/>
  <c r="B14" i="5"/>
  <c r="BS54" i="2"/>
  <c r="BR54" i="2"/>
  <c r="BQ54" i="2"/>
  <c r="BS52" i="2"/>
  <c r="BR52" i="2"/>
  <c r="BQ52" i="2"/>
  <c r="BS50" i="2"/>
  <c r="BR50" i="2"/>
  <c r="BQ50" i="2"/>
  <c r="BS48" i="2"/>
  <c r="BR48" i="2"/>
  <c r="BQ48" i="2"/>
  <c r="BS46" i="2"/>
  <c r="BR46" i="2"/>
  <c r="BQ46" i="2"/>
  <c r="BS44" i="2"/>
  <c r="BR44" i="2"/>
  <c r="BQ44" i="2"/>
  <c r="BS42" i="2"/>
  <c r="BR42" i="2"/>
  <c r="BQ42" i="2"/>
  <c r="BS40" i="2"/>
  <c r="BR40" i="2"/>
  <c r="BQ40" i="2"/>
  <c r="BS38" i="2"/>
  <c r="BR38" i="2"/>
  <c r="BQ38" i="2"/>
  <c r="BS36" i="2"/>
  <c r="BR36" i="2"/>
  <c r="BQ36" i="2"/>
  <c r="BS34" i="2"/>
  <c r="BR34" i="2"/>
  <c r="BQ34" i="2"/>
  <c r="BS49" i="4"/>
  <c r="BR49" i="4"/>
  <c r="BQ49" i="4"/>
  <c r="BS47" i="4"/>
  <c r="BR47" i="4"/>
  <c r="BQ47" i="4"/>
  <c r="BS45" i="4"/>
  <c r="BR45" i="4"/>
  <c r="BQ45" i="4"/>
  <c r="BS43" i="4"/>
  <c r="BR43" i="4"/>
  <c r="BQ43" i="4"/>
  <c r="BS41" i="4"/>
  <c r="BR41" i="4"/>
  <c r="BQ41" i="4"/>
  <c r="BS39" i="4"/>
  <c r="BR39" i="4"/>
  <c r="BQ39" i="4"/>
  <c r="BS37" i="4"/>
  <c r="BR37" i="4"/>
  <c r="BQ37" i="4"/>
  <c r="BS35" i="4"/>
  <c r="BR35" i="4"/>
  <c r="BQ35" i="4"/>
  <c r="BS33" i="4"/>
  <c r="BR33" i="4"/>
  <c r="BQ33" i="4"/>
  <c r="BS31" i="4"/>
  <c r="BR31" i="4"/>
  <c r="BQ31" i="4"/>
  <c r="BS29" i="4"/>
  <c r="BR29" i="4"/>
  <c r="BQ29" i="4"/>
  <c r="BS23" i="7"/>
  <c r="BR23" i="7"/>
  <c r="BQ23" i="7"/>
  <c r="BS21" i="7"/>
  <c r="BR21" i="7"/>
  <c r="BQ21" i="7"/>
  <c r="BS19" i="7"/>
  <c r="BR19" i="7"/>
  <c r="BQ19" i="7"/>
  <c r="BS17" i="7"/>
  <c r="BR17" i="7"/>
  <c r="BQ17" i="7"/>
  <c r="BS15" i="7"/>
  <c r="BR15" i="7"/>
  <c r="BQ15" i="7"/>
  <c r="BS13" i="7"/>
  <c r="BR13" i="7"/>
  <c r="BQ13" i="7"/>
  <c r="BS11" i="7"/>
  <c r="BR11" i="7"/>
  <c r="BQ11" i="7"/>
  <c r="BS9" i="7"/>
  <c r="BR9" i="7"/>
  <c r="BQ9" i="7"/>
  <c r="BS7" i="7"/>
  <c r="BR7" i="7"/>
  <c r="BQ7" i="7"/>
  <c r="BS5" i="7"/>
  <c r="BR5" i="7"/>
  <c r="BQ5" i="7"/>
  <c r="BS3" i="7"/>
  <c r="BR3" i="7"/>
  <c r="BQ3" i="7"/>
  <c r="BP3" i="7"/>
  <c r="BO3" i="7"/>
  <c r="BN3" i="7"/>
  <c r="BM3" i="7"/>
  <c r="BL3" i="7"/>
  <c r="BK3" i="7"/>
  <c r="BJ3" i="7"/>
  <c r="BI3" i="7"/>
  <c r="BH3" i="7"/>
  <c r="BG3" i="7"/>
  <c r="BF3" i="7"/>
  <c r="BE3" i="7"/>
  <c r="BD3" i="7"/>
  <c r="BC3" i="7"/>
  <c r="BB3" i="7"/>
  <c r="AW3" i="7"/>
  <c r="AV3" i="7"/>
  <c r="AU3" i="7"/>
  <c r="AT3" i="7"/>
  <c r="AS3" i="7"/>
  <c r="AR3" i="7"/>
  <c r="AQ3" i="7"/>
  <c r="AP3" i="7"/>
  <c r="AO3" i="7"/>
  <c r="AN3" i="7"/>
  <c r="AM3" i="7"/>
  <c r="AL3" i="7"/>
  <c r="AK3" i="7"/>
  <c r="AJ3" i="7"/>
  <c r="AI3" i="7"/>
  <c r="AH3" i="7"/>
  <c r="AG3" i="7"/>
  <c r="AF3" i="7"/>
  <c r="AE3" i="7"/>
  <c r="AD3" i="7"/>
  <c r="AC3" i="7"/>
  <c r="AB3" i="7"/>
  <c r="AA3" i="7"/>
  <c r="Z3" i="7"/>
  <c r="Y3" i="7"/>
  <c r="X3" i="7"/>
  <c r="W3" i="7"/>
  <c r="V3" i="7"/>
  <c r="U3" i="7"/>
  <c r="T3" i="7"/>
  <c r="Q3" i="7"/>
  <c r="P3" i="7"/>
  <c r="O3" i="7"/>
  <c r="N3" i="7"/>
  <c r="M3" i="7"/>
  <c r="L3" i="7"/>
  <c r="K3" i="7"/>
  <c r="J3" i="7"/>
  <c r="I3" i="7"/>
  <c r="H3" i="7"/>
  <c r="G3" i="7"/>
  <c r="F3" i="7"/>
  <c r="E3" i="7"/>
  <c r="D3" i="7"/>
  <c r="C3" i="7"/>
  <c r="BP5" i="7"/>
  <c r="BO5" i="7"/>
  <c r="BN5" i="7"/>
  <c r="BM5" i="7"/>
  <c r="BL5" i="7"/>
  <c r="BK5" i="7"/>
  <c r="BJ5" i="7"/>
  <c r="BI5" i="7"/>
  <c r="BH5" i="7"/>
  <c r="BG5" i="7"/>
  <c r="BF5" i="7"/>
  <c r="BE5" i="7"/>
  <c r="BD5" i="7"/>
  <c r="BC5" i="7"/>
  <c r="BB5" i="7"/>
  <c r="AW5" i="7"/>
  <c r="AV5" i="7"/>
  <c r="AU5" i="7"/>
  <c r="AT5" i="7"/>
  <c r="AS5" i="7"/>
  <c r="AR5" i="7"/>
  <c r="AQ5" i="7"/>
  <c r="AP5" i="7"/>
  <c r="AO5" i="7"/>
  <c r="AN5" i="7"/>
  <c r="AM5" i="7"/>
  <c r="AL5" i="7"/>
  <c r="AK5" i="7"/>
  <c r="AJ5" i="7"/>
  <c r="AI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T5" i="7"/>
  <c r="Q5" i="7"/>
  <c r="P5" i="7"/>
  <c r="O5" i="7"/>
  <c r="N5" i="7"/>
  <c r="M5" i="7"/>
  <c r="L5" i="7"/>
  <c r="K5" i="7"/>
  <c r="J5" i="7"/>
  <c r="I5" i="7"/>
  <c r="H5" i="7"/>
  <c r="G5" i="7"/>
  <c r="F5" i="7"/>
  <c r="E5" i="7"/>
  <c r="D5" i="7"/>
  <c r="C5" i="7"/>
  <c r="BP7" i="7"/>
  <c r="BO7" i="7"/>
  <c r="BN7" i="7"/>
  <c r="BM7" i="7"/>
  <c r="BL7" i="7"/>
  <c r="BK7" i="7"/>
  <c r="BJ7" i="7"/>
  <c r="BI7" i="7"/>
  <c r="BH7" i="7"/>
  <c r="BG7" i="7"/>
  <c r="BF7" i="7"/>
  <c r="BE7" i="7"/>
  <c r="BD7" i="7"/>
  <c r="BC7" i="7"/>
  <c r="BB7" i="7"/>
  <c r="AW7" i="7"/>
  <c r="AV7" i="7"/>
  <c r="AU7" i="7"/>
  <c r="AT7" i="7"/>
  <c r="AS7" i="7"/>
  <c r="AR7" i="7"/>
  <c r="AQ7" i="7"/>
  <c r="AP7" i="7"/>
  <c r="AO7" i="7"/>
  <c r="AN7" i="7"/>
  <c r="AM7" i="7"/>
  <c r="AL7" i="7"/>
  <c r="AK7" i="7"/>
  <c r="AJ7" i="7"/>
  <c r="AI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Q7" i="7"/>
  <c r="P7" i="7"/>
  <c r="O7" i="7"/>
  <c r="N7" i="7"/>
  <c r="M7" i="7"/>
  <c r="L7" i="7"/>
  <c r="K7" i="7"/>
  <c r="J7" i="7"/>
  <c r="I7" i="7"/>
  <c r="H7" i="7"/>
  <c r="G7" i="7"/>
  <c r="F7" i="7"/>
  <c r="E7" i="7"/>
  <c r="D7" i="7"/>
  <c r="C7" i="7"/>
  <c r="BP9" i="7"/>
  <c r="BO9" i="7"/>
  <c r="BN9" i="7"/>
  <c r="BM9" i="7"/>
  <c r="BL9" i="7"/>
  <c r="BK9" i="7"/>
  <c r="BJ9" i="7"/>
  <c r="BI9" i="7"/>
  <c r="BH9" i="7"/>
  <c r="BG9" i="7"/>
  <c r="BF9" i="7"/>
  <c r="BE9" i="7"/>
  <c r="BD9" i="7"/>
  <c r="BC9" i="7"/>
  <c r="BB9" i="7"/>
  <c r="AW9" i="7"/>
  <c r="AV9" i="7"/>
  <c r="AU9" i="7"/>
  <c r="AT9" i="7"/>
  <c r="AS9" i="7"/>
  <c r="AR9" i="7"/>
  <c r="AQ9" i="7"/>
  <c r="AP9" i="7"/>
  <c r="AO9" i="7"/>
  <c r="AN9" i="7"/>
  <c r="AM9" i="7"/>
  <c r="AL9" i="7"/>
  <c r="AK9" i="7"/>
  <c r="AJ9" i="7"/>
  <c r="AI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Q9" i="7"/>
  <c r="P9" i="7"/>
  <c r="O9" i="7"/>
  <c r="N9" i="7"/>
  <c r="M9" i="7"/>
  <c r="L9" i="7"/>
  <c r="K9" i="7"/>
  <c r="J9" i="7"/>
  <c r="I9" i="7"/>
  <c r="H9" i="7"/>
  <c r="G9" i="7"/>
  <c r="F9" i="7"/>
  <c r="E9" i="7"/>
  <c r="D9" i="7"/>
  <c r="C9" i="7"/>
  <c r="BP11" i="7"/>
  <c r="BO11" i="7"/>
  <c r="BN11" i="7"/>
  <c r="BM11" i="7"/>
  <c r="BL11" i="7"/>
  <c r="BK11" i="7"/>
  <c r="BJ11" i="7"/>
  <c r="BI11" i="7"/>
  <c r="BH11" i="7"/>
  <c r="BG11" i="7"/>
  <c r="BF11" i="7"/>
  <c r="BE11" i="7"/>
  <c r="BD11" i="7"/>
  <c r="BC11" i="7"/>
  <c r="BB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K11" i="7"/>
  <c r="AJ11" i="7"/>
  <c r="AI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U11" i="7"/>
  <c r="T11" i="7"/>
  <c r="Q11" i="7"/>
  <c r="P11" i="7"/>
  <c r="O11" i="7"/>
  <c r="N11" i="7"/>
  <c r="M11" i="7"/>
  <c r="L11" i="7"/>
  <c r="K11" i="7"/>
  <c r="J11" i="7"/>
  <c r="I11" i="7"/>
  <c r="H11" i="7"/>
  <c r="G11" i="7"/>
  <c r="F11" i="7"/>
  <c r="E11" i="7"/>
  <c r="D11" i="7"/>
  <c r="C11" i="7"/>
  <c r="BP13" i="7"/>
  <c r="BO13" i="7"/>
  <c r="BN13" i="7"/>
  <c r="BM13" i="7"/>
  <c r="BL13" i="7"/>
  <c r="BK13" i="7"/>
  <c r="BJ13" i="7"/>
  <c r="BI13" i="7"/>
  <c r="BH13" i="7"/>
  <c r="BG13" i="7"/>
  <c r="BF13" i="7"/>
  <c r="BE13" i="7"/>
  <c r="BD13" i="7"/>
  <c r="BC13" i="7"/>
  <c r="BB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K13" i="7"/>
  <c r="AJ13" i="7"/>
  <c r="AI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Q13" i="7"/>
  <c r="P13" i="7"/>
  <c r="O13" i="7"/>
  <c r="N13" i="7"/>
  <c r="M13" i="7"/>
  <c r="L13" i="7"/>
  <c r="K13" i="7"/>
  <c r="J13" i="7"/>
  <c r="I13" i="7"/>
  <c r="H13" i="7"/>
  <c r="G13" i="7"/>
  <c r="F13" i="7"/>
  <c r="E13" i="7"/>
  <c r="D13" i="7"/>
  <c r="C13" i="7"/>
  <c r="BP15" i="7"/>
  <c r="BO15" i="7"/>
  <c r="BN15" i="7"/>
  <c r="BM15" i="7"/>
  <c r="BL15" i="7"/>
  <c r="BK15" i="7"/>
  <c r="BJ15" i="7"/>
  <c r="BI15" i="7"/>
  <c r="BH15" i="7"/>
  <c r="BG15" i="7"/>
  <c r="BF15" i="7"/>
  <c r="BE15" i="7"/>
  <c r="BD15" i="7"/>
  <c r="BC15" i="7"/>
  <c r="BB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K15" i="7"/>
  <c r="AJ15" i="7"/>
  <c r="AI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Q15" i="7"/>
  <c r="P15" i="7"/>
  <c r="O15" i="7"/>
  <c r="N15" i="7"/>
  <c r="M15" i="7"/>
  <c r="L15" i="7"/>
  <c r="K15" i="7"/>
  <c r="J15" i="7"/>
  <c r="I15" i="7"/>
  <c r="H15" i="7"/>
  <c r="G15" i="7"/>
  <c r="F15" i="7"/>
  <c r="E15" i="7"/>
  <c r="D15" i="7"/>
  <c r="C15" i="7"/>
  <c r="BP17" i="7"/>
  <c r="BO17" i="7"/>
  <c r="BN17" i="7"/>
  <c r="BM17" i="7"/>
  <c r="BL17" i="7"/>
  <c r="BK17" i="7"/>
  <c r="BJ17" i="7"/>
  <c r="BI17" i="7"/>
  <c r="BH17" i="7"/>
  <c r="BG17" i="7"/>
  <c r="BF17" i="7"/>
  <c r="BE17" i="7"/>
  <c r="BD17" i="7"/>
  <c r="BC17" i="7"/>
  <c r="BB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K17" i="7"/>
  <c r="AJ17" i="7"/>
  <c r="AI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U17" i="7"/>
  <c r="T17" i="7"/>
  <c r="Q17" i="7"/>
  <c r="P17" i="7"/>
  <c r="O17" i="7"/>
  <c r="N17" i="7"/>
  <c r="M17" i="7"/>
  <c r="L17" i="7"/>
  <c r="K17" i="7"/>
  <c r="J17" i="7"/>
  <c r="I17" i="7"/>
  <c r="H17" i="7"/>
  <c r="G17" i="7"/>
  <c r="F17" i="7"/>
  <c r="E17" i="7"/>
  <c r="D17" i="7"/>
  <c r="C17" i="7"/>
  <c r="BP19" i="7"/>
  <c r="BO19" i="7"/>
  <c r="BN19" i="7"/>
  <c r="BM19" i="7"/>
  <c r="BL19" i="7"/>
  <c r="BK19" i="7"/>
  <c r="BJ19" i="7"/>
  <c r="BI19" i="7"/>
  <c r="BH19" i="7"/>
  <c r="BG19" i="7"/>
  <c r="BF19" i="7"/>
  <c r="BE19" i="7"/>
  <c r="BD19" i="7"/>
  <c r="BC19" i="7"/>
  <c r="BB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K19" i="7"/>
  <c r="AJ19" i="7"/>
  <c r="AI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P21" i="7"/>
  <c r="BO21" i="7"/>
  <c r="BN21" i="7"/>
  <c r="BM21" i="7"/>
  <c r="BL21" i="7"/>
  <c r="BK21" i="7"/>
  <c r="BJ21" i="7"/>
  <c r="BI21" i="7"/>
  <c r="BH21" i="7"/>
  <c r="BG21" i="7"/>
  <c r="BF21" i="7"/>
  <c r="BE21" i="7"/>
  <c r="BD21" i="7"/>
  <c r="BC21" i="7"/>
  <c r="BB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K21" i="7"/>
  <c r="AJ21" i="7"/>
  <c r="AI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P23" i="7"/>
  <c r="BO23" i="7"/>
  <c r="BN23" i="7"/>
  <c r="BM23" i="7"/>
  <c r="BL23" i="7"/>
  <c r="BK23" i="7"/>
  <c r="BJ23" i="7"/>
  <c r="BI23" i="7"/>
  <c r="BH23" i="7"/>
  <c r="BG23" i="7"/>
  <c r="BF23" i="7"/>
  <c r="BE23" i="7"/>
  <c r="BD23" i="7"/>
  <c r="BC23" i="7"/>
  <c r="BB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K23" i="7"/>
  <c r="AJ23" i="7"/>
  <c r="AI23" i="7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Q23" i="7"/>
  <c r="P23" i="7"/>
  <c r="O23" i="7"/>
  <c r="N23" i="7"/>
  <c r="M23" i="7"/>
  <c r="L23" i="7"/>
  <c r="K23" i="7"/>
  <c r="J23" i="7"/>
  <c r="I23" i="7"/>
  <c r="H23" i="7"/>
  <c r="G23" i="7"/>
  <c r="F23" i="7"/>
  <c r="E23" i="7"/>
  <c r="D23" i="7"/>
  <c r="C23" i="7"/>
  <c r="BS22" i="7"/>
  <c r="BR22" i="7"/>
  <c r="BQ22" i="7"/>
  <c r="BP22" i="7"/>
  <c r="BO22" i="7"/>
  <c r="BN22" i="7"/>
  <c r="BM22" i="7"/>
  <c r="BL22" i="7"/>
  <c r="BK22" i="7"/>
  <c r="BJ22" i="7"/>
  <c r="BI22" i="7"/>
  <c r="BH22" i="7"/>
  <c r="BG22" i="7"/>
  <c r="BF22" i="7"/>
  <c r="BE22" i="7"/>
  <c r="BD22" i="7"/>
  <c r="BC22" i="7"/>
  <c r="BB22" i="7"/>
  <c r="BA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K22" i="7"/>
  <c r="AJ22" i="7"/>
  <c r="AI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BS20" i="7"/>
  <c r="BR20" i="7"/>
  <c r="BQ20" i="7"/>
  <c r="BP20" i="7"/>
  <c r="BO20" i="7"/>
  <c r="BN20" i="7"/>
  <c r="BM20" i="7"/>
  <c r="BL20" i="7"/>
  <c r="BK20" i="7"/>
  <c r="BJ20" i="7"/>
  <c r="BI20" i="7"/>
  <c r="BH20" i="7"/>
  <c r="BG20" i="7"/>
  <c r="BF20" i="7"/>
  <c r="BE20" i="7"/>
  <c r="BD20" i="7"/>
  <c r="BC20" i="7"/>
  <c r="BB20" i="7"/>
  <c r="BA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K20" i="7"/>
  <c r="AJ20" i="7"/>
  <c r="AI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S20" i="7"/>
  <c r="Q20" i="7"/>
  <c r="P20" i="7"/>
  <c r="O20" i="7"/>
  <c r="N20" i="7"/>
  <c r="M20" i="7"/>
  <c r="L20" i="7"/>
  <c r="K20" i="7"/>
  <c r="J20" i="7"/>
  <c r="I20" i="7"/>
  <c r="H20" i="7"/>
  <c r="G20" i="7"/>
  <c r="F20" i="7"/>
  <c r="E20" i="7"/>
  <c r="D20" i="7"/>
  <c r="C20" i="7"/>
  <c r="B20" i="7"/>
  <c r="BS18" i="7"/>
  <c r="BR18" i="7"/>
  <c r="BQ18" i="7"/>
  <c r="BP18" i="7"/>
  <c r="BO18" i="7"/>
  <c r="BN18" i="7"/>
  <c r="BM18" i="7"/>
  <c r="BL18" i="7"/>
  <c r="BK18" i="7"/>
  <c r="BJ18" i="7"/>
  <c r="BI18" i="7"/>
  <c r="BH18" i="7"/>
  <c r="BG18" i="7"/>
  <c r="BF18" i="7"/>
  <c r="BE18" i="7"/>
  <c r="BD18" i="7"/>
  <c r="BC18" i="7"/>
  <c r="BB18" i="7"/>
  <c r="BA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K18" i="7"/>
  <c r="AJ18" i="7"/>
  <c r="AI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S18" i="7"/>
  <c r="Q18" i="7"/>
  <c r="P18" i="7"/>
  <c r="O18" i="7"/>
  <c r="N18" i="7"/>
  <c r="M18" i="7"/>
  <c r="L18" i="7"/>
  <c r="K18" i="7"/>
  <c r="J18" i="7"/>
  <c r="I18" i="7"/>
  <c r="H18" i="7"/>
  <c r="G18" i="7"/>
  <c r="F18" i="7"/>
  <c r="E18" i="7"/>
  <c r="D18" i="7"/>
  <c r="C18" i="7"/>
  <c r="B18" i="7"/>
  <c r="BS16" i="7"/>
  <c r="BR16" i="7"/>
  <c r="BQ16" i="7"/>
  <c r="BP16" i="7"/>
  <c r="BO16" i="7"/>
  <c r="BN16" i="7"/>
  <c r="BM16" i="7"/>
  <c r="BL16" i="7"/>
  <c r="BK16" i="7"/>
  <c r="BJ16" i="7"/>
  <c r="BI16" i="7"/>
  <c r="BH16" i="7"/>
  <c r="BG16" i="7"/>
  <c r="BF16" i="7"/>
  <c r="BE16" i="7"/>
  <c r="BD16" i="7"/>
  <c r="BC16" i="7"/>
  <c r="BB16" i="7"/>
  <c r="BA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K16" i="7"/>
  <c r="AJ16" i="7"/>
  <c r="AI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S16" i="7"/>
  <c r="Q16" i="7"/>
  <c r="P16" i="7"/>
  <c r="O16" i="7"/>
  <c r="N16" i="7"/>
  <c r="M16" i="7"/>
  <c r="L16" i="7"/>
  <c r="K16" i="7"/>
  <c r="J16" i="7"/>
  <c r="I16" i="7"/>
  <c r="H16" i="7"/>
  <c r="G16" i="7"/>
  <c r="F16" i="7"/>
  <c r="E16" i="7"/>
  <c r="D16" i="7"/>
  <c r="C16" i="7"/>
  <c r="B16" i="7"/>
  <c r="BS14" i="7"/>
  <c r="BR14" i="7"/>
  <c r="BQ14" i="7"/>
  <c r="BP14" i="7"/>
  <c r="BO14" i="7"/>
  <c r="BN14" i="7"/>
  <c r="BM14" i="7"/>
  <c r="BL14" i="7"/>
  <c r="BK14" i="7"/>
  <c r="BJ14" i="7"/>
  <c r="BI14" i="7"/>
  <c r="BH14" i="7"/>
  <c r="BG14" i="7"/>
  <c r="BF14" i="7"/>
  <c r="BE14" i="7"/>
  <c r="BD14" i="7"/>
  <c r="BC14" i="7"/>
  <c r="BB14" i="7"/>
  <c r="BA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K14" i="7"/>
  <c r="AJ14" i="7"/>
  <c r="AI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S14" i="7"/>
  <c r="Q14" i="7"/>
  <c r="P14" i="7"/>
  <c r="O14" i="7"/>
  <c r="N14" i="7"/>
  <c r="M14" i="7"/>
  <c r="L14" i="7"/>
  <c r="K14" i="7"/>
  <c r="J14" i="7"/>
  <c r="I14" i="7"/>
  <c r="H14" i="7"/>
  <c r="G14" i="7"/>
  <c r="F14" i="7"/>
  <c r="E14" i="7"/>
  <c r="D14" i="7"/>
  <c r="C14" i="7"/>
  <c r="B14" i="7"/>
  <c r="BS12" i="7"/>
  <c r="BR12" i="7"/>
  <c r="BQ12" i="7"/>
  <c r="BP12" i="7"/>
  <c r="BO12" i="7"/>
  <c r="BN12" i="7"/>
  <c r="BM12" i="7"/>
  <c r="BL12" i="7"/>
  <c r="BK12" i="7"/>
  <c r="BJ12" i="7"/>
  <c r="BI12" i="7"/>
  <c r="BH12" i="7"/>
  <c r="BG12" i="7"/>
  <c r="BF12" i="7"/>
  <c r="BE12" i="7"/>
  <c r="BD12" i="7"/>
  <c r="BC12" i="7"/>
  <c r="BB12" i="7"/>
  <c r="BA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K12" i="7"/>
  <c r="AJ12" i="7"/>
  <c r="AI12" i="7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S12" i="7"/>
  <c r="Q12" i="7"/>
  <c r="P12" i="7"/>
  <c r="O12" i="7"/>
  <c r="N12" i="7"/>
  <c r="M12" i="7"/>
  <c r="L12" i="7"/>
  <c r="K12" i="7"/>
  <c r="J12" i="7"/>
  <c r="I12" i="7"/>
  <c r="H12" i="7"/>
  <c r="G12" i="7"/>
  <c r="F12" i="7"/>
  <c r="E12" i="7"/>
  <c r="D12" i="7"/>
  <c r="C12" i="7"/>
  <c r="B12" i="7"/>
  <c r="BS10" i="7"/>
  <c r="BR10" i="7"/>
  <c r="BQ10" i="7"/>
  <c r="BP10" i="7"/>
  <c r="BO10" i="7"/>
  <c r="BN10" i="7"/>
  <c r="BM10" i="7"/>
  <c r="BL10" i="7"/>
  <c r="BK10" i="7"/>
  <c r="BJ10" i="7"/>
  <c r="BI10" i="7"/>
  <c r="BH10" i="7"/>
  <c r="BG10" i="7"/>
  <c r="BF10" i="7"/>
  <c r="BE10" i="7"/>
  <c r="BD10" i="7"/>
  <c r="BC10" i="7"/>
  <c r="BB10" i="7"/>
  <c r="BA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K10" i="7"/>
  <c r="AJ10" i="7"/>
  <c r="AI10" i="7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S10" i="7"/>
  <c r="Q10" i="7"/>
  <c r="P10" i="7"/>
  <c r="O10" i="7"/>
  <c r="N10" i="7"/>
  <c r="M10" i="7"/>
  <c r="L10" i="7"/>
  <c r="K10" i="7"/>
  <c r="J10" i="7"/>
  <c r="I10" i="7"/>
  <c r="H10" i="7"/>
  <c r="G10" i="7"/>
  <c r="F10" i="7"/>
  <c r="E10" i="7"/>
  <c r="D10" i="7"/>
  <c r="C10" i="7"/>
  <c r="B10" i="7"/>
  <c r="BS8" i="7"/>
  <c r="BR8" i="7"/>
  <c r="BQ8" i="7"/>
  <c r="BP8" i="7"/>
  <c r="BO8" i="7"/>
  <c r="BN8" i="7"/>
  <c r="BM8" i="7"/>
  <c r="BL8" i="7"/>
  <c r="BK8" i="7"/>
  <c r="BJ8" i="7"/>
  <c r="BI8" i="7"/>
  <c r="BH8" i="7"/>
  <c r="BG8" i="7"/>
  <c r="BF8" i="7"/>
  <c r="BE8" i="7"/>
  <c r="BD8" i="7"/>
  <c r="BC8" i="7"/>
  <c r="BB8" i="7"/>
  <c r="BA8" i="7"/>
  <c r="AW8" i="7"/>
  <c r="AV8" i="7"/>
  <c r="AU8" i="7"/>
  <c r="AT8" i="7"/>
  <c r="AS8" i="7"/>
  <c r="AR8" i="7"/>
  <c r="AQ8" i="7"/>
  <c r="AP8" i="7"/>
  <c r="AO8" i="7"/>
  <c r="AN8" i="7"/>
  <c r="AM8" i="7"/>
  <c r="AL8" i="7"/>
  <c r="AK8" i="7"/>
  <c r="AJ8" i="7"/>
  <c r="AI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S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BS6" i="7"/>
  <c r="BR6" i="7"/>
  <c r="BQ6" i="7"/>
  <c r="BP6" i="7"/>
  <c r="BO6" i="7"/>
  <c r="BN6" i="7"/>
  <c r="BM6" i="7"/>
  <c r="BL6" i="7"/>
  <c r="BK6" i="7"/>
  <c r="BJ6" i="7"/>
  <c r="BI6" i="7"/>
  <c r="BH6" i="7"/>
  <c r="BG6" i="7"/>
  <c r="BF6" i="7"/>
  <c r="BE6" i="7"/>
  <c r="BD6" i="7"/>
  <c r="BC6" i="7"/>
  <c r="BB6" i="7"/>
  <c r="BA6" i="7"/>
  <c r="AW6" i="7"/>
  <c r="AV6" i="7"/>
  <c r="AU6" i="7"/>
  <c r="AT6" i="7"/>
  <c r="AS6" i="7"/>
  <c r="AR6" i="7"/>
  <c r="AQ6" i="7"/>
  <c r="AP6" i="7"/>
  <c r="AO6" i="7"/>
  <c r="AN6" i="7"/>
  <c r="AM6" i="7"/>
  <c r="AL6" i="7"/>
  <c r="AK6" i="7"/>
  <c r="AJ6" i="7"/>
  <c r="AI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S6" i="7"/>
  <c r="Q6" i="7"/>
  <c r="P6" i="7"/>
  <c r="O6" i="7"/>
  <c r="N6" i="7"/>
  <c r="M6" i="7"/>
  <c r="L6" i="7"/>
  <c r="K6" i="7"/>
  <c r="J6" i="7"/>
  <c r="I6" i="7"/>
  <c r="H6" i="7"/>
  <c r="G6" i="7"/>
  <c r="F6" i="7"/>
  <c r="E6" i="7"/>
  <c r="D6" i="7"/>
  <c r="C6" i="7"/>
  <c r="B6" i="7"/>
  <c r="C4" i="7"/>
  <c r="D4" i="7"/>
  <c r="E4" i="7"/>
  <c r="F4" i="7"/>
  <c r="G4" i="7"/>
  <c r="H4" i="7"/>
  <c r="I4" i="7"/>
  <c r="J4" i="7"/>
  <c r="K4" i="7"/>
  <c r="L4" i="7"/>
  <c r="M4" i="7"/>
  <c r="N4" i="7"/>
  <c r="O4" i="7"/>
  <c r="P4" i="7"/>
  <c r="Q4" i="7"/>
  <c r="S4" i="7"/>
  <c r="T4" i="7"/>
  <c r="U4" i="7"/>
  <c r="V4" i="7"/>
  <c r="W4" i="7"/>
  <c r="X4" i="7"/>
  <c r="Y4" i="7"/>
  <c r="Z4" i="7"/>
  <c r="AA4" i="7"/>
  <c r="AB4" i="7"/>
  <c r="AC4" i="7"/>
  <c r="AD4" i="7"/>
  <c r="AE4" i="7"/>
  <c r="AF4" i="7"/>
  <c r="AG4" i="7"/>
  <c r="AH4" i="7"/>
  <c r="AI4" i="7"/>
  <c r="AJ4" i="7"/>
  <c r="AK4" i="7"/>
  <c r="AL4" i="7"/>
  <c r="AM4" i="7"/>
  <c r="AN4" i="7"/>
  <c r="AO4" i="7"/>
  <c r="AP4" i="7"/>
  <c r="AQ4" i="7"/>
  <c r="AR4" i="7"/>
  <c r="AS4" i="7"/>
  <c r="AT4" i="7"/>
  <c r="AU4" i="7"/>
  <c r="AV4" i="7"/>
  <c r="AW4" i="7"/>
  <c r="BA4" i="7"/>
  <c r="BB4" i="7"/>
  <c r="BC4" i="7"/>
  <c r="BD4" i="7"/>
  <c r="BE4" i="7"/>
  <c r="BF4" i="7"/>
  <c r="BG4" i="7"/>
  <c r="BH4" i="7"/>
  <c r="BI4" i="7"/>
  <c r="BJ4" i="7"/>
  <c r="BK4" i="7"/>
  <c r="BL4" i="7"/>
  <c r="BM4" i="7"/>
  <c r="BN4" i="7"/>
  <c r="BO4" i="7"/>
  <c r="BP4" i="7"/>
  <c r="BQ4" i="7"/>
  <c r="BR4" i="7"/>
  <c r="BS4" i="7"/>
  <c r="B4" i="7"/>
  <c r="C2" i="7"/>
  <c r="D2" i="7"/>
  <c r="E2" i="7"/>
  <c r="F2" i="7"/>
  <c r="G2" i="7"/>
  <c r="H2" i="7"/>
  <c r="I2" i="7"/>
  <c r="J2" i="7"/>
  <c r="K2" i="7"/>
  <c r="L2" i="7"/>
  <c r="M2" i="7"/>
  <c r="N2" i="7"/>
  <c r="O2" i="7"/>
  <c r="P2" i="7"/>
  <c r="Q2" i="7"/>
  <c r="S2" i="7"/>
  <c r="T2" i="7"/>
  <c r="U2" i="7"/>
  <c r="V2" i="7"/>
  <c r="W2" i="7"/>
  <c r="X2" i="7"/>
  <c r="Y2" i="7"/>
  <c r="Z2" i="7"/>
  <c r="AA2" i="7"/>
  <c r="AB2" i="7"/>
  <c r="AC2" i="7"/>
  <c r="AD2" i="7"/>
  <c r="AE2" i="7"/>
  <c r="AF2" i="7"/>
  <c r="AG2" i="7"/>
  <c r="AH2" i="7"/>
  <c r="AI2" i="7"/>
  <c r="AJ2" i="7"/>
  <c r="AK2" i="7"/>
  <c r="AL2" i="7"/>
  <c r="AM2" i="7"/>
  <c r="AN2" i="7"/>
  <c r="AO2" i="7"/>
  <c r="AP2" i="7"/>
  <c r="AQ2" i="7"/>
  <c r="AR2" i="7"/>
  <c r="AS2" i="7"/>
  <c r="AT2" i="7"/>
  <c r="AU2" i="7"/>
  <c r="AV2" i="7"/>
  <c r="AW2" i="7"/>
  <c r="BA2" i="7"/>
  <c r="BB2" i="7"/>
  <c r="BC2" i="7"/>
  <c r="BD2" i="7"/>
  <c r="BE2" i="7"/>
  <c r="BF2" i="7"/>
  <c r="BG2" i="7"/>
  <c r="BH2" i="7"/>
  <c r="BI2" i="7"/>
  <c r="BJ2" i="7"/>
  <c r="BK2" i="7"/>
  <c r="BL2" i="7"/>
  <c r="BM2" i="7"/>
  <c r="BN2" i="7"/>
  <c r="BO2" i="7"/>
  <c r="BP2" i="7"/>
  <c r="BQ2" i="7"/>
  <c r="BR2" i="7"/>
  <c r="BS2" i="7"/>
  <c r="B2" i="7"/>
  <c r="Y54" i="2"/>
  <c r="X54" i="2"/>
  <c r="W54" i="2"/>
  <c r="V54" i="2"/>
  <c r="U54" i="2"/>
  <c r="T54" i="2"/>
  <c r="Q54" i="2"/>
  <c r="P54" i="2"/>
  <c r="O54" i="2"/>
  <c r="N54" i="2"/>
  <c r="M54" i="2"/>
  <c r="L54" i="2"/>
  <c r="K54" i="2"/>
  <c r="J54" i="2"/>
  <c r="I54" i="2"/>
  <c r="H54" i="2"/>
  <c r="G54" i="2"/>
  <c r="F54" i="2"/>
  <c r="E54" i="2"/>
  <c r="D54" i="2"/>
  <c r="C54" i="2"/>
  <c r="Y52" i="2"/>
  <c r="X52" i="2"/>
  <c r="W52" i="2"/>
  <c r="V52" i="2"/>
  <c r="U52" i="2"/>
  <c r="T52" i="2"/>
  <c r="Q52" i="2"/>
  <c r="P52" i="2"/>
  <c r="O52" i="2"/>
  <c r="N52" i="2"/>
  <c r="M52" i="2"/>
  <c r="L52" i="2"/>
  <c r="K52" i="2"/>
  <c r="J52" i="2"/>
  <c r="I52" i="2"/>
  <c r="H52" i="2"/>
  <c r="G52" i="2"/>
  <c r="F52" i="2"/>
  <c r="E52" i="2"/>
  <c r="D52" i="2"/>
  <c r="C52" i="2"/>
  <c r="Y50" i="2"/>
  <c r="X50" i="2"/>
  <c r="W50" i="2"/>
  <c r="V50" i="2"/>
  <c r="U50" i="2"/>
  <c r="T50" i="2"/>
  <c r="Q50" i="2"/>
  <c r="P50" i="2"/>
  <c r="O50" i="2"/>
  <c r="N50" i="2"/>
  <c r="M50" i="2"/>
  <c r="L50" i="2"/>
  <c r="K50" i="2"/>
  <c r="J50" i="2"/>
  <c r="I50" i="2"/>
  <c r="H50" i="2"/>
  <c r="G50" i="2"/>
  <c r="F50" i="2"/>
  <c r="E50" i="2"/>
  <c r="D50" i="2"/>
  <c r="C50" i="2"/>
  <c r="Y48" i="2"/>
  <c r="X48" i="2"/>
  <c r="W48" i="2"/>
  <c r="V48" i="2"/>
  <c r="U48" i="2"/>
  <c r="T48" i="2"/>
  <c r="Q48" i="2"/>
  <c r="P48" i="2"/>
  <c r="O48" i="2"/>
  <c r="N48" i="2"/>
  <c r="M48" i="2"/>
  <c r="L48" i="2"/>
  <c r="K48" i="2"/>
  <c r="J48" i="2"/>
  <c r="I48" i="2"/>
  <c r="H48" i="2"/>
  <c r="G48" i="2"/>
  <c r="F48" i="2"/>
  <c r="E48" i="2"/>
  <c r="D48" i="2"/>
  <c r="C48" i="2"/>
  <c r="Y46" i="2"/>
  <c r="X46" i="2"/>
  <c r="W46" i="2"/>
  <c r="V46" i="2"/>
  <c r="U46" i="2"/>
  <c r="T46" i="2"/>
  <c r="Q46" i="2"/>
  <c r="P46" i="2"/>
  <c r="O46" i="2"/>
  <c r="N46" i="2"/>
  <c r="M46" i="2"/>
  <c r="L46" i="2"/>
  <c r="K46" i="2"/>
  <c r="J46" i="2"/>
  <c r="I46" i="2"/>
  <c r="H46" i="2"/>
  <c r="G46" i="2"/>
  <c r="F46" i="2"/>
  <c r="E46" i="2"/>
  <c r="D46" i="2"/>
  <c r="C46" i="2"/>
  <c r="Y44" i="2"/>
  <c r="X44" i="2"/>
  <c r="W44" i="2"/>
  <c r="V44" i="2"/>
  <c r="U44" i="2"/>
  <c r="T44" i="2"/>
  <c r="Q44" i="2"/>
  <c r="P44" i="2"/>
  <c r="O44" i="2"/>
  <c r="N44" i="2"/>
  <c r="M44" i="2"/>
  <c r="L44" i="2"/>
  <c r="K44" i="2"/>
  <c r="J44" i="2"/>
  <c r="I44" i="2"/>
  <c r="H44" i="2"/>
  <c r="G44" i="2"/>
  <c r="F44" i="2"/>
  <c r="E44" i="2"/>
  <c r="D44" i="2"/>
  <c r="C44" i="2"/>
  <c r="Y42" i="2"/>
  <c r="X42" i="2"/>
  <c r="W42" i="2"/>
  <c r="V42" i="2"/>
  <c r="U42" i="2"/>
  <c r="T42" i="2"/>
  <c r="Q42" i="2"/>
  <c r="P42" i="2"/>
  <c r="O42" i="2"/>
  <c r="N42" i="2"/>
  <c r="M42" i="2"/>
  <c r="L42" i="2"/>
  <c r="K42" i="2"/>
  <c r="J42" i="2"/>
  <c r="I42" i="2"/>
  <c r="H42" i="2"/>
  <c r="G42" i="2"/>
  <c r="F42" i="2"/>
  <c r="E42" i="2"/>
  <c r="D42" i="2"/>
  <c r="C42" i="2"/>
  <c r="Y40" i="2"/>
  <c r="X40" i="2"/>
  <c r="W40" i="2"/>
  <c r="V40" i="2"/>
  <c r="U40" i="2"/>
  <c r="T40" i="2"/>
  <c r="Q40" i="2"/>
  <c r="P40" i="2"/>
  <c r="O40" i="2"/>
  <c r="N40" i="2"/>
  <c r="M40" i="2"/>
  <c r="L40" i="2"/>
  <c r="K40" i="2"/>
  <c r="J40" i="2"/>
  <c r="I40" i="2"/>
  <c r="H40" i="2"/>
  <c r="G40" i="2"/>
  <c r="F40" i="2"/>
  <c r="E40" i="2"/>
  <c r="D40" i="2"/>
  <c r="C40" i="2"/>
  <c r="Y38" i="2"/>
  <c r="X38" i="2"/>
  <c r="W38" i="2"/>
  <c r="V38" i="2"/>
  <c r="U38" i="2"/>
  <c r="T38" i="2"/>
  <c r="Q38" i="2"/>
  <c r="P38" i="2"/>
  <c r="O38" i="2"/>
  <c r="N38" i="2"/>
  <c r="M38" i="2"/>
  <c r="L38" i="2"/>
  <c r="K38" i="2"/>
  <c r="J38" i="2"/>
  <c r="I38" i="2"/>
  <c r="H38" i="2"/>
  <c r="G38" i="2"/>
  <c r="F38" i="2"/>
  <c r="E38" i="2"/>
  <c r="D38" i="2"/>
  <c r="C38" i="2"/>
  <c r="Y36" i="2"/>
  <c r="X36" i="2"/>
  <c r="W36" i="2"/>
  <c r="V36" i="2"/>
  <c r="U36" i="2"/>
  <c r="T36" i="2"/>
  <c r="Q36" i="2"/>
  <c r="P36" i="2"/>
  <c r="O36" i="2"/>
  <c r="N36" i="2"/>
  <c r="M36" i="2"/>
  <c r="L36" i="2"/>
  <c r="K36" i="2"/>
  <c r="J36" i="2"/>
  <c r="I36" i="2"/>
  <c r="H36" i="2"/>
  <c r="G36" i="2"/>
  <c r="F36" i="2"/>
  <c r="E36" i="2"/>
  <c r="D36" i="2"/>
  <c r="C36" i="2"/>
  <c r="C34" i="2"/>
  <c r="D34" i="2"/>
  <c r="E34" i="2"/>
  <c r="F34" i="2"/>
  <c r="G34" i="2"/>
  <c r="H34" i="2"/>
  <c r="I34" i="2"/>
  <c r="J34" i="2"/>
  <c r="K34" i="2"/>
  <c r="L34" i="2"/>
  <c r="M34" i="2"/>
  <c r="N34" i="2"/>
  <c r="O34" i="2"/>
  <c r="P34" i="2"/>
  <c r="Q34" i="2"/>
  <c r="T34" i="2"/>
  <c r="U34" i="2"/>
  <c r="V34" i="2"/>
  <c r="W34" i="2"/>
  <c r="X34" i="2"/>
  <c r="Y34" i="2"/>
  <c r="Y49" i="4"/>
  <c r="X49" i="4"/>
  <c r="W49" i="4"/>
  <c r="V49" i="4"/>
  <c r="U49" i="4"/>
  <c r="T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Y47" i="4"/>
  <c r="X47" i="4"/>
  <c r="W47" i="4"/>
  <c r="V47" i="4"/>
  <c r="U47" i="4"/>
  <c r="T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Y45" i="4"/>
  <c r="X45" i="4"/>
  <c r="W45" i="4"/>
  <c r="V45" i="4"/>
  <c r="U45" i="4"/>
  <c r="T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Y43" i="4"/>
  <c r="X43" i="4"/>
  <c r="W43" i="4"/>
  <c r="V43" i="4"/>
  <c r="U43" i="4"/>
  <c r="T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Y41" i="4"/>
  <c r="X41" i="4"/>
  <c r="W41" i="4"/>
  <c r="V41" i="4"/>
  <c r="U41" i="4"/>
  <c r="T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Y39" i="4"/>
  <c r="X39" i="4"/>
  <c r="W39" i="4"/>
  <c r="V39" i="4"/>
  <c r="U39" i="4"/>
  <c r="T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Y37" i="4"/>
  <c r="X37" i="4"/>
  <c r="W37" i="4"/>
  <c r="V37" i="4"/>
  <c r="U37" i="4"/>
  <c r="T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Y35" i="4"/>
  <c r="X35" i="4"/>
  <c r="W35" i="4"/>
  <c r="V35" i="4"/>
  <c r="U35" i="4"/>
  <c r="T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Y33" i="4"/>
  <c r="X33" i="4"/>
  <c r="W33" i="4"/>
  <c r="V33" i="4"/>
  <c r="U33" i="4"/>
  <c r="T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Y29" i="4"/>
  <c r="X29" i="4"/>
  <c r="W29" i="4"/>
  <c r="V29" i="4"/>
  <c r="U29" i="4"/>
  <c r="T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C31" i="4"/>
  <c r="D31" i="4"/>
  <c r="E31" i="4"/>
  <c r="F31" i="4"/>
  <c r="G31" i="4"/>
  <c r="H31" i="4"/>
  <c r="I31" i="4"/>
  <c r="J31" i="4"/>
  <c r="K31" i="4"/>
  <c r="L31" i="4"/>
  <c r="M31" i="4"/>
  <c r="N31" i="4"/>
  <c r="O31" i="4"/>
  <c r="P31" i="4"/>
  <c r="Q31" i="4"/>
  <c r="T31" i="4"/>
  <c r="U31" i="4"/>
  <c r="V31" i="4"/>
  <c r="W31" i="4"/>
  <c r="X31" i="4"/>
  <c r="Y31" i="4"/>
  <c r="BP54" i="2"/>
  <c r="BO54" i="2"/>
  <c r="BN54" i="2"/>
  <c r="BM54" i="2"/>
  <c r="BL54" i="2"/>
  <c r="BK54" i="2"/>
  <c r="BJ54" i="2"/>
  <c r="BI54" i="2"/>
  <c r="BH54" i="2"/>
  <c r="BG54" i="2"/>
  <c r="BF54" i="2"/>
  <c r="BE54" i="2"/>
  <c r="BD54" i="2"/>
  <c r="BC54" i="2"/>
  <c r="BB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K54" i="2"/>
  <c r="AJ54" i="2"/>
  <c r="AI54" i="2"/>
  <c r="AH54" i="2"/>
  <c r="AG54" i="2"/>
  <c r="AF54" i="2"/>
  <c r="AE54" i="2"/>
  <c r="AD54" i="2"/>
  <c r="AC54" i="2"/>
  <c r="AB54" i="2"/>
  <c r="AA54" i="2"/>
  <c r="Z54" i="2"/>
  <c r="BP52" i="2"/>
  <c r="BO52" i="2"/>
  <c r="BN52" i="2"/>
  <c r="BM52" i="2"/>
  <c r="BL52" i="2"/>
  <c r="BK52" i="2"/>
  <c r="BJ52" i="2"/>
  <c r="BI52" i="2"/>
  <c r="BH52" i="2"/>
  <c r="BG52" i="2"/>
  <c r="BF52" i="2"/>
  <c r="BE52" i="2"/>
  <c r="BD52" i="2"/>
  <c r="BC52" i="2"/>
  <c r="BB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K52" i="2"/>
  <c r="AJ52" i="2"/>
  <c r="AI52" i="2"/>
  <c r="AH52" i="2"/>
  <c r="AG52" i="2"/>
  <c r="AF52" i="2"/>
  <c r="AE52" i="2"/>
  <c r="AD52" i="2"/>
  <c r="AC52" i="2"/>
  <c r="AB52" i="2"/>
  <c r="AA52" i="2"/>
  <c r="Z52" i="2"/>
  <c r="BP50" i="2"/>
  <c r="BO50" i="2"/>
  <c r="BN50" i="2"/>
  <c r="BM50" i="2"/>
  <c r="BL50" i="2"/>
  <c r="BK50" i="2"/>
  <c r="BJ50" i="2"/>
  <c r="BI50" i="2"/>
  <c r="BH50" i="2"/>
  <c r="BG50" i="2"/>
  <c r="BF50" i="2"/>
  <c r="BE50" i="2"/>
  <c r="BD50" i="2"/>
  <c r="BC50" i="2"/>
  <c r="BB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K50" i="2"/>
  <c r="AJ50" i="2"/>
  <c r="AI50" i="2"/>
  <c r="AH50" i="2"/>
  <c r="AG50" i="2"/>
  <c r="AF50" i="2"/>
  <c r="AE50" i="2"/>
  <c r="AD50" i="2"/>
  <c r="AC50" i="2"/>
  <c r="AB50" i="2"/>
  <c r="AA50" i="2"/>
  <c r="Z50" i="2"/>
  <c r="BP48" i="2"/>
  <c r="BO48" i="2"/>
  <c r="BN48" i="2"/>
  <c r="BM48" i="2"/>
  <c r="BL48" i="2"/>
  <c r="BK48" i="2"/>
  <c r="BJ48" i="2"/>
  <c r="BI48" i="2"/>
  <c r="BH48" i="2"/>
  <c r="BG48" i="2"/>
  <c r="BF48" i="2"/>
  <c r="BE48" i="2"/>
  <c r="BD48" i="2"/>
  <c r="BC48" i="2"/>
  <c r="BB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K48" i="2"/>
  <c r="AJ48" i="2"/>
  <c r="AI48" i="2"/>
  <c r="AH48" i="2"/>
  <c r="AG48" i="2"/>
  <c r="AF48" i="2"/>
  <c r="AE48" i="2"/>
  <c r="AD48" i="2"/>
  <c r="AC48" i="2"/>
  <c r="AB48" i="2"/>
  <c r="AA48" i="2"/>
  <c r="Z48" i="2"/>
  <c r="BP46" i="2"/>
  <c r="BO46" i="2"/>
  <c r="BN46" i="2"/>
  <c r="BM46" i="2"/>
  <c r="BL46" i="2"/>
  <c r="BK46" i="2"/>
  <c r="BJ46" i="2"/>
  <c r="BI46" i="2"/>
  <c r="BH46" i="2"/>
  <c r="BG46" i="2"/>
  <c r="BF46" i="2"/>
  <c r="BE46" i="2"/>
  <c r="BD46" i="2"/>
  <c r="BC46" i="2"/>
  <c r="BB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K46" i="2"/>
  <c r="AJ46" i="2"/>
  <c r="AI46" i="2"/>
  <c r="AH46" i="2"/>
  <c r="AG46" i="2"/>
  <c r="AF46" i="2"/>
  <c r="AE46" i="2"/>
  <c r="AD46" i="2"/>
  <c r="AC46" i="2"/>
  <c r="AB46" i="2"/>
  <c r="AA46" i="2"/>
  <c r="Z46" i="2"/>
  <c r="BP44" i="2"/>
  <c r="BO44" i="2"/>
  <c r="BN44" i="2"/>
  <c r="BM44" i="2"/>
  <c r="BL44" i="2"/>
  <c r="BK44" i="2"/>
  <c r="BJ44" i="2"/>
  <c r="BI44" i="2"/>
  <c r="BH44" i="2"/>
  <c r="BG44" i="2"/>
  <c r="BF44" i="2"/>
  <c r="BE44" i="2"/>
  <c r="BD44" i="2"/>
  <c r="BC44" i="2"/>
  <c r="BB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K44" i="2"/>
  <c r="AJ44" i="2"/>
  <c r="AI44" i="2"/>
  <c r="AH44" i="2"/>
  <c r="AG44" i="2"/>
  <c r="AF44" i="2"/>
  <c r="AE44" i="2"/>
  <c r="AD44" i="2"/>
  <c r="AC44" i="2"/>
  <c r="AB44" i="2"/>
  <c r="AA44" i="2"/>
  <c r="Z44" i="2"/>
  <c r="BP42" i="2"/>
  <c r="BO42" i="2"/>
  <c r="BN42" i="2"/>
  <c r="BM42" i="2"/>
  <c r="BL42" i="2"/>
  <c r="BK42" i="2"/>
  <c r="BJ42" i="2"/>
  <c r="BI42" i="2"/>
  <c r="BH42" i="2"/>
  <c r="BG42" i="2"/>
  <c r="BF42" i="2"/>
  <c r="BE42" i="2"/>
  <c r="BD42" i="2"/>
  <c r="BC42" i="2"/>
  <c r="BB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K42" i="2"/>
  <c r="AJ42" i="2"/>
  <c r="AI42" i="2"/>
  <c r="AH42" i="2"/>
  <c r="AG42" i="2"/>
  <c r="AF42" i="2"/>
  <c r="AE42" i="2"/>
  <c r="AD42" i="2"/>
  <c r="AC42" i="2"/>
  <c r="AB42" i="2"/>
  <c r="AA42" i="2"/>
  <c r="Z42" i="2"/>
  <c r="BP40" i="2"/>
  <c r="BO40" i="2"/>
  <c r="BN40" i="2"/>
  <c r="BM40" i="2"/>
  <c r="BL40" i="2"/>
  <c r="BK40" i="2"/>
  <c r="BJ40" i="2"/>
  <c r="BI40" i="2"/>
  <c r="BH40" i="2"/>
  <c r="BG40" i="2"/>
  <c r="BF40" i="2"/>
  <c r="BE40" i="2"/>
  <c r="BD40" i="2"/>
  <c r="BC40" i="2"/>
  <c r="BB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K40" i="2"/>
  <c r="AJ40" i="2"/>
  <c r="AI40" i="2"/>
  <c r="AH40" i="2"/>
  <c r="AG40" i="2"/>
  <c r="AF40" i="2"/>
  <c r="AE40" i="2"/>
  <c r="AD40" i="2"/>
  <c r="AC40" i="2"/>
  <c r="AB40" i="2"/>
  <c r="AA40" i="2"/>
  <c r="Z40" i="2"/>
  <c r="BP38" i="2"/>
  <c r="BO38" i="2"/>
  <c r="BN38" i="2"/>
  <c r="BM38" i="2"/>
  <c r="BL38" i="2"/>
  <c r="BK38" i="2"/>
  <c r="BJ38" i="2"/>
  <c r="BI38" i="2"/>
  <c r="BH38" i="2"/>
  <c r="BG38" i="2"/>
  <c r="BF38" i="2"/>
  <c r="BE38" i="2"/>
  <c r="BD38" i="2"/>
  <c r="BC38" i="2"/>
  <c r="BB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K38" i="2"/>
  <c r="AJ38" i="2"/>
  <c r="AI38" i="2"/>
  <c r="AH38" i="2"/>
  <c r="AG38" i="2"/>
  <c r="AF38" i="2"/>
  <c r="AE38" i="2"/>
  <c r="AD38" i="2"/>
  <c r="AC38" i="2"/>
  <c r="AB38" i="2"/>
  <c r="AA38" i="2"/>
  <c r="Z38" i="2"/>
  <c r="BP36" i="2"/>
  <c r="BO36" i="2"/>
  <c r="BN36" i="2"/>
  <c r="BM36" i="2"/>
  <c r="BL36" i="2"/>
  <c r="BK36" i="2"/>
  <c r="BJ36" i="2"/>
  <c r="BI36" i="2"/>
  <c r="BH36" i="2"/>
  <c r="BG36" i="2"/>
  <c r="BF36" i="2"/>
  <c r="BE36" i="2"/>
  <c r="BD36" i="2"/>
  <c r="BC36" i="2"/>
  <c r="BB36" i="2"/>
  <c r="AW36" i="2"/>
  <c r="AV36" i="2"/>
  <c r="AU36" i="2"/>
  <c r="AT36" i="2"/>
  <c r="AS36" i="2"/>
  <c r="AR36" i="2"/>
  <c r="AQ36" i="2"/>
  <c r="AP36" i="2"/>
  <c r="AO36" i="2"/>
  <c r="AN36" i="2"/>
  <c r="AM36" i="2"/>
  <c r="AL36" i="2"/>
  <c r="AK36" i="2"/>
  <c r="AJ36" i="2"/>
  <c r="AI36" i="2"/>
  <c r="AH36" i="2"/>
  <c r="AG36" i="2"/>
  <c r="AF36" i="2"/>
  <c r="AE36" i="2"/>
  <c r="AD36" i="2"/>
  <c r="AC36" i="2"/>
  <c r="AB36" i="2"/>
  <c r="AA36" i="2"/>
  <c r="Z36" i="2"/>
  <c r="Z34" i="2"/>
  <c r="AA34" i="2"/>
  <c r="AB34" i="2"/>
  <c r="AC34" i="2"/>
  <c r="AD34" i="2"/>
  <c r="AE34" i="2"/>
  <c r="AF34" i="2"/>
  <c r="AG34" i="2"/>
  <c r="AH34" i="2"/>
  <c r="AI34" i="2"/>
  <c r="AJ34" i="2"/>
  <c r="AK34" i="2"/>
  <c r="AL34" i="2"/>
  <c r="AM34" i="2"/>
  <c r="AN34" i="2"/>
  <c r="AO34" i="2"/>
  <c r="AP34" i="2"/>
  <c r="AQ34" i="2"/>
  <c r="AR34" i="2"/>
  <c r="AS34" i="2"/>
  <c r="AT34" i="2"/>
  <c r="AU34" i="2"/>
  <c r="AV34" i="2"/>
  <c r="AW34" i="2"/>
  <c r="BB34" i="2"/>
  <c r="BC34" i="2"/>
  <c r="BD34" i="2"/>
  <c r="BE34" i="2"/>
  <c r="BF34" i="2"/>
  <c r="BG34" i="2"/>
  <c r="BH34" i="2"/>
  <c r="BI34" i="2"/>
  <c r="BJ34" i="2"/>
  <c r="BK34" i="2"/>
  <c r="BL34" i="2"/>
  <c r="BM34" i="2"/>
  <c r="BN34" i="2"/>
  <c r="BO34" i="2"/>
  <c r="BP34" i="2"/>
  <c r="BP49" i="4"/>
  <c r="BO49" i="4"/>
  <c r="BN49" i="4"/>
  <c r="BM49" i="4"/>
  <c r="BL49" i="4"/>
  <c r="BK49" i="4"/>
  <c r="BJ49" i="4"/>
  <c r="BI49" i="4"/>
  <c r="BH49" i="4"/>
  <c r="BG49" i="4"/>
  <c r="BF49" i="4"/>
  <c r="BE49" i="4"/>
  <c r="BD49" i="4"/>
  <c r="BC49" i="4"/>
  <c r="BB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BP47" i="4"/>
  <c r="BO47" i="4"/>
  <c r="BN47" i="4"/>
  <c r="BM47" i="4"/>
  <c r="BL47" i="4"/>
  <c r="BK47" i="4"/>
  <c r="BJ47" i="4"/>
  <c r="BI47" i="4"/>
  <c r="BH47" i="4"/>
  <c r="BG47" i="4"/>
  <c r="BF47" i="4"/>
  <c r="BE47" i="4"/>
  <c r="BD47" i="4"/>
  <c r="BC47" i="4"/>
  <c r="BB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BP45" i="4"/>
  <c r="BO45" i="4"/>
  <c r="BN45" i="4"/>
  <c r="BM45" i="4"/>
  <c r="BL45" i="4"/>
  <c r="BK45" i="4"/>
  <c r="BJ45" i="4"/>
  <c r="BI45" i="4"/>
  <c r="BH45" i="4"/>
  <c r="BG45" i="4"/>
  <c r="BF45" i="4"/>
  <c r="BE45" i="4"/>
  <c r="BD45" i="4"/>
  <c r="BC45" i="4"/>
  <c r="BB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BP43" i="4"/>
  <c r="BO43" i="4"/>
  <c r="BN43" i="4"/>
  <c r="BM43" i="4"/>
  <c r="BL43" i="4"/>
  <c r="BK43" i="4"/>
  <c r="BJ43" i="4"/>
  <c r="BI43" i="4"/>
  <c r="BH43" i="4"/>
  <c r="BG43" i="4"/>
  <c r="BF43" i="4"/>
  <c r="BE43" i="4"/>
  <c r="BD43" i="4"/>
  <c r="BC43" i="4"/>
  <c r="BB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BP41" i="4"/>
  <c r="BO41" i="4"/>
  <c r="BN41" i="4"/>
  <c r="BM41" i="4"/>
  <c r="BL41" i="4"/>
  <c r="BK41" i="4"/>
  <c r="BJ41" i="4"/>
  <c r="BI41" i="4"/>
  <c r="BH41" i="4"/>
  <c r="BG41" i="4"/>
  <c r="BF41" i="4"/>
  <c r="BE41" i="4"/>
  <c r="BD41" i="4"/>
  <c r="BC41" i="4"/>
  <c r="BB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BP39" i="4"/>
  <c r="BO39" i="4"/>
  <c r="BN39" i="4"/>
  <c r="BM39" i="4"/>
  <c r="BL39" i="4"/>
  <c r="BK39" i="4"/>
  <c r="BJ39" i="4"/>
  <c r="BI39" i="4"/>
  <c r="BH39" i="4"/>
  <c r="BG39" i="4"/>
  <c r="BF39" i="4"/>
  <c r="BE39" i="4"/>
  <c r="BD39" i="4"/>
  <c r="BC39" i="4"/>
  <c r="BB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BP37" i="4"/>
  <c r="BO37" i="4"/>
  <c r="BN37" i="4"/>
  <c r="BM37" i="4"/>
  <c r="BL37" i="4"/>
  <c r="BK37" i="4"/>
  <c r="BJ37" i="4"/>
  <c r="BI37" i="4"/>
  <c r="BH37" i="4"/>
  <c r="BG37" i="4"/>
  <c r="BF37" i="4"/>
  <c r="BE37" i="4"/>
  <c r="BD37" i="4"/>
  <c r="BC37" i="4"/>
  <c r="BB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BP35" i="4"/>
  <c r="BO35" i="4"/>
  <c r="BN35" i="4"/>
  <c r="BM35" i="4"/>
  <c r="BL35" i="4"/>
  <c r="BK35" i="4"/>
  <c r="BJ35" i="4"/>
  <c r="BI35" i="4"/>
  <c r="BH35" i="4"/>
  <c r="BG35" i="4"/>
  <c r="BF35" i="4"/>
  <c r="BE35" i="4"/>
  <c r="BD35" i="4"/>
  <c r="BC35" i="4"/>
  <c r="BB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BP33" i="4"/>
  <c r="BO33" i="4"/>
  <c r="BN33" i="4"/>
  <c r="BM33" i="4"/>
  <c r="BL33" i="4"/>
  <c r="BK33" i="4"/>
  <c r="BJ33" i="4"/>
  <c r="BI33" i="4"/>
  <c r="BH33" i="4"/>
  <c r="BG33" i="4"/>
  <c r="BF33" i="4"/>
  <c r="BE33" i="4"/>
  <c r="BD33" i="4"/>
  <c r="BC33" i="4"/>
  <c r="BB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BP31" i="4"/>
  <c r="BO31" i="4"/>
  <c r="BN31" i="4"/>
  <c r="BM31" i="4"/>
  <c r="BL31" i="4"/>
  <c r="BK31" i="4"/>
  <c r="BJ31" i="4"/>
  <c r="BI31" i="4"/>
  <c r="BH31" i="4"/>
  <c r="BG31" i="4"/>
  <c r="BF31" i="4"/>
  <c r="BE31" i="4"/>
  <c r="BD31" i="4"/>
  <c r="BC31" i="4"/>
  <c r="BB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AG29" i="4"/>
  <c r="AH29" i="4"/>
  <c r="AI29" i="4"/>
  <c r="AJ29" i="4"/>
  <c r="AK29" i="4"/>
  <c r="AL29" i="4"/>
  <c r="AM29" i="4"/>
  <c r="AN29" i="4"/>
  <c r="AO29" i="4"/>
  <c r="AP29" i="4"/>
  <c r="AQ29" i="4"/>
  <c r="AR29" i="4"/>
  <c r="AS29" i="4"/>
  <c r="AT29" i="4"/>
  <c r="AU29" i="4"/>
  <c r="AV29" i="4"/>
  <c r="AW29" i="4"/>
  <c r="BB29" i="4"/>
  <c r="BC29" i="4"/>
  <c r="BD29" i="4"/>
  <c r="BE29" i="4"/>
  <c r="BF29" i="4"/>
  <c r="BG29" i="4"/>
  <c r="BH29" i="4"/>
  <c r="BI29" i="4"/>
  <c r="BJ29" i="4"/>
  <c r="BK29" i="4"/>
  <c r="BL29" i="4"/>
  <c r="BM29" i="4"/>
  <c r="BN29" i="4"/>
  <c r="BO29" i="4"/>
  <c r="BP29" i="4"/>
  <c r="AF29" i="4"/>
  <c r="AE29" i="4"/>
  <c r="AD29" i="4"/>
  <c r="AC29" i="4"/>
  <c r="AB29" i="4"/>
  <c r="AA29" i="4"/>
  <c r="Z29" i="4"/>
</calcChain>
</file>

<file path=xl/sharedStrings.xml><?xml version="1.0" encoding="utf-8"?>
<sst xmlns="http://schemas.openxmlformats.org/spreadsheetml/2006/main" count="802" uniqueCount="204">
  <si>
    <t>Mercado de trabajo - EPH</t>
  </si>
  <si>
    <t>Total</t>
  </si>
  <si>
    <t>Sexo</t>
  </si>
  <si>
    <t>Varones</t>
  </si>
  <si>
    <t>Mujeres</t>
  </si>
  <si>
    <t>Hasta 24 años</t>
  </si>
  <si>
    <t>Entre 25 y 34 años</t>
  </si>
  <si>
    <t>Entre 35 y 49 años</t>
  </si>
  <si>
    <t>Entre 50 y 59 años</t>
  </si>
  <si>
    <t>60 años y más</t>
  </si>
  <si>
    <t>Posición en el hogar</t>
  </si>
  <si>
    <t>Jefe</t>
  </si>
  <si>
    <t>Cónyuge</t>
  </si>
  <si>
    <t>Hijo</t>
  </si>
  <si>
    <t>Otros</t>
  </si>
  <si>
    <t>Nivel educativo</t>
  </si>
  <si>
    <t>Hasta primario incompleto</t>
  </si>
  <si>
    <t>Primario completo</t>
  </si>
  <si>
    <t>Secundario incompleto</t>
  </si>
  <si>
    <t>Secundario completo</t>
  </si>
  <si>
    <t>Terc/univ incompleto</t>
  </si>
  <si>
    <t>Terc/univ completo</t>
  </si>
  <si>
    <t>1° Trim 06</t>
  </si>
  <si>
    <t>2° Trim 06</t>
  </si>
  <si>
    <t>3° Trim 06</t>
  </si>
  <si>
    <t>4° Trim 06</t>
  </si>
  <si>
    <t>1° Trim 07</t>
  </si>
  <si>
    <t>…</t>
  </si>
  <si>
    <t>Ingreso per cápita familiar</t>
  </si>
  <si>
    <t>Grupos de edad</t>
  </si>
  <si>
    <t>Notas:</t>
  </si>
  <si>
    <t>2° Trim 16</t>
  </si>
  <si>
    <t>3° Trim 16</t>
  </si>
  <si>
    <r>
      <t xml:space="preserve">2° Trim 07 </t>
    </r>
    <r>
      <rPr>
        <b/>
        <vertAlign val="superscript"/>
        <sz val="12"/>
        <rFont val="Arial"/>
        <family val="2"/>
      </rPr>
      <t>1</t>
    </r>
  </si>
  <si>
    <r>
      <t xml:space="preserve">4° Trim 07 </t>
    </r>
    <r>
      <rPr>
        <b/>
        <vertAlign val="superscript"/>
        <sz val="12"/>
        <rFont val="Arial"/>
        <family val="2"/>
      </rPr>
      <t>1</t>
    </r>
  </si>
  <si>
    <r>
      <t xml:space="preserve">1° Trim 08 </t>
    </r>
    <r>
      <rPr>
        <b/>
        <vertAlign val="superscript"/>
        <sz val="12"/>
        <rFont val="Arial"/>
        <family val="2"/>
      </rPr>
      <t>1</t>
    </r>
  </si>
  <si>
    <r>
      <t xml:space="preserve">2° Trim 08 </t>
    </r>
    <r>
      <rPr>
        <b/>
        <vertAlign val="superscript"/>
        <sz val="12"/>
        <rFont val="Arial"/>
        <family val="2"/>
      </rPr>
      <t>1</t>
    </r>
  </si>
  <si>
    <r>
      <t xml:space="preserve">3° Trim 08 </t>
    </r>
    <r>
      <rPr>
        <b/>
        <vertAlign val="superscript"/>
        <sz val="12"/>
        <rFont val="Arial"/>
        <family val="2"/>
      </rPr>
      <t>1</t>
    </r>
  </si>
  <si>
    <r>
      <t xml:space="preserve">4° Trim 08 </t>
    </r>
    <r>
      <rPr>
        <b/>
        <vertAlign val="superscript"/>
        <sz val="12"/>
        <rFont val="Arial"/>
        <family val="2"/>
      </rPr>
      <t>1</t>
    </r>
  </si>
  <si>
    <r>
      <t xml:space="preserve">1° Trim 09 </t>
    </r>
    <r>
      <rPr>
        <b/>
        <vertAlign val="superscript"/>
        <sz val="12"/>
        <rFont val="Arial"/>
        <family val="2"/>
      </rPr>
      <t>1</t>
    </r>
  </si>
  <si>
    <r>
      <t xml:space="preserve">2° Trim 09 </t>
    </r>
    <r>
      <rPr>
        <b/>
        <vertAlign val="superscript"/>
        <sz val="12"/>
        <rFont val="Arial"/>
        <family val="2"/>
      </rPr>
      <t>1</t>
    </r>
  </si>
  <si>
    <r>
      <t xml:space="preserve">3° Trim 09 </t>
    </r>
    <r>
      <rPr>
        <b/>
        <vertAlign val="superscript"/>
        <sz val="12"/>
        <rFont val="Arial"/>
        <family val="2"/>
      </rPr>
      <t>1</t>
    </r>
  </si>
  <si>
    <r>
      <t xml:space="preserve">4° Trim 09 </t>
    </r>
    <r>
      <rPr>
        <b/>
        <vertAlign val="superscript"/>
        <sz val="12"/>
        <rFont val="Arial"/>
        <family val="2"/>
      </rPr>
      <t>1</t>
    </r>
  </si>
  <si>
    <r>
      <t xml:space="preserve">1° Trim 10 </t>
    </r>
    <r>
      <rPr>
        <b/>
        <vertAlign val="superscript"/>
        <sz val="12"/>
        <rFont val="Arial"/>
        <family val="2"/>
      </rPr>
      <t>1</t>
    </r>
  </si>
  <si>
    <r>
      <t xml:space="preserve">2° Trim 10 </t>
    </r>
    <r>
      <rPr>
        <b/>
        <vertAlign val="superscript"/>
        <sz val="12"/>
        <rFont val="Arial"/>
        <family val="2"/>
      </rPr>
      <t>1</t>
    </r>
  </si>
  <si>
    <r>
      <t xml:space="preserve">3° Trim 10 </t>
    </r>
    <r>
      <rPr>
        <b/>
        <vertAlign val="superscript"/>
        <sz val="12"/>
        <rFont val="Arial"/>
        <family val="2"/>
      </rPr>
      <t>1</t>
    </r>
  </si>
  <si>
    <r>
      <t xml:space="preserve">4° Trim 10 </t>
    </r>
    <r>
      <rPr>
        <b/>
        <vertAlign val="superscript"/>
        <sz val="12"/>
        <rFont val="Arial"/>
        <family val="2"/>
      </rPr>
      <t>1</t>
    </r>
  </si>
  <si>
    <r>
      <t xml:space="preserve">1° Trim 11 </t>
    </r>
    <r>
      <rPr>
        <b/>
        <vertAlign val="superscript"/>
        <sz val="12"/>
        <rFont val="Arial"/>
        <family val="2"/>
      </rPr>
      <t>1</t>
    </r>
  </si>
  <si>
    <r>
      <t xml:space="preserve">2° Trim 11 </t>
    </r>
    <r>
      <rPr>
        <b/>
        <vertAlign val="superscript"/>
        <sz val="12"/>
        <rFont val="Arial"/>
        <family val="2"/>
      </rPr>
      <t>1</t>
    </r>
  </si>
  <si>
    <r>
      <t xml:space="preserve">3° Trim 11 </t>
    </r>
    <r>
      <rPr>
        <b/>
        <vertAlign val="superscript"/>
        <sz val="12"/>
        <rFont val="Arial"/>
        <family val="2"/>
      </rPr>
      <t>1</t>
    </r>
  </si>
  <si>
    <r>
      <t xml:space="preserve">4° Trim 11 </t>
    </r>
    <r>
      <rPr>
        <b/>
        <vertAlign val="superscript"/>
        <sz val="12"/>
        <rFont val="Arial"/>
        <family val="2"/>
      </rPr>
      <t>1</t>
    </r>
  </si>
  <si>
    <r>
      <t xml:space="preserve">1° Trim 12 </t>
    </r>
    <r>
      <rPr>
        <b/>
        <vertAlign val="superscript"/>
        <sz val="12"/>
        <rFont val="Arial"/>
        <family val="2"/>
      </rPr>
      <t>1</t>
    </r>
  </si>
  <si>
    <r>
      <t xml:space="preserve">2° Trim 12 </t>
    </r>
    <r>
      <rPr>
        <b/>
        <vertAlign val="superscript"/>
        <sz val="12"/>
        <rFont val="Arial"/>
        <family val="2"/>
      </rPr>
      <t>1</t>
    </r>
  </si>
  <si>
    <r>
      <t xml:space="preserve">3° Trim 12 </t>
    </r>
    <r>
      <rPr>
        <b/>
        <vertAlign val="superscript"/>
        <sz val="12"/>
        <rFont val="Arial"/>
        <family val="2"/>
      </rPr>
      <t>1</t>
    </r>
  </si>
  <si>
    <r>
      <t xml:space="preserve">4° Trim 12 </t>
    </r>
    <r>
      <rPr>
        <b/>
        <vertAlign val="superscript"/>
        <sz val="12"/>
        <rFont val="Arial"/>
        <family val="2"/>
      </rPr>
      <t>1</t>
    </r>
  </si>
  <si>
    <r>
      <t xml:space="preserve">1° Trim 13 </t>
    </r>
    <r>
      <rPr>
        <b/>
        <vertAlign val="superscript"/>
        <sz val="12"/>
        <rFont val="Arial"/>
        <family val="2"/>
      </rPr>
      <t>1</t>
    </r>
  </si>
  <si>
    <r>
      <t xml:space="preserve">2° Trim 13 </t>
    </r>
    <r>
      <rPr>
        <b/>
        <vertAlign val="superscript"/>
        <sz val="12"/>
        <rFont val="Arial"/>
        <family val="2"/>
      </rPr>
      <t>1</t>
    </r>
  </si>
  <si>
    <r>
      <t xml:space="preserve">3° Trim 13 </t>
    </r>
    <r>
      <rPr>
        <b/>
        <vertAlign val="superscript"/>
        <sz val="12"/>
        <rFont val="Arial"/>
        <family val="2"/>
      </rPr>
      <t>1</t>
    </r>
  </si>
  <si>
    <r>
      <t xml:space="preserve">4° Trim 13 </t>
    </r>
    <r>
      <rPr>
        <b/>
        <vertAlign val="superscript"/>
        <sz val="12"/>
        <rFont val="Arial"/>
        <family val="2"/>
      </rPr>
      <t>1</t>
    </r>
  </si>
  <si>
    <r>
      <t xml:space="preserve">2° Trim 14 </t>
    </r>
    <r>
      <rPr>
        <b/>
        <vertAlign val="superscript"/>
        <sz val="12"/>
        <rFont val="Arial"/>
        <family val="2"/>
      </rPr>
      <t>1</t>
    </r>
  </si>
  <si>
    <r>
      <t xml:space="preserve">3° Trim 14 </t>
    </r>
    <r>
      <rPr>
        <b/>
        <vertAlign val="superscript"/>
        <sz val="12"/>
        <rFont val="Arial"/>
        <family val="2"/>
      </rPr>
      <t>1</t>
    </r>
  </si>
  <si>
    <r>
      <t xml:space="preserve">4° Trim 14 </t>
    </r>
    <r>
      <rPr>
        <b/>
        <vertAlign val="superscript"/>
        <sz val="12"/>
        <rFont val="Arial"/>
        <family val="2"/>
      </rPr>
      <t>1</t>
    </r>
  </si>
  <si>
    <r>
      <t xml:space="preserve">1° Trim 15 </t>
    </r>
    <r>
      <rPr>
        <b/>
        <vertAlign val="superscript"/>
        <sz val="12"/>
        <rFont val="Arial"/>
        <family val="2"/>
      </rPr>
      <t>1</t>
    </r>
  </si>
  <si>
    <r>
      <t xml:space="preserve">3° Trim 07 </t>
    </r>
    <r>
      <rPr>
        <b/>
        <vertAlign val="superscript"/>
        <sz val="12"/>
        <rFont val="Arial"/>
        <family val="2"/>
      </rPr>
      <t>2</t>
    </r>
  </si>
  <si>
    <t>2. No se presenta la información debido a que en dicho trimestre no se relevaron algunos de los principales aglomerados de la EPH (GBA, Mar del Plata, Bahía Blanca y Gran La Plata).</t>
  </si>
  <si>
    <t>3. A partir del 1° trimestre de 2014 todas las viviendas seleccionadas para la EPH fueron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de períodos anteriores.</t>
  </si>
  <si>
    <t>4° Trim 16</t>
  </si>
  <si>
    <t>1° Trim 17</t>
  </si>
  <si>
    <t>2° Trim 17</t>
  </si>
  <si>
    <t>3° Trim 17</t>
  </si>
  <si>
    <t>4° Trim 17</t>
  </si>
  <si>
    <t>1° Trim 18</t>
  </si>
  <si>
    <t>2° Trim 18</t>
  </si>
  <si>
    <t>3° Trim 18</t>
  </si>
  <si>
    <r>
      <t xml:space="preserve">3° Trim 15 </t>
    </r>
    <r>
      <rPr>
        <b/>
        <vertAlign val="superscript"/>
        <sz val="12"/>
        <rFont val="Arial"/>
        <family val="2"/>
      </rPr>
      <t>1 4</t>
    </r>
  </si>
  <si>
    <r>
      <t xml:space="preserve">4° Trim 15 </t>
    </r>
    <r>
      <rPr>
        <b/>
        <vertAlign val="superscript"/>
        <sz val="12"/>
        <rFont val="Arial"/>
        <family val="2"/>
      </rPr>
      <t>1 4</t>
    </r>
  </si>
  <si>
    <r>
      <t xml:space="preserve">1° Trim 16 </t>
    </r>
    <r>
      <rPr>
        <b/>
        <vertAlign val="superscript"/>
        <sz val="12"/>
        <rFont val="Arial"/>
        <family val="2"/>
      </rPr>
      <t>4</t>
    </r>
  </si>
  <si>
    <t>4. Información no disponible</t>
  </si>
  <si>
    <t>3° Trim 03</t>
  </si>
  <si>
    <t>4° Trim 03</t>
  </si>
  <si>
    <t>1° Trim 04</t>
  </si>
  <si>
    <t>2° Trim 04</t>
  </si>
  <si>
    <t>3° Trim 04</t>
  </si>
  <si>
    <t>4° Trim 04</t>
  </si>
  <si>
    <t>1° Trim 05</t>
  </si>
  <si>
    <t>2° Trim 05</t>
  </si>
  <si>
    <t>3° Trim 05</t>
  </si>
  <si>
    <t>4° Trim 05</t>
  </si>
  <si>
    <t>4° Trim 18</t>
  </si>
  <si>
    <t>1° Trim 19</t>
  </si>
  <si>
    <t>2° Trim 19</t>
  </si>
  <si>
    <t>3° Trim 19</t>
  </si>
  <si>
    <t>4° Trim 19</t>
  </si>
  <si>
    <t>1° Trim 20</t>
  </si>
  <si>
    <t>2° Trim 20</t>
  </si>
  <si>
    <t>3° Trim 20</t>
  </si>
  <si>
    <t>4° Trim 20</t>
  </si>
  <si>
    <r>
      <t>Población ocupada</t>
    </r>
    <r>
      <rPr>
        <b/>
        <vertAlign val="superscript"/>
        <sz val="14"/>
        <color indexed="9"/>
        <rFont val="Arial"/>
        <family val="2"/>
      </rPr>
      <t xml:space="preserve"> </t>
    </r>
    <r>
      <rPr>
        <b/>
        <sz val="14"/>
        <color indexed="9"/>
        <rFont val="Arial"/>
        <family val="2"/>
      </rPr>
      <t xml:space="preserve"> según sexo, grupos de edad, posición en el hogar, nivel educativo, categoría ocupacional, rama de actividad, tamaño del establecimiento, calificación de la tarea, horas trabajadas y quintil de ingreso per cápita familiar</t>
    </r>
  </si>
  <si>
    <t>Total aglomerados relevados  (en miles de personas)</t>
  </si>
  <si>
    <r>
      <t xml:space="preserve">3° Trim 07 </t>
    </r>
    <r>
      <rPr>
        <b/>
        <vertAlign val="superscript"/>
        <sz val="12"/>
        <rFont val="Arial"/>
        <family val="2"/>
      </rPr>
      <t>1 2</t>
    </r>
  </si>
  <si>
    <r>
      <t xml:space="preserve">1° Trim 14 </t>
    </r>
    <r>
      <rPr>
        <b/>
        <vertAlign val="superscript"/>
        <sz val="12"/>
        <rFont val="Arial"/>
        <family val="2"/>
      </rPr>
      <t>13</t>
    </r>
  </si>
  <si>
    <r>
      <t xml:space="preserve">2° Trim 15 </t>
    </r>
    <r>
      <rPr>
        <b/>
        <vertAlign val="superscript"/>
        <sz val="12"/>
        <rFont val="Arial"/>
        <family val="2"/>
      </rPr>
      <t>1</t>
    </r>
  </si>
  <si>
    <t>Categoría ocupacional</t>
  </si>
  <si>
    <t>Patrón</t>
  </si>
  <si>
    <t>Cuenta propia</t>
  </si>
  <si>
    <t>Obrero o empleado</t>
  </si>
  <si>
    <t>Trabajador familiar</t>
  </si>
  <si>
    <t>Rama de actividad</t>
  </si>
  <si>
    <t>Actividades primarias</t>
  </si>
  <si>
    <t>Industria manufacturera</t>
  </si>
  <si>
    <t>Construcción</t>
  </si>
  <si>
    <t>Comercio</t>
  </si>
  <si>
    <t>Hoteles y restaurantes</t>
  </si>
  <si>
    <t>Transporte, almacenaje y comunicaciones</t>
  </si>
  <si>
    <t>Serv financieros, inmobiliarios, alquileres y empresariales</t>
  </si>
  <si>
    <t>Enseñanza</t>
  </si>
  <si>
    <t>Servicios sociales y de salud</t>
  </si>
  <si>
    <t>Trabajo doméstico</t>
  </si>
  <si>
    <r>
      <t xml:space="preserve"> Otros servicios comunitarios, sociales y personales </t>
    </r>
    <r>
      <rPr>
        <vertAlign val="superscript"/>
        <sz val="10"/>
        <rFont val="Arial"/>
        <family val="2"/>
      </rPr>
      <t>5</t>
    </r>
  </si>
  <si>
    <t>Otras ramas</t>
  </si>
  <si>
    <t>Sin especificar</t>
  </si>
  <si>
    <t>Tamaño del establecimiento</t>
  </si>
  <si>
    <t>Hasta 5 personas</t>
  </si>
  <si>
    <t>De 6 a 40 personas</t>
  </si>
  <si>
    <t>Más de 40 personas</t>
  </si>
  <si>
    <t>Calificación de la tarea</t>
  </si>
  <si>
    <t>Profesional</t>
  </si>
  <si>
    <t>Técnica</t>
  </si>
  <si>
    <t>Operativa</t>
  </si>
  <si>
    <t>Sin calificación</t>
  </si>
  <si>
    <t>Horas trabajadas</t>
  </si>
  <si>
    <t>Hasta 19 horas</t>
  </si>
  <si>
    <t>De 20 a 34 horas</t>
  </si>
  <si>
    <t>De 35 a 45 horas</t>
  </si>
  <si>
    <t>De 46 a 60 horas</t>
  </si>
  <si>
    <t>Más de 60 horas</t>
  </si>
  <si>
    <t>No trabajó en la semana</t>
  </si>
  <si>
    <r>
      <t>1</t>
    </r>
    <r>
      <rPr>
        <vertAlign val="superscript"/>
        <sz val="10"/>
        <rFont val="Arial"/>
        <family val="2"/>
      </rPr>
      <t>er</t>
    </r>
    <r>
      <rPr>
        <sz val="10"/>
        <rFont val="Arial"/>
        <family val="2"/>
      </rPr>
      <t xml:space="preserve"> Quintil</t>
    </r>
  </si>
  <si>
    <t>2do Quintil</t>
  </si>
  <si>
    <t>3er Quintil</t>
  </si>
  <si>
    <t>4to Quintil</t>
  </si>
  <si>
    <t>5to Quintil</t>
  </si>
  <si>
    <t>1.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</si>
  <si>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5. Incluye Administración pública y defensa, Asociaciones sindicales, empresariales y sociales, Servicios culturales y deportivos, entre otros.</t>
  </si>
  <si>
    <t>Fuente: MTEySS – SSPEyE - Dirección General de Estudios  y Estadísticas Laborales, en base a EPH (INDEC).</t>
  </si>
  <si>
    <t>Servicios financieros, inmobiliarios, alquileres y empresariales</t>
  </si>
  <si>
    <r>
      <t xml:space="preserve">Empleo no registrado </t>
    </r>
    <r>
      <rPr>
        <b/>
        <vertAlign val="superscript"/>
        <sz val="14"/>
        <color indexed="9"/>
        <rFont val="Arial"/>
        <family val="2"/>
      </rPr>
      <t>1</t>
    </r>
    <r>
      <rPr>
        <b/>
        <sz val="14"/>
        <color indexed="9"/>
        <rFont val="Arial"/>
        <family val="2"/>
      </rPr>
      <t xml:space="preserve"> según sexo, grupos de edad, posición en el hogar, nivel educativo, rama de actividad, tamaño de establecimiento calificación de la tarea, horas trabajadas y quintil de ingreso per cápita familiar</t>
    </r>
  </si>
  <si>
    <r>
      <t xml:space="preserve">Total aglomerados relevados </t>
    </r>
    <r>
      <rPr>
        <b/>
        <i/>
        <sz val="11"/>
        <color indexed="9"/>
        <rFont val="Arial"/>
        <family val="2"/>
      </rPr>
      <t>(en miles de personas)</t>
    </r>
  </si>
  <si>
    <r>
      <t xml:space="preserve">2° Trim 07 </t>
    </r>
    <r>
      <rPr>
        <b/>
        <vertAlign val="superscript"/>
        <sz val="12"/>
        <rFont val="Arial"/>
        <family val="2"/>
      </rPr>
      <t>2</t>
    </r>
  </si>
  <si>
    <r>
      <t xml:space="preserve">4° Trim 07 </t>
    </r>
    <r>
      <rPr>
        <b/>
        <vertAlign val="superscript"/>
        <sz val="12"/>
        <rFont val="Arial"/>
        <family val="2"/>
      </rPr>
      <t>2</t>
    </r>
  </si>
  <si>
    <r>
      <t xml:space="preserve">1° Trim 08 </t>
    </r>
    <r>
      <rPr>
        <b/>
        <vertAlign val="superscript"/>
        <sz val="12"/>
        <rFont val="Arial"/>
        <family val="2"/>
      </rPr>
      <t>2</t>
    </r>
  </si>
  <si>
    <r>
      <t xml:space="preserve">2° Trim 08 </t>
    </r>
    <r>
      <rPr>
        <b/>
        <vertAlign val="superscript"/>
        <sz val="12"/>
        <rFont val="Arial"/>
        <family val="2"/>
      </rPr>
      <t>2</t>
    </r>
  </si>
  <si>
    <r>
      <t xml:space="preserve">3° Trim 08 </t>
    </r>
    <r>
      <rPr>
        <b/>
        <vertAlign val="superscript"/>
        <sz val="12"/>
        <rFont val="Arial"/>
        <family val="2"/>
      </rPr>
      <t>2</t>
    </r>
  </si>
  <si>
    <r>
      <t xml:space="preserve">4° Trim 08 </t>
    </r>
    <r>
      <rPr>
        <b/>
        <vertAlign val="superscript"/>
        <sz val="12"/>
        <rFont val="Arial"/>
        <family val="2"/>
      </rPr>
      <t>2</t>
    </r>
  </si>
  <si>
    <r>
      <t xml:space="preserve">1° Trim 09 </t>
    </r>
    <r>
      <rPr>
        <b/>
        <vertAlign val="superscript"/>
        <sz val="12"/>
        <rFont val="Arial"/>
        <family val="2"/>
      </rPr>
      <t>2</t>
    </r>
  </si>
  <si>
    <r>
      <t xml:space="preserve">2° Trim 09 </t>
    </r>
    <r>
      <rPr>
        <b/>
        <vertAlign val="superscript"/>
        <sz val="12"/>
        <rFont val="Arial"/>
        <family val="2"/>
      </rPr>
      <t>2</t>
    </r>
  </si>
  <si>
    <r>
      <t xml:space="preserve">3° Trim 09 </t>
    </r>
    <r>
      <rPr>
        <b/>
        <vertAlign val="superscript"/>
        <sz val="12"/>
        <rFont val="Arial"/>
        <family val="2"/>
      </rPr>
      <t>2</t>
    </r>
  </si>
  <si>
    <r>
      <t xml:space="preserve">4° Trim 09 </t>
    </r>
    <r>
      <rPr>
        <b/>
        <vertAlign val="superscript"/>
        <sz val="12"/>
        <rFont val="Arial"/>
        <family val="2"/>
      </rPr>
      <t>2</t>
    </r>
  </si>
  <si>
    <r>
      <t xml:space="preserve">1° Trim 10 </t>
    </r>
    <r>
      <rPr>
        <b/>
        <vertAlign val="superscript"/>
        <sz val="12"/>
        <rFont val="Arial"/>
        <family val="2"/>
      </rPr>
      <t>2</t>
    </r>
  </si>
  <si>
    <r>
      <t xml:space="preserve">2° Trim 10 </t>
    </r>
    <r>
      <rPr>
        <b/>
        <vertAlign val="superscript"/>
        <sz val="12"/>
        <rFont val="Arial"/>
        <family val="2"/>
      </rPr>
      <t>2</t>
    </r>
  </si>
  <si>
    <r>
      <t xml:space="preserve">3° Trim 10 </t>
    </r>
    <r>
      <rPr>
        <b/>
        <vertAlign val="superscript"/>
        <sz val="12"/>
        <rFont val="Arial"/>
        <family val="2"/>
      </rPr>
      <t>2</t>
    </r>
  </si>
  <si>
    <r>
      <t xml:space="preserve">4° Trim 10 </t>
    </r>
    <r>
      <rPr>
        <b/>
        <vertAlign val="superscript"/>
        <sz val="12"/>
        <rFont val="Arial"/>
        <family val="2"/>
      </rPr>
      <t>2</t>
    </r>
  </si>
  <si>
    <r>
      <t xml:space="preserve">1° Trim 11 </t>
    </r>
    <r>
      <rPr>
        <b/>
        <vertAlign val="superscript"/>
        <sz val="12"/>
        <rFont val="Arial"/>
        <family val="2"/>
      </rPr>
      <t>2</t>
    </r>
  </si>
  <si>
    <r>
      <t xml:space="preserve">2° Trim 11 </t>
    </r>
    <r>
      <rPr>
        <b/>
        <vertAlign val="superscript"/>
        <sz val="12"/>
        <rFont val="Arial"/>
        <family val="2"/>
      </rPr>
      <t>2</t>
    </r>
  </si>
  <si>
    <r>
      <t xml:space="preserve">3° Trim 11 </t>
    </r>
    <r>
      <rPr>
        <b/>
        <vertAlign val="superscript"/>
        <sz val="12"/>
        <rFont val="Arial"/>
        <family val="2"/>
      </rPr>
      <t>2</t>
    </r>
  </si>
  <si>
    <r>
      <t xml:space="preserve">4° Trim 11 </t>
    </r>
    <r>
      <rPr>
        <b/>
        <vertAlign val="superscript"/>
        <sz val="12"/>
        <rFont val="Arial"/>
        <family val="2"/>
      </rPr>
      <t>2</t>
    </r>
  </si>
  <si>
    <r>
      <t xml:space="preserve">1° Trim 12 </t>
    </r>
    <r>
      <rPr>
        <b/>
        <vertAlign val="superscript"/>
        <sz val="12"/>
        <rFont val="Arial"/>
        <family val="2"/>
      </rPr>
      <t>2</t>
    </r>
  </si>
  <si>
    <r>
      <t xml:space="preserve">2° Trim 12 </t>
    </r>
    <r>
      <rPr>
        <b/>
        <vertAlign val="superscript"/>
        <sz val="12"/>
        <rFont val="Arial"/>
        <family val="2"/>
      </rPr>
      <t>2</t>
    </r>
  </si>
  <si>
    <r>
      <t xml:space="preserve">3° Trim 12 </t>
    </r>
    <r>
      <rPr>
        <b/>
        <vertAlign val="superscript"/>
        <sz val="12"/>
        <rFont val="Arial"/>
        <family val="2"/>
      </rPr>
      <t>2</t>
    </r>
  </si>
  <si>
    <r>
      <t xml:space="preserve">4° Trim 12 </t>
    </r>
    <r>
      <rPr>
        <b/>
        <vertAlign val="superscript"/>
        <sz val="12"/>
        <rFont val="Arial"/>
        <family val="2"/>
      </rPr>
      <t>2</t>
    </r>
  </si>
  <si>
    <r>
      <t xml:space="preserve">1° Trim 13 </t>
    </r>
    <r>
      <rPr>
        <b/>
        <vertAlign val="superscript"/>
        <sz val="12"/>
        <rFont val="Arial"/>
        <family val="2"/>
      </rPr>
      <t>2</t>
    </r>
  </si>
  <si>
    <r>
      <t xml:space="preserve">2° Trim 13 </t>
    </r>
    <r>
      <rPr>
        <b/>
        <vertAlign val="superscript"/>
        <sz val="12"/>
        <rFont val="Arial"/>
        <family val="2"/>
      </rPr>
      <t>2</t>
    </r>
  </si>
  <si>
    <r>
      <t xml:space="preserve">3° Trim 13 </t>
    </r>
    <r>
      <rPr>
        <b/>
        <vertAlign val="superscript"/>
        <sz val="12"/>
        <rFont val="Arial"/>
        <family val="2"/>
      </rPr>
      <t>2</t>
    </r>
  </si>
  <si>
    <r>
      <t xml:space="preserve">4° Trim 13 </t>
    </r>
    <r>
      <rPr>
        <b/>
        <vertAlign val="superscript"/>
        <sz val="12"/>
        <rFont val="Arial"/>
        <family val="2"/>
      </rPr>
      <t>2</t>
    </r>
  </si>
  <si>
    <r>
      <t xml:space="preserve">1° Trim 14 </t>
    </r>
    <r>
      <rPr>
        <b/>
        <vertAlign val="superscript"/>
        <sz val="12"/>
        <rFont val="Arial"/>
        <family val="2"/>
      </rPr>
      <t>2 3</t>
    </r>
  </si>
  <si>
    <r>
      <t xml:space="preserve">2° Trim 14 </t>
    </r>
    <r>
      <rPr>
        <b/>
        <vertAlign val="superscript"/>
        <sz val="12"/>
        <rFont val="Arial"/>
        <family val="2"/>
      </rPr>
      <t>2</t>
    </r>
  </si>
  <si>
    <r>
      <t xml:space="preserve">3° Trim 14 </t>
    </r>
    <r>
      <rPr>
        <b/>
        <vertAlign val="superscript"/>
        <sz val="12"/>
        <rFont val="Arial"/>
        <family val="2"/>
      </rPr>
      <t>2</t>
    </r>
  </si>
  <si>
    <r>
      <t xml:space="preserve">4° Trim 14 </t>
    </r>
    <r>
      <rPr>
        <b/>
        <vertAlign val="superscript"/>
        <sz val="12"/>
        <rFont val="Arial"/>
        <family val="2"/>
      </rPr>
      <t>2</t>
    </r>
  </si>
  <si>
    <r>
      <t xml:space="preserve">1° Trim 15 </t>
    </r>
    <r>
      <rPr>
        <b/>
        <vertAlign val="superscript"/>
        <sz val="12"/>
        <rFont val="Arial"/>
        <family val="2"/>
      </rPr>
      <t>2</t>
    </r>
  </si>
  <si>
    <r>
      <t xml:space="preserve">2° Trim 15 </t>
    </r>
    <r>
      <rPr>
        <b/>
        <vertAlign val="superscript"/>
        <sz val="12"/>
        <rFont val="Arial"/>
        <family val="2"/>
      </rPr>
      <t>2</t>
    </r>
  </si>
  <si>
    <r>
      <t xml:space="preserve">3° Trim 15 </t>
    </r>
    <r>
      <rPr>
        <b/>
        <vertAlign val="superscript"/>
        <sz val="12"/>
        <rFont val="Arial"/>
        <family val="2"/>
      </rPr>
      <t>2 4</t>
    </r>
  </si>
  <si>
    <r>
      <t xml:space="preserve">4° Trim 15 </t>
    </r>
    <r>
      <rPr>
        <b/>
        <vertAlign val="superscript"/>
        <sz val="12"/>
        <rFont val="Arial"/>
        <family val="2"/>
      </rPr>
      <t>2 4</t>
    </r>
  </si>
  <si>
    <t>Industria manufaturera</t>
  </si>
  <si>
    <r>
      <t xml:space="preserve"> Otros servicios comunitarios, sociales y personales </t>
    </r>
    <r>
      <rPr>
        <vertAlign val="superscript"/>
        <sz val="10"/>
        <rFont val="Verdana"/>
        <family val="2"/>
      </rPr>
      <t>5</t>
    </r>
  </si>
  <si>
    <t>hasta 5 personas</t>
  </si>
  <si>
    <t>de 6 a 40 personas</t>
  </si>
  <si>
    <t>más de 40 personas</t>
  </si>
  <si>
    <t>hasta 19</t>
  </si>
  <si>
    <t>20 a 34</t>
  </si>
  <si>
    <t>35 a 45</t>
  </si>
  <si>
    <t>46 a 60</t>
  </si>
  <si>
    <t>más de 60</t>
  </si>
  <si>
    <r>
      <t>1</t>
    </r>
    <r>
      <rPr>
        <vertAlign val="superscript"/>
        <sz val="10"/>
        <rFont val="Verdana"/>
        <family val="2"/>
      </rPr>
      <t>er</t>
    </r>
    <r>
      <rPr>
        <sz val="10"/>
        <rFont val="Verdana"/>
        <family val="2"/>
      </rPr>
      <t xml:space="preserve"> Quintil</t>
    </r>
  </si>
  <si>
    <t>1. Empleo no registrado considerando a los asalariados de 18 años y más. De acuerdo a la Ley Nacional del Sistema Integrado de Jubilaciones y Pensiones (Ley 24.241), son los asalariados mayores de 18 años los que se encuentran obligados a realizar aportes a la seguridad social (Artículo 2).</t>
  </si>
  <si>
    <t>2. El INDEC ha dispuesto que las series estadísticas de la EPH del período comprendido entre el 2° trimestre de 2007 y hasta diciembre 2015 deben ser consideradas con reservas, conforme a la emergencia estadística (Decretos 181/15 y 55/16) . Ver "Consideración sobre la revisión, evaluación y recuperación de la EPH" publicado por INDEC el 23/8/2016.</t>
  </si>
  <si>
    <t>3. A partir del 1° trimestre de 2014 todas las viviendas seleccionadas para la EPH son extraídas de la Muestra Maestra Urbana de Viviendas (MMUVRA), basada en el CNPHV 2010, y todas las estimaciones finales se ajustan de acuerdo a las proyecciones de población del CNPHyV 2010. Esto produce cambios de diferente significación en relación a las estructuras de las poblaciones proyectadas lo cual impacta en las estimaciones sobre propiedades asociadas a la distribución por sexo o por edades. Las poblaciones ajustadas según las proyecciones del CNPHyV 2010 exhiben Tasas de actividad y de empleo menores que las ajustadas según las proyecciones del CNPHyV 2001. Es decir que las estimaciones de la EPH a partir del año 2014 no son estrictamente comparables con las anteriores.</t>
  </si>
  <si>
    <t>Formales</t>
  </si>
  <si>
    <t>Informales</t>
  </si>
  <si>
    <t>Sectores</t>
  </si>
  <si>
    <t>Otros servicios comunitarios, sociales y personales</t>
  </si>
  <si>
    <t>Variaciones 1q ahead</t>
  </si>
  <si>
    <t>Variaciones 2q ahead</t>
  </si>
  <si>
    <t>Variaciones 3q ahead</t>
  </si>
  <si>
    <t>Promedio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</si>
</sst>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64" formatCode="_ * #,##0.00_ ;_ * \-#,##0.00_ ;_ * &quot;-&quot;??_ ;_ @_ "/>
    <numFmt numFmtId="165" formatCode="_ * #,##0.0_ ;_ * \-#,##0.0_ ;_ * &quot;-&quot;??_ ;_ @_ "/>
    <numFmt numFmtId="166" formatCode="_ * #,##0_ ;_ * \-#,##0_ ;_ * &quot;-&quot;??_ ;_ @_ "/>
    <numFmt numFmtId="167" formatCode="#.##000"/>
    <numFmt numFmtId="168" formatCode="\$#,#00"/>
    <numFmt numFmtId="169" formatCode="#,#00"/>
    <numFmt numFmtId="170" formatCode="#.##0,"/>
    <numFmt numFmtId="171" formatCode="\$#,"/>
    <numFmt numFmtId="172" formatCode="_ [$€-2]\ * #,##0.00_ ;_ [$€-2]\ * \-#,##0.00_ ;_ [$€-2]\ * &quot;-&quot;??_ "/>
    <numFmt numFmtId="173" formatCode="&quot;$&quot;#,##0\ ;\(&quot;$&quot;#,##0\)"/>
  </numFmts>
  <fonts count="52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indexed="8"/>
      <name val="Arial"/>
      <family val="2"/>
    </font>
    <font>
      <sz val="11"/>
      <color indexed="8"/>
      <name val="Calibri"/>
      <family val="2"/>
    </font>
    <font>
      <sz val="10"/>
      <color indexed="9"/>
      <name val="Arial"/>
      <family val="2"/>
    </font>
    <font>
      <sz val="11"/>
      <color indexed="9"/>
      <name val="Calibri"/>
      <family val="2"/>
    </font>
    <font>
      <sz val="10"/>
      <color indexed="20"/>
      <name val="Arial"/>
      <family val="2"/>
    </font>
    <font>
      <sz val="11"/>
      <color indexed="17"/>
      <name val="Calibri"/>
      <family val="2"/>
    </font>
    <font>
      <b/>
      <sz val="1"/>
      <color indexed="8"/>
      <name val="Courier"/>
      <family val="3"/>
    </font>
    <font>
      <b/>
      <sz val="10"/>
      <color indexed="52"/>
      <name val="Arial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0"/>
      <color indexed="9"/>
      <name val="Arial"/>
      <family val="2"/>
    </font>
    <font>
      <sz val="10"/>
      <color indexed="22"/>
      <name val="Arial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2"/>
      <name val="Helv"/>
    </font>
    <font>
      <i/>
      <sz val="10"/>
      <color indexed="23"/>
      <name val="Arial"/>
      <family val="2"/>
    </font>
    <font>
      <sz val="1"/>
      <color indexed="8"/>
      <name val="Courier"/>
      <family val="3"/>
    </font>
    <font>
      <sz val="10"/>
      <color indexed="17"/>
      <name val="Arial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6"/>
      <name val="Arial"/>
      <family val="2"/>
    </font>
    <font>
      <sz val="11"/>
      <color indexed="20"/>
      <name val="Calibri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sz val="10"/>
      <name val="Verdana"/>
      <family val="2"/>
    </font>
    <font>
      <b/>
      <sz val="10"/>
      <color indexed="63"/>
      <name val="Arial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sz val="10"/>
      <color indexed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sz val="14"/>
      <color indexed="9"/>
      <name val="Arial"/>
      <family val="2"/>
    </font>
    <font>
      <b/>
      <sz val="11"/>
      <color indexed="9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sz val="10"/>
      <color theme="4"/>
      <name val="Arial"/>
      <family val="2"/>
    </font>
    <font>
      <sz val="10"/>
      <color theme="1"/>
      <name val="Arial"/>
      <family val="2"/>
    </font>
    <font>
      <b/>
      <vertAlign val="superscript"/>
      <sz val="14"/>
      <color indexed="9"/>
      <name val="Arial"/>
      <family val="2"/>
    </font>
    <font>
      <vertAlign val="superscript"/>
      <sz val="10"/>
      <name val="Arial"/>
      <family val="2"/>
    </font>
    <font>
      <b/>
      <i/>
      <sz val="11"/>
      <color indexed="9"/>
      <name val="Arial"/>
      <family val="2"/>
    </font>
    <font>
      <vertAlign val="superscript"/>
      <sz val="10"/>
      <name val="Verdana"/>
      <family val="2"/>
    </font>
    <font>
      <sz val="10"/>
      <color rgb="FFFF0000"/>
      <name val="Arial"/>
      <family val="2"/>
    </font>
    <font>
      <b/>
      <sz val="10"/>
      <color rgb="FFFF0000"/>
      <name val="Arial"/>
      <family val="2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4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/>
      <right/>
      <top/>
      <bottom style="medium">
        <color indexed="30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 style="double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</borders>
  <cellStyleXfs count="105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4" fillId="4" borderId="0" applyNumberFormat="0" applyBorder="0" applyAlignment="0" applyProtection="0"/>
    <xf numFmtId="0" fontId="4" fillId="5" borderId="0" applyNumberFormat="0" applyBorder="0" applyAlignment="0" applyProtection="0"/>
    <xf numFmtId="0" fontId="4" fillId="6" borderId="0" applyNumberFormat="0" applyBorder="0" applyAlignment="0" applyProtection="0"/>
    <xf numFmtId="0" fontId="4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8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5" borderId="0" applyNumberFormat="0" applyBorder="0" applyAlignment="0" applyProtection="0"/>
    <xf numFmtId="0" fontId="4" fillId="8" borderId="0" applyNumberFormat="0" applyBorder="0" applyAlignment="0" applyProtection="0"/>
    <xf numFmtId="0" fontId="4" fillId="11" borderId="0" applyNumberFormat="0" applyBorder="0" applyAlignment="0" applyProtection="0"/>
    <xf numFmtId="0" fontId="5" fillId="12" borderId="0" applyNumberFormat="0" applyBorder="0" applyAlignment="0" applyProtection="0"/>
    <xf numFmtId="0" fontId="5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6" fillId="12" borderId="0" applyNumberFormat="0" applyBorder="0" applyAlignment="0" applyProtection="0"/>
    <xf numFmtId="0" fontId="6" fillId="9" borderId="0" applyNumberFormat="0" applyBorder="0" applyAlignment="0" applyProtection="0"/>
    <xf numFmtId="0" fontId="6" fillId="10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5" borderId="0" applyNumberFormat="0" applyBorder="0" applyAlignment="0" applyProtection="0"/>
    <xf numFmtId="0" fontId="5" fillId="16" borderId="0" applyNumberFormat="0" applyBorder="0" applyAlignment="0" applyProtection="0"/>
    <xf numFmtId="0" fontId="5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9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0" borderId="0">
      <protection locked="0"/>
    </xf>
    <xf numFmtId="0" fontId="9" fillId="0" borderId="0">
      <protection locked="0"/>
    </xf>
    <xf numFmtId="0" fontId="10" fillId="20" borderId="1" applyNumberFormat="0" applyAlignment="0" applyProtection="0"/>
    <xf numFmtId="0" fontId="11" fillId="20" borderId="1" applyNumberFormat="0" applyAlignment="0" applyProtection="0"/>
    <xf numFmtId="0" fontId="12" fillId="21" borderId="2" applyNumberFormat="0" applyAlignment="0" applyProtection="0"/>
    <xf numFmtId="0" fontId="13" fillId="0" borderId="3" applyNumberFormat="0" applyFill="0" applyAlignment="0" applyProtection="0"/>
    <xf numFmtId="0" fontId="14" fillId="21" borderId="2" applyNumberFormat="0" applyAlignment="0" applyProtection="0"/>
    <xf numFmtId="3" fontId="15" fillId="0" borderId="0" applyFont="0" applyFill="0" applyBorder="0" applyAlignment="0" applyProtection="0"/>
    <xf numFmtId="173" fontId="15" fillId="0" borderId="0" applyFont="0" applyFill="0" applyBorder="0" applyAlignment="0" applyProtection="0"/>
    <xf numFmtId="0" fontId="15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6" fillId="16" borderId="0" applyNumberFormat="0" applyBorder="0" applyAlignment="0" applyProtection="0"/>
    <xf numFmtId="0" fontId="6" fillId="17" borderId="0" applyNumberFormat="0" applyBorder="0" applyAlignment="0" applyProtection="0"/>
    <xf numFmtId="0" fontId="6" fillId="18" borderId="0" applyNumberFormat="0" applyBorder="0" applyAlignment="0" applyProtection="0"/>
    <xf numFmtId="0" fontId="6" fillId="13" borderId="0" applyNumberFormat="0" applyBorder="0" applyAlignment="0" applyProtection="0"/>
    <xf numFmtId="0" fontId="6" fillId="14" borderId="0" applyNumberFormat="0" applyBorder="0" applyAlignment="0" applyProtection="0"/>
    <xf numFmtId="0" fontId="6" fillId="19" borderId="0" applyNumberFormat="0" applyBorder="0" applyAlignment="0" applyProtection="0"/>
    <xf numFmtId="0" fontId="17" fillId="7" borderId="1" applyNumberFormat="0" applyAlignment="0" applyProtection="0"/>
    <xf numFmtId="0" fontId="18" fillId="0" borderId="0"/>
    <xf numFmtId="172" fontId="2" fillId="0" borderId="0" applyFon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>
      <protection locked="0"/>
    </xf>
    <xf numFmtId="169" fontId="20" fillId="0" borderId="0">
      <protection locked="0"/>
    </xf>
    <xf numFmtId="2" fontId="15" fillId="0" borderId="0" applyFont="0" applyFill="0" applyBorder="0" applyAlignment="0" applyProtection="0"/>
    <xf numFmtId="0" fontId="21" fillId="4" borderId="0" applyNumberFormat="0" applyBorder="0" applyAlignment="0" applyProtection="0"/>
    <xf numFmtId="0" fontId="22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4" fillId="0" borderId="4" applyNumberFormat="0" applyFill="0" applyAlignment="0" applyProtection="0"/>
    <xf numFmtId="0" fontId="24" fillId="0" borderId="0" applyNumberFormat="0" applyFill="0" applyBorder="0" applyAlignment="0" applyProtection="0"/>
    <xf numFmtId="0" fontId="25" fillId="3" borderId="0" applyNumberFormat="0" applyBorder="0" applyAlignment="0" applyProtection="0"/>
    <xf numFmtId="0" fontId="26" fillId="7" borderId="1" applyNumberFormat="0" applyAlignment="0" applyProtection="0"/>
    <xf numFmtId="0" fontId="27" fillId="0" borderId="3" applyNumberFormat="0" applyFill="0" applyAlignment="0" applyProtection="0"/>
    <xf numFmtId="164" fontId="2" fillId="0" borderId="0" applyFont="0" applyFill="0" applyBorder="0" applyAlignment="0" applyProtection="0"/>
    <xf numFmtId="164" fontId="39" fillId="0" borderId="0" applyFont="0" applyFill="0" applyBorder="0" applyAlignment="0" applyProtection="0"/>
    <xf numFmtId="164" fontId="39" fillId="0" borderId="0" applyFont="0" applyFill="0" applyBorder="0" applyAlignment="0" applyProtection="0"/>
    <xf numFmtId="168" fontId="20" fillId="0" borderId="0">
      <protection locked="0"/>
    </xf>
    <xf numFmtId="171" fontId="20" fillId="0" borderId="0">
      <protection locked="0"/>
    </xf>
    <xf numFmtId="0" fontId="28" fillId="22" borderId="0" applyNumberFormat="0" applyBorder="0" applyAlignment="0" applyProtection="0"/>
    <xf numFmtId="0" fontId="39" fillId="0" borderId="0"/>
    <xf numFmtId="0" fontId="29" fillId="0" borderId="0"/>
    <xf numFmtId="0" fontId="2" fillId="23" borderId="5" applyNumberFormat="0" applyFont="0" applyAlignment="0" applyProtection="0"/>
    <xf numFmtId="0" fontId="2" fillId="23" borderId="5" applyNumberFormat="0" applyFont="0" applyAlignment="0" applyProtection="0"/>
    <xf numFmtId="0" fontId="30" fillId="20" borderId="6" applyNumberFormat="0" applyAlignment="0" applyProtection="0"/>
    <xf numFmtId="167" fontId="20" fillId="0" borderId="0">
      <protection locked="0"/>
    </xf>
    <xf numFmtId="170" fontId="20" fillId="0" borderId="0">
      <protection locked="0"/>
    </xf>
    <xf numFmtId="0" fontId="31" fillId="20" borderId="6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7" applyNumberFormat="0" applyFill="0" applyAlignment="0" applyProtection="0"/>
    <xf numFmtId="0" fontId="36" fillId="0" borderId="8" applyNumberFormat="0" applyFill="0" applyAlignment="0" applyProtection="0"/>
    <xf numFmtId="0" fontId="16" fillId="0" borderId="4" applyNumberFormat="0" applyFill="0" applyAlignment="0" applyProtection="0"/>
    <xf numFmtId="0" fontId="20" fillId="0" borderId="9">
      <protection locked="0"/>
    </xf>
    <xf numFmtId="0" fontId="37" fillId="0" borderId="0" applyNumberFormat="0" applyFill="0" applyBorder="0" applyAlignment="0" applyProtection="0"/>
    <xf numFmtId="0" fontId="2" fillId="0" borderId="0"/>
    <xf numFmtId="164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" fillId="0" borderId="0"/>
  </cellStyleXfs>
  <cellXfs count="82">
    <xf numFmtId="0" fontId="0" fillId="0" borderId="0" xfId="0"/>
    <xf numFmtId="0" fontId="42" fillId="25" borderId="10" xfId="84" applyFont="1" applyFill="1" applyBorder="1" applyAlignment="1">
      <alignment horizontal="center" vertical="center"/>
    </xf>
    <xf numFmtId="0" fontId="41" fillId="24" borderId="12" xfId="84" applyFont="1" applyFill="1" applyBorder="1" applyAlignment="1">
      <alignment horizontal="center" vertical="center"/>
    </xf>
    <xf numFmtId="165" fontId="38" fillId="0" borderId="11" xfId="77" applyNumberFormat="1" applyFont="1" applyBorder="1" applyAlignment="1">
      <alignment horizontal="center" vertical="center"/>
    </xf>
    <xf numFmtId="165" fontId="38" fillId="0" borderId="10" xfId="77" applyNumberFormat="1" applyFont="1" applyBorder="1" applyAlignment="1">
      <alignment horizontal="center" vertical="center"/>
    </xf>
    <xf numFmtId="0" fontId="45" fillId="0" borderId="0" xfId="0" applyFont="1" applyAlignment="1">
      <alignment horizontal="left" vertical="center"/>
    </xf>
    <xf numFmtId="0" fontId="41" fillId="24" borderId="12" xfId="84" applyFont="1" applyFill="1" applyBorder="1" applyAlignment="1">
      <alignment horizontal="left" vertical="center"/>
    </xf>
    <xf numFmtId="0" fontId="2" fillId="0" borderId="0" xfId="0" applyFont="1" applyAlignment="1">
      <alignment vertical="center"/>
    </xf>
    <xf numFmtId="0" fontId="38" fillId="0" borderId="0" xfId="84" applyFont="1" applyAlignment="1">
      <alignment horizontal="center" vertical="center"/>
    </xf>
    <xf numFmtId="0" fontId="2" fillId="0" borderId="0" xfId="84" applyFont="1" applyAlignment="1">
      <alignment vertical="center"/>
    </xf>
    <xf numFmtId="0" fontId="40" fillId="24" borderId="0" xfId="100" applyFont="1" applyFill="1" applyAlignment="1">
      <alignment horizontal="center" vertical="center" wrapText="1"/>
    </xf>
    <xf numFmtId="166" fontId="38" fillId="0" borderId="10" xfId="101" applyNumberFormat="1" applyFont="1" applyBorder="1" applyAlignment="1">
      <alignment horizontal="left" vertical="center"/>
    </xf>
    <xf numFmtId="166" fontId="38" fillId="0" borderId="10" xfId="101" applyNumberFormat="1" applyFont="1" applyBorder="1" applyAlignment="1">
      <alignment horizontal="right" vertical="center"/>
    </xf>
    <xf numFmtId="166" fontId="38" fillId="0" borderId="0" xfId="101" applyNumberFormat="1" applyFont="1" applyBorder="1" applyAlignment="1">
      <alignment horizontal="right" vertical="center"/>
    </xf>
    <xf numFmtId="166" fontId="38" fillId="0" borderId="11" xfId="101" applyNumberFormat="1" applyFont="1" applyBorder="1" applyAlignment="1">
      <alignment horizontal="right" vertical="center"/>
    </xf>
    <xf numFmtId="165" fontId="2" fillId="0" borderId="0" xfId="77" applyNumberFormat="1" applyFont="1" applyBorder="1" applyAlignment="1">
      <alignment horizontal="center" vertical="center"/>
    </xf>
    <xf numFmtId="166" fontId="38" fillId="0" borderId="10" xfId="101" applyNumberFormat="1" applyFont="1" applyFill="1" applyBorder="1" applyAlignment="1">
      <alignment horizontal="right" vertical="center"/>
    </xf>
    <xf numFmtId="0" fontId="2" fillId="0" borderId="0" xfId="0" applyFont="1" applyAlignment="1">
      <alignment horizontal="center" vertical="center"/>
    </xf>
    <xf numFmtId="166" fontId="38" fillId="0" borderId="11" xfId="101" applyNumberFormat="1" applyFont="1" applyBorder="1" applyAlignment="1">
      <alignment vertical="center"/>
    </xf>
    <xf numFmtId="0" fontId="2" fillId="0" borderId="11" xfId="0" applyFont="1" applyBorder="1" applyAlignment="1">
      <alignment vertical="center"/>
    </xf>
    <xf numFmtId="166" fontId="38" fillId="0" borderId="11" xfId="101" applyNumberFormat="1" applyFont="1" applyBorder="1" applyAlignment="1">
      <alignment horizontal="left" vertical="center"/>
    </xf>
    <xf numFmtId="166" fontId="38" fillId="0" borderId="11" xfId="101" applyNumberFormat="1" applyFont="1" applyFill="1" applyBorder="1" applyAlignment="1">
      <alignment horizontal="right" vertical="center"/>
    </xf>
    <xf numFmtId="166" fontId="2" fillId="0" borderId="0" xfId="101" applyNumberFormat="1" applyFont="1" applyBorder="1" applyAlignment="1">
      <alignment horizontal="left" vertical="center" indent="1"/>
    </xf>
    <xf numFmtId="166" fontId="2" fillId="0" borderId="0" xfId="101" applyNumberFormat="1" applyFont="1" applyBorder="1" applyAlignment="1">
      <alignment vertical="center"/>
    </xf>
    <xf numFmtId="166" fontId="2" fillId="0" borderId="0" xfId="101" applyNumberFormat="1" applyFont="1" applyBorder="1" applyAlignment="1">
      <alignment horizontal="right" vertical="center"/>
    </xf>
    <xf numFmtId="166" fontId="2" fillId="0" borderId="0" xfId="101" applyNumberFormat="1" applyFont="1" applyFill="1" applyBorder="1" applyAlignment="1">
      <alignment horizontal="right" vertical="center"/>
    </xf>
    <xf numFmtId="166" fontId="38" fillId="0" borderId="10" xfId="101" applyNumberFormat="1" applyFont="1" applyBorder="1" applyAlignment="1">
      <alignment vertical="center"/>
    </xf>
    <xf numFmtId="0" fontId="2" fillId="0" borderId="10" xfId="0" applyFont="1" applyBorder="1" applyAlignment="1">
      <alignment vertical="center"/>
    </xf>
    <xf numFmtId="3" fontId="2" fillId="0" borderId="0" xfId="0" applyNumberFormat="1" applyFont="1"/>
    <xf numFmtId="165" fontId="2" fillId="0" borderId="0" xfId="101" applyNumberFormat="1" applyFont="1" applyBorder="1" applyAlignment="1">
      <alignment horizontal="center" vertical="center"/>
    </xf>
    <xf numFmtId="3" fontId="2" fillId="0" borderId="0" xfId="0" applyNumberFormat="1" applyFont="1" applyAlignment="1">
      <alignment horizontal="right"/>
    </xf>
    <xf numFmtId="0" fontId="2" fillId="0" borderId="10" xfId="0" applyFont="1" applyBorder="1" applyAlignment="1">
      <alignment horizontal="right" vertical="center"/>
    </xf>
    <xf numFmtId="166" fontId="2" fillId="0" borderId="10" xfId="101" applyNumberFormat="1" applyFont="1" applyBorder="1" applyAlignment="1">
      <alignment vertical="center"/>
    </xf>
    <xf numFmtId="166" fontId="2" fillId="0" borderId="10" xfId="101" applyNumberFormat="1" applyFont="1" applyBorder="1" applyAlignment="1">
      <alignment horizontal="right" vertical="center"/>
    </xf>
    <xf numFmtId="165" fontId="2" fillId="0" borderId="10" xfId="101" applyNumberFormat="1" applyFont="1" applyBorder="1" applyAlignment="1">
      <alignment horizontal="center" vertical="center"/>
    </xf>
    <xf numFmtId="166" fontId="2" fillId="0" borderId="10" xfId="101" applyNumberFormat="1" applyFont="1" applyFill="1" applyBorder="1" applyAlignment="1">
      <alignment horizontal="right" vertical="center"/>
    </xf>
    <xf numFmtId="166" fontId="2" fillId="0" borderId="0" xfId="101" applyNumberFormat="1" applyFont="1" applyBorder="1" applyAlignment="1">
      <alignment horizontal="center" vertical="center"/>
    </xf>
    <xf numFmtId="0" fontId="2" fillId="0" borderId="0" xfId="101" applyNumberFormat="1" applyFont="1" applyBorder="1" applyAlignment="1">
      <alignment horizontal="left" vertical="center" indent="1"/>
    </xf>
    <xf numFmtId="166" fontId="2" fillId="0" borderId="0" xfId="0" applyNumberFormat="1" applyFont="1" applyAlignment="1">
      <alignment vertical="center"/>
    </xf>
    <xf numFmtId="166" fontId="2" fillId="0" borderId="10" xfId="101" applyNumberFormat="1" applyFont="1" applyBorder="1" applyAlignment="1">
      <alignment horizontal="left" vertical="center" indent="1"/>
    </xf>
    <xf numFmtId="166" fontId="2" fillId="0" borderId="10" xfId="101" applyNumberFormat="1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 wrapText="1"/>
    </xf>
    <xf numFmtId="0" fontId="5" fillId="24" borderId="0" xfId="0" applyFont="1" applyFill="1" applyAlignment="1">
      <alignment horizontal="center" vertical="center"/>
    </xf>
    <xf numFmtId="0" fontId="2" fillId="24" borderId="0" xfId="0" applyFont="1" applyFill="1" applyAlignment="1">
      <alignment vertical="center"/>
    </xf>
    <xf numFmtId="0" fontId="2" fillId="0" borderId="0" xfId="0" applyFont="1"/>
    <xf numFmtId="166" fontId="38" fillId="0" borderId="0" xfId="101" applyNumberFormat="1" applyFont="1" applyBorder="1" applyAlignment="1">
      <alignment horizontal="center" vertical="center"/>
    </xf>
    <xf numFmtId="166" fontId="38" fillId="0" borderId="11" xfId="101" applyNumberFormat="1" applyFont="1" applyBorder="1" applyAlignment="1">
      <alignment horizontal="center" vertical="center"/>
    </xf>
    <xf numFmtId="166" fontId="38" fillId="0" borderId="11" xfId="101" applyNumberFormat="1" applyFont="1" applyFill="1" applyBorder="1" applyAlignment="1">
      <alignment horizontal="left" vertical="center"/>
    </xf>
    <xf numFmtId="166" fontId="2" fillId="0" borderId="0" xfId="101" applyNumberFormat="1" applyFont="1" applyFill="1" applyBorder="1" applyAlignment="1">
      <alignment vertical="center"/>
    </xf>
    <xf numFmtId="166" fontId="38" fillId="0" borderId="10" xfId="101" applyNumberFormat="1" applyFont="1" applyBorder="1" applyAlignment="1">
      <alignment horizontal="center" vertical="center"/>
    </xf>
    <xf numFmtId="166" fontId="38" fillId="0" borderId="10" xfId="101" applyNumberFormat="1" applyFont="1" applyFill="1" applyBorder="1" applyAlignment="1">
      <alignment horizontal="left" vertical="center"/>
    </xf>
    <xf numFmtId="3" fontId="2" fillId="0" borderId="10" xfId="0" applyNumberFormat="1" applyFont="1" applyBorder="1" applyAlignment="1">
      <alignment horizontal="right"/>
    </xf>
    <xf numFmtId="3" fontId="2" fillId="0" borderId="10" xfId="0" applyNumberFormat="1" applyFont="1" applyBorder="1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10" fontId="2" fillId="26" borderId="0" xfId="101" applyNumberFormat="1" applyFont="1" applyFill="1" applyBorder="1" applyAlignment="1">
      <alignment vertical="center"/>
    </xf>
    <xf numFmtId="10" fontId="2" fillId="26" borderId="0" xfId="101" applyNumberFormat="1" applyFont="1" applyFill="1" applyBorder="1" applyAlignment="1">
      <alignment horizontal="right" vertical="center"/>
    </xf>
    <xf numFmtId="0" fontId="0" fillId="0" borderId="0" xfId="0" applyAlignment="1">
      <alignment horizontal="center" vertical="center"/>
    </xf>
    <xf numFmtId="10" fontId="2" fillId="0" borderId="0" xfId="101" applyNumberFormat="1" applyFont="1" applyFill="1" applyBorder="1" applyAlignment="1">
      <alignment vertical="center"/>
    </xf>
    <xf numFmtId="166" fontId="2" fillId="26" borderId="0" xfId="101" applyNumberFormat="1" applyFont="1" applyFill="1" applyBorder="1" applyAlignment="1">
      <alignment horizontal="center" vertical="center"/>
    </xf>
    <xf numFmtId="10" fontId="51" fillId="26" borderId="0" xfId="101" applyNumberFormat="1" applyFont="1" applyFill="1" applyBorder="1" applyAlignment="1">
      <alignment vertical="center"/>
    </xf>
    <xf numFmtId="10" fontId="38" fillId="26" borderId="0" xfId="101" applyNumberFormat="1" applyFont="1" applyFill="1" applyBorder="1" applyAlignment="1">
      <alignment vertical="center"/>
    </xf>
    <xf numFmtId="166" fontId="2" fillId="26" borderId="0" xfId="101" applyNumberFormat="1" applyFont="1" applyFill="1" applyBorder="1" applyAlignment="1">
      <alignment horizontal="right" vertical="center"/>
    </xf>
    <xf numFmtId="3" fontId="0" fillId="0" borderId="0" xfId="0" applyNumberFormat="1" applyAlignment="1">
      <alignment horizontal="right" vertical="center"/>
    </xf>
    <xf numFmtId="3" fontId="2" fillId="0" borderId="0" xfId="0" applyNumberFormat="1" applyFont="1" applyAlignment="1">
      <alignment horizontal="right" vertical="center"/>
    </xf>
    <xf numFmtId="0" fontId="38" fillId="26" borderId="0" xfId="0" applyFont="1" applyFill="1" applyAlignment="1">
      <alignment horizontal="right" vertical="center"/>
    </xf>
    <xf numFmtId="0" fontId="38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5" fillId="24" borderId="0" xfId="0" applyFont="1" applyFill="1" applyAlignment="1">
      <alignment horizontal="left" vertical="center"/>
    </xf>
    <xf numFmtId="0" fontId="44" fillId="0" borderId="0" xfId="84" applyFont="1" applyAlignment="1">
      <alignment horizontal="left" vertical="center"/>
    </xf>
    <xf numFmtId="0" fontId="40" fillId="24" borderId="0" xfId="100" applyFont="1" applyFill="1" applyAlignment="1">
      <alignment horizontal="left" vertical="center" wrapText="1"/>
    </xf>
    <xf numFmtId="0" fontId="5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 vertical="center" wrapText="1"/>
    </xf>
    <xf numFmtId="0" fontId="41" fillId="24" borderId="12" xfId="84" applyFont="1" applyFill="1" applyBorder="1" applyAlignment="1">
      <alignment horizontal="left" vertical="center"/>
    </xf>
    <xf numFmtId="0" fontId="38" fillId="27" borderId="0" xfId="0" applyFont="1" applyFill="1" applyAlignment="1">
      <alignment horizontal="center" vertical="center"/>
    </xf>
    <xf numFmtId="0" fontId="38" fillId="27" borderId="0" xfId="0" applyFont="1" applyFill="1" applyAlignment="1">
      <alignment vertical="center"/>
    </xf>
    <xf numFmtId="10" fontId="0" fillId="0" borderId="0" xfId="0" applyNumberFormat="1" applyAlignment="1">
      <alignment horizontal="right" vertical="center"/>
    </xf>
    <xf numFmtId="10" fontId="50" fillId="0" borderId="0" xfId="0" applyNumberFormat="1" applyFont="1" applyAlignment="1">
      <alignment horizontal="right" vertical="center"/>
    </xf>
    <xf numFmtId="10" fontId="38" fillId="0" borderId="0" xfId="0" applyNumberFormat="1" applyFont="1" applyAlignment="1">
      <alignment horizontal="right" vertical="center"/>
    </xf>
  </cellXfs>
  <cellStyles count="105">
    <cellStyle name="20% - Accent1" xfId="1" xr:uid="{00000000-0005-0000-0000-000000000000}"/>
    <cellStyle name="20% - Accent2" xfId="2" xr:uid="{00000000-0005-0000-0000-000001000000}"/>
    <cellStyle name="20% - Accent3" xfId="3" xr:uid="{00000000-0005-0000-0000-000002000000}"/>
    <cellStyle name="20% - Accent4" xfId="4" xr:uid="{00000000-0005-0000-0000-000003000000}"/>
    <cellStyle name="20% - Accent5" xfId="5" xr:uid="{00000000-0005-0000-0000-000004000000}"/>
    <cellStyle name="20% - Accent6" xfId="6" xr:uid="{00000000-0005-0000-0000-000005000000}"/>
    <cellStyle name="20% - Énfasis1" xfId="7" builtinId="30" customBuiltin="1"/>
    <cellStyle name="20% - Énfasis2" xfId="8" builtinId="34" customBuiltin="1"/>
    <cellStyle name="20% - Énfasis3" xfId="9" builtinId="38" customBuiltin="1"/>
    <cellStyle name="20% - Énfasis4" xfId="10" builtinId="42" customBuiltin="1"/>
    <cellStyle name="20% - Énfasis5" xfId="11" builtinId="46" customBuiltin="1"/>
    <cellStyle name="20% - Énfasis6" xfId="12" builtinId="50" customBuiltin="1"/>
    <cellStyle name="40% - Accent1" xfId="13" xr:uid="{00000000-0005-0000-0000-00000C000000}"/>
    <cellStyle name="40% - Accent2" xfId="14" xr:uid="{00000000-0005-0000-0000-00000D000000}"/>
    <cellStyle name="40% - Accent3" xfId="15" xr:uid="{00000000-0005-0000-0000-00000E000000}"/>
    <cellStyle name="40% - Accent4" xfId="16" xr:uid="{00000000-0005-0000-0000-00000F000000}"/>
    <cellStyle name="40% - Accent5" xfId="17" xr:uid="{00000000-0005-0000-0000-000010000000}"/>
    <cellStyle name="40% - Accent6" xfId="18" xr:uid="{00000000-0005-0000-0000-000011000000}"/>
    <cellStyle name="40% - Énfasis1" xfId="19" builtinId="31" customBuiltin="1"/>
    <cellStyle name="40% - Énfasis2" xfId="20" builtinId="35" customBuiltin="1"/>
    <cellStyle name="40% - Énfasis3" xfId="21" builtinId="39" customBuiltin="1"/>
    <cellStyle name="40% - Énfasis4" xfId="22" builtinId="43" customBuiltin="1"/>
    <cellStyle name="40% - Énfasis5" xfId="23" builtinId="47" customBuiltin="1"/>
    <cellStyle name="40% - Énfasis6" xfId="24" builtinId="51" customBuiltin="1"/>
    <cellStyle name="60% - Accent1" xfId="25" xr:uid="{00000000-0005-0000-0000-000018000000}"/>
    <cellStyle name="60% - Accent2" xfId="26" xr:uid="{00000000-0005-0000-0000-000019000000}"/>
    <cellStyle name="60% - Accent3" xfId="27" xr:uid="{00000000-0005-0000-0000-00001A000000}"/>
    <cellStyle name="60% - Accent4" xfId="28" xr:uid="{00000000-0005-0000-0000-00001B000000}"/>
    <cellStyle name="60% - Accent5" xfId="29" xr:uid="{00000000-0005-0000-0000-00001C000000}"/>
    <cellStyle name="60% - Accent6" xfId="30" xr:uid="{00000000-0005-0000-0000-00001D000000}"/>
    <cellStyle name="60% - Énfasis1" xfId="31" builtinId="32" customBuiltin="1"/>
    <cellStyle name="60% - Énfasis2" xfId="32" builtinId="36" customBuiltin="1"/>
    <cellStyle name="60% - Énfasis3" xfId="33" builtinId="40" customBuiltin="1"/>
    <cellStyle name="60% - Énfasis4" xfId="34" builtinId="44" customBuiltin="1"/>
    <cellStyle name="60% - Énfasis5" xfId="35" builtinId="48" customBuiltin="1"/>
    <cellStyle name="60% - Énfasis6" xfId="36" builtinId="52" customBuiltin="1"/>
    <cellStyle name="Accent1" xfId="37" xr:uid="{00000000-0005-0000-0000-000024000000}"/>
    <cellStyle name="Accent2" xfId="38" xr:uid="{00000000-0005-0000-0000-000025000000}"/>
    <cellStyle name="Accent3" xfId="39" xr:uid="{00000000-0005-0000-0000-000026000000}"/>
    <cellStyle name="Accent4" xfId="40" xr:uid="{00000000-0005-0000-0000-000027000000}"/>
    <cellStyle name="Accent5" xfId="41" xr:uid="{00000000-0005-0000-0000-000028000000}"/>
    <cellStyle name="Accent6" xfId="42" xr:uid="{00000000-0005-0000-0000-000029000000}"/>
    <cellStyle name="Bad" xfId="43" xr:uid="{00000000-0005-0000-0000-00002A000000}"/>
    <cellStyle name="Bueno" xfId="44" builtinId="26" customBuiltin="1"/>
    <cellStyle name="Cabecera 1" xfId="45" xr:uid="{00000000-0005-0000-0000-00002C000000}"/>
    <cellStyle name="Cabecera 2" xfId="46" xr:uid="{00000000-0005-0000-0000-00002D000000}"/>
    <cellStyle name="Calculation" xfId="47" xr:uid="{00000000-0005-0000-0000-00002E000000}"/>
    <cellStyle name="Cálculo" xfId="48" builtinId="22" customBuiltin="1"/>
    <cellStyle name="Celda de comprobación" xfId="49" builtinId="23" customBuiltin="1"/>
    <cellStyle name="Celda vinculada" xfId="50" builtinId="24" customBuiltin="1"/>
    <cellStyle name="Check Cell" xfId="51" xr:uid="{00000000-0005-0000-0000-000032000000}"/>
    <cellStyle name="Comma0" xfId="52" xr:uid="{00000000-0005-0000-0000-000033000000}"/>
    <cellStyle name="Currency0" xfId="53" xr:uid="{00000000-0005-0000-0000-000034000000}"/>
    <cellStyle name="Date" xfId="54" xr:uid="{00000000-0005-0000-0000-000035000000}"/>
    <cellStyle name="Encabezado 1" xfId="95" builtinId="16" customBuiltin="1"/>
    <cellStyle name="Encabezado 4" xfId="55" builtinId="19" customBuiltin="1"/>
    <cellStyle name="Énfasis1" xfId="56" builtinId="29" customBuiltin="1"/>
    <cellStyle name="Énfasis2" xfId="57" builtinId="33" customBuiltin="1"/>
    <cellStyle name="Énfasis3" xfId="58" builtinId="37" customBuiltin="1"/>
    <cellStyle name="Énfasis4" xfId="59" builtinId="41" customBuiltin="1"/>
    <cellStyle name="Énfasis5" xfId="60" builtinId="45" customBuiltin="1"/>
    <cellStyle name="Énfasis6" xfId="61" builtinId="49" customBuiltin="1"/>
    <cellStyle name="Entrada" xfId="62" builtinId="20" customBuiltin="1"/>
    <cellStyle name="ESTI1 - Modelo1" xfId="63" xr:uid="{00000000-0005-0000-0000-00003E000000}"/>
    <cellStyle name="Euro" xfId="64" xr:uid="{00000000-0005-0000-0000-00003F000000}"/>
    <cellStyle name="Explanatory Text" xfId="65" xr:uid="{00000000-0005-0000-0000-000040000000}"/>
    <cellStyle name="Fecha" xfId="66" xr:uid="{00000000-0005-0000-0000-000041000000}"/>
    <cellStyle name="Fijo" xfId="67" xr:uid="{00000000-0005-0000-0000-000042000000}"/>
    <cellStyle name="Fixed" xfId="68" xr:uid="{00000000-0005-0000-0000-000043000000}"/>
    <cellStyle name="Good" xfId="69" xr:uid="{00000000-0005-0000-0000-000044000000}"/>
    <cellStyle name="Heading 1" xfId="70" xr:uid="{00000000-0005-0000-0000-000045000000}"/>
    <cellStyle name="Heading 2" xfId="71" xr:uid="{00000000-0005-0000-0000-000046000000}"/>
    <cellStyle name="Heading 3" xfId="72" xr:uid="{00000000-0005-0000-0000-000047000000}"/>
    <cellStyle name="Heading 4" xfId="73" xr:uid="{00000000-0005-0000-0000-000048000000}"/>
    <cellStyle name="Incorrecto" xfId="74" builtinId="27" customBuiltin="1"/>
    <cellStyle name="Input" xfId="75" xr:uid="{00000000-0005-0000-0000-00004A000000}"/>
    <cellStyle name="Linked Cell" xfId="76" xr:uid="{00000000-0005-0000-0000-00004B000000}"/>
    <cellStyle name="Millares" xfId="77" builtinId="3"/>
    <cellStyle name="Millares 2" xfId="102" xr:uid="{E87BDA96-11BC-40CC-890E-D71BC1230D68}"/>
    <cellStyle name="Millares 2 2" xfId="78" xr:uid="{00000000-0005-0000-0000-00004D000000}"/>
    <cellStyle name="Millares 3" xfId="79" xr:uid="{00000000-0005-0000-0000-00004E000000}"/>
    <cellStyle name="Millares 3 2" xfId="101" xr:uid="{20140527-A0A3-40ED-BAA0-0BCB55DC3BAC}"/>
    <cellStyle name="Monetario" xfId="80" xr:uid="{00000000-0005-0000-0000-00004F000000}"/>
    <cellStyle name="Monetario0" xfId="81" xr:uid="{00000000-0005-0000-0000-000050000000}"/>
    <cellStyle name="Neutral" xfId="82" builtinId="28" customBuiltin="1"/>
    <cellStyle name="Normal" xfId="0" builtinId="0"/>
    <cellStyle name="Normal 2" xfId="104" xr:uid="{79A1C19D-73BF-4171-BA27-016CCF05C167}"/>
    <cellStyle name="Normal 2 2" xfId="83" xr:uid="{00000000-0005-0000-0000-000053000000}"/>
    <cellStyle name="Normal_C1 (2) 2" xfId="100" xr:uid="{F22FD30B-F6F7-452F-AF16-1A5F126D8393}"/>
    <cellStyle name="Normal_Cuadros tasas trimestrales" xfId="84" xr:uid="{00000000-0005-0000-0000-000055000000}"/>
    <cellStyle name="Notas" xfId="85" builtinId="10" customBuiltin="1"/>
    <cellStyle name="Note" xfId="86" xr:uid="{00000000-0005-0000-0000-000057000000}"/>
    <cellStyle name="Output" xfId="87" xr:uid="{00000000-0005-0000-0000-000058000000}"/>
    <cellStyle name="Porcentaje 2" xfId="103" xr:uid="{419E1FA8-6AE4-455B-80AD-96CDB4D993FD}"/>
    <cellStyle name="Punto" xfId="88" xr:uid="{00000000-0005-0000-0000-000059000000}"/>
    <cellStyle name="Punto0" xfId="89" xr:uid="{00000000-0005-0000-0000-00005A000000}"/>
    <cellStyle name="Salida" xfId="90" builtinId="21" customBuiltin="1"/>
    <cellStyle name="Texto de advertencia" xfId="91" builtinId="11" customBuiltin="1"/>
    <cellStyle name="Texto explicativo" xfId="92" builtinId="53" customBuiltin="1"/>
    <cellStyle name="Title" xfId="93" xr:uid="{00000000-0005-0000-0000-00005E000000}"/>
    <cellStyle name="Título" xfId="94" builtinId="15" customBuiltin="1"/>
    <cellStyle name="Título 2" xfId="96" builtinId="17" customBuiltin="1"/>
    <cellStyle name="Título 3" xfId="97" builtinId="18" customBuiltin="1"/>
    <cellStyle name="Total" xfId="98" builtinId="25" customBuiltin="1"/>
    <cellStyle name="Warning Text" xfId="99" xr:uid="{00000000-0005-0000-0000-000064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series\afiliado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2_DNRMT\ESTUDIOS\PROVI\GRAL\CUADROS\C3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PROVI\GRAL\CUADROS\C3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elzeta\Provincia\San%20Luis\cnsluis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I:\dbsr\pachi\INFORMEC\Cua298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DOCUME~1\ebione\CONFIG~1\Temp\Indicadores%202005\Cuadro%2013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ATOS\financiero\comunicado%20estad&#237;stico\GENERA%20CUADRO%2016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MEMORIA\MEM5\CAPIT6\SUCP3009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Mdebiase\c\COPIA\CAP10\CAP102\FDOAFL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IDOR1_DNRMT\ESTUDIOS\BEL\PRGS\CUADROS\ESPECIF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filiado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  <sheetName val="c3_ fto"/>
      <sheetName val="C3 Base Tran"/>
      <sheetName val="pbg pbgpc "/>
      <sheetName val="pbg1 pbg2 pbg3"/>
      <sheetName val="vab rem"/>
      <sheetName val="ex"/>
      <sheetName val="pre1_4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p pre"/>
    </sheetNames>
    <sheetDataSet>
      <sheetData sheetId="0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ist. financiero_san Luis"/>
      <sheetName val="Cuadro E"/>
      <sheetName val="B.1"/>
      <sheetName val="Hoja1"/>
      <sheetName val="expo"/>
      <sheetName val="anotaciones"/>
      <sheetName val="Cuadro A.1"/>
      <sheetName val="Cuadro A.2"/>
      <sheetName val="Cuadro A.3"/>
      <sheetName val="Cuadro A.4"/>
      <sheetName val="Cuadro A.5"/>
      <sheetName val="Cuadro A.6"/>
      <sheetName val="Cuadro A.7"/>
      <sheetName val="Cuadro A.8"/>
      <sheetName val="Cuadro A.9"/>
      <sheetName val="Cuadro A.10"/>
      <sheetName val="Cuadro B.1"/>
      <sheetName val="Cuadro B.2-4.- "/>
      <sheetName val="Cuadro C1.2"/>
      <sheetName val="Cuadro C.3-4"/>
      <sheetName val="Cuadro 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 1"/>
      <sheetName val="cuadro 1"/>
      <sheetName val="cua5.3"/>
      <sheetName val="cua 5.2  5.7 "/>
      <sheetName val="5.4 graf 2"/>
      <sheetName val="cua 5.5"/>
      <sheetName val="cua 5.6"/>
      <sheetName val="hoja6"/>
      <sheetName val="5.8 graf  5.3"/>
      <sheetName val="cua 5.9"/>
      <sheetName val="cuadro 5.9"/>
      <sheetName val="cua 5.10"/>
      <sheetName val="cua5.11"/>
      <sheetName val=" gráf 5.4deuda exportaciones"/>
      <sheetName val="anexo 5.1"/>
      <sheetName val="ANEX5.2"/>
      <sheetName val="anex5.4"/>
      <sheetName val="ANEX5.3"/>
      <sheetName val="APERT"/>
      <sheetName val="Hoja10"/>
      <sheetName val="Hoja11"/>
      <sheetName val="Hoja12"/>
      <sheetName val="Hoja13"/>
      <sheetName val="Hoja14"/>
      <sheetName val="Hoja15"/>
      <sheetName val="Hoja16"/>
      <sheetName val="Módulo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ra"/>
      <sheetName val="C13"/>
    </sheetNames>
    <sheetDataSet>
      <sheetData sheetId="0">
        <row r="1">
          <cell r="A1" t="str">
            <v>ANIOMES</v>
          </cell>
          <cell r="B1" t="str">
            <v>VALOR</v>
          </cell>
          <cell r="C1" t="str">
            <v>COE_ENGEL</v>
          </cell>
        </row>
        <row r="2">
          <cell r="B2" t="str">
            <v>Canasta basica alimentaria</v>
          </cell>
        </row>
        <row r="4">
          <cell r="A4" t="str">
            <v>200201</v>
          </cell>
          <cell r="B4">
            <v>62.41</v>
          </cell>
          <cell r="C4">
            <v>2.4700000000000002</v>
          </cell>
        </row>
        <row r="5">
          <cell r="A5" t="str">
            <v>200202</v>
          </cell>
          <cell r="B5">
            <v>65.819999999999993</v>
          </cell>
          <cell r="C5">
            <v>2.4500000000000002</v>
          </cell>
        </row>
        <row r="6">
          <cell r="A6" t="str">
            <v>200203</v>
          </cell>
          <cell r="B6">
            <v>69.83</v>
          </cell>
          <cell r="C6">
            <v>2.4300000000000002</v>
          </cell>
        </row>
        <row r="7">
          <cell r="A7" t="str">
            <v>200204</v>
          </cell>
          <cell r="B7">
            <v>81.760000000000005</v>
          </cell>
          <cell r="C7">
            <v>2.37</v>
          </cell>
        </row>
        <row r="8">
          <cell r="A8" t="str">
            <v>200205</v>
          </cell>
          <cell r="B8">
            <v>86.2</v>
          </cell>
          <cell r="C8">
            <v>2.35</v>
          </cell>
        </row>
        <row r="9">
          <cell r="A9" t="str">
            <v>200206</v>
          </cell>
          <cell r="B9">
            <v>90.67</v>
          </cell>
          <cell r="C9">
            <v>2.3199999999999998</v>
          </cell>
        </row>
        <row r="10">
          <cell r="A10" t="str">
            <v>200207</v>
          </cell>
          <cell r="B10">
            <v>94.93</v>
          </cell>
          <cell r="C10">
            <v>2.2999999999999998</v>
          </cell>
        </row>
        <row r="11">
          <cell r="A11" t="str">
            <v>200208</v>
          </cell>
          <cell r="B11">
            <v>100.94</v>
          </cell>
          <cell r="C11">
            <v>2.25</v>
          </cell>
        </row>
        <row r="12">
          <cell r="A12" t="str">
            <v>200209</v>
          </cell>
          <cell r="B12">
            <v>104.87</v>
          </cell>
          <cell r="C12">
            <v>2.21</v>
          </cell>
        </row>
        <row r="13">
          <cell r="A13" t="str">
            <v>200210</v>
          </cell>
          <cell r="B13">
            <v>103.74</v>
          </cell>
          <cell r="C13">
            <v>2.2200000000000002</v>
          </cell>
        </row>
        <row r="14">
          <cell r="A14" t="str">
            <v>200211</v>
          </cell>
          <cell r="B14">
            <v>105.08</v>
          </cell>
          <cell r="C14">
            <v>2.21</v>
          </cell>
        </row>
        <row r="15">
          <cell r="A15" t="str">
            <v>200212</v>
          </cell>
          <cell r="B15">
            <v>105.72</v>
          </cell>
          <cell r="C15">
            <v>2.2000000000000002</v>
          </cell>
        </row>
        <row r="16">
          <cell r="A16" t="str">
            <v>200301</v>
          </cell>
          <cell r="B16">
            <v>106.92</v>
          </cell>
          <cell r="C16">
            <v>2.2000000000000002</v>
          </cell>
        </row>
        <row r="17">
          <cell r="A17" t="str">
            <v>200302</v>
          </cell>
          <cell r="B17">
            <v>107.56</v>
          </cell>
          <cell r="C17">
            <v>2.19</v>
          </cell>
        </row>
        <row r="18">
          <cell r="A18" t="str">
            <v>200303</v>
          </cell>
          <cell r="B18">
            <v>107.83</v>
          </cell>
          <cell r="C18">
            <v>2.17</v>
          </cell>
        </row>
        <row r="19">
          <cell r="A19" t="str">
            <v>200304</v>
          </cell>
          <cell r="B19">
            <v>106.55</v>
          </cell>
          <cell r="C19">
            <v>2.1800000000000002</v>
          </cell>
        </row>
        <row r="20">
          <cell r="A20" t="str">
            <v>200305</v>
          </cell>
          <cell r="B20">
            <v>104.6</v>
          </cell>
          <cell r="C20">
            <v>2.19</v>
          </cell>
        </row>
        <row r="21">
          <cell r="A21" t="str">
            <v>200306</v>
          </cell>
          <cell r="B21">
            <v>103.13</v>
          </cell>
          <cell r="C21">
            <v>2.21</v>
          </cell>
        </row>
        <row r="22">
          <cell r="A22" t="str">
            <v>200307</v>
          </cell>
          <cell r="B22">
            <v>102.31</v>
          </cell>
          <cell r="C22">
            <v>2.2200000000000002</v>
          </cell>
        </row>
        <row r="23">
          <cell r="A23" t="str">
            <v>200308</v>
          </cell>
          <cell r="B23">
            <v>102.08</v>
          </cell>
          <cell r="C23">
            <v>2.21</v>
          </cell>
        </row>
        <row r="24">
          <cell r="A24" t="str">
            <v>200309</v>
          </cell>
          <cell r="B24">
            <v>101.99</v>
          </cell>
          <cell r="C24">
            <v>2.2000000000000002</v>
          </cell>
        </row>
        <row r="25">
          <cell r="A25" t="str">
            <v>200310</v>
          </cell>
          <cell r="B25">
            <v>104.12</v>
          </cell>
          <cell r="C25">
            <v>2.19</v>
          </cell>
        </row>
        <row r="26">
          <cell r="A26" t="str">
            <v>200311</v>
          </cell>
          <cell r="B26">
            <v>105.24</v>
          </cell>
          <cell r="C26">
            <v>2.1800000000000002</v>
          </cell>
        </row>
        <row r="27">
          <cell r="A27" t="str">
            <v>200312</v>
          </cell>
          <cell r="B27">
            <v>105.76</v>
          </cell>
          <cell r="C27">
            <v>2.19</v>
          </cell>
        </row>
      </sheetData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ERA CUADRO 16"/>
    </sheetNames>
    <definedNames>
      <definedName name="BORRA_CUADROS"/>
      <definedName name="TRANSFERENCIA"/>
    </defined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AFPROM"/>
      <sheetName val="promotores"/>
      <sheetName val="sucursales"/>
      <sheetName val="datos"/>
      <sheetName val="GRAFSUC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ndo promedio"/>
      <sheetName val="GRÁFICO DE FONDO POR AFILIADO"/>
    </sheetNames>
    <sheetDataSet>
      <sheetData sheetId="0" refreshError="1">
        <row r="37">
          <cell r="A37" t="str">
            <v>CUADRO N° 10.3.1.</v>
          </cell>
        </row>
        <row r="38">
          <cell r="A38" t="str">
            <v>FONDO POR AFILIADO</v>
          </cell>
        </row>
        <row r="42">
          <cell r="C42" t="str">
            <v>VALOR DEL FONDO</v>
          </cell>
          <cell r="F42" t="str">
            <v>AFILIACIÓN</v>
          </cell>
          <cell r="I42" t="str">
            <v>FONDO</v>
          </cell>
        </row>
        <row r="43">
          <cell r="A43" t="str">
            <v>AFJP</v>
          </cell>
          <cell r="B43" t="str">
            <v>VALOR DEL FONDO</v>
          </cell>
          <cell r="C43" t="str">
            <v>A FIN DE CADA MES</v>
          </cell>
          <cell r="F43" t="str">
            <v>TOTAL</v>
          </cell>
          <cell r="I43" t="str">
            <v>POR AFILIADO</v>
          </cell>
          <cell r="J43" t="str">
            <v>FONDO POR AFILIADO</v>
          </cell>
        </row>
        <row r="44">
          <cell r="B44" t="str">
            <v>al 31 de marzo</v>
          </cell>
          <cell r="I44" t="str">
            <v>PROMEDIO</v>
          </cell>
          <cell r="J44" t="str">
            <v>A FIN DE CADA MES</v>
          </cell>
        </row>
        <row r="45">
          <cell r="B45" t="str">
            <v>de 1995</v>
          </cell>
          <cell r="C45" t="str">
            <v>ABRIL</v>
          </cell>
          <cell r="D45" t="str">
            <v>MAYO</v>
          </cell>
          <cell r="E45" t="str">
            <v>JUNIO</v>
          </cell>
          <cell r="F45" t="str">
            <v>MARZO</v>
          </cell>
          <cell r="G45" t="str">
            <v>ABRIL</v>
          </cell>
          <cell r="H45" t="str">
            <v>MAYO</v>
          </cell>
          <cell r="I45" t="str">
            <v>al 31/03/95</v>
          </cell>
          <cell r="J45" t="str">
            <v>ABRIL</v>
          </cell>
          <cell r="K45" t="str">
            <v>MAYO</v>
          </cell>
          <cell r="L45" t="str">
            <v>JUNIO</v>
          </cell>
        </row>
        <row r="46">
          <cell r="A46" t="str">
            <v>ACTIVA</v>
          </cell>
          <cell r="B46">
            <v>31452098</v>
          </cell>
          <cell r="C46">
            <v>36494986</v>
          </cell>
          <cell r="D46">
            <v>41526314</v>
          </cell>
          <cell r="E46">
            <v>44937065</v>
          </cell>
          <cell r="F46">
            <v>116654</v>
          </cell>
          <cell r="G46">
            <v>120833</v>
          </cell>
          <cell r="H46">
            <v>122107</v>
          </cell>
          <cell r="I46">
            <v>276.51654592769728</v>
          </cell>
          <cell r="J46">
            <v>312.84813208291183</v>
          </cell>
          <cell r="K46">
            <v>343.6669949434343</v>
          </cell>
          <cell r="L46">
            <v>368.01383213083608</v>
          </cell>
        </row>
        <row r="47">
          <cell r="A47" t="str">
            <v>AFIANZAR</v>
          </cell>
          <cell r="B47">
            <v>2185662</v>
          </cell>
          <cell r="C47">
            <v>2585118</v>
          </cell>
          <cell r="D47">
            <v>3009941</v>
          </cell>
          <cell r="E47">
            <v>3436491</v>
          </cell>
          <cell r="F47">
            <v>16721</v>
          </cell>
          <cell r="G47">
            <v>17326</v>
          </cell>
          <cell r="H47">
            <v>17765</v>
          </cell>
          <cell r="I47">
            <v>134.7095223420647</v>
          </cell>
          <cell r="J47">
            <v>154.60307397882903</v>
          </cell>
          <cell r="K47">
            <v>173.72394089807227</v>
          </cell>
          <cell r="L47">
            <v>193.44165493948776</v>
          </cell>
        </row>
        <row r="48">
          <cell r="A48" t="str">
            <v>ANTICIPAR</v>
          </cell>
          <cell r="B48">
            <v>24492057</v>
          </cell>
          <cell r="C48">
            <v>28409232</v>
          </cell>
          <cell r="D48">
            <v>32584727</v>
          </cell>
          <cell r="E48">
            <v>36076217</v>
          </cell>
          <cell r="F48">
            <v>116883</v>
          </cell>
          <cell r="G48">
            <v>120552</v>
          </cell>
          <cell r="H48">
            <v>121880</v>
          </cell>
          <cell r="I48">
            <v>215.11432862563237</v>
          </cell>
          <cell r="J48">
            <v>243.0570057236724</v>
          </cell>
          <cell r="K48">
            <v>270.29602992899328</v>
          </cell>
          <cell r="L48">
            <v>295.99784213980968</v>
          </cell>
        </row>
        <row r="49">
          <cell r="A49" t="str">
            <v>ARAUCA BIT</v>
          </cell>
          <cell r="B49">
            <v>15390802</v>
          </cell>
          <cell r="C49">
            <v>18438452</v>
          </cell>
          <cell r="D49">
            <v>21621892</v>
          </cell>
          <cell r="E49">
            <v>24648855</v>
          </cell>
          <cell r="F49">
            <v>68795</v>
          </cell>
          <cell r="G49">
            <v>67520</v>
          </cell>
          <cell r="H49">
            <v>69565</v>
          </cell>
          <cell r="I49">
            <v>231.14865433137089</v>
          </cell>
          <cell r="J49">
            <v>268.0202340286358</v>
          </cell>
          <cell r="K49">
            <v>320.2294431279621</v>
          </cell>
          <cell r="L49">
            <v>354.32839790124342</v>
          </cell>
        </row>
        <row r="50">
          <cell r="A50" t="str">
            <v>CLARIDAD</v>
          </cell>
          <cell r="B50">
            <v>41661660</v>
          </cell>
          <cell r="C50">
            <v>46639115</v>
          </cell>
          <cell r="D50">
            <v>51761079</v>
          </cell>
          <cell r="E50">
            <v>56316686</v>
          </cell>
          <cell r="F50">
            <v>218083</v>
          </cell>
          <cell r="G50">
            <v>221572</v>
          </cell>
          <cell r="H50">
            <v>222842</v>
          </cell>
          <cell r="I50">
            <v>193.62836547175863</v>
          </cell>
          <cell r="J50">
            <v>213.85947093537783</v>
          </cell>
          <cell r="K50">
            <v>233.60839365984873</v>
          </cell>
          <cell r="L50">
            <v>252.72025022213049</v>
          </cell>
        </row>
        <row r="51">
          <cell r="A51" t="str">
            <v>CONSOLIDAR</v>
          </cell>
          <cell r="B51">
            <v>147897887</v>
          </cell>
          <cell r="C51">
            <v>164224088</v>
          </cell>
          <cell r="D51">
            <v>194537665</v>
          </cell>
          <cell r="E51">
            <v>214813454</v>
          </cell>
          <cell r="F51">
            <v>509386</v>
          </cell>
          <cell r="G51">
            <v>524094</v>
          </cell>
          <cell r="H51">
            <v>534033</v>
          </cell>
          <cell r="I51">
            <v>295.33505131994087</v>
          </cell>
          <cell r="J51">
            <v>322.39615537136865</v>
          </cell>
          <cell r="K51">
            <v>371.18849862810868</v>
          </cell>
          <cell r="L51">
            <v>402.24752777450084</v>
          </cell>
        </row>
        <row r="52">
          <cell r="A52" t="str">
            <v>DIGNITAS</v>
          </cell>
          <cell r="B52">
            <v>15938569</v>
          </cell>
          <cell r="C52">
            <v>17642205</v>
          </cell>
          <cell r="D52">
            <v>19536177</v>
          </cell>
          <cell r="F52">
            <v>65389</v>
          </cell>
          <cell r="G52">
            <v>0</v>
          </cell>
          <cell r="H52">
            <v>0</v>
          </cell>
          <cell r="I52">
            <v>237.42133408806529</v>
          </cell>
          <cell r="J52">
            <v>269.80386609368549</v>
          </cell>
        </row>
        <row r="53">
          <cell r="A53" t="str">
            <v>ETHIKA</v>
          </cell>
          <cell r="B53">
            <v>336588</v>
          </cell>
          <cell r="C53">
            <v>434763</v>
          </cell>
          <cell r="D53">
            <v>550406</v>
          </cell>
          <cell r="E53">
            <v>734793</v>
          </cell>
          <cell r="F53">
            <v>1228</v>
          </cell>
          <cell r="G53">
            <v>1333</v>
          </cell>
          <cell r="H53">
            <v>1454</v>
          </cell>
          <cell r="I53">
            <v>296.55330396475773</v>
          </cell>
          <cell r="J53">
            <v>354.04153094462544</v>
          </cell>
          <cell r="K53">
            <v>412.90772693173295</v>
          </cell>
          <cell r="L53">
            <v>505.35969738651994</v>
          </cell>
        </row>
        <row r="54">
          <cell r="A54" t="str">
            <v>FECUNDA</v>
          </cell>
          <cell r="B54">
            <v>23924556</v>
          </cell>
          <cell r="C54">
            <v>27555865</v>
          </cell>
          <cell r="D54">
            <v>31391690</v>
          </cell>
          <cell r="E54">
            <v>35061139</v>
          </cell>
          <cell r="F54">
            <v>108522</v>
          </cell>
          <cell r="G54">
            <v>111843</v>
          </cell>
          <cell r="H54">
            <v>116728</v>
          </cell>
          <cell r="I54">
            <v>226.76229562579974</v>
          </cell>
          <cell r="J54">
            <v>253.91961998488785</v>
          </cell>
          <cell r="K54">
            <v>280.67639458884327</v>
          </cell>
          <cell r="L54">
            <v>300.36614179973958</v>
          </cell>
        </row>
        <row r="55">
          <cell r="A55" t="str">
            <v>FUTURA</v>
          </cell>
          <cell r="B55">
            <v>21372027</v>
          </cell>
          <cell r="C55">
            <v>24996231</v>
          </cell>
          <cell r="D55">
            <v>28384365</v>
          </cell>
          <cell r="E55">
            <v>31406941</v>
          </cell>
          <cell r="F55">
            <v>34952</v>
          </cell>
          <cell r="G55">
            <v>35767</v>
          </cell>
          <cell r="H55">
            <v>36067</v>
          </cell>
          <cell r="I55">
            <v>625.79137385804643</v>
          </cell>
          <cell r="J55">
            <v>715.15881780727852</v>
          </cell>
          <cell r="K55">
            <v>793.59087986132465</v>
          </cell>
          <cell r="L55">
            <v>870.79438267668502</v>
          </cell>
        </row>
        <row r="56">
          <cell r="A56" t="str">
            <v>GENERAR</v>
          </cell>
          <cell r="B56">
            <v>23822153</v>
          </cell>
          <cell r="C56">
            <v>27373552</v>
          </cell>
          <cell r="D56">
            <v>31012520</v>
          </cell>
          <cell r="E56">
            <v>34275931</v>
          </cell>
          <cell r="F56">
            <v>29897</v>
          </cell>
          <cell r="G56">
            <v>30458</v>
          </cell>
          <cell r="H56">
            <v>30801</v>
          </cell>
          <cell r="I56">
            <v>802.71432422414659</v>
          </cell>
          <cell r="J56">
            <v>915.59527711810551</v>
          </cell>
          <cell r="K56">
            <v>1018.2060542386237</v>
          </cell>
          <cell r="L56">
            <v>1112.8187721177883</v>
          </cell>
        </row>
        <row r="57">
          <cell r="A57" t="str">
            <v>JACARANDÁ</v>
          </cell>
          <cell r="B57">
            <v>10799893</v>
          </cell>
          <cell r="C57">
            <v>12276096</v>
          </cell>
          <cell r="D57">
            <v>13930833</v>
          </cell>
          <cell r="E57">
            <v>15156828</v>
          </cell>
          <cell r="F57">
            <v>53494</v>
          </cell>
          <cell r="G57">
            <v>54553</v>
          </cell>
          <cell r="H57">
            <v>54672</v>
          </cell>
          <cell r="I57">
            <v>207.99824740481097</v>
          </cell>
          <cell r="J57">
            <v>229.4854750065428</v>
          </cell>
          <cell r="K57">
            <v>255.36327974630177</v>
          </cell>
          <cell r="L57">
            <v>277.23200175592626</v>
          </cell>
        </row>
        <row r="58">
          <cell r="A58" t="str">
            <v>MÁS VIDA</v>
          </cell>
          <cell r="B58">
            <v>2609412</v>
          </cell>
          <cell r="C58">
            <v>3151231</v>
          </cell>
          <cell r="D58">
            <v>3862167</v>
          </cell>
          <cell r="E58">
            <v>4632247</v>
          </cell>
          <cell r="F58">
            <v>15512</v>
          </cell>
          <cell r="G58">
            <v>18542</v>
          </cell>
          <cell r="H58">
            <v>21700</v>
          </cell>
          <cell r="I58">
            <v>197.56299212598427</v>
          </cell>
          <cell r="J58">
            <v>203.1479499742135</v>
          </cell>
          <cell r="K58">
            <v>208.29290259950383</v>
          </cell>
          <cell r="L58">
            <v>213.46760368663595</v>
          </cell>
        </row>
        <row r="59">
          <cell r="A59" t="str">
            <v>MÁXIMA</v>
          </cell>
          <cell r="B59">
            <v>135750103</v>
          </cell>
          <cell r="C59">
            <v>155718751</v>
          </cell>
          <cell r="D59">
            <v>175988251</v>
          </cell>
          <cell r="E59">
            <v>189550207</v>
          </cell>
          <cell r="F59">
            <v>490909</v>
          </cell>
          <cell r="G59">
            <v>501751</v>
          </cell>
          <cell r="H59">
            <v>511756</v>
          </cell>
          <cell r="I59">
            <v>280.54787496770859</v>
          </cell>
          <cell r="J59">
            <v>317.20492188980035</v>
          </cell>
          <cell r="K59">
            <v>350.74818186710144</v>
          </cell>
          <cell r="L59">
            <v>370.39176287136837</v>
          </cell>
        </row>
        <row r="60">
          <cell r="A60" t="str">
            <v>NACIÓN</v>
          </cell>
          <cell r="B60">
            <v>80076398</v>
          </cell>
          <cell r="C60">
            <v>89247308</v>
          </cell>
          <cell r="D60">
            <v>99444006</v>
          </cell>
          <cell r="E60">
            <v>109883985</v>
          </cell>
          <cell r="F60">
            <v>401972</v>
          </cell>
          <cell r="G60">
            <v>409936</v>
          </cell>
          <cell r="H60">
            <v>412884</v>
          </cell>
          <cell r="I60">
            <v>200.19099499999999</v>
          </cell>
          <cell r="J60">
            <v>222.02369319256067</v>
          </cell>
          <cell r="K60">
            <v>242.58422290308732</v>
          </cell>
          <cell r="L60">
            <v>266.13766820705087</v>
          </cell>
        </row>
        <row r="61">
          <cell r="A61" t="str">
            <v>ORÍGENES</v>
          </cell>
          <cell r="B61">
            <v>66878672</v>
          </cell>
          <cell r="C61">
            <v>79636618</v>
          </cell>
          <cell r="D61">
            <v>94303177</v>
          </cell>
          <cell r="E61">
            <v>104294240</v>
          </cell>
          <cell r="F61">
            <v>344970</v>
          </cell>
          <cell r="G61">
            <v>363379</v>
          </cell>
          <cell r="H61">
            <v>383341</v>
          </cell>
          <cell r="I61">
            <v>200.44018593833823</v>
          </cell>
          <cell r="J61">
            <v>230.85085079862017</v>
          </cell>
          <cell r="K61">
            <v>259.51741019706697</v>
          </cell>
          <cell r="L61">
            <v>272.06648910500053</v>
          </cell>
        </row>
        <row r="62">
          <cell r="A62" t="str">
            <v>PATRIMONIO</v>
          </cell>
          <cell r="B62">
            <v>21411320</v>
          </cell>
          <cell r="C62">
            <v>24080865</v>
          </cell>
          <cell r="D62">
            <v>27396402</v>
          </cell>
          <cell r="E62">
            <v>29306503</v>
          </cell>
          <cell r="F62">
            <v>111090</v>
          </cell>
          <cell r="G62">
            <v>112193</v>
          </cell>
          <cell r="H62">
            <v>112437</v>
          </cell>
          <cell r="I62">
            <v>193.33020316027088</v>
          </cell>
          <cell r="J62">
            <v>216.76897110450986</v>
          </cell>
          <cell r="K62">
            <v>244.1899405488756</v>
          </cell>
          <cell r="L62">
            <v>260.64821188754593</v>
          </cell>
        </row>
        <row r="63">
          <cell r="A63" t="str">
            <v>PREVINTER</v>
          </cell>
          <cell r="B63">
            <v>73314792</v>
          </cell>
          <cell r="C63">
            <v>86799303</v>
          </cell>
          <cell r="D63">
            <v>101588876</v>
          </cell>
          <cell r="E63">
            <v>114659509</v>
          </cell>
          <cell r="F63">
            <v>245409</v>
          </cell>
          <cell r="G63">
            <v>262463</v>
          </cell>
          <cell r="H63">
            <v>277078</v>
          </cell>
          <cell r="I63">
            <v>315.28904408855556</v>
          </cell>
          <cell r="J63">
            <v>353.69241959341343</v>
          </cell>
          <cell r="K63">
            <v>387.0597989049885</v>
          </cell>
          <cell r="L63">
            <v>413.8167194797133</v>
          </cell>
        </row>
        <row r="64">
          <cell r="A64" t="str">
            <v>PREVISOL</v>
          </cell>
          <cell r="B64">
            <v>30352660</v>
          </cell>
          <cell r="C64">
            <v>35584979</v>
          </cell>
          <cell r="D64">
            <v>40583444</v>
          </cell>
          <cell r="E64">
            <v>44446312</v>
          </cell>
          <cell r="F64">
            <v>115299</v>
          </cell>
          <cell r="G64">
            <v>117813</v>
          </cell>
          <cell r="H64">
            <v>117668</v>
          </cell>
          <cell r="I64">
            <v>269.01947228943425</v>
          </cell>
          <cell r="J64">
            <v>308.63215639337722</v>
          </cell>
          <cell r="K64">
            <v>344.47339427737177</v>
          </cell>
          <cell r="L64">
            <v>377.7264166978278</v>
          </cell>
        </row>
        <row r="65">
          <cell r="A65" t="str">
            <v>PROFESIÓN</v>
          </cell>
          <cell r="B65">
            <v>3379487</v>
          </cell>
          <cell r="C65">
            <v>4092347</v>
          </cell>
          <cell r="D65">
            <v>4920419</v>
          </cell>
          <cell r="E65">
            <v>5469379</v>
          </cell>
          <cell r="F65">
            <v>8505</v>
          </cell>
          <cell r="G65">
            <v>9572</v>
          </cell>
          <cell r="H65">
            <v>10427</v>
          </cell>
          <cell r="I65">
            <v>421.69790366858001</v>
          </cell>
          <cell r="J65">
            <v>481.16954732510288</v>
          </cell>
          <cell r="K65">
            <v>514.0429377350606</v>
          </cell>
          <cell r="L65">
            <v>524.54004028004215</v>
          </cell>
        </row>
        <row r="66">
          <cell r="A66" t="str">
            <v>PRORENTA</v>
          </cell>
          <cell r="B66">
            <v>23563913</v>
          </cell>
          <cell r="C66">
            <v>26643232</v>
          </cell>
          <cell r="D66">
            <v>29781493</v>
          </cell>
          <cell r="E66">
            <v>32704930</v>
          </cell>
          <cell r="F66">
            <v>83792</v>
          </cell>
          <cell r="G66">
            <v>85400</v>
          </cell>
          <cell r="H66">
            <v>85973</v>
          </cell>
          <cell r="I66">
            <v>284.33420614426723</v>
          </cell>
          <cell r="J66">
            <v>317.96868436127556</v>
          </cell>
          <cell r="K66">
            <v>348.72942622950819</v>
          </cell>
          <cell r="L66">
            <v>380.40931455224313</v>
          </cell>
        </row>
        <row r="67">
          <cell r="A67" t="str">
            <v>SAN JOSÉ</v>
          </cell>
          <cell r="B67">
            <v>6566701</v>
          </cell>
          <cell r="C67">
            <v>7497400</v>
          </cell>
          <cell r="D67">
            <v>8388411</v>
          </cell>
          <cell r="E67">
            <v>9238586</v>
          </cell>
          <cell r="F67">
            <v>22730</v>
          </cell>
          <cell r="G67">
            <v>23208</v>
          </cell>
          <cell r="H67">
            <v>23322</v>
          </cell>
          <cell r="I67">
            <v>292.89478144513828</v>
          </cell>
          <cell r="J67">
            <v>329.84601847778265</v>
          </cell>
          <cell r="K67">
            <v>361.44480351602897</v>
          </cell>
          <cell r="L67">
            <v>396.13180687762627</v>
          </cell>
        </row>
        <row r="68">
          <cell r="A68" t="str">
            <v>SAVIA</v>
          </cell>
          <cell r="B68">
            <v>4727359</v>
          </cell>
          <cell r="C68">
            <v>5427231</v>
          </cell>
          <cell r="D68">
            <v>5903014</v>
          </cell>
          <cell r="E68">
            <v>6276262</v>
          </cell>
          <cell r="F68">
            <v>44487</v>
          </cell>
          <cell r="G68">
            <v>44550</v>
          </cell>
          <cell r="H68">
            <v>43999</v>
          </cell>
          <cell r="I68">
            <v>105.50021201097994</v>
          </cell>
          <cell r="J68">
            <v>121.99588643873491</v>
          </cell>
          <cell r="K68">
            <v>132.50312008978676</v>
          </cell>
          <cell r="L68">
            <v>142.64556012636652</v>
          </cell>
        </row>
        <row r="69">
          <cell r="A69" t="str">
            <v>SIEMBRA</v>
          </cell>
          <cell r="B69">
            <v>136112479</v>
          </cell>
          <cell r="C69">
            <v>148899642</v>
          </cell>
          <cell r="D69">
            <v>171863998</v>
          </cell>
          <cell r="E69">
            <v>208593775</v>
          </cell>
          <cell r="F69">
            <v>418123</v>
          </cell>
          <cell r="G69">
            <v>493812</v>
          </cell>
          <cell r="H69">
            <v>498958</v>
          </cell>
          <cell r="I69">
            <v>332.34399210846948</v>
          </cell>
          <cell r="J69">
            <v>356.11444957584251</v>
          </cell>
          <cell r="K69">
            <v>348.03528063311546</v>
          </cell>
          <cell r="L69">
            <v>418.05878450691239</v>
          </cell>
        </row>
        <row r="70">
          <cell r="A70" t="str">
            <v>UNIDOS</v>
          </cell>
          <cell r="B70">
            <v>5888660</v>
          </cell>
          <cell r="C70">
            <v>6715538</v>
          </cell>
          <cell r="D70">
            <v>7645222</v>
          </cell>
          <cell r="E70">
            <v>8394786</v>
          </cell>
          <cell r="F70">
            <v>15084</v>
          </cell>
          <cell r="G70">
            <v>15418</v>
          </cell>
          <cell r="H70">
            <v>15642</v>
          </cell>
          <cell r="I70">
            <v>395.50406340251192</v>
          </cell>
          <cell r="J70">
            <v>445.20936091222489</v>
          </cell>
          <cell r="K70">
            <v>495.86340640809442</v>
          </cell>
          <cell r="L70">
            <v>536.68239355581125</v>
          </cell>
        </row>
        <row r="72">
          <cell r="A72" t="str">
            <v>TOTAL</v>
          </cell>
          <cell r="B72">
            <v>949905908</v>
          </cell>
          <cell r="C72">
            <v>1080564148</v>
          </cell>
          <cell r="D72">
            <v>1241516489</v>
          </cell>
          <cell r="E72">
            <v>1364315121</v>
          </cell>
          <cell r="F72">
            <v>3657886</v>
          </cell>
          <cell r="G72">
            <v>3763888</v>
          </cell>
          <cell r="H72">
            <v>3843099</v>
          </cell>
          <cell r="I72">
            <v>264.94564394583864</v>
          </cell>
          <cell r="J72">
            <v>295.40673164773312</v>
          </cell>
          <cell r="K72">
            <v>329.84947718954442</v>
          </cell>
          <cell r="L72">
            <v>355.00389685511612</v>
          </cell>
        </row>
        <row r="74">
          <cell r="I74" t="str">
            <v>PROMEDIO SISTEMA</v>
          </cell>
        </row>
      </sheetData>
      <sheetData sheetId="1" refreshError="1">
        <row r="4">
          <cell r="A4" t="str">
            <v>GRÁFICO N° 10.3.1</v>
          </cell>
        </row>
        <row r="37">
          <cell r="A37" t="str">
            <v>GRÁFICO N° 10.3.2.</v>
          </cell>
        </row>
        <row r="70">
          <cell r="A70" t="str">
            <v>GRÁFICO N° 10.3.3.</v>
          </cell>
        </row>
        <row r="104">
          <cell r="A104" t="str">
            <v>GRÁFICO N° 10.3.4.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ua 66"/>
      <sheetName val="Varones"/>
      <sheetName val="Mujeres"/>
      <sheetName val="cua 65"/>
      <sheetName val="Tablita"/>
      <sheetName val="TD"/>
      <sheetName val="DATOS"/>
    </sheetNames>
    <sheetDataSet>
      <sheetData sheetId="0"/>
      <sheetData sheetId="1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40.217922194293912</v>
          </cell>
          <cell r="D78">
            <v>43.82994176040534</v>
          </cell>
          <cell r="E78">
            <v>42.017258935320612</v>
          </cell>
          <cell r="F78">
            <v>44.44812722347784</v>
          </cell>
          <cell r="G78">
            <v>44.072984231844956</v>
          </cell>
          <cell r="H78">
            <v>44.773963520782239</v>
          </cell>
          <cell r="I78">
            <v>45.945446052844332</v>
          </cell>
          <cell r="J78">
            <v>46.469759528076906</v>
          </cell>
          <cell r="K78">
            <v>45.85851872275807</v>
          </cell>
          <cell r="L78">
            <v>43.602998656225203</v>
          </cell>
          <cell r="M78">
            <v>41.129391708083581</v>
          </cell>
          <cell r="N78">
            <v>41.099927307953948</v>
          </cell>
          <cell r="O78">
            <v>41.674297106691775</v>
          </cell>
          <cell r="P78">
            <v>41.613967761967679</v>
          </cell>
          <cell r="Q78">
            <v>42.825515510024928</v>
          </cell>
          <cell r="R78">
            <v>44.193791283475299</v>
          </cell>
          <cell r="S78">
            <v>45.212387123463685</v>
          </cell>
          <cell r="T78">
            <v>44.499204994054438</v>
          </cell>
          <cell r="U78">
            <v>44.685519383992869</v>
          </cell>
          <cell r="V78">
            <v>42.909900595558284</v>
          </cell>
        </row>
        <row r="79">
          <cell r="B79" t="str">
            <v>Capital Federal</v>
          </cell>
          <cell r="C79">
            <v>44.16382963118933</v>
          </cell>
          <cell r="D79">
            <v>46.578351767159958</v>
          </cell>
          <cell r="E79">
            <v>43.736013385594838</v>
          </cell>
          <cell r="F79">
            <v>46.385318624970481</v>
          </cell>
          <cell r="G79">
            <v>41.349899745757227</v>
          </cell>
          <cell r="H79">
            <v>44.615884941838431</v>
          </cell>
          <cell r="I79">
            <v>47.926108009550376</v>
          </cell>
          <cell r="J79">
            <v>47.377189361325705</v>
          </cell>
          <cell r="K79">
            <v>50.111471258609583</v>
          </cell>
          <cell r="L79">
            <v>45.17848341630593</v>
          </cell>
          <cell r="M79">
            <v>44.40459304550145</v>
          </cell>
          <cell r="N79">
            <v>48.229720466521307</v>
          </cell>
          <cell r="O79">
            <v>47.698797686089904</v>
          </cell>
          <cell r="P79">
            <v>50.19509977960157</v>
          </cell>
          <cell r="Q79">
            <v>49.903101379013812</v>
          </cell>
          <cell r="R79">
            <v>49.04876288146562</v>
          </cell>
          <cell r="S79">
            <v>49.942785615954065</v>
          </cell>
          <cell r="T79">
            <v>49.042511563018756</v>
          </cell>
          <cell r="U79">
            <v>51.280469755350197</v>
          </cell>
          <cell r="V79">
            <v>47.702331877793277</v>
          </cell>
        </row>
        <row r="80">
          <cell r="B80" t="str">
            <v>Partidos del Conurbano</v>
          </cell>
          <cell r="C80">
            <v>40.512871412460591</v>
          </cell>
          <cell r="D80">
            <v>46.430602642081141</v>
          </cell>
          <cell r="E80">
            <v>44.154435272053952</v>
          </cell>
          <cell r="F80">
            <v>46.066638279753036</v>
          </cell>
          <cell r="G80">
            <v>45.848401670616553</v>
          </cell>
          <cell r="H80">
            <v>44.709194240418555</v>
          </cell>
          <cell r="I80">
            <v>47.131410690609172</v>
          </cell>
          <cell r="J80">
            <v>48.30430239694293</v>
          </cell>
          <cell r="K80">
            <v>46.054801017791405</v>
          </cell>
          <cell r="L80">
            <v>43.161077845098433</v>
          </cell>
          <cell r="M80">
            <v>41.457394673973809</v>
          </cell>
          <cell r="N80">
            <v>39.828327624499224</v>
          </cell>
          <cell r="O80">
            <v>40.629770730200626</v>
          </cell>
          <cell r="P80">
            <v>38.76873265774308</v>
          </cell>
          <cell r="Q80">
            <v>41.730868294584532</v>
          </cell>
          <cell r="R80">
            <v>43.004128719136418</v>
          </cell>
          <cell r="S80">
            <v>43.835823335565664</v>
          </cell>
          <cell r="T80">
            <v>43.254722562488666</v>
          </cell>
          <cell r="U80">
            <v>41.575240814407806</v>
          </cell>
          <cell r="V80">
            <v>40.771831917488271</v>
          </cell>
        </row>
        <row r="81">
          <cell r="B81" t="str">
            <v>Gran Buenos Aires</v>
          </cell>
          <cell r="C81">
            <v>41.565918937343184</v>
          </cell>
          <cell r="D81">
            <v>46.472216249210987</v>
          </cell>
          <cell r="E81">
            <v>44.037261510996231</v>
          </cell>
          <cell r="F81">
            <v>46.153328486608459</v>
          </cell>
          <cell r="G81">
            <v>44.645665494392205</v>
          </cell>
          <cell r="H81">
            <v>44.683864677477253</v>
          </cell>
          <cell r="I81">
            <v>47.344266982043429</v>
          </cell>
          <cell r="J81">
            <v>48.062028445757214</v>
          </cell>
          <cell r="K81">
            <v>47.101844573131274</v>
          </cell>
          <cell r="L81">
            <v>43.67745649590141</v>
          </cell>
          <cell r="M81">
            <v>42.195401750055169</v>
          </cell>
          <cell r="N81">
            <v>42.039491391333428</v>
          </cell>
          <cell r="O81">
            <v>42.517790271295546</v>
          </cell>
          <cell r="P81">
            <v>41.744795505701155</v>
          </cell>
          <cell r="Q81">
            <v>43.797680930653598</v>
          </cell>
          <cell r="R81">
            <v>44.522959578570124</v>
          </cell>
          <cell r="S81">
            <v>45.358500885833394</v>
          </cell>
          <cell r="T81">
            <v>44.756029288085671</v>
          </cell>
          <cell r="U81">
            <v>44.041584177113599</v>
          </cell>
          <cell r="V81">
            <v>42.523934898558529</v>
          </cell>
        </row>
        <row r="82">
          <cell r="B82" t="str">
            <v>Bahía Blanca</v>
          </cell>
          <cell r="C82">
            <v>43.410921979478474</v>
          </cell>
          <cell r="D82">
            <v>46.579634464751955</v>
          </cell>
          <cell r="E82">
            <v>37.936762087180334</v>
          </cell>
          <cell r="F82">
            <v>43.172930535239857</v>
          </cell>
          <cell r="G82">
            <v>43.652695491098335</v>
          </cell>
          <cell r="H82">
            <v>43.752624947501047</v>
          </cell>
          <cell r="I82">
            <v>44.605839630685992</v>
          </cell>
          <cell r="J82">
            <v>45.436194862609639</v>
          </cell>
          <cell r="K82">
            <v>42.559970014992501</v>
          </cell>
          <cell r="L82">
            <v>39.384343853820596</v>
          </cell>
          <cell r="M82">
            <v>38.672581337565532</v>
          </cell>
          <cell r="N82">
            <v>37.936195689360247</v>
          </cell>
          <cell r="O82">
            <v>43.431642593214647</v>
          </cell>
          <cell r="P82">
            <v>43.214400156038842</v>
          </cell>
          <cell r="Q82">
            <v>43.214400156038842</v>
          </cell>
          <cell r="R82">
            <v>48.548708870718485</v>
          </cell>
          <cell r="S82">
            <v>51.866460254425526</v>
          </cell>
          <cell r="T82">
            <v>47.375863601470648</v>
          </cell>
          <cell r="U82">
            <v>51.182072679052204</v>
          </cell>
          <cell r="V82" t="str">
            <v>...</v>
          </cell>
        </row>
        <row r="83">
          <cell r="B83" t="str">
            <v>Gran La Plata</v>
          </cell>
          <cell r="C83">
            <v>36.191593770002136</v>
          </cell>
          <cell r="D83">
            <v>36.611422707656843</v>
          </cell>
          <cell r="E83">
            <v>43.594886430891847</v>
          </cell>
          <cell r="F83">
            <v>46.748455177573952</v>
          </cell>
          <cell r="G83">
            <v>47.725495224052821</v>
          </cell>
          <cell r="H83">
            <v>50.591818919892319</v>
          </cell>
          <cell r="I83">
            <v>44.454325619925321</v>
          </cell>
          <cell r="J83">
            <v>45.604926047403922</v>
          </cell>
          <cell r="K83">
            <v>47.877143759638791</v>
          </cell>
          <cell r="L83">
            <v>41.087035742662387</v>
          </cell>
          <cell r="M83">
            <v>39.781774217923534</v>
          </cell>
          <cell r="N83">
            <v>40.622187320668097</v>
          </cell>
          <cell r="O83">
            <v>38.654151815817364</v>
          </cell>
          <cell r="P83">
            <v>42.132769535936141</v>
          </cell>
          <cell r="Q83">
            <v>42.132769535936141</v>
          </cell>
          <cell r="R83">
            <v>45.909272864274278</v>
          </cell>
          <cell r="S83">
            <v>48.107567456979837</v>
          </cell>
          <cell r="T83">
            <v>45.324804272899499</v>
          </cell>
          <cell r="U83">
            <v>48.067055360707315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40.767821979868081</v>
          </cell>
          <cell r="O84">
            <v>46.697730187519447</v>
          </cell>
          <cell r="P84">
            <v>47.183602779236189</v>
          </cell>
          <cell r="Q84">
            <v>39.768689562116485</v>
          </cell>
          <cell r="R84">
            <v>42.586382854643531</v>
          </cell>
          <cell r="S84">
            <v>46.858466643709107</v>
          </cell>
          <cell r="T84">
            <v>48.455571610812513</v>
          </cell>
          <cell r="U84">
            <v>54.111647741869184</v>
          </cell>
          <cell r="V84" t="str">
            <v>...</v>
          </cell>
        </row>
        <row r="85">
          <cell r="B85" t="str">
            <v>Gran Catamarca</v>
          </cell>
          <cell r="C85">
            <v>37.847939844334022</v>
          </cell>
          <cell r="D85">
            <v>37.436110533970499</v>
          </cell>
          <cell r="E85">
            <v>36.607843137254903</v>
          </cell>
          <cell r="F85">
            <v>41.31047346906378</v>
          </cell>
          <cell r="G85">
            <v>40.799712678079729</v>
          </cell>
          <cell r="H85">
            <v>42.733690829829094</v>
          </cell>
          <cell r="I85">
            <v>47.153926389509756</v>
          </cell>
          <cell r="J85">
            <v>48.144642180992051</v>
          </cell>
          <cell r="K85">
            <v>41.972602739726028</v>
          </cell>
          <cell r="L85">
            <v>44.495707748742582</v>
          </cell>
          <cell r="M85">
            <v>42.110523004034498</v>
          </cell>
          <cell r="N85">
            <v>40.40681693238043</v>
          </cell>
          <cell r="O85">
            <v>43.149158006653629</v>
          </cell>
          <cell r="P85">
            <v>42.742064380014703</v>
          </cell>
          <cell r="Q85">
            <v>40.443005724904836</v>
          </cell>
          <cell r="R85">
            <v>44.054647173368778</v>
          </cell>
          <cell r="S85">
            <v>42.86909122371874</v>
          </cell>
          <cell r="T85">
            <v>45.709019698191447</v>
          </cell>
          <cell r="U85">
            <v>44.033677974933497</v>
          </cell>
          <cell r="V85">
            <v>45.850280312190833</v>
          </cell>
        </row>
        <row r="86">
          <cell r="B86" t="str">
            <v>Gran Córdoba</v>
          </cell>
          <cell r="C86">
            <v>37.570727050020537</v>
          </cell>
          <cell r="D86">
            <v>41.597172627222619</v>
          </cell>
          <cell r="E86">
            <v>39.66884922414566</v>
          </cell>
          <cell r="F86">
            <v>42.071408128219808</v>
          </cell>
          <cell r="G86">
            <v>46.448634144444483</v>
          </cell>
          <cell r="H86">
            <v>47.046042950049845</v>
          </cell>
          <cell r="I86">
            <v>47.306251800633824</v>
          </cell>
          <cell r="J86">
            <v>45.31591442033352</v>
          </cell>
          <cell r="K86">
            <v>45.604149589105262</v>
          </cell>
          <cell r="L86">
            <v>47.293972731610417</v>
          </cell>
          <cell r="M86">
            <v>42.675187809061079</v>
          </cell>
          <cell r="N86">
            <v>38.707727873183615</v>
          </cell>
          <cell r="O86">
            <v>39.027273383987968</v>
          </cell>
          <cell r="P86" t="str">
            <v>...</v>
          </cell>
          <cell r="Q86">
            <v>41.426736456761184</v>
          </cell>
          <cell r="R86">
            <v>38.409146490584497</v>
          </cell>
          <cell r="S86">
            <v>41.838676897618129</v>
          </cell>
          <cell r="T86">
            <v>42.927181409065078</v>
          </cell>
          <cell r="U86">
            <v>42.445271231206824</v>
          </cell>
          <cell r="V86">
            <v>44.07741568939857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45.2181505634533</v>
          </cell>
          <cell r="O87">
            <v>38.827422939414433</v>
          </cell>
          <cell r="P87">
            <v>41.809082947579128</v>
          </cell>
          <cell r="Q87">
            <v>39.979479286905217</v>
          </cell>
          <cell r="R87">
            <v>39.75903614457831</v>
          </cell>
          <cell r="S87">
            <v>42.432499999999997</v>
          </cell>
          <cell r="T87">
            <v>47.711466165413533</v>
          </cell>
          <cell r="U87">
            <v>43.728899606549057</v>
          </cell>
          <cell r="V87" t="str">
            <v>...</v>
          </cell>
        </row>
        <row r="88">
          <cell r="B88" t="str">
            <v>Corrientes</v>
          </cell>
          <cell r="C88">
            <v>31.581445523193096</v>
          </cell>
          <cell r="D88">
            <v>35.421324161650901</v>
          </cell>
          <cell r="E88">
            <v>30.744859554742821</v>
          </cell>
          <cell r="F88">
            <v>33.945213831547775</v>
          </cell>
          <cell r="G88" t="str">
            <v>...</v>
          </cell>
          <cell r="H88">
            <v>29.546785846006983</v>
          </cell>
          <cell r="I88">
            <v>31.702293717209386</v>
          </cell>
          <cell r="J88">
            <v>34.403146268900031</v>
          </cell>
          <cell r="K88">
            <v>40.660258237953641</v>
          </cell>
          <cell r="L88">
            <v>41.7861367874401</v>
          </cell>
          <cell r="M88">
            <v>40.73321363035457</v>
          </cell>
          <cell r="N88">
            <v>37.781215063479181</v>
          </cell>
          <cell r="O88">
            <v>39.899503411284499</v>
          </cell>
          <cell r="P88">
            <v>40.247293822139824</v>
          </cell>
          <cell r="Q88">
            <v>42.711142861308332</v>
          </cell>
          <cell r="R88">
            <v>44.340245117996382</v>
          </cell>
          <cell r="S88">
            <v>46.730588300404008</v>
          </cell>
          <cell r="T88">
            <v>37.74610886698116</v>
          </cell>
          <cell r="U88">
            <v>45.920912486012057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36.396933144503592</v>
          </cell>
          <cell r="D89">
            <v>37.336748966666143</v>
          </cell>
          <cell r="E89">
            <v>40.622208290886299</v>
          </cell>
          <cell r="F89">
            <v>37.940981745956684</v>
          </cell>
          <cell r="G89">
            <v>39.786056113352721</v>
          </cell>
          <cell r="H89">
            <v>40.835156033393922</v>
          </cell>
          <cell r="I89">
            <v>40.413504723555832</v>
          </cell>
          <cell r="J89">
            <v>39.257115734999161</v>
          </cell>
          <cell r="K89">
            <v>42.596048759983184</v>
          </cell>
          <cell r="L89">
            <v>44.514320983535455</v>
          </cell>
          <cell r="M89">
            <v>43.053245948677819</v>
          </cell>
          <cell r="N89">
            <v>40.835930495666652</v>
          </cell>
          <cell r="O89">
            <v>42.864590478803677</v>
          </cell>
          <cell r="P89">
            <v>44.866649945656718</v>
          </cell>
          <cell r="Q89">
            <v>41.425887443422816</v>
          </cell>
          <cell r="R89">
            <v>47.23493568043331</v>
          </cell>
          <cell r="S89">
            <v>47.039508809396693</v>
          </cell>
          <cell r="T89">
            <v>46.864163929707026</v>
          </cell>
          <cell r="U89">
            <v>44.618612688225127</v>
          </cell>
          <cell r="V89">
            <v>42.003567961801821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50.365963808515282</v>
          </cell>
          <cell r="F90" t="str">
            <v>...</v>
          </cell>
          <cell r="G90">
            <v>46.87833827893175</v>
          </cell>
          <cell r="H90">
            <v>51.71102661596958</v>
          </cell>
          <cell r="I90">
            <v>49.892061175468996</v>
          </cell>
          <cell r="J90">
            <v>58.118178163940506</v>
          </cell>
          <cell r="K90">
            <v>52.461190655614168</v>
          </cell>
          <cell r="L90">
            <v>54.682798395185564</v>
          </cell>
          <cell r="M90">
            <v>52.039825918156488</v>
          </cell>
          <cell r="N90">
            <v>51.705313077283634</v>
          </cell>
          <cell r="O90">
            <v>52.888066707162182</v>
          </cell>
          <cell r="P90">
            <v>56.050460681379896</v>
          </cell>
          <cell r="Q90">
            <v>55.464649998654359</v>
          </cell>
          <cell r="R90">
            <v>56.115417743324727</v>
          </cell>
          <cell r="S90">
            <v>54.232625733118802</v>
          </cell>
          <cell r="T90">
            <v>54.894994473393332</v>
          </cell>
          <cell r="U90">
            <v>50.696408559688358</v>
          </cell>
          <cell r="V90" t="str">
            <v>...</v>
          </cell>
        </row>
        <row r="91">
          <cell r="B91" t="str">
            <v>Paraná</v>
          </cell>
          <cell r="C91">
            <v>31.807074565253497</v>
          </cell>
          <cell r="D91">
            <v>32.970990029932707</v>
          </cell>
          <cell r="E91">
            <v>35.333090332125472</v>
          </cell>
          <cell r="F91">
            <v>35.0391678438423</v>
          </cell>
          <cell r="G91">
            <v>34.828996124196088</v>
          </cell>
          <cell r="H91">
            <v>41.953913941770502</v>
          </cell>
          <cell r="I91">
            <v>40.33013419577042</v>
          </cell>
          <cell r="J91">
            <v>38.237286604642762</v>
          </cell>
          <cell r="K91">
            <v>39.492301290054101</v>
          </cell>
          <cell r="L91">
            <v>41.697923337297595</v>
          </cell>
          <cell r="M91">
            <v>40.276080561212943</v>
          </cell>
          <cell r="N91">
            <v>41.510813280536098</v>
          </cell>
          <cell r="O91">
            <v>41.136045150020159</v>
          </cell>
          <cell r="P91">
            <v>39.641090963584595</v>
          </cell>
          <cell r="Q91">
            <v>39.781526286893474</v>
          </cell>
          <cell r="R91">
            <v>40.616868934343721</v>
          </cell>
          <cell r="S91">
            <v>40.932584687465138</v>
          </cell>
          <cell r="T91">
            <v>43.236478207596704</v>
          </cell>
          <cell r="U91">
            <v>45.830268047460052</v>
          </cell>
          <cell r="V91">
            <v>45.917054856427725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43.688064021794652</v>
          </cell>
          <cell r="O92">
            <v>44.495250248121366</v>
          </cell>
          <cell r="P92">
            <v>42.722077922077922</v>
          </cell>
          <cell r="Q92">
            <v>43.974549604066532</v>
          </cell>
          <cell r="R92">
            <v>50.667388167388175</v>
          </cell>
          <cell r="S92">
            <v>52.314008868451303</v>
          </cell>
          <cell r="T92">
            <v>51.488114835056301</v>
          </cell>
          <cell r="U92">
            <v>52.824769599798003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36.968013011656275</v>
          </cell>
          <cell r="E93">
            <v>26.649305555555557</v>
          </cell>
          <cell r="F93">
            <v>34.567134923227705</v>
          </cell>
          <cell r="G93">
            <v>36.017938895636739</v>
          </cell>
          <cell r="H93">
            <v>33.754439075507946</v>
          </cell>
          <cell r="I93">
            <v>37.337996297058218</v>
          </cell>
          <cell r="J93">
            <v>37.093820158336285</v>
          </cell>
          <cell r="K93">
            <v>40.258625791560632</v>
          </cell>
          <cell r="L93">
            <v>37.497996045529845</v>
          </cell>
          <cell r="M93">
            <v>32.348588177254129</v>
          </cell>
          <cell r="N93">
            <v>34.956376515304214</v>
          </cell>
          <cell r="O93">
            <v>34.275733203347144</v>
          </cell>
          <cell r="P93">
            <v>38.055728223561523</v>
          </cell>
          <cell r="Q93">
            <v>45.780871197309772</v>
          </cell>
          <cell r="R93">
            <v>56.538303874996984</v>
          </cell>
          <cell r="S93">
            <v>52.528809218950066</v>
          </cell>
          <cell r="T93">
            <v>45.588710278516238</v>
          </cell>
          <cell r="U93">
            <v>51.178774843190503</v>
          </cell>
          <cell r="V93" t="str">
            <v>...</v>
          </cell>
        </row>
        <row r="94">
          <cell r="B94" t="str">
            <v xml:space="preserve">S.S. de Jujuy </v>
          </cell>
          <cell r="C94">
            <v>39.290478913120424</v>
          </cell>
          <cell r="D94">
            <v>41.34082655144077</v>
          </cell>
          <cell r="E94">
            <v>41.181208053691279</v>
          </cell>
          <cell r="F94">
            <v>38.886310904872389</v>
          </cell>
          <cell r="G94">
            <v>39.2189552389613</v>
          </cell>
          <cell r="H94">
            <v>40.871012922491481</v>
          </cell>
          <cell r="I94">
            <v>36.632761499924094</v>
          </cell>
          <cell r="J94">
            <v>43.653242677824267</v>
          </cell>
          <cell r="K94">
            <v>41.500090273658145</v>
          </cell>
          <cell r="L94">
            <v>40.301167475978922</v>
          </cell>
          <cell r="M94">
            <v>34.33625680141121</v>
          </cell>
          <cell r="N94">
            <v>40.185825675869268</v>
          </cell>
          <cell r="O94">
            <v>41.189511021028629</v>
          </cell>
          <cell r="P94">
            <v>42.562146248419133</v>
          </cell>
          <cell r="Q94">
            <v>37.736397457758486</v>
          </cell>
          <cell r="R94">
            <v>35.005945731685344</v>
          </cell>
          <cell r="S94">
            <v>42.833459473096191</v>
          </cell>
          <cell r="T94">
            <v>40.163592505939747</v>
          </cell>
          <cell r="U94">
            <v>42.805538832028901</v>
          </cell>
          <cell r="V94">
            <v>40.311373197115387</v>
          </cell>
        </row>
        <row r="95">
          <cell r="B95" t="str">
            <v xml:space="preserve">Santa Rosa y Toay </v>
          </cell>
          <cell r="C95">
            <v>49.717188645647845</v>
          </cell>
          <cell r="D95">
            <v>47.506647132237234</v>
          </cell>
          <cell r="E95">
            <v>41.169876694181191</v>
          </cell>
          <cell r="F95">
            <v>40.654699049630409</v>
          </cell>
          <cell r="G95">
            <v>44.26654695994813</v>
          </cell>
          <cell r="H95">
            <v>46.1825868934664</v>
          </cell>
          <cell r="I95">
            <v>47.624593584704229</v>
          </cell>
          <cell r="J95">
            <v>50.821852731591441</v>
          </cell>
          <cell r="K95">
            <v>50.675706840090406</v>
          </cell>
          <cell r="L95">
            <v>46.494360902255636</v>
          </cell>
          <cell r="M95">
            <v>44.351099481246841</v>
          </cell>
          <cell r="N95">
            <v>45.833680874134622</v>
          </cell>
          <cell r="O95">
            <v>48.235191713452586</v>
          </cell>
          <cell r="P95">
            <v>49.857142857142854</v>
          </cell>
          <cell r="Q95">
            <v>48.869188337273442</v>
          </cell>
          <cell r="R95">
            <v>47.846147726820732</v>
          </cell>
          <cell r="S95">
            <v>47.759433962264154</v>
          </cell>
          <cell r="T95">
            <v>46.282790484554582</v>
          </cell>
          <cell r="U95">
            <v>46.8107948025025</v>
          </cell>
          <cell r="V95">
            <v>43.69938807665531</v>
          </cell>
        </row>
        <row r="96">
          <cell r="B96" t="str">
            <v>La Rioja</v>
          </cell>
          <cell r="C96">
            <v>33.141542002301492</v>
          </cell>
          <cell r="D96">
            <v>33.629054616024398</v>
          </cell>
          <cell r="E96">
            <v>34.864567275930412</v>
          </cell>
          <cell r="F96">
            <v>39.461981164980813</v>
          </cell>
          <cell r="G96">
            <v>32.911168968712765</v>
          </cell>
          <cell r="H96">
            <v>37.744281833318723</v>
          </cell>
          <cell r="I96">
            <v>39.968022462270405</v>
          </cell>
          <cell r="J96">
            <v>36.605504587155963</v>
          </cell>
          <cell r="K96">
            <v>37.694198009079926</v>
          </cell>
          <cell r="L96">
            <v>38.121278405638598</v>
          </cell>
          <cell r="M96">
            <v>34.831024715787841</v>
          </cell>
          <cell r="N96">
            <v>36.538532550496662</v>
          </cell>
          <cell r="O96">
            <v>35.042061929479146</v>
          </cell>
          <cell r="P96">
            <v>40.32492022048158</v>
          </cell>
          <cell r="Q96">
            <v>42.722904431393488</v>
          </cell>
          <cell r="R96">
            <v>43.164362519201227</v>
          </cell>
          <cell r="S96">
            <v>42.898370117731936</v>
          </cell>
          <cell r="T96">
            <v>41.286307053941904</v>
          </cell>
          <cell r="U96">
            <v>41.867291075786554</v>
          </cell>
          <cell r="V96">
            <v>43.11575011684063</v>
          </cell>
        </row>
        <row r="97">
          <cell r="B97" t="str">
            <v>Gran Mendoza</v>
          </cell>
          <cell r="C97">
            <v>41.328815939076222</v>
          </cell>
          <cell r="D97">
            <v>40.865742861244605</v>
          </cell>
          <cell r="E97">
            <v>44.78636945321032</v>
          </cell>
          <cell r="F97">
            <v>49.516648764769066</v>
          </cell>
          <cell r="G97">
            <v>50.315789473684212</v>
          </cell>
          <cell r="H97">
            <v>51.460221550855991</v>
          </cell>
          <cell r="I97">
            <v>52.380952380952387</v>
          </cell>
          <cell r="J97">
            <v>54.270270270270274</v>
          </cell>
          <cell r="K97">
            <v>51.179487179487182</v>
          </cell>
          <cell r="L97">
            <v>52.526315789473685</v>
          </cell>
          <cell r="M97">
            <v>48.992576882290564</v>
          </cell>
          <cell r="N97">
            <v>43.036649214659683</v>
          </cell>
          <cell r="O97">
            <v>47.274633123689732</v>
          </cell>
          <cell r="P97">
            <v>47.028154327424396</v>
          </cell>
          <cell r="Q97">
            <v>47.770700636942678</v>
          </cell>
          <cell r="R97">
            <v>50.883002207505527</v>
          </cell>
          <cell r="S97">
            <v>49.401778304682871</v>
          </cell>
          <cell r="T97" t="str">
            <v>...</v>
          </cell>
          <cell r="U97">
            <v>53.550231029390751</v>
          </cell>
          <cell r="V97">
            <v>49.721485791947018</v>
          </cell>
        </row>
        <row r="98">
          <cell r="B98" t="str">
            <v>Posadas</v>
          </cell>
          <cell r="C98" t="str">
            <v>...</v>
          </cell>
          <cell r="D98">
            <v>42.822804601992956</v>
          </cell>
          <cell r="E98">
            <v>45.68182310978122</v>
          </cell>
          <cell r="F98">
            <v>42.985111509235807</v>
          </cell>
          <cell r="G98">
            <v>38.844975687080954</v>
          </cell>
          <cell r="H98">
            <v>46.646499071397116</v>
          </cell>
          <cell r="I98">
            <v>41.151735711726658</v>
          </cell>
          <cell r="J98">
            <v>42.880174838328287</v>
          </cell>
          <cell r="K98">
            <v>42.060816933057879</v>
          </cell>
          <cell r="L98">
            <v>44.474156433623023</v>
          </cell>
          <cell r="M98">
            <v>39.42307692307692</v>
          </cell>
          <cell r="N98">
            <v>43.052225008695018</v>
          </cell>
          <cell r="O98">
            <v>47.363014326857815</v>
          </cell>
          <cell r="P98">
            <v>42.888279419510688</v>
          </cell>
          <cell r="Q98">
            <v>45.837377332039253</v>
          </cell>
          <cell r="R98">
            <v>50.828883472565913</v>
          </cell>
          <cell r="S98">
            <v>52.037939898945126</v>
          </cell>
          <cell r="T98">
            <v>48.303944606884677</v>
          </cell>
          <cell r="U98">
            <v>48.997462823313839</v>
          </cell>
          <cell r="V98">
            <v>48.279355824949342</v>
          </cell>
        </row>
        <row r="99">
          <cell r="B99" t="str">
            <v>Neuquén y Plottier</v>
          </cell>
          <cell r="C99">
            <v>48.827593037363506</v>
          </cell>
          <cell r="D99">
            <v>47.479727700470519</v>
          </cell>
          <cell r="E99">
            <v>46.116493184932331</v>
          </cell>
          <cell r="F99">
            <v>45.6334212590005</v>
          </cell>
          <cell r="G99">
            <v>46.265455158950139</v>
          </cell>
          <cell r="H99">
            <v>46.667650023354724</v>
          </cell>
          <cell r="I99">
            <v>41.303139761044733</v>
          </cell>
          <cell r="J99">
            <v>42.557446997644341</v>
          </cell>
          <cell r="K99">
            <v>46.914996100738563</v>
          </cell>
          <cell r="L99">
            <v>49.121458379090711</v>
          </cell>
          <cell r="M99">
            <v>44.997726731472859</v>
          </cell>
          <cell r="N99">
            <v>42.391981627530214</v>
          </cell>
          <cell r="O99">
            <v>41.285833171025374</v>
          </cell>
          <cell r="P99">
            <v>45.076872181498437</v>
          </cell>
          <cell r="Q99">
            <v>48.579935101863313</v>
          </cell>
          <cell r="R99">
            <v>47.369920879710335</v>
          </cell>
          <cell r="S99">
            <v>45.097682119205295</v>
          </cell>
          <cell r="T99">
            <v>43.286960100026903</v>
          </cell>
          <cell r="U99">
            <v>49.423828451184079</v>
          </cell>
          <cell r="V99">
            <v>43.758306590164999</v>
          </cell>
        </row>
        <row r="100">
          <cell r="B100" t="str">
            <v>Salta</v>
          </cell>
          <cell r="C100">
            <v>39.492119089316994</v>
          </cell>
          <cell r="D100">
            <v>37.296159915833769</v>
          </cell>
          <cell r="E100">
            <v>39.235094375936541</v>
          </cell>
          <cell r="F100">
            <v>43.007948508094159</v>
          </cell>
          <cell r="G100">
            <v>40.886140036397975</v>
          </cell>
          <cell r="H100">
            <v>43.582303237929672</v>
          </cell>
          <cell r="I100">
            <v>43.640753766206494</v>
          </cell>
          <cell r="J100">
            <v>42.891305209475618</v>
          </cell>
          <cell r="K100">
            <v>40.547244298997455</v>
          </cell>
          <cell r="L100">
            <v>41.56857098287675</v>
          </cell>
          <cell r="M100">
            <v>40.557068521130184</v>
          </cell>
          <cell r="N100">
            <v>38.823452427692715</v>
          </cell>
          <cell r="O100">
            <v>39.556603974980256</v>
          </cell>
          <cell r="P100">
            <v>47.728801763136524</v>
          </cell>
          <cell r="Q100">
            <v>43.38758535708785</v>
          </cell>
          <cell r="R100">
            <v>46.871097683786509</v>
          </cell>
          <cell r="S100">
            <v>44.284115555643588</v>
          </cell>
          <cell r="T100">
            <v>45.926617852371912</v>
          </cell>
          <cell r="U100">
            <v>46.44132950221325</v>
          </cell>
          <cell r="V100" t="str">
            <v>...</v>
          </cell>
        </row>
        <row r="101">
          <cell r="B101" t="str">
            <v>Gran San Juan</v>
          </cell>
          <cell r="C101">
            <v>37.306530022336091</v>
          </cell>
          <cell r="D101">
            <v>39.743557854939809</v>
          </cell>
          <cell r="E101">
            <v>34.140202151940009</v>
          </cell>
          <cell r="F101">
            <v>41.585273210700521</v>
          </cell>
          <cell r="G101">
            <v>41.033957862091533</v>
          </cell>
          <cell r="H101">
            <v>46.062020130768602</v>
          </cell>
          <cell r="I101">
            <v>45.002976029435636</v>
          </cell>
          <cell r="J101">
            <v>50.704495228849176</v>
          </cell>
          <cell r="K101">
            <v>46.412906103635414</v>
          </cell>
          <cell r="L101">
            <v>44.415292796785437</v>
          </cell>
          <cell r="M101">
            <v>40.488835316442099</v>
          </cell>
          <cell r="N101">
            <v>39.105069581358883</v>
          </cell>
          <cell r="O101">
            <v>40.885989790130459</v>
          </cell>
          <cell r="P101">
            <v>38.943426662057838</v>
          </cell>
          <cell r="Q101">
            <v>39.896609735173861</v>
          </cell>
          <cell r="R101">
            <v>45.268820789845165</v>
          </cell>
          <cell r="S101">
            <v>43.662878911921055</v>
          </cell>
          <cell r="T101">
            <v>44.790707718185644</v>
          </cell>
          <cell r="U101">
            <v>46.472154910821487</v>
          </cell>
          <cell r="V101" t="str">
            <v>...</v>
          </cell>
        </row>
        <row r="102">
          <cell r="B102" t="str">
            <v>San Luis-El Chorrillo</v>
          </cell>
          <cell r="C102">
            <v>36.936360729133355</v>
          </cell>
          <cell r="D102">
            <v>40.129767248858876</v>
          </cell>
          <cell r="E102">
            <v>40.353277270349658</v>
          </cell>
          <cell r="F102">
            <v>46.78389814060013</v>
          </cell>
          <cell r="G102">
            <v>49.387380777696258</v>
          </cell>
          <cell r="H102">
            <v>50.312568147125106</v>
          </cell>
          <cell r="I102">
            <v>48.431041299737608</v>
          </cell>
          <cell r="J102">
            <v>50.468331070023332</v>
          </cell>
          <cell r="K102">
            <v>50.953687940798389</v>
          </cell>
          <cell r="L102">
            <v>48.222862632084535</v>
          </cell>
          <cell r="M102">
            <v>0</v>
          </cell>
          <cell r="N102">
            <v>45.69795967211153</v>
          </cell>
          <cell r="O102">
            <v>48.187176281478834</v>
          </cell>
          <cell r="P102">
            <v>47.252030592280789</v>
          </cell>
          <cell r="Q102">
            <v>47.799471040979462</v>
          </cell>
          <cell r="R102">
            <v>47.752361443040861</v>
          </cell>
          <cell r="S102">
            <v>55.424227290383442</v>
          </cell>
          <cell r="T102">
            <v>50.154295923339291</v>
          </cell>
          <cell r="U102">
            <v>51.590725638099478</v>
          </cell>
          <cell r="V102">
            <v>52.071237159446184</v>
          </cell>
        </row>
        <row r="103">
          <cell r="B103" t="str">
            <v>Río Gallegos</v>
          </cell>
          <cell r="C103">
            <v>33.383213168276427</v>
          </cell>
          <cell r="D103">
            <v>33.172558228089102</v>
          </cell>
          <cell r="E103">
            <v>23.062214027180222</v>
          </cell>
          <cell r="F103">
            <v>33.955511893902184</v>
          </cell>
          <cell r="G103">
            <v>37.576304106548278</v>
          </cell>
          <cell r="H103">
            <v>42.557859721140915</v>
          </cell>
          <cell r="I103">
            <v>44.875462220051631</v>
          </cell>
          <cell r="J103">
            <v>45.766200582014335</v>
          </cell>
          <cell r="K103">
            <v>42.305308820491632</v>
          </cell>
          <cell r="L103">
            <v>45.295184364295785</v>
          </cell>
          <cell r="M103">
            <v>45.959227040308122</v>
          </cell>
          <cell r="N103">
            <v>44.053220834009409</v>
          </cell>
          <cell r="O103">
            <v>46.742662334203381</v>
          </cell>
          <cell r="P103">
            <v>44.678609062170707</v>
          </cell>
          <cell r="Q103">
            <v>45.029178824510211</v>
          </cell>
          <cell r="R103">
            <v>47.839506172839506</v>
          </cell>
          <cell r="S103">
            <v>46.946126539987468</v>
          </cell>
          <cell r="T103">
            <v>42.516989423126056</v>
          </cell>
          <cell r="U103">
            <v>45.264116575591984</v>
          </cell>
          <cell r="V103" t="str">
            <v>...</v>
          </cell>
        </row>
        <row r="104">
          <cell r="B104" t="str">
            <v>Gran Rosario</v>
          </cell>
          <cell r="C104">
            <v>37.296181630546954</v>
          </cell>
          <cell r="D104">
            <v>40.211251595753986</v>
          </cell>
          <cell r="E104">
            <v>39.28974263745031</v>
          </cell>
          <cell r="F104">
            <v>39.980340714794998</v>
          </cell>
          <cell r="G104">
            <v>40.536223215228176</v>
          </cell>
          <cell r="H104">
            <v>45.360007889465862</v>
          </cell>
          <cell r="I104">
            <v>41.297234897128341</v>
          </cell>
          <cell r="J104">
            <v>40.211369354137972</v>
          </cell>
          <cell r="K104">
            <v>41.431622797707497</v>
          </cell>
          <cell r="L104">
            <v>43.273326640800938</v>
          </cell>
          <cell r="M104">
            <v>33.282569131995352</v>
          </cell>
          <cell r="N104">
            <v>39.197161380179402</v>
          </cell>
          <cell r="O104">
            <v>38.256800518134717</v>
          </cell>
          <cell r="P104">
            <v>36.785046851968836</v>
          </cell>
          <cell r="Q104">
            <v>36.785046851968836</v>
          </cell>
          <cell r="R104">
            <v>37.165093496202743</v>
          </cell>
          <cell r="S104">
            <v>39.871337455096409</v>
          </cell>
          <cell r="T104">
            <v>42.505915947278666</v>
          </cell>
          <cell r="U104">
            <v>38.233622395031233</v>
          </cell>
          <cell r="V104">
            <v>40.058244348911387</v>
          </cell>
        </row>
        <row r="105">
          <cell r="B105" t="str">
            <v>Santa Fe-Santo Tomé</v>
          </cell>
          <cell r="C105">
            <v>33.483159117305462</v>
          </cell>
          <cell r="D105">
            <v>36.094121357528245</v>
          </cell>
          <cell r="E105">
            <v>37.228472126949285</v>
          </cell>
          <cell r="F105">
            <v>36.586589862756654</v>
          </cell>
          <cell r="G105">
            <v>37.653209611522747</v>
          </cell>
          <cell r="H105">
            <v>34.806284592037137</v>
          </cell>
          <cell r="I105">
            <v>37.546519935591881</v>
          </cell>
          <cell r="J105">
            <v>39.736309774405207</v>
          </cell>
          <cell r="K105">
            <v>34.372408709806216</v>
          </cell>
          <cell r="L105">
            <v>33.751012278666636</v>
          </cell>
          <cell r="M105">
            <v>29.473672536929424</v>
          </cell>
          <cell r="N105">
            <v>31.560276560678542</v>
          </cell>
          <cell r="O105">
            <v>33.638171789456415</v>
          </cell>
          <cell r="P105">
            <v>33.581673142101351</v>
          </cell>
          <cell r="Q105">
            <v>33.581673142101351</v>
          </cell>
          <cell r="R105">
            <v>40.338523895196147</v>
          </cell>
          <cell r="S105">
            <v>40.656370656370655</v>
          </cell>
          <cell r="T105">
            <v>42.242975923079953</v>
          </cell>
          <cell r="U105">
            <v>43.468801313628902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34.546872188568344</v>
          </cell>
          <cell r="E106">
            <v>28.80762612977869</v>
          </cell>
          <cell r="F106">
            <v>36.255465271816171</v>
          </cell>
          <cell r="G106">
            <v>36.790645701971428</v>
          </cell>
          <cell r="H106">
            <v>36.953081806569692</v>
          </cell>
          <cell r="I106">
            <v>39.314972154112262</v>
          </cell>
          <cell r="J106">
            <v>36.218145761031231</v>
          </cell>
          <cell r="K106">
            <v>37.572195141932582</v>
          </cell>
          <cell r="L106">
            <v>38.391719745222929</v>
          </cell>
          <cell r="M106">
            <v>34.974213812090426</v>
          </cell>
          <cell r="N106">
            <v>36.749399519615693</v>
          </cell>
          <cell r="O106">
            <v>35.306200838357356</v>
          </cell>
          <cell r="P106">
            <v>35.391262281682152</v>
          </cell>
          <cell r="Q106">
            <v>37.545733699202927</v>
          </cell>
          <cell r="R106">
            <v>44.314039718451482</v>
          </cell>
          <cell r="S106">
            <v>43.27888596161084</v>
          </cell>
          <cell r="T106">
            <v>36.821404215501246</v>
          </cell>
          <cell r="U106">
            <v>41.550904995972317</v>
          </cell>
          <cell r="V106">
            <v>43.299399466906451</v>
          </cell>
        </row>
        <row r="107">
          <cell r="B107" t="str">
            <v>Ushuaia-Río Grande</v>
          </cell>
          <cell r="C107" t="str">
            <v>...</v>
          </cell>
          <cell r="D107">
            <v>43.674903649965998</v>
          </cell>
          <cell r="E107">
            <v>38.929868986017837</v>
          </cell>
          <cell r="F107">
            <v>42.687027950824188</v>
          </cell>
          <cell r="G107">
            <v>45.00692414217572</v>
          </cell>
          <cell r="H107">
            <v>43.116188878989568</v>
          </cell>
          <cell r="I107">
            <v>46.680080482897388</v>
          </cell>
          <cell r="J107">
            <v>44.580777096114524</v>
          </cell>
          <cell r="K107">
            <v>46.60377358490566</v>
          </cell>
          <cell r="L107">
            <v>48.257146867543163</v>
          </cell>
          <cell r="M107">
            <v>44.16967763127024</v>
          </cell>
          <cell r="N107">
            <v>40.597494922139468</v>
          </cell>
          <cell r="O107">
            <v>40.807862978476336</v>
          </cell>
          <cell r="P107">
            <v>39.783513738551207</v>
          </cell>
          <cell r="Q107">
            <v>41.512605042016808</v>
          </cell>
          <cell r="R107">
            <v>46.650823700004032</v>
          </cell>
          <cell r="S107">
            <v>43.98089294656959</v>
          </cell>
          <cell r="T107">
            <v>42.745593812746336</v>
          </cell>
          <cell r="U107">
            <v>46.721940733916782</v>
          </cell>
          <cell r="V107">
            <v>51.606628511577448</v>
          </cell>
        </row>
        <row r="108">
          <cell r="B108" t="str">
            <v>Gran Tucumán y Tafí Viejo</v>
          </cell>
          <cell r="C108">
            <v>36.413802323163303</v>
          </cell>
          <cell r="D108">
            <v>38.673486602966214</v>
          </cell>
          <cell r="E108">
            <v>31.794119113948398</v>
          </cell>
          <cell r="F108">
            <v>40.096997921473111</v>
          </cell>
          <cell r="G108">
            <v>41.802393868004586</v>
          </cell>
          <cell r="H108">
            <v>43.500536406899016</v>
          </cell>
          <cell r="I108">
            <v>41.192448184968619</v>
          </cell>
          <cell r="J108">
            <v>39.296777885203525</v>
          </cell>
          <cell r="K108">
            <v>41.896162824245287</v>
          </cell>
          <cell r="L108">
            <v>33.985929932477816</v>
          </cell>
          <cell r="M108">
            <v>43.373353751914237</v>
          </cell>
          <cell r="N108">
            <v>38.054138189308119</v>
          </cell>
          <cell r="O108">
            <v>33.526207697115815</v>
          </cell>
          <cell r="P108">
            <v>33.152393135797347</v>
          </cell>
          <cell r="Q108">
            <v>39.350022208808355</v>
          </cell>
          <cell r="R108">
            <v>44.011066106923138</v>
          </cell>
          <cell r="S108">
            <v>43.665112741228199</v>
          </cell>
          <cell r="T108">
            <v>41.111612575195814</v>
          </cell>
          <cell r="U108">
            <v>37.808192803832519</v>
          </cell>
          <cell r="V108">
            <v>38.99304923118504</v>
          </cell>
        </row>
        <row r="109">
          <cell r="B109" t="str">
            <v>Total aglomerados del interior</v>
          </cell>
          <cell r="C109">
            <v>37.710168642702044</v>
          </cell>
          <cell r="D109">
            <v>39.513575865530832</v>
          </cell>
          <cell r="E109">
            <v>38.801771762936809</v>
          </cell>
          <cell r="F109">
            <v>41.743395498107994</v>
          </cell>
          <cell r="G109">
            <v>43.143346707148012</v>
          </cell>
          <cell r="H109">
            <v>44.917600186272736</v>
          </cell>
          <cell r="I109">
            <v>43.653992860248728</v>
          </cell>
          <cell r="J109">
            <v>43.925381802361613</v>
          </cell>
          <cell r="K109">
            <v>43.905667364345433</v>
          </cell>
          <cell r="L109">
            <v>43.487947340637731</v>
          </cell>
          <cell r="M109">
            <v>39.497206262397953</v>
          </cell>
          <cell r="N109">
            <v>39.866871663924378</v>
          </cell>
          <cell r="O109">
            <v>40.570697670465648</v>
          </cell>
          <cell r="P109">
            <v>41.415337391808187</v>
          </cell>
          <cell r="Q109">
            <v>41.546541160859604</v>
          </cell>
          <cell r="R109">
            <v>43.765887688045382</v>
          </cell>
          <cell r="S109">
            <v>45.02431383428906</v>
          </cell>
          <cell r="T109">
            <v>44.141143793865723</v>
          </cell>
          <cell r="U109">
            <v>45.512368433708936</v>
          </cell>
          <cell r="V109">
            <v>43.714470230165624</v>
          </cell>
        </row>
      </sheetData>
      <sheetData sheetId="2">
        <row r="77">
          <cell r="B77" t="str">
            <v>aglocuadro</v>
          </cell>
          <cell r="C77" t="str">
            <v>Mayo</v>
          </cell>
          <cell r="D77" t="str">
            <v>Octubre</v>
          </cell>
          <cell r="E77" t="str">
            <v>Junio</v>
          </cell>
          <cell r="F77" t="str">
            <v>Octubre</v>
          </cell>
          <cell r="G77" t="str">
            <v>Mayo</v>
          </cell>
          <cell r="H77" t="str">
            <v>Octubre</v>
          </cell>
          <cell r="I77" t="str">
            <v>Mayo</v>
          </cell>
          <cell r="J77" t="str">
            <v>Octubre</v>
          </cell>
          <cell r="K77" t="str">
            <v>Mayo</v>
          </cell>
          <cell r="L77" t="str">
            <v>Octubre</v>
          </cell>
          <cell r="M77" t="str">
            <v>Mayo</v>
          </cell>
          <cell r="N77" t="str">
            <v>Octubre</v>
          </cell>
          <cell r="O77" t="str">
            <v>Abril</v>
          </cell>
          <cell r="P77" t="str">
            <v>Octubre</v>
          </cell>
          <cell r="Q77" t="str">
            <v>Mayo</v>
          </cell>
          <cell r="R77" t="str">
            <v>Octubre</v>
          </cell>
          <cell r="S77" t="str">
            <v>Mayo</v>
          </cell>
          <cell r="T77" t="str">
            <v>Agosto</v>
          </cell>
          <cell r="U77" t="str">
            <v>Octubre</v>
          </cell>
          <cell r="V77" t="str">
            <v>Mayo</v>
          </cell>
        </row>
        <row r="78">
          <cell r="B78" t="str">
            <v>Total aglomerados urbanos</v>
          </cell>
          <cell r="C78">
            <v>19.9707604161635</v>
          </cell>
          <cell r="D78">
            <v>22.395127045520841</v>
          </cell>
          <cell r="E78">
            <v>21.612535672325876</v>
          </cell>
          <cell r="F78">
            <v>22.135426550381073</v>
          </cell>
          <cell r="G78">
            <v>22.283444041023664</v>
          </cell>
          <cell r="H78">
            <v>24.032573189542983</v>
          </cell>
          <cell r="I78">
            <v>21.988765327607439</v>
          </cell>
          <cell r="J78">
            <v>23.212569212533563</v>
          </cell>
          <cell r="K78">
            <v>22.636041733055247</v>
          </cell>
          <cell r="L78">
            <v>20.938119970144754</v>
          </cell>
          <cell r="M78">
            <v>20.994951875220313</v>
          </cell>
          <cell r="N78">
            <v>19.803442205854928</v>
          </cell>
          <cell r="O78">
            <v>22.119823875371107</v>
          </cell>
          <cell r="P78">
            <v>20.813095500008462</v>
          </cell>
          <cell r="Q78">
            <v>21.566828167369373</v>
          </cell>
          <cell r="R78">
            <v>23.982008665045701</v>
          </cell>
          <cell r="S78">
            <v>23.836782842631017</v>
          </cell>
          <cell r="T78">
            <v>22.720827169595793</v>
          </cell>
          <cell r="U78">
            <v>24.253617519536842</v>
          </cell>
          <cell r="V78">
            <v>24.319665731391211</v>
          </cell>
        </row>
        <row r="79">
          <cell r="B79" t="str">
            <v>Capital Federal</v>
          </cell>
          <cell r="C79">
            <v>16.407720294345861</v>
          </cell>
          <cell r="D79">
            <v>21.386912892363036</v>
          </cell>
          <cell r="E79">
            <v>18.80947332149389</v>
          </cell>
          <cell r="F79">
            <v>19.98312591558166</v>
          </cell>
          <cell r="G79">
            <v>22.316286124623886</v>
          </cell>
          <cell r="H79">
            <v>23.746844364813661</v>
          </cell>
          <cell r="I79">
            <v>19.488136246363801</v>
          </cell>
          <cell r="J79">
            <v>21.001289375358816</v>
          </cell>
          <cell r="K79">
            <v>21.555036954490259</v>
          </cell>
          <cell r="L79">
            <v>19.91919875414828</v>
          </cell>
          <cell r="M79">
            <v>22.628699020848519</v>
          </cell>
          <cell r="N79">
            <v>17.07673261471254</v>
          </cell>
          <cell r="O79">
            <v>22.202064762004202</v>
          </cell>
          <cell r="P79">
            <v>22.505315083076219</v>
          </cell>
          <cell r="Q79">
            <v>23.260148785921984</v>
          </cell>
          <cell r="R79">
            <v>25.718011831260611</v>
          </cell>
          <cell r="S79">
            <v>24.100785871476631</v>
          </cell>
          <cell r="T79">
            <v>25.473006134969324</v>
          </cell>
          <cell r="U79">
            <v>24.882316621928737</v>
          </cell>
          <cell r="V79">
            <v>25.271040762488301</v>
          </cell>
        </row>
        <row r="80">
          <cell r="B80" t="str">
            <v>Partidos del Conurbano</v>
          </cell>
          <cell r="C80">
            <v>22.573310341570334</v>
          </cell>
          <cell r="D80">
            <v>23.74433635804732</v>
          </cell>
          <cell r="E80">
            <v>24.17597284400059</v>
          </cell>
          <cell r="F80">
            <v>23.053340945513558</v>
          </cell>
          <cell r="G80">
            <v>22.284365268173588</v>
          </cell>
          <cell r="H80">
            <v>25.399782114710995</v>
          </cell>
          <cell r="I80">
            <v>22.566022276795959</v>
          </cell>
          <cell r="J80">
            <v>24.10147959249916</v>
          </cell>
          <cell r="K80">
            <v>23.475717689475402</v>
          </cell>
          <cell r="L80">
            <v>20.515252477310703</v>
          </cell>
          <cell r="M80">
            <v>20.750123870169944</v>
          </cell>
          <cell r="N80">
            <v>19.383042070815247</v>
          </cell>
          <cell r="O80">
            <v>21.881781480608602</v>
          </cell>
          <cell r="P80">
            <v>18.986665832377575</v>
          </cell>
          <cell r="Q80">
            <v>21.057417121650072</v>
          </cell>
          <cell r="R80">
            <v>23.924881037217535</v>
          </cell>
          <cell r="S80">
            <v>24.049946970927511</v>
          </cell>
          <cell r="T80">
            <v>22.20651364507172</v>
          </cell>
          <cell r="U80">
            <v>23.297238069133464</v>
          </cell>
          <cell r="V80">
            <v>23.650727197759917</v>
          </cell>
        </row>
        <row r="81">
          <cell r="B81" t="str">
            <v>Gran Buenos Aires</v>
          </cell>
          <cell r="C81">
            <v>20.321982932175406</v>
          </cell>
          <cell r="D81">
            <v>22.897726479360799</v>
          </cell>
          <cell r="E81">
            <v>22.225279952981868</v>
          </cell>
          <cell r="F81">
            <v>21.981527174529962</v>
          </cell>
          <cell r="G81">
            <v>22.295381858668602</v>
          </cell>
          <cell r="H81">
            <v>24.837150850358153</v>
          </cell>
          <cell r="I81">
            <v>21.593324719429305</v>
          </cell>
          <cell r="J81">
            <v>23.086295146299307</v>
          </cell>
          <cell r="K81">
            <v>22.875003516610384</v>
          </cell>
          <cell r="L81">
            <v>20.324273540970992</v>
          </cell>
          <cell r="M81">
            <v>21.353810162701127</v>
          </cell>
          <cell r="N81">
            <v>18.647796797471685</v>
          </cell>
          <cell r="O81">
            <v>21.984040170432646</v>
          </cell>
          <cell r="P81">
            <v>20.094501722398387</v>
          </cell>
          <cell r="Q81">
            <v>21.764222618052273</v>
          </cell>
          <cell r="R81">
            <v>24.51387883875076</v>
          </cell>
          <cell r="S81">
            <v>24.066183223233899</v>
          </cell>
          <cell r="T81">
            <v>23.198019737448544</v>
          </cell>
          <cell r="U81">
            <v>23.79767812244236</v>
          </cell>
          <cell r="V81">
            <v>24.150925882547135</v>
          </cell>
        </row>
        <row r="82">
          <cell r="B82" t="str">
            <v>Bahía Blanca</v>
          </cell>
          <cell r="C82">
            <v>16.819684171869262</v>
          </cell>
          <cell r="D82">
            <v>20.82616179001721</v>
          </cell>
          <cell r="E82">
            <v>20.168828814832075</v>
          </cell>
          <cell r="F82">
            <v>25.206369364528889</v>
          </cell>
          <cell r="G82">
            <v>21.311704331230942</v>
          </cell>
          <cell r="H82">
            <v>20.864401482341385</v>
          </cell>
          <cell r="I82">
            <v>19.397044695548743</v>
          </cell>
          <cell r="J82">
            <v>20.802690957713523</v>
          </cell>
          <cell r="K82">
            <v>21.824312788116785</v>
          </cell>
          <cell r="L82">
            <v>16.337928743459845</v>
          </cell>
          <cell r="M82">
            <v>16.463158824438608</v>
          </cell>
          <cell r="N82">
            <v>19.624742767219466</v>
          </cell>
          <cell r="O82">
            <v>18.250034107963074</v>
          </cell>
          <cell r="P82">
            <v>18.499153577474448</v>
          </cell>
          <cell r="Q82">
            <v>18.499153577474448</v>
          </cell>
          <cell r="R82">
            <v>28.774052357750435</v>
          </cell>
          <cell r="S82">
            <v>22.305657002310504</v>
          </cell>
          <cell r="T82">
            <v>22.952418873183355</v>
          </cell>
          <cell r="U82">
            <v>18.452148055403399</v>
          </cell>
          <cell r="V82" t="str">
            <v>...</v>
          </cell>
        </row>
        <row r="83">
          <cell r="B83" t="str">
            <v>Gran La Plata</v>
          </cell>
          <cell r="C83">
            <v>13.469512195121952</v>
          </cell>
          <cell r="D83">
            <v>18.809698750918439</v>
          </cell>
          <cell r="E83">
            <v>17.03906158607268</v>
          </cell>
          <cell r="F83">
            <v>23.543857831200459</v>
          </cell>
          <cell r="G83">
            <v>20.966234610540003</v>
          </cell>
          <cell r="H83">
            <v>22.26590489120187</v>
          </cell>
          <cell r="I83">
            <v>21.996688310480195</v>
          </cell>
          <cell r="J83">
            <v>21.77034417454152</v>
          </cell>
          <cell r="K83">
            <v>19.064441203478637</v>
          </cell>
          <cell r="L83">
            <v>20.688748419721872</v>
          </cell>
          <cell r="M83">
            <v>16.386633774388876</v>
          </cell>
          <cell r="N83">
            <v>18.615129039836226</v>
          </cell>
          <cell r="O83">
            <v>17.320320501235013</v>
          </cell>
          <cell r="P83">
            <v>17.410172952964452</v>
          </cell>
          <cell r="Q83">
            <v>17.410172952964452</v>
          </cell>
          <cell r="R83">
            <v>18.876623734254398</v>
          </cell>
          <cell r="S83">
            <v>21.893495928358597</v>
          </cell>
          <cell r="T83">
            <v>19.038595627742914</v>
          </cell>
          <cell r="U83">
            <v>22.499523876555681</v>
          </cell>
          <cell r="V83" t="str">
            <v>...</v>
          </cell>
        </row>
        <row r="84">
          <cell r="B84" t="str">
            <v>Mar del Plata y Batán</v>
          </cell>
          <cell r="C84" t="str">
            <v>...</v>
          </cell>
          <cell r="D84" t="str">
            <v>...</v>
          </cell>
          <cell r="E84" t="str">
            <v>...</v>
          </cell>
          <cell r="F84" t="str">
            <v>...</v>
          </cell>
          <cell r="G84" t="str">
            <v>...</v>
          </cell>
          <cell r="H84" t="str">
            <v>...</v>
          </cell>
          <cell r="I84" t="str">
            <v>...</v>
          </cell>
          <cell r="J84" t="str">
            <v>...</v>
          </cell>
          <cell r="K84" t="str">
            <v>...</v>
          </cell>
          <cell r="L84" t="str">
            <v>...</v>
          </cell>
          <cell r="M84" t="str">
            <v>...</v>
          </cell>
          <cell r="N84">
            <v>25.451040378852962</v>
          </cell>
          <cell r="O84">
            <v>28.459284069499684</v>
          </cell>
          <cell r="P84">
            <v>27.918011413426807</v>
          </cell>
          <cell r="Q84">
            <v>21.50155446066578</v>
          </cell>
          <cell r="R84">
            <v>21.25325027859531</v>
          </cell>
          <cell r="S84">
            <v>20.30556676079064</v>
          </cell>
          <cell r="T84">
            <v>24.165428210190093</v>
          </cell>
          <cell r="U84">
            <v>28.870799369211291</v>
          </cell>
          <cell r="V84" t="str">
            <v>...</v>
          </cell>
        </row>
        <row r="85">
          <cell r="B85" t="str">
            <v>Gran Catamarca</v>
          </cell>
          <cell r="C85">
            <v>18.462419652517024</v>
          </cell>
          <cell r="D85">
            <v>18.421214924452666</v>
          </cell>
          <cell r="E85">
            <v>17.205034410068819</v>
          </cell>
          <cell r="F85">
            <v>18.608101135190918</v>
          </cell>
          <cell r="G85">
            <v>21.32047839882841</v>
          </cell>
          <cell r="H85">
            <v>22.927553444180525</v>
          </cell>
          <cell r="I85">
            <v>22.284013032243568</v>
          </cell>
          <cell r="J85">
            <v>21.733610341643583</v>
          </cell>
          <cell r="K85">
            <v>18.187344570323294</v>
          </cell>
          <cell r="L85">
            <v>18.394254475292097</v>
          </cell>
          <cell r="M85">
            <v>18.893916540975365</v>
          </cell>
          <cell r="N85">
            <v>21.372435255024001</v>
          </cell>
          <cell r="O85">
            <v>18.56094416344342</v>
          </cell>
          <cell r="P85">
            <v>22.713263333855718</v>
          </cell>
          <cell r="Q85">
            <v>19.851521263356648</v>
          </cell>
          <cell r="R85">
            <v>23.722955381991202</v>
          </cell>
          <cell r="S85">
            <v>19.393168763975975</v>
          </cell>
          <cell r="T85">
            <v>17.847286108555657</v>
          </cell>
          <cell r="U85">
            <v>24.255037366379717</v>
          </cell>
          <cell r="V85">
            <v>25.02076822659124</v>
          </cell>
        </row>
        <row r="86">
          <cell r="B86" t="str">
            <v>Gran Córdoba</v>
          </cell>
          <cell r="C86">
            <v>22.407173466101902</v>
          </cell>
          <cell r="D86">
            <v>25.960263346281582</v>
          </cell>
          <cell r="E86">
            <v>26.471174324038209</v>
          </cell>
          <cell r="F86">
            <v>24.749574691536207</v>
          </cell>
          <cell r="G86">
            <v>26.98812036718865</v>
          </cell>
          <cell r="H86">
            <v>25.276298288829381</v>
          </cell>
          <cell r="I86">
            <v>26.629764906765573</v>
          </cell>
          <cell r="J86">
            <v>27.638010270009101</v>
          </cell>
          <cell r="K86">
            <v>23.967908358628382</v>
          </cell>
          <cell r="L86">
            <v>21.167221518888422</v>
          </cell>
          <cell r="M86">
            <v>21.848851462985664</v>
          </cell>
          <cell r="N86">
            <v>18.113842823879224</v>
          </cell>
          <cell r="O86">
            <v>20.366224703419398</v>
          </cell>
          <cell r="P86" t="str">
            <v>...</v>
          </cell>
          <cell r="Q86">
            <v>20.168596004035489</v>
          </cell>
          <cell r="R86">
            <v>22.512935975484442</v>
          </cell>
          <cell r="S86">
            <v>21.979263624734322</v>
          </cell>
          <cell r="T86">
            <v>20.414342237841289</v>
          </cell>
          <cell r="U86">
            <v>25.804922717295774</v>
          </cell>
          <cell r="V86">
            <v>25.388941130466357</v>
          </cell>
        </row>
        <row r="87">
          <cell r="B87" t="str">
            <v>Río Cuarto</v>
          </cell>
          <cell r="C87" t="str">
            <v>...</v>
          </cell>
          <cell r="D87" t="str">
            <v>...</v>
          </cell>
          <cell r="E87" t="str">
            <v>...</v>
          </cell>
          <cell r="F87" t="str">
            <v>...</v>
          </cell>
          <cell r="G87" t="str">
            <v>...</v>
          </cell>
          <cell r="H87" t="str">
            <v>...</v>
          </cell>
          <cell r="I87" t="str">
            <v>...</v>
          </cell>
          <cell r="J87" t="str">
            <v>...</v>
          </cell>
          <cell r="K87" t="str">
            <v>...</v>
          </cell>
          <cell r="L87" t="str">
            <v>...</v>
          </cell>
          <cell r="M87" t="str">
            <v>...</v>
          </cell>
          <cell r="N87">
            <v>21.388640429338103</v>
          </cell>
          <cell r="O87">
            <v>18.302356326308423</v>
          </cell>
          <cell r="P87">
            <v>19.814704124327555</v>
          </cell>
          <cell r="Q87">
            <v>19.945918104558331</v>
          </cell>
          <cell r="R87">
            <v>20.963275135460567</v>
          </cell>
          <cell r="S87">
            <v>19.929865575686733</v>
          </cell>
          <cell r="T87">
            <v>20.538674660489622</v>
          </cell>
          <cell r="U87">
            <v>25.85431654676259</v>
          </cell>
          <cell r="V87" t="str">
            <v>...</v>
          </cell>
        </row>
        <row r="88">
          <cell r="B88" t="str">
            <v>Corrientes</v>
          </cell>
          <cell r="C88">
            <v>19.305881040062491</v>
          </cell>
          <cell r="D88">
            <v>21.786684283931589</v>
          </cell>
          <cell r="E88">
            <v>22.679238569649527</v>
          </cell>
          <cell r="F88">
            <v>22.91288404713589</v>
          </cell>
          <cell r="G88" t="str">
            <v>...</v>
          </cell>
          <cell r="H88">
            <v>19.57384334576621</v>
          </cell>
          <cell r="I88">
            <v>18.710548255190755</v>
          </cell>
          <cell r="J88">
            <v>25.188036300716831</v>
          </cell>
          <cell r="K88">
            <v>24.395529969522521</v>
          </cell>
          <cell r="L88">
            <v>22.204529370134466</v>
          </cell>
          <cell r="M88">
            <v>25.451462231874572</v>
          </cell>
          <cell r="N88">
            <v>21.296785662806901</v>
          </cell>
          <cell r="O88">
            <v>24.849225537341589</v>
          </cell>
          <cell r="P88">
            <v>22.800195589913148</v>
          </cell>
          <cell r="Q88">
            <v>19.512836448821531</v>
          </cell>
          <cell r="R88">
            <v>25.987335987988775</v>
          </cell>
          <cell r="S88">
            <v>27.429249047912247</v>
          </cell>
          <cell r="T88">
            <v>25.337564137186064</v>
          </cell>
          <cell r="U88">
            <v>26.189185526494107</v>
          </cell>
          <cell r="V88" t="str">
            <v>...</v>
          </cell>
        </row>
        <row r="89">
          <cell r="B89" t="str">
            <v xml:space="preserve">Gran Resistencia </v>
          </cell>
          <cell r="C89">
            <v>21.633129949370375</v>
          </cell>
          <cell r="D89">
            <v>22.914199146123124</v>
          </cell>
          <cell r="E89">
            <v>24.861040929762506</v>
          </cell>
          <cell r="F89">
            <v>22.83757672198227</v>
          </cell>
          <cell r="G89">
            <v>23.609055528147781</v>
          </cell>
          <cell r="H89">
            <v>23.314229303205639</v>
          </cell>
          <cell r="I89">
            <v>27.49475341028332</v>
          </cell>
          <cell r="J89">
            <v>24.197598388981429</v>
          </cell>
          <cell r="K89">
            <v>29.452506596306065</v>
          </cell>
          <cell r="L89">
            <v>29.324101371270928</v>
          </cell>
          <cell r="M89">
            <v>29.782082324455207</v>
          </cell>
          <cell r="N89">
            <v>27.047511589688245</v>
          </cell>
          <cell r="O89">
            <v>24.457266498377209</v>
          </cell>
          <cell r="P89">
            <v>26.007106160272723</v>
          </cell>
          <cell r="Q89">
            <v>22.652207810617337</v>
          </cell>
          <cell r="R89">
            <v>25.82695201095866</v>
          </cell>
          <cell r="S89">
            <v>27.785573954532701</v>
          </cell>
          <cell r="T89">
            <v>22.796345761037912</v>
          </cell>
          <cell r="U89">
            <v>26.313433539084958</v>
          </cell>
          <cell r="V89">
            <v>26.564944339900698</v>
          </cell>
        </row>
        <row r="90">
          <cell r="B90" t="str">
            <v>Comodoro Rivadavia</v>
          </cell>
          <cell r="C90" t="str">
            <v>...</v>
          </cell>
          <cell r="D90" t="str">
            <v>...</v>
          </cell>
          <cell r="E90">
            <v>21.547107438016528</v>
          </cell>
          <cell r="F90" t="str">
            <v>...</v>
          </cell>
          <cell r="G90">
            <v>19.066800939912724</v>
          </cell>
          <cell r="H90">
            <v>22.108972621306588</v>
          </cell>
          <cell r="I90">
            <v>22.07175925925926</v>
          </cell>
          <cell r="J90">
            <v>27.146608814797901</v>
          </cell>
          <cell r="K90">
            <v>24.54037773734078</v>
          </cell>
          <cell r="L90">
            <v>25.129839471199244</v>
          </cell>
          <cell r="M90">
            <v>21.849836779107726</v>
          </cell>
          <cell r="N90">
            <v>22.30949653630066</v>
          </cell>
          <cell r="O90">
            <v>23.924746101337476</v>
          </cell>
          <cell r="P90">
            <v>26.615299944964228</v>
          </cell>
          <cell r="Q90">
            <v>27.407054337464253</v>
          </cell>
          <cell r="R90">
            <v>21.878063124877475</v>
          </cell>
          <cell r="S90">
            <v>24.532252924841806</v>
          </cell>
          <cell r="T90">
            <v>23.554286341918832</v>
          </cell>
          <cell r="U90">
            <v>22.783528870485391</v>
          </cell>
          <cell r="V90" t="str">
            <v>...</v>
          </cell>
        </row>
        <row r="91">
          <cell r="B91" t="str">
            <v>Paraná</v>
          </cell>
          <cell r="C91">
            <v>16.233653007846556</v>
          </cell>
          <cell r="D91">
            <v>14.282172958424818</v>
          </cell>
          <cell r="E91">
            <v>14.159974751902373</v>
          </cell>
          <cell r="F91">
            <v>18.082996694821887</v>
          </cell>
          <cell r="G91">
            <v>15.985251057369048</v>
          </cell>
          <cell r="H91">
            <v>15.525942540488835</v>
          </cell>
          <cell r="I91">
            <v>16.97111231965194</v>
          </cell>
          <cell r="J91">
            <v>18.29251322015029</v>
          </cell>
          <cell r="K91">
            <v>21.535219317045293</v>
          </cell>
          <cell r="L91">
            <v>17.699473471040907</v>
          </cell>
          <cell r="M91">
            <v>19.281563655573166</v>
          </cell>
          <cell r="N91">
            <v>20.645333649964378</v>
          </cell>
          <cell r="O91">
            <v>18.876959224340482</v>
          </cell>
          <cell r="P91">
            <v>18.885800909550277</v>
          </cell>
          <cell r="Q91">
            <v>16.602809706257982</v>
          </cell>
          <cell r="R91">
            <v>17.115368144574187</v>
          </cell>
          <cell r="S91">
            <v>18.772633033863166</v>
          </cell>
          <cell r="T91">
            <v>18.889435908066229</v>
          </cell>
          <cell r="U91">
            <v>23.901064018893319</v>
          </cell>
          <cell r="V91">
            <v>19.274366094596441</v>
          </cell>
        </row>
        <row r="92">
          <cell r="B92" t="str">
            <v>Concordia</v>
          </cell>
          <cell r="C92" t="str">
            <v>...</v>
          </cell>
          <cell r="D92" t="str">
            <v>...</v>
          </cell>
          <cell r="E92" t="str">
            <v>...</v>
          </cell>
          <cell r="F92" t="str">
            <v>...</v>
          </cell>
          <cell r="G92" t="str">
            <v>...</v>
          </cell>
          <cell r="H92" t="str">
            <v>...</v>
          </cell>
          <cell r="I92" t="str">
            <v>...</v>
          </cell>
          <cell r="J92" t="str">
            <v>...</v>
          </cell>
          <cell r="K92" t="str">
            <v>...</v>
          </cell>
          <cell r="L92" t="str">
            <v>...</v>
          </cell>
          <cell r="M92" t="str">
            <v>...</v>
          </cell>
          <cell r="N92">
            <v>21.098931788033234</v>
          </cell>
          <cell r="O92">
            <v>17.981520966595593</v>
          </cell>
          <cell r="P92">
            <v>23.634836180341644</v>
          </cell>
          <cell r="Q92">
            <v>22.65798045602606</v>
          </cell>
          <cell r="R92">
            <v>26.105642589768475</v>
          </cell>
          <cell r="S92">
            <v>25</v>
          </cell>
          <cell r="T92">
            <v>25.462405603589801</v>
          </cell>
          <cell r="U92">
            <v>23.393231176276043</v>
          </cell>
          <cell r="V92" t="str">
            <v>...</v>
          </cell>
        </row>
        <row r="93">
          <cell r="B93" t="str">
            <v>Formosa</v>
          </cell>
          <cell r="C93" t="str">
            <v>...</v>
          </cell>
          <cell r="D93">
            <v>22.891060615144792</v>
          </cell>
          <cell r="E93">
            <v>14.595375722543352</v>
          </cell>
          <cell r="F93">
            <v>19.416342412451364</v>
          </cell>
          <cell r="G93">
            <v>19.723735622695504</v>
          </cell>
          <cell r="H93">
            <v>19.322595926101375</v>
          </cell>
          <cell r="I93">
            <v>23.890106529384781</v>
          </cell>
          <cell r="J93">
            <v>17.613636363636363</v>
          </cell>
          <cell r="K93">
            <v>23.82024721012861</v>
          </cell>
          <cell r="L93">
            <v>16.552480131542886</v>
          </cell>
          <cell r="M93">
            <v>18.698451015892175</v>
          </cell>
          <cell r="N93">
            <v>25.23434758634518</v>
          </cell>
          <cell r="O93">
            <v>19.733096085409251</v>
          </cell>
          <cell r="P93">
            <v>19.509935138474212</v>
          </cell>
          <cell r="Q93">
            <v>26.913767737648904</v>
          </cell>
          <cell r="R93">
            <v>28.968162284552466</v>
          </cell>
          <cell r="S93">
            <v>29.924780610112826</v>
          </cell>
          <cell r="T93">
            <v>26.362400466109925</v>
          </cell>
          <cell r="U93">
            <v>31.471009875756611</v>
          </cell>
          <cell r="V93" t="str">
            <v>...</v>
          </cell>
        </row>
        <row r="94">
          <cell r="B94" t="str">
            <v xml:space="preserve">S.S. de Jujuy </v>
          </cell>
          <cell r="C94">
            <v>24.05548755609955</v>
          </cell>
          <cell r="D94">
            <v>24.022019208245489</v>
          </cell>
          <cell r="E94">
            <v>26.276468238114266</v>
          </cell>
          <cell r="F94">
            <v>24.280291047136981</v>
          </cell>
          <cell r="G94">
            <v>26.578533443187773</v>
          </cell>
          <cell r="H94">
            <v>24.278033794162827</v>
          </cell>
          <cell r="I94">
            <v>22.977308747922223</v>
          </cell>
          <cell r="J94">
            <v>26.773916613788213</v>
          </cell>
          <cell r="K94">
            <v>24.743265366870069</v>
          </cell>
          <cell r="L94">
            <v>27.124018716887736</v>
          </cell>
          <cell r="M94">
            <v>24.577045346585301</v>
          </cell>
          <cell r="N94">
            <v>27.31599795553284</v>
          </cell>
          <cell r="O94">
            <v>26.577394462097143</v>
          </cell>
          <cell r="P94">
            <v>22.940150295222757</v>
          </cell>
          <cell r="Q94">
            <v>19.627874032908359</v>
          </cell>
          <cell r="R94">
            <v>20.426812733879277</v>
          </cell>
          <cell r="S94">
            <v>28.231407538433523</v>
          </cell>
          <cell r="T94">
            <v>19.245410052567522</v>
          </cell>
          <cell r="U94">
            <v>25.610888618027744</v>
          </cell>
          <cell r="V94">
            <v>26.574987026466008</v>
          </cell>
        </row>
        <row r="95">
          <cell r="B95" t="str">
            <v xml:space="preserve">Santa Rosa y Toay </v>
          </cell>
          <cell r="C95">
            <v>24.963556851311953</v>
          </cell>
          <cell r="D95">
            <v>18.12821712681329</v>
          </cell>
          <cell r="E95">
            <v>17.153036986766203</v>
          </cell>
          <cell r="F95">
            <v>18.943533697632059</v>
          </cell>
          <cell r="G95">
            <v>19.351828285399169</v>
          </cell>
          <cell r="H95">
            <v>20.879215416379903</v>
          </cell>
          <cell r="I95">
            <v>20.875964817806498</v>
          </cell>
          <cell r="J95">
            <v>23.795081967213115</v>
          </cell>
          <cell r="K95">
            <v>22.772669625871909</v>
          </cell>
          <cell r="L95">
            <v>23.704976951324323</v>
          </cell>
          <cell r="M95">
            <v>19.942388654996677</v>
          </cell>
          <cell r="N95">
            <v>20.077448149120507</v>
          </cell>
          <cell r="O95">
            <v>19.364485981308409</v>
          </cell>
          <cell r="P95">
            <v>23.344776851397743</v>
          </cell>
          <cell r="Q95">
            <v>22.224132989395244</v>
          </cell>
          <cell r="R95">
            <v>22.320376914016489</v>
          </cell>
          <cell r="S95">
            <v>21.9647104375242</v>
          </cell>
          <cell r="T95">
            <v>23.55080831408776</v>
          </cell>
          <cell r="U95">
            <v>20.907392580731251</v>
          </cell>
          <cell r="V95">
            <v>19.382468013111982</v>
          </cell>
        </row>
        <row r="96">
          <cell r="B96" t="str">
            <v>La Rioja</v>
          </cell>
          <cell r="C96">
            <v>17.608678563006052</v>
          </cell>
          <cell r="D96">
            <v>19.23963133640553</v>
          </cell>
          <cell r="E96">
            <v>19.824835358815942</v>
          </cell>
          <cell r="F96">
            <v>17.488520662806948</v>
          </cell>
          <cell r="G96">
            <v>18.419629579559281</v>
          </cell>
          <cell r="H96">
            <v>19.099073814201514</v>
          </cell>
          <cell r="I96">
            <v>19.361979166666668</v>
          </cell>
          <cell r="J96">
            <v>18.654434250764528</v>
          </cell>
          <cell r="K96">
            <v>17.756171562543095</v>
          </cell>
          <cell r="L96">
            <v>18.007662835249043</v>
          </cell>
          <cell r="M96">
            <v>17.214183692479661</v>
          </cell>
          <cell r="N96">
            <v>18.028057472564772</v>
          </cell>
          <cell r="O96">
            <v>18.614440222157263</v>
          </cell>
          <cell r="P96">
            <v>19.922917284316632</v>
          </cell>
          <cell r="Q96">
            <v>20.152963671128106</v>
          </cell>
          <cell r="R96">
            <v>20.227272727272727</v>
          </cell>
          <cell r="S96">
            <v>21.314369789112313</v>
          </cell>
          <cell r="T96">
            <v>19.442515623450056</v>
          </cell>
          <cell r="U96">
            <v>22.368081037779731</v>
          </cell>
          <cell r="V96">
            <v>20.781257658187521</v>
          </cell>
        </row>
        <row r="97">
          <cell r="B97" t="str">
            <v>Gran Mendoza</v>
          </cell>
          <cell r="C97">
            <v>20.508856339379722</v>
          </cell>
          <cell r="D97">
            <v>21.447970628174822</v>
          </cell>
          <cell r="E97">
            <v>22.687215012276393</v>
          </cell>
          <cell r="F97">
            <v>25.563909774436087</v>
          </cell>
          <cell r="G97">
            <v>21.523809523809522</v>
          </cell>
          <cell r="H97">
            <v>24.225865209471767</v>
          </cell>
          <cell r="I97">
            <v>25.440313111545986</v>
          </cell>
          <cell r="J97">
            <v>21.104536489151872</v>
          </cell>
          <cell r="K97">
            <v>24.162257495590829</v>
          </cell>
          <cell r="L97">
            <v>26.678765880217785</v>
          </cell>
          <cell r="M97">
            <v>24.282982791586999</v>
          </cell>
          <cell r="N97">
            <v>22.718808193668529</v>
          </cell>
          <cell r="O97">
            <v>27.353463587921844</v>
          </cell>
          <cell r="P97">
            <v>26.110124333925398</v>
          </cell>
          <cell r="Q97">
            <v>26.127819548872182</v>
          </cell>
          <cell r="R97">
            <v>26.365348399246702</v>
          </cell>
          <cell r="S97">
            <v>24.764777312076461</v>
          </cell>
          <cell r="T97" t="str">
            <v>...</v>
          </cell>
          <cell r="U97">
            <v>29.730105946949191</v>
          </cell>
          <cell r="V97">
            <v>27.824483174946486</v>
          </cell>
        </row>
        <row r="98">
          <cell r="B98" t="str">
            <v>Posadas</v>
          </cell>
          <cell r="C98" t="str">
            <v>...</v>
          </cell>
          <cell r="D98">
            <v>25.32657438097095</v>
          </cell>
          <cell r="E98">
            <v>27.442960959945918</v>
          </cell>
          <cell r="F98">
            <v>24.649505478037899</v>
          </cell>
          <cell r="G98">
            <v>26.010533024722417</v>
          </cell>
          <cell r="H98">
            <v>30.314426633785452</v>
          </cell>
          <cell r="I98">
            <v>25.011424654404202</v>
          </cell>
          <cell r="J98">
            <v>26.373775843307946</v>
          </cell>
          <cell r="K98">
            <v>25.026609153548822</v>
          </cell>
          <cell r="L98">
            <v>24.200358609520503</v>
          </cell>
          <cell r="M98">
            <v>23.738051077186476</v>
          </cell>
          <cell r="N98">
            <v>26.029063240613699</v>
          </cell>
          <cell r="O98">
            <v>31.060166937166706</v>
          </cell>
          <cell r="P98">
            <v>29.121779859484775</v>
          </cell>
          <cell r="Q98">
            <v>28.784233150396066</v>
          </cell>
          <cell r="R98">
            <v>31.222855946836901</v>
          </cell>
          <cell r="S98">
            <v>27.943635060902793</v>
          </cell>
          <cell r="T98">
            <v>25.776290275453555</v>
          </cell>
          <cell r="U98">
            <v>27.717519762586342</v>
          </cell>
          <cell r="V98">
            <v>28.720834549942932</v>
          </cell>
        </row>
        <row r="99">
          <cell r="B99" t="str">
            <v>Neuquén y Plottier</v>
          </cell>
          <cell r="C99">
            <v>24.022899449035812</v>
          </cell>
          <cell r="D99">
            <v>23.595942321893585</v>
          </cell>
          <cell r="E99">
            <v>22.835785848465871</v>
          </cell>
          <cell r="F99">
            <v>23.641802206019815</v>
          </cell>
          <cell r="G99">
            <v>22.860952663160234</v>
          </cell>
          <cell r="H99">
            <v>23.51369405477622</v>
          </cell>
          <cell r="I99">
            <v>23.399014778325121</v>
          </cell>
          <cell r="J99">
            <v>22.720021270938581</v>
          </cell>
          <cell r="K99">
            <v>22.899710768816842</v>
          </cell>
          <cell r="L99">
            <v>24.752443621031112</v>
          </cell>
          <cell r="M99">
            <v>22.885504021906556</v>
          </cell>
          <cell r="N99">
            <v>17.624161836572338</v>
          </cell>
          <cell r="O99">
            <v>21.291147831988933</v>
          </cell>
          <cell r="P99">
            <v>21.006193060902419</v>
          </cell>
          <cell r="Q99">
            <v>24.889936292536387</v>
          </cell>
          <cell r="R99">
            <v>21.787806143884538</v>
          </cell>
          <cell r="S99">
            <v>19.242043551088777</v>
          </cell>
          <cell r="T99">
            <v>20.49128255805746</v>
          </cell>
          <cell r="U99">
            <v>23.454750934538815</v>
          </cell>
          <cell r="V99">
            <v>20.040063078037761</v>
          </cell>
        </row>
        <row r="100">
          <cell r="B100" t="str">
            <v>Salta</v>
          </cell>
          <cell r="C100">
            <v>21.310791066583175</v>
          </cell>
          <cell r="D100">
            <v>23.405318501781526</v>
          </cell>
          <cell r="E100">
            <v>22.120458807623532</v>
          </cell>
          <cell r="F100">
            <v>23.342360640938839</v>
          </cell>
          <cell r="G100">
            <v>25.258559028784628</v>
          </cell>
          <cell r="H100">
            <v>23.214936247723134</v>
          </cell>
          <cell r="I100">
            <v>23.225144562581608</v>
          </cell>
          <cell r="J100">
            <v>26.621257541835845</v>
          </cell>
          <cell r="K100">
            <v>25.799857640853425</v>
          </cell>
          <cell r="L100">
            <v>22.946001043000049</v>
          </cell>
          <cell r="M100">
            <v>18.863308449909038</v>
          </cell>
          <cell r="N100">
            <v>21.02613129381772</v>
          </cell>
          <cell r="O100">
            <v>24.191125664673898</v>
          </cell>
          <cell r="P100">
            <v>23.739198743126472</v>
          </cell>
          <cell r="Q100">
            <v>26.094098643413506</v>
          </cell>
          <cell r="R100">
            <v>23.855506857062068</v>
          </cell>
          <cell r="S100">
            <v>27.488189714010414</v>
          </cell>
          <cell r="T100">
            <v>23.559564491774619</v>
          </cell>
          <cell r="U100">
            <v>26.900199153268883</v>
          </cell>
          <cell r="V100" t="str">
            <v>...</v>
          </cell>
        </row>
        <row r="101">
          <cell r="B101" t="str">
            <v>Gran San Juan</v>
          </cell>
          <cell r="C101">
            <v>18.247765006385698</v>
          </cell>
          <cell r="D101">
            <v>23.229910489791813</v>
          </cell>
          <cell r="E101">
            <v>17.962731124807398</v>
          </cell>
          <cell r="F101">
            <v>17.269511785815713</v>
          </cell>
          <cell r="G101">
            <v>18.756409294414848</v>
          </cell>
          <cell r="H101">
            <v>22.999336733526977</v>
          </cell>
          <cell r="I101">
            <v>22.658142496815923</v>
          </cell>
          <cell r="J101">
            <v>26.337154323407987</v>
          </cell>
          <cell r="K101">
            <v>23.550128064398098</v>
          </cell>
          <cell r="L101">
            <v>24.351453235484374</v>
          </cell>
          <cell r="M101">
            <v>19.784084403369594</v>
          </cell>
          <cell r="N101">
            <v>19.737043265555727</v>
          </cell>
          <cell r="O101">
            <v>24.241429014541936</v>
          </cell>
          <cell r="P101">
            <v>23.547261116179445</v>
          </cell>
          <cell r="Q101">
            <v>23.218557590493745</v>
          </cell>
          <cell r="R101">
            <v>28.931528161057912</v>
          </cell>
          <cell r="S101">
            <v>24.943392636285797</v>
          </cell>
          <cell r="T101">
            <v>26.26164132770835</v>
          </cell>
          <cell r="U101">
            <v>25.450859033187495</v>
          </cell>
          <cell r="V101" t="str">
            <v>...</v>
          </cell>
        </row>
        <row r="102">
          <cell r="B102" t="str">
            <v>San Luis-El Chorrillo</v>
          </cell>
          <cell r="C102">
            <v>20.202385254788581</v>
          </cell>
          <cell r="D102">
            <v>17.65195093215053</v>
          </cell>
          <cell r="E102">
            <v>21.284286625558156</v>
          </cell>
          <cell r="F102">
            <v>24.199288256227756</v>
          </cell>
          <cell r="G102">
            <v>24.593775819333516</v>
          </cell>
          <cell r="H102">
            <v>25.089150800846177</v>
          </cell>
          <cell r="I102">
            <v>25.783269242892263</v>
          </cell>
          <cell r="J102">
            <v>22.231506238859179</v>
          </cell>
          <cell r="K102">
            <v>25.830953393692653</v>
          </cell>
          <cell r="L102">
            <v>27.491408934707906</v>
          </cell>
          <cell r="M102">
            <v>0</v>
          </cell>
          <cell r="N102">
            <v>25.664616207542124</v>
          </cell>
          <cell r="O102">
            <v>26.748005631159078</v>
          </cell>
          <cell r="P102">
            <v>23.262102974707037</v>
          </cell>
          <cell r="Q102">
            <v>22.29028090156482</v>
          </cell>
          <cell r="R102">
            <v>25.063255552431823</v>
          </cell>
          <cell r="S102">
            <v>29.174207559853148</v>
          </cell>
          <cell r="T102">
            <v>26.4121601284238</v>
          </cell>
          <cell r="U102">
            <v>27.826352175681173</v>
          </cell>
          <cell r="V102">
            <v>27.629340538376862</v>
          </cell>
        </row>
        <row r="103">
          <cell r="B103" t="str">
            <v>Río Gallegos</v>
          </cell>
          <cell r="C103">
            <v>13.926111458985599</v>
          </cell>
          <cell r="D103">
            <v>14.297976701410178</v>
          </cell>
          <cell r="E103">
            <v>10.547588005215124</v>
          </cell>
          <cell r="F103">
            <v>15.933849586559917</v>
          </cell>
          <cell r="G103">
            <v>15.422885572139302</v>
          </cell>
          <cell r="H103">
            <v>18.390804597701148</v>
          </cell>
          <cell r="I103">
            <v>15.391146149181322</v>
          </cell>
          <cell r="J103">
            <v>18.358585858585858</v>
          </cell>
          <cell r="K103">
            <v>20.066240292370946</v>
          </cell>
          <cell r="L103">
            <v>18.261286073524129</v>
          </cell>
          <cell r="M103">
            <v>15.749097472924186</v>
          </cell>
          <cell r="N103">
            <v>13.780071896027286</v>
          </cell>
          <cell r="O103">
            <v>18.498151987740016</v>
          </cell>
          <cell r="P103">
            <v>16.512059369202227</v>
          </cell>
          <cell r="Q103">
            <v>19.252588923908149</v>
          </cell>
          <cell r="R103">
            <v>18.817204301075268</v>
          </cell>
          <cell r="S103">
            <v>15.901576316801231</v>
          </cell>
          <cell r="T103">
            <v>18.168297455968688</v>
          </cell>
          <cell r="U103">
            <v>14.82586262495969</v>
          </cell>
          <cell r="V103" t="str">
            <v>...</v>
          </cell>
        </row>
        <row r="104">
          <cell r="B104" t="str">
            <v>Gran Rosario</v>
          </cell>
          <cell r="C104">
            <v>18.979430584699877</v>
          </cell>
          <cell r="D104">
            <v>20.064024698856159</v>
          </cell>
          <cell r="E104">
            <v>21.057066069704369</v>
          </cell>
          <cell r="F104">
            <v>20.512880658194891</v>
          </cell>
          <cell r="G104">
            <v>20.586031749777302</v>
          </cell>
          <cell r="H104">
            <v>22.720084920578469</v>
          </cell>
          <cell r="I104">
            <v>19.332729783998978</v>
          </cell>
          <cell r="J104">
            <v>21.066752774026888</v>
          </cell>
          <cell r="K104">
            <v>18.458623833676384</v>
          </cell>
          <cell r="L104">
            <v>21.221380616285074</v>
          </cell>
          <cell r="M104">
            <v>18.225853094274147</v>
          </cell>
          <cell r="N104">
            <v>22.002893028506914</v>
          </cell>
          <cell r="O104">
            <v>21.026639608675762</v>
          </cell>
          <cell r="P104">
            <v>18.628478870940402</v>
          </cell>
          <cell r="Q104">
            <v>18.628478870940402</v>
          </cell>
          <cell r="R104">
            <v>19.589488774419284</v>
          </cell>
          <cell r="S104">
            <v>23.977225529558353</v>
          </cell>
          <cell r="T104">
            <v>21.519699923558726</v>
          </cell>
          <cell r="U104">
            <v>20.382548524035041</v>
          </cell>
          <cell r="V104">
            <v>24.007967996672704</v>
          </cell>
        </row>
        <row r="105">
          <cell r="B105" t="str">
            <v>Santa Fe-Santo Tomé</v>
          </cell>
          <cell r="C105">
            <v>16.058355901109461</v>
          </cell>
          <cell r="D105">
            <v>16.439413429379986</v>
          </cell>
          <cell r="E105">
            <v>14.761987136139897</v>
          </cell>
          <cell r="F105">
            <v>15.389505229223108</v>
          </cell>
          <cell r="G105">
            <v>16.886175032885657</v>
          </cell>
          <cell r="H105">
            <v>16.51295494141905</v>
          </cell>
          <cell r="I105">
            <v>16.190009948991676</v>
          </cell>
          <cell r="J105">
            <v>19.264490988796883</v>
          </cell>
          <cell r="K105">
            <v>15.758013845255636</v>
          </cell>
          <cell r="L105">
            <v>15.228478321228684</v>
          </cell>
          <cell r="M105">
            <v>14.267205719369997</v>
          </cell>
          <cell r="N105">
            <v>17.507902518609157</v>
          </cell>
          <cell r="O105">
            <v>17.831177202476429</v>
          </cell>
          <cell r="P105">
            <v>17.196897211591033</v>
          </cell>
          <cell r="Q105">
            <v>17.196897211591033</v>
          </cell>
          <cell r="R105">
            <v>21.788773940411836</v>
          </cell>
          <cell r="S105">
            <v>19.809284172301886</v>
          </cell>
          <cell r="T105">
            <v>17.644871489766778</v>
          </cell>
          <cell r="U105">
            <v>18.18975298943877</v>
          </cell>
          <cell r="V105" t="str">
            <v>...</v>
          </cell>
        </row>
        <row r="106">
          <cell r="B106" t="str">
            <v>Santiago del Estero y La Banda</v>
          </cell>
          <cell r="C106" t="str">
            <v>...</v>
          </cell>
          <cell r="D106">
            <v>20.94909191822639</v>
          </cell>
          <cell r="E106">
            <v>18.919493455616628</v>
          </cell>
          <cell r="F106">
            <v>23.582954075299959</v>
          </cell>
          <cell r="G106">
            <v>22.647274505011001</v>
          </cell>
          <cell r="H106">
            <v>23.08229745858927</v>
          </cell>
          <cell r="I106">
            <v>23.507384440250441</v>
          </cell>
          <cell r="J106">
            <v>26.975511234536732</v>
          </cell>
          <cell r="K106">
            <v>23.529965189575687</v>
          </cell>
          <cell r="L106">
            <v>22.892034595575137</v>
          </cell>
          <cell r="M106">
            <v>24.994139905568762</v>
          </cell>
          <cell r="N106">
            <v>27.083215477739436</v>
          </cell>
          <cell r="O106">
            <v>25.005240540823813</v>
          </cell>
          <cell r="P106">
            <v>23.080649067570842</v>
          </cell>
          <cell r="Q106">
            <v>25.20205160087038</v>
          </cell>
          <cell r="R106">
            <v>30.574845679012348</v>
          </cell>
          <cell r="S106">
            <v>26.461895714587293</v>
          </cell>
          <cell r="T106">
            <v>26.395516170567294</v>
          </cell>
          <cell r="U106">
            <v>29.070844686648499</v>
          </cell>
          <cell r="V106">
            <v>28.158647594278285</v>
          </cell>
        </row>
        <row r="107">
          <cell r="B107" t="str">
            <v>Ushuaia-Río Grande</v>
          </cell>
          <cell r="C107" t="str">
            <v>...</v>
          </cell>
          <cell r="D107">
            <v>22.436087256934162</v>
          </cell>
          <cell r="E107">
            <v>17.969048528849829</v>
          </cell>
          <cell r="F107">
            <v>22.912423625254583</v>
          </cell>
          <cell r="G107">
            <v>21.325986812392738</v>
          </cell>
          <cell r="H107">
            <v>20.110718717190036</v>
          </cell>
          <cell r="I107">
            <v>22.727272727272727</v>
          </cell>
          <cell r="J107">
            <v>21.376811594202898</v>
          </cell>
          <cell r="K107">
            <v>21.440536013400337</v>
          </cell>
          <cell r="L107">
            <v>22.536356246048232</v>
          </cell>
          <cell r="M107">
            <v>18.721772475500639</v>
          </cell>
          <cell r="N107">
            <v>19.594161052293874</v>
          </cell>
          <cell r="O107">
            <v>18.464657764105432</v>
          </cell>
          <cell r="P107">
            <v>17.397023191415713</v>
          </cell>
          <cell r="Q107">
            <v>16.738197424892704</v>
          </cell>
          <cell r="R107">
            <v>18.489026995533113</v>
          </cell>
          <cell r="S107">
            <v>17.831429990069513</v>
          </cell>
          <cell r="T107">
            <v>15.523974137379168</v>
          </cell>
          <cell r="U107">
            <v>17.965981573352234</v>
          </cell>
          <cell r="V107">
            <v>14.506726457399102</v>
          </cell>
        </row>
        <row r="108">
          <cell r="B108" t="str">
            <v>Gran Tucumán y Tafí Viejo</v>
          </cell>
          <cell r="C108">
            <v>19.250365736770419</v>
          </cell>
          <cell r="D108">
            <v>22.881315310133257</v>
          </cell>
          <cell r="E108">
            <v>15.788358608385369</v>
          </cell>
          <cell r="F108">
            <v>23.381146202903597</v>
          </cell>
          <cell r="G108">
            <v>24.371268515207664</v>
          </cell>
          <cell r="H108">
            <v>24.301681813433614</v>
          </cell>
          <cell r="I108">
            <v>24.644756899657814</v>
          </cell>
          <cell r="J108">
            <v>25.340761885109654</v>
          </cell>
          <cell r="K108">
            <v>24.377656344869457</v>
          </cell>
          <cell r="L108">
            <v>21.397492254174917</v>
          </cell>
          <cell r="M108">
            <v>25.588502700156639</v>
          </cell>
          <cell r="N108">
            <v>23.263617511280625</v>
          </cell>
          <cell r="O108">
            <v>22.271283679950823</v>
          </cell>
          <cell r="P108">
            <v>22.009743257312351</v>
          </cell>
          <cell r="Q108">
            <v>21.327692688880528</v>
          </cell>
          <cell r="R108">
            <v>26.054666493593192</v>
          </cell>
          <cell r="S108">
            <v>25.509081415731178</v>
          </cell>
          <cell r="T108">
            <v>24.650038669760246</v>
          </cell>
          <cell r="U108">
            <v>27.929420174880349</v>
          </cell>
          <cell r="V108">
            <v>23.562073695484695</v>
          </cell>
        </row>
        <row r="109">
          <cell r="B109" t="str">
            <v>Total aglomerados del interior</v>
          </cell>
          <cell r="C109">
            <v>19.355502625198042</v>
          </cell>
          <cell r="D109">
            <v>21.604693683672835</v>
          </cell>
          <cell r="E109">
            <v>20.690061565044907</v>
          </cell>
          <cell r="F109">
            <v>22.36561330516744</v>
          </cell>
          <cell r="G109">
            <v>22.264728998532242</v>
          </cell>
          <cell r="H109">
            <v>22.83841693975296</v>
          </cell>
          <cell r="I109">
            <v>22.657273246914542</v>
          </cell>
          <cell r="J109">
            <v>23.418307868311089</v>
          </cell>
          <cell r="K109">
            <v>22.261581315760257</v>
          </cell>
          <cell r="L109">
            <v>21.884131081382094</v>
          </cell>
          <cell r="M109">
            <v>20.401612468914831</v>
          </cell>
          <cell r="N109">
            <v>21.414324759969166</v>
          </cell>
          <cell r="O109">
            <v>22.2997078303401</v>
          </cell>
          <cell r="P109">
            <v>21.987180048442955</v>
          </cell>
          <cell r="Q109">
            <v>21.295185243239096</v>
          </cell>
          <cell r="R109">
            <v>23.273704937411065</v>
          </cell>
          <cell r="S109">
            <v>23.520951022081409</v>
          </cell>
          <cell r="T109">
            <v>21.99375360430367</v>
          </cell>
          <cell r="U109">
            <v>24.886260091119812</v>
          </cell>
          <cell r="V109">
            <v>24.708539093196858</v>
          </cell>
        </row>
      </sheetData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5DC37-446B-42B2-9F9D-B3B088D20550}">
  <sheetPr>
    <pageSetUpPr fitToPage="1"/>
  </sheetPr>
  <dimension ref="A1:CC137"/>
  <sheetViews>
    <sheetView showGridLines="0" tabSelected="1" zoomScale="80" zoomScaleNormal="80" workbookViewId="0">
      <pane xSplit="1" ySplit="4" topLeftCell="BP32" activePane="bottomRight" state="frozen"/>
      <selection pane="topRight" activeCell="B1" sqref="B1"/>
      <selection pane="bottomLeft" activeCell="A5" sqref="A5"/>
      <selection pane="bottomRight" sqref="A1:AI1"/>
    </sheetView>
  </sheetViews>
  <sheetFormatPr baseColWidth="10" defaultColWidth="2.85546875" defaultRowHeight="12.75" zeroHeight="1" x14ac:dyDescent="0.2"/>
  <cols>
    <col min="1" max="1" width="54.85546875" style="7" customWidth="1"/>
    <col min="2" max="71" width="19.5703125" style="7" customWidth="1"/>
    <col min="72" max="81" width="14" style="7" customWidth="1"/>
    <col min="82" max="16384" width="2.85546875" style="7"/>
  </cols>
  <sheetData>
    <row r="1" spans="1:71" s="9" customFormat="1" ht="22.5" customHeight="1" x14ac:dyDescent="0.2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</row>
    <row r="2" spans="1:71" ht="50.1" customHeight="1" x14ac:dyDescent="0.2">
      <c r="A2" s="73" t="s">
        <v>97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</row>
    <row r="3" spans="1:71" s="9" customFormat="1" ht="24" customHeight="1" x14ac:dyDescent="0.2">
      <c r="A3" s="6" t="s">
        <v>98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s="8" customFormat="1" ht="30" customHeight="1" thickBot="1" x14ac:dyDescent="0.25">
      <c r="A4" s="1"/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33</v>
      </c>
      <c r="R4" s="1" t="s">
        <v>99</v>
      </c>
      <c r="S4" s="1" t="s">
        <v>34</v>
      </c>
      <c r="T4" s="1" t="s">
        <v>35</v>
      </c>
      <c r="U4" s="1" t="s">
        <v>36</v>
      </c>
      <c r="V4" s="1" t="s">
        <v>37</v>
      </c>
      <c r="W4" s="1" t="s">
        <v>38</v>
      </c>
      <c r="X4" s="1" t="s">
        <v>39</v>
      </c>
      <c r="Y4" s="1" t="s">
        <v>40</v>
      </c>
      <c r="Z4" s="1" t="s">
        <v>41</v>
      </c>
      <c r="AA4" s="1" t="s">
        <v>42</v>
      </c>
      <c r="AB4" s="1" t="s">
        <v>43</v>
      </c>
      <c r="AC4" s="1" t="s">
        <v>44</v>
      </c>
      <c r="AD4" s="1" t="s">
        <v>45</v>
      </c>
      <c r="AE4" s="1" t="s">
        <v>46</v>
      </c>
      <c r="AF4" s="1" t="s">
        <v>47</v>
      </c>
      <c r="AG4" s="1" t="s">
        <v>48</v>
      </c>
      <c r="AH4" s="1" t="s">
        <v>49</v>
      </c>
      <c r="AI4" s="1" t="s">
        <v>50</v>
      </c>
      <c r="AJ4" s="1" t="s">
        <v>51</v>
      </c>
      <c r="AK4" s="1" t="s">
        <v>52</v>
      </c>
      <c r="AL4" s="1" t="s">
        <v>53</v>
      </c>
      <c r="AM4" s="1" t="s">
        <v>54</v>
      </c>
      <c r="AN4" s="1" t="s">
        <v>55</v>
      </c>
      <c r="AO4" s="1" t="s">
        <v>56</v>
      </c>
      <c r="AP4" s="1" t="s">
        <v>57</v>
      </c>
      <c r="AQ4" s="1" t="s">
        <v>58</v>
      </c>
      <c r="AR4" s="1" t="s">
        <v>100</v>
      </c>
      <c r="AS4" s="1" t="s">
        <v>59</v>
      </c>
      <c r="AT4" s="1" t="s">
        <v>60</v>
      </c>
      <c r="AU4" s="1" t="s">
        <v>61</v>
      </c>
      <c r="AV4" s="1" t="s">
        <v>62</v>
      </c>
      <c r="AW4" s="1" t="s">
        <v>101</v>
      </c>
      <c r="AX4" s="1" t="s">
        <v>74</v>
      </c>
      <c r="AY4" s="1" t="s">
        <v>75</v>
      </c>
      <c r="AZ4" s="1" t="s">
        <v>76</v>
      </c>
      <c r="BA4" s="1" t="s">
        <v>31</v>
      </c>
      <c r="BB4" s="1" t="s">
        <v>32</v>
      </c>
      <c r="BC4" s="1" t="s">
        <v>66</v>
      </c>
      <c r="BD4" s="1" t="s">
        <v>67</v>
      </c>
      <c r="BE4" s="1" t="s">
        <v>68</v>
      </c>
      <c r="BF4" s="1" t="s">
        <v>69</v>
      </c>
      <c r="BG4" s="1" t="s">
        <v>70</v>
      </c>
      <c r="BH4" s="1" t="s">
        <v>71</v>
      </c>
      <c r="BI4" s="1" t="s">
        <v>72</v>
      </c>
      <c r="BJ4" s="1" t="s">
        <v>73</v>
      </c>
      <c r="BK4" s="1" t="s">
        <v>88</v>
      </c>
      <c r="BL4" s="1" t="s">
        <v>89</v>
      </c>
      <c r="BM4" s="1" t="s">
        <v>90</v>
      </c>
      <c r="BN4" s="1" t="s">
        <v>91</v>
      </c>
      <c r="BO4" s="1" t="s">
        <v>92</v>
      </c>
      <c r="BP4" s="1" t="s">
        <v>93</v>
      </c>
      <c r="BQ4" s="1" t="s">
        <v>94</v>
      </c>
      <c r="BR4" s="1" t="s">
        <v>95</v>
      </c>
      <c r="BS4" s="1" t="s">
        <v>96</v>
      </c>
    </row>
    <row r="5" spans="1:71" s="17" customFormat="1" ht="30" customHeight="1" thickBot="1" x14ac:dyDescent="0.25">
      <c r="A5" s="11" t="s">
        <v>1</v>
      </c>
      <c r="B5" s="12">
        <v>9023.3102985096612</v>
      </c>
      <c r="C5" s="12">
        <v>9250.3633875731412</v>
      </c>
      <c r="D5" s="12">
        <v>9258.5240721196296</v>
      </c>
      <c r="E5" s="12">
        <v>9365.3110076226476</v>
      </c>
      <c r="F5" s="12">
        <v>9556.0350087220359</v>
      </c>
      <c r="G5" s="12">
        <v>9670.5350491933586</v>
      </c>
      <c r="H5" s="12">
        <v>9520.2239897629006</v>
      </c>
      <c r="I5" s="12">
        <v>9636.5742056753206</v>
      </c>
      <c r="J5" s="12">
        <v>9911.340299462443</v>
      </c>
      <c r="K5" s="12">
        <v>10014.903996037439</v>
      </c>
      <c r="L5" s="12">
        <v>9900.267019769024</v>
      </c>
      <c r="M5" s="12">
        <v>10158.197561111483</v>
      </c>
      <c r="N5" s="12">
        <v>10160.374480743043</v>
      </c>
      <c r="O5" s="12">
        <v>10297.90797301288</v>
      </c>
      <c r="P5" s="12">
        <v>10242.186657752387</v>
      </c>
      <c r="Q5" s="12">
        <v>10387.810632884864</v>
      </c>
      <c r="R5" s="13" t="s">
        <v>27</v>
      </c>
      <c r="S5" s="13">
        <v>10374.441846255271</v>
      </c>
      <c r="T5" s="12">
        <v>10364.328622430012</v>
      </c>
      <c r="U5" s="12">
        <v>10437.99984339217</v>
      </c>
      <c r="V5" s="12">
        <v>10426.222495345419</v>
      </c>
      <c r="W5" s="12">
        <v>10668.664414380197</v>
      </c>
      <c r="X5" s="12">
        <v>10648.120630736936</v>
      </c>
      <c r="Y5" s="12">
        <v>10591.755815630024</v>
      </c>
      <c r="Z5" s="12">
        <v>10526.052519999392</v>
      </c>
      <c r="AA5" s="12">
        <v>10690.038550082007</v>
      </c>
      <c r="AB5" s="12">
        <v>10684.617221817469</v>
      </c>
      <c r="AC5" s="12">
        <v>10770.537272423977</v>
      </c>
      <c r="AD5" s="12">
        <v>10809.291779478383</v>
      </c>
      <c r="AE5" s="12">
        <v>10827.061190600254</v>
      </c>
      <c r="AF5" s="12">
        <v>10838.574503329606</v>
      </c>
      <c r="AG5" s="12">
        <v>11096.68877382997</v>
      </c>
      <c r="AH5" s="12">
        <v>11171.289374129996</v>
      </c>
      <c r="AI5" s="12">
        <v>11105.987073956599</v>
      </c>
      <c r="AJ5" s="12">
        <v>10960.881787545535</v>
      </c>
      <c r="AK5" s="12">
        <v>11137.764464190852</v>
      </c>
      <c r="AL5" s="12">
        <v>11285.731413131512</v>
      </c>
      <c r="AM5" s="12">
        <v>11269.876123978989</v>
      </c>
      <c r="AN5" s="12">
        <v>11074.706220793219</v>
      </c>
      <c r="AO5" s="12">
        <v>11336.762903773024</v>
      </c>
      <c r="AP5" s="12">
        <v>11330.519631113786</v>
      </c>
      <c r="AQ5" s="14">
        <v>11304.580388188457</v>
      </c>
      <c r="AR5" s="14">
        <v>11095.741958906925</v>
      </c>
      <c r="AS5" s="12">
        <v>11010.906370826817</v>
      </c>
      <c r="AT5" s="12">
        <v>11022.40310246521</v>
      </c>
      <c r="AU5" s="12">
        <v>11252.956511207536</v>
      </c>
      <c r="AV5" s="12">
        <v>11102.21667721726</v>
      </c>
      <c r="AW5" s="12">
        <v>11151.034430767637</v>
      </c>
      <c r="AX5" s="15" t="s">
        <v>27</v>
      </c>
      <c r="AY5" s="15" t="s">
        <v>27</v>
      </c>
      <c r="AZ5" s="15" t="s">
        <v>27</v>
      </c>
      <c r="BA5" s="16">
        <v>11472.398929121075</v>
      </c>
      <c r="BB5" s="12">
        <v>11614.217899588288</v>
      </c>
      <c r="BC5" s="12">
        <v>11596.750383613278</v>
      </c>
      <c r="BD5" s="12">
        <v>11460.822205311768</v>
      </c>
      <c r="BE5" s="12">
        <v>11511.048174200001</v>
      </c>
      <c r="BF5" s="12">
        <v>11810.801320500001</v>
      </c>
      <c r="BG5" s="12">
        <v>12011.328039999999</v>
      </c>
      <c r="BH5" s="12">
        <v>11866.38193</v>
      </c>
      <c r="BI5" s="12">
        <v>11757.599166</v>
      </c>
      <c r="BJ5" s="12">
        <v>11937.879835200003</v>
      </c>
      <c r="BK5" s="12">
        <v>11908.972290600002</v>
      </c>
      <c r="BL5" s="12">
        <v>11947.316999999999</v>
      </c>
      <c r="BM5" s="12">
        <v>12073.393</v>
      </c>
      <c r="BN5" s="12">
        <v>12109.032307102238</v>
      </c>
      <c r="BO5" s="12">
        <v>12240.119000000001</v>
      </c>
      <c r="BP5" s="12">
        <v>12045.2</v>
      </c>
      <c r="BQ5" s="12">
        <v>9546.08</v>
      </c>
      <c r="BR5" s="12">
        <v>10657.849</v>
      </c>
      <c r="BS5" s="12">
        <v>11523.648999999999</v>
      </c>
    </row>
    <row r="6" spans="1:71" ht="20.100000000000001" customHeight="1" thickBot="1" x14ac:dyDescent="0.25">
      <c r="A6" s="18" t="s">
        <v>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9"/>
      <c r="Z6" s="19"/>
      <c r="AA6" s="19"/>
      <c r="AB6" s="19"/>
      <c r="AC6" s="19"/>
      <c r="AD6" s="19"/>
      <c r="AE6" s="19"/>
      <c r="AF6" s="19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3"/>
      <c r="AY6" s="3"/>
      <c r="AZ6" s="3"/>
      <c r="BA6" s="21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</row>
    <row r="7" spans="1:71" ht="20.100000000000001" customHeight="1" x14ac:dyDescent="0.2">
      <c r="A7" s="22" t="s">
        <v>3</v>
      </c>
      <c r="B7" s="23">
        <v>5135.2389378977314</v>
      </c>
      <c r="C7" s="23">
        <v>5394.033760467516</v>
      </c>
      <c r="D7" s="23">
        <v>5403.0579020038249</v>
      </c>
      <c r="E7" s="23">
        <v>5383.7909187705454</v>
      </c>
      <c r="F7" s="23">
        <v>5548.9664879744978</v>
      </c>
      <c r="G7" s="23">
        <v>5610.5930207794854</v>
      </c>
      <c r="H7" s="23">
        <v>5560.3441918607732</v>
      </c>
      <c r="I7" s="23">
        <v>5609.4134391661719</v>
      </c>
      <c r="J7" s="23">
        <v>5789.6792787466993</v>
      </c>
      <c r="K7" s="23">
        <v>5784.628380305915</v>
      </c>
      <c r="L7" s="23">
        <v>5745.7994769070738</v>
      </c>
      <c r="M7" s="23">
        <v>5883.2255024697388</v>
      </c>
      <c r="N7" s="23">
        <v>5898.8802949663732</v>
      </c>
      <c r="O7" s="23">
        <v>5971.072907734866</v>
      </c>
      <c r="P7" s="23">
        <v>5990.551037874563</v>
      </c>
      <c r="Q7" s="23">
        <v>6057.1516947543496</v>
      </c>
      <c r="R7" s="24" t="s">
        <v>27</v>
      </c>
      <c r="S7" s="24">
        <v>6102.6722833682988</v>
      </c>
      <c r="T7" s="23">
        <v>6044.7333547765729</v>
      </c>
      <c r="U7" s="23">
        <v>6083.6736065433188</v>
      </c>
      <c r="V7" s="23">
        <v>6126.3385696887071</v>
      </c>
      <c r="W7" s="23">
        <v>6202.0993356478293</v>
      </c>
      <c r="X7" s="23">
        <v>6144.8856760919825</v>
      </c>
      <c r="Y7" s="23">
        <v>6103.3295152387363</v>
      </c>
      <c r="Z7" s="23">
        <v>6079.6275069862222</v>
      </c>
      <c r="AA7" s="23">
        <v>6173.5961171845393</v>
      </c>
      <c r="AB7" s="23">
        <v>6234.7589625861137</v>
      </c>
      <c r="AC7" s="23">
        <v>6275.9027280014679</v>
      </c>
      <c r="AD7" s="23">
        <v>6278.7672981053274</v>
      </c>
      <c r="AE7" s="23">
        <v>6370.0103749596074</v>
      </c>
      <c r="AF7" s="23">
        <v>6423.2774534499868</v>
      </c>
      <c r="AG7" s="23">
        <v>6480.1128215987728</v>
      </c>
      <c r="AH7" s="23">
        <v>6528.5025224131405</v>
      </c>
      <c r="AI7" s="23">
        <v>6544.2299482456183</v>
      </c>
      <c r="AJ7" s="23">
        <v>6380.9725995249219</v>
      </c>
      <c r="AK7" s="23">
        <v>6433.3379935542225</v>
      </c>
      <c r="AL7" s="23">
        <v>6628.3901178644282</v>
      </c>
      <c r="AM7" s="23">
        <v>6651.3486232229752</v>
      </c>
      <c r="AN7" s="23">
        <v>6495.2500528250866</v>
      </c>
      <c r="AO7" s="23">
        <v>6617.6712981371547</v>
      </c>
      <c r="AP7" s="23">
        <v>6655.0342130914387</v>
      </c>
      <c r="AQ7" s="23">
        <v>6572.7012670355107</v>
      </c>
      <c r="AR7" s="23">
        <v>6504.1077627188051</v>
      </c>
      <c r="AS7" s="23">
        <v>6449.8318373360325</v>
      </c>
      <c r="AT7" s="23">
        <v>6427.3209901802556</v>
      </c>
      <c r="AU7" s="23">
        <v>6492.6719033851577</v>
      </c>
      <c r="AV7" s="23">
        <v>6479.792972563544</v>
      </c>
      <c r="AW7" s="23">
        <v>6552.2666428910488</v>
      </c>
      <c r="AX7" s="15" t="s">
        <v>27</v>
      </c>
      <c r="AY7" s="15" t="s">
        <v>27</v>
      </c>
      <c r="AZ7" s="15" t="s">
        <v>27</v>
      </c>
      <c r="BA7" s="25">
        <v>6627.7188152557446</v>
      </c>
      <c r="BB7" s="23">
        <v>6602.8004707883756</v>
      </c>
      <c r="BC7" s="23">
        <v>6650.0017601746995</v>
      </c>
      <c r="BD7" s="23">
        <v>6638.358096001808</v>
      </c>
      <c r="BE7" s="23">
        <v>6569.2255392000006</v>
      </c>
      <c r="BF7" s="23">
        <v>6752.5710251999999</v>
      </c>
      <c r="BG7" s="23">
        <v>6883.9741599999998</v>
      </c>
      <c r="BH7" s="23">
        <v>6745.8990799999992</v>
      </c>
      <c r="BI7" s="23">
        <v>6629.8551436999996</v>
      </c>
      <c r="BJ7" s="23">
        <v>6677.7269999999999</v>
      </c>
      <c r="BK7" s="23">
        <v>6634.6760000000004</v>
      </c>
      <c r="BL7" s="23">
        <v>6791.6660000000002</v>
      </c>
      <c r="BM7" s="23">
        <v>6769.0370000000003</v>
      </c>
      <c r="BN7" s="23">
        <v>6893.2304323463177</v>
      </c>
      <c r="BO7" s="23">
        <v>6857.3760000000002</v>
      </c>
      <c r="BP7" s="23">
        <v>6720.6049999999996</v>
      </c>
      <c r="BQ7" s="23">
        <v>5379.6390000000001</v>
      </c>
      <c r="BR7" s="23">
        <v>6041.6019999999999</v>
      </c>
      <c r="BS7" s="23">
        <v>6478.5770000000002</v>
      </c>
    </row>
    <row r="8" spans="1:71" ht="20.100000000000001" customHeight="1" x14ac:dyDescent="0.2">
      <c r="A8" s="22" t="s">
        <v>4</v>
      </c>
      <c r="B8" s="23">
        <v>3888.0713606119307</v>
      </c>
      <c r="C8" s="23">
        <v>3856.3296271056256</v>
      </c>
      <c r="D8" s="23">
        <v>3855.4661701158052</v>
      </c>
      <c r="E8" s="23">
        <v>3981.5200888521022</v>
      </c>
      <c r="F8" s="23">
        <v>4007.0685207475385</v>
      </c>
      <c r="G8" s="23">
        <v>4059.9420284138723</v>
      </c>
      <c r="H8" s="23">
        <v>3959.8797979021283</v>
      </c>
      <c r="I8" s="23">
        <v>4027.1607665091492</v>
      </c>
      <c r="J8" s="23">
        <v>4121.6610207157437</v>
      </c>
      <c r="K8" s="23">
        <v>4230.2756157315252</v>
      </c>
      <c r="L8" s="23">
        <v>4154.4675428619494</v>
      </c>
      <c r="M8" s="23">
        <v>4274.9720586417443</v>
      </c>
      <c r="N8" s="23">
        <v>4261.4941857766698</v>
      </c>
      <c r="O8" s="23">
        <v>4326.8350652780136</v>
      </c>
      <c r="P8" s="23">
        <v>4251.635619877824</v>
      </c>
      <c r="Q8" s="23">
        <v>4330.6589381305157</v>
      </c>
      <c r="R8" s="24" t="s">
        <v>27</v>
      </c>
      <c r="S8" s="24">
        <v>4271.7695628869724</v>
      </c>
      <c r="T8" s="23">
        <v>4319.5952676534398</v>
      </c>
      <c r="U8" s="23">
        <v>4354.3262368488513</v>
      </c>
      <c r="V8" s="23">
        <v>4299.8839256567117</v>
      </c>
      <c r="W8" s="23">
        <v>4466.5650787323675</v>
      </c>
      <c r="X8" s="23">
        <v>4503.2349546449523</v>
      </c>
      <c r="Y8" s="23">
        <v>4488.4263003912884</v>
      </c>
      <c r="Z8" s="23">
        <v>4446.4250130131695</v>
      </c>
      <c r="AA8" s="23">
        <v>4516.4424328974674</v>
      </c>
      <c r="AB8" s="23">
        <v>4449.8582592313551</v>
      </c>
      <c r="AC8" s="23">
        <v>4494.634544422508</v>
      </c>
      <c r="AD8" s="23">
        <v>4530.524481373056</v>
      </c>
      <c r="AE8" s="23">
        <v>4457.0508156406468</v>
      </c>
      <c r="AF8" s="23">
        <v>4415.2970498796194</v>
      </c>
      <c r="AG8" s="23">
        <v>4616.5759522311973</v>
      </c>
      <c r="AH8" s="23">
        <v>4642.7868517168563</v>
      </c>
      <c r="AI8" s="23">
        <v>4561.7571257109803</v>
      </c>
      <c r="AJ8" s="23">
        <v>4579.9091880206142</v>
      </c>
      <c r="AK8" s="23">
        <v>4704.4264706366293</v>
      </c>
      <c r="AL8" s="23">
        <v>4657.3412952670851</v>
      </c>
      <c r="AM8" s="23">
        <v>4618.527500756014</v>
      </c>
      <c r="AN8" s="23">
        <v>4579.4561679681328</v>
      </c>
      <c r="AO8" s="23">
        <v>4719.0916056358692</v>
      </c>
      <c r="AP8" s="23">
        <v>4675.4854180223474</v>
      </c>
      <c r="AQ8" s="23">
        <v>4731.8791211529488</v>
      </c>
      <c r="AR8" s="23">
        <v>4591.6341961881208</v>
      </c>
      <c r="AS8" s="23">
        <v>4561.0745334907842</v>
      </c>
      <c r="AT8" s="23">
        <v>4595.0821122849557</v>
      </c>
      <c r="AU8" s="23">
        <v>4760.2846078223783</v>
      </c>
      <c r="AV8" s="23">
        <v>4622.4237046537155</v>
      </c>
      <c r="AW8" s="23">
        <v>4598.767787876589</v>
      </c>
      <c r="AX8" s="15" t="s">
        <v>27</v>
      </c>
      <c r="AY8" s="15" t="s">
        <v>27</v>
      </c>
      <c r="AZ8" s="15" t="s">
        <v>27</v>
      </c>
      <c r="BA8" s="25">
        <v>4844.6801138653282</v>
      </c>
      <c r="BB8" s="23">
        <v>5011.4174287999131</v>
      </c>
      <c r="BC8" s="23">
        <v>4946.7486234385779</v>
      </c>
      <c r="BD8" s="23">
        <v>4822.4641093099599</v>
      </c>
      <c r="BE8" s="23">
        <v>4941.8226350000004</v>
      </c>
      <c r="BF8" s="23">
        <v>5058.2302952999999</v>
      </c>
      <c r="BG8" s="23">
        <v>5127.3538799999988</v>
      </c>
      <c r="BH8" s="23">
        <v>5120.4828499999994</v>
      </c>
      <c r="BI8" s="23">
        <v>5127.7440223000003</v>
      </c>
      <c r="BJ8" s="23">
        <v>5144.2969999999996</v>
      </c>
      <c r="BK8" s="23">
        <v>5158.7209999999995</v>
      </c>
      <c r="BL8" s="23">
        <v>5155.6509999999998</v>
      </c>
      <c r="BM8" s="23">
        <v>5304.3559999999998</v>
      </c>
      <c r="BN8" s="23">
        <v>5215.8018747559199</v>
      </c>
      <c r="BO8" s="23">
        <v>5382.7430000000004</v>
      </c>
      <c r="BP8" s="23">
        <v>5324.5950000000003</v>
      </c>
      <c r="BQ8" s="23">
        <v>4166.4409999999998</v>
      </c>
      <c r="BR8" s="23">
        <v>4616.2470000000003</v>
      </c>
      <c r="BS8" s="23">
        <v>5045.0720000000001</v>
      </c>
    </row>
    <row r="9" spans="1:71" ht="20.100000000000001" customHeight="1" thickBot="1" x14ac:dyDescent="0.25">
      <c r="A9" s="26" t="s">
        <v>29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26"/>
      <c r="S9" s="26"/>
      <c r="T9" s="26"/>
      <c r="U9" s="26"/>
      <c r="V9" s="26"/>
      <c r="W9" s="26"/>
      <c r="X9" s="26"/>
      <c r="Y9" s="27"/>
      <c r="Z9" s="27"/>
      <c r="AA9" s="27"/>
      <c r="AB9" s="27"/>
      <c r="AC9" s="27"/>
      <c r="AD9" s="27"/>
      <c r="AE9" s="27"/>
      <c r="AF9" s="27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4"/>
      <c r="AY9" s="4"/>
      <c r="AZ9" s="4"/>
      <c r="BA9" s="16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</row>
    <row r="10" spans="1:71" ht="20.100000000000001" customHeight="1" x14ac:dyDescent="0.2">
      <c r="A10" s="22" t="s">
        <v>5</v>
      </c>
      <c r="B10" s="23">
        <v>1383.4756100171328</v>
      </c>
      <c r="C10" s="23">
        <v>1423.0527027775045</v>
      </c>
      <c r="D10" s="23">
        <v>1449.6652910668138</v>
      </c>
      <c r="E10" s="23">
        <v>1418.6430340012716</v>
      </c>
      <c r="F10" s="23">
        <v>1454.9737400164743</v>
      </c>
      <c r="G10" s="23">
        <v>1480.2901520514608</v>
      </c>
      <c r="H10" s="23">
        <v>1395.6569283595923</v>
      </c>
      <c r="I10" s="23">
        <v>1428.5173614564105</v>
      </c>
      <c r="J10" s="23">
        <v>1503.9975594673522</v>
      </c>
      <c r="K10" s="23">
        <v>1489.3643960933832</v>
      </c>
      <c r="L10" s="23">
        <v>1458.4174971147304</v>
      </c>
      <c r="M10" s="23">
        <v>1512.6603750037366</v>
      </c>
      <c r="N10" s="23">
        <v>1498.7001466305528</v>
      </c>
      <c r="O10" s="23">
        <v>1557.7519753287695</v>
      </c>
      <c r="P10" s="23">
        <v>1549.8781045713872</v>
      </c>
      <c r="Q10" s="23">
        <v>1477.2783455846461</v>
      </c>
      <c r="R10" s="24" t="s">
        <v>27</v>
      </c>
      <c r="S10" s="24">
        <v>1611.2307099859777</v>
      </c>
      <c r="T10" s="23">
        <v>1480.1298092671464</v>
      </c>
      <c r="U10" s="23">
        <v>1488.4489909585345</v>
      </c>
      <c r="V10" s="23">
        <v>1535.7078830904336</v>
      </c>
      <c r="W10" s="23">
        <v>1574.4631566951859</v>
      </c>
      <c r="X10" s="23">
        <v>1513.700649160872</v>
      </c>
      <c r="Y10" s="23">
        <v>1452.4175467869293</v>
      </c>
      <c r="Z10" s="23">
        <v>1433.4179788590604</v>
      </c>
      <c r="AA10" s="23">
        <v>1450.1718748631981</v>
      </c>
      <c r="AB10" s="23">
        <v>1450.7406888943253</v>
      </c>
      <c r="AC10" s="23">
        <v>1476.6983771737464</v>
      </c>
      <c r="AD10" s="23">
        <v>1430.1145706876478</v>
      </c>
      <c r="AE10" s="23">
        <v>1479.6159386662284</v>
      </c>
      <c r="AF10" s="23">
        <v>1434.3792697154774</v>
      </c>
      <c r="AG10" s="23">
        <v>1535.3314675773377</v>
      </c>
      <c r="AH10" s="23">
        <v>1445.6571425358081</v>
      </c>
      <c r="AI10" s="23">
        <v>1440.8245555432479</v>
      </c>
      <c r="AJ10" s="23">
        <v>1414.436501561557</v>
      </c>
      <c r="AK10" s="23">
        <v>1517.85501025381</v>
      </c>
      <c r="AL10" s="23">
        <v>1565.9983774110071</v>
      </c>
      <c r="AM10" s="23">
        <v>1466.1185686298381</v>
      </c>
      <c r="AN10" s="23">
        <v>1465.0555233424736</v>
      </c>
      <c r="AO10" s="23">
        <v>1495.3964334173411</v>
      </c>
      <c r="AP10" s="23">
        <v>1444.3576983093951</v>
      </c>
      <c r="AQ10" s="23">
        <v>1476.4805003852327</v>
      </c>
      <c r="AR10" s="23">
        <v>1470.2933785379155</v>
      </c>
      <c r="AS10" s="23">
        <v>1423.8301177352216</v>
      </c>
      <c r="AT10" s="23">
        <v>1401.4292977776513</v>
      </c>
      <c r="AU10" s="23">
        <v>1521.9076668426724</v>
      </c>
      <c r="AV10" s="23">
        <v>1390.791711641682</v>
      </c>
      <c r="AW10" s="23">
        <v>1364.8912146317214</v>
      </c>
      <c r="AX10" s="15" t="s">
        <v>27</v>
      </c>
      <c r="AY10" s="15" t="s">
        <v>27</v>
      </c>
      <c r="AZ10" s="15" t="s">
        <v>27</v>
      </c>
      <c r="BA10" s="25">
        <v>1374.8625480422552</v>
      </c>
      <c r="BB10" s="23">
        <v>1390.1940123971019</v>
      </c>
      <c r="BC10" s="23">
        <v>1353.5578688689236</v>
      </c>
      <c r="BD10" s="23">
        <v>1362.3813151917013</v>
      </c>
      <c r="BE10" s="23">
        <v>1412.1232230000001</v>
      </c>
      <c r="BF10" s="23">
        <v>1438.1349255000002</v>
      </c>
      <c r="BG10" s="23">
        <v>1490.9912899999999</v>
      </c>
      <c r="BH10" s="23">
        <v>1427.8531599999999</v>
      </c>
      <c r="BI10" s="23">
        <v>1355.1605723999999</v>
      </c>
      <c r="BJ10" s="23">
        <v>1357.231</v>
      </c>
      <c r="BK10" s="23">
        <v>1432.6780000000001</v>
      </c>
      <c r="BL10" s="23">
        <v>1329.231</v>
      </c>
      <c r="BM10" s="23">
        <v>1318.921</v>
      </c>
      <c r="BN10" s="23">
        <v>1282.2613185453688</v>
      </c>
      <c r="BO10" s="23">
        <v>1337.9469999999999</v>
      </c>
      <c r="BP10" s="23">
        <v>1326.04</v>
      </c>
      <c r="BQ10" s="23">
        <v>788.98699999999997</v>
      </c>
      <c r="BR10" s="23">
        <v>946.80700000000002</v>
      </c>
      <c r="BS10" s="23">
        <v>1240.836</v>
      </c>
    </row>
    <row r="11" spans="1:71" ht="20.100000000000001" customHeight="1" x14ac:dyDescent="0.2">
      <c r="A11" s="22" t="s">
        <v>6</v>
      </c>
      <c r="B11" s="23">
        <v>2311.0994913792961</v>
      </c>
      <c r="C11" s="23">
        <v>2432.5045870896515</v>
      </c>
      <c r="D11" s="23">
        <v>2399.5002273355258</v>
      </c>
      <c r="E11" s="23">
        <v>2487.8013061822476</v>
      </c>
      <c r="F11" s="23">
        <v>2561.1565883415456</v>
      </c>
      <c r="G11" s="23">
        <v>2605.7105019359956</v>
      </c>
      <c r="H11" s="23">
        <v>2505.7407621173356</v>
      </c>
      <c r="I11" s="23">
        <v>2531.1863018622121</v>
      </c>
      <c r="J11" s="23">
        <v>2615.8905130706585</v>
      </c>
      <c r="K11" s="23">
        <v>2716.2274776529202</v>
      </c>
      <c r="L11" s="23">
        <v>2613.0851156688377</v>
      </c>
      <c r="M11" s="23">
        <v>2735.3004403433811</v>
      </c>
      <c r="N11" s="23">
        <v>2808.7661760596802</v>
      </c>
      <c r="O11" s="23">
        <v>2807.2653628088524</v>
      </c>
      <c r="P11" s="23">
        <v>2678.4093945561663</v>
      </c>
      <c r="Q11" s="23">
        <v>2813.7625246512639</v>
      </c>
      <c r="R11" s="24" t="s">
        <v>27</v>
      </c>
      <c r="S11" s="24">
        <v>2753.8465303967496</v>
      </c>
      <c r="T11" s="23">
        <v>2791.8307704122622</v>
      </c>
      <c r="U11" s="23">
        <v>2792.93578683034</v>
      </c>
      <c r="V11" s="23">
        <v>2718.8404615009686</v>
      </c>
      <c r="W11" s="23">
        <v>2818.6052581273152</v>
      </c>
      <c r="X11" s="23">
        <v>2802.289775979787</v>
      </c>
      <c r="Y11" s="23">
        <v>2890.9892736394449</v>
      </c>
      <c r="Z11" s="23">
        <v>2848.8555244522413</v>
      </c>
      <c r="AA11" s="23">
        <v>2865.0664069952968</v>
      </c>
      <c r="AB11" s="23">
        <v>2947.385608373072</v>
      </c>
      <c r="AC11" s="23">
        <v>2944.3964573155363</v>
      </c>
      <c r="AD11" s="23">
        <v>2983.8328818999371</v>
      </c>
      <c r="AE11" s="23">
        <v>2944.9497439169295</v>
      </c>
      <c r="AF11" s="23">
        <v>2907.9047188047421</v>
      </c>
      <c r="AG11" s="23">
        <v>2990.1658555181584</v>
      </c>
      <c r="AH11" s="23">
        <v>3004.21145034649</v>
      </c>
      <c r="AI11" s="23">
        <v>2958.7400998141029</v>
      </c>
      <c r="AJ11" s="23">
        <v>2903.8773553184833</v>
      </c>
      <c r="AK11" s="23">
        <v>2852.9244117319558</v>
      </c>
      <c r="AL11" s="23">
        <v>2992.0147111316542</v>
      </c>
      <c r="AM11" s="23">
        <v>3047.8474857897368</v>
      </c>
      <c r="AN11" s="23">
        <v>2846.8122555776336</v>
      </c>
      <c r="AO11" s="23">
        <v>2911.5894472726459</v>
      </c>
      <c r="AP11" s="23">
        <v>2931.3032956933166</v>
      </c>
      <c r="AQ11" s="23">
        <v>3067.1866561859974</v>
      </c>
      <c r="AR11" s="23">
        <v>2879.0388503244221</v>
      </c>
      <c r="AS11" s="23">
        <v>2844.9359627544491</v>
      </c>
      <c r="AT11" s="23">
        <v>2842.1275696983821</v>
      </c>
      <c r="AU11" s="23">
        <v>2996.3707364158208</v>
      </c>
      <c r="AV11" s="23">
        <v>2907.0917960457191</v>
      </c>
      <c r="AW11" s="23">
        <v>2768.0515582541211</v>
      </c>
      <c r="AX11" s="15" t="s">
        <v>27</v>
      </c>
      <c r="AY11" s="15" t="s">
        <v>27</v>
      </c>
      <c r="AZ11" s="15" t="s">
        <v>27</v>
      </c>
      <c r="BA11" s="25">
        <v>2785.7310856194358</v>
      </c>
      <c r="BB11" s="23">
        <v>2805.8306267598095</v>
      </c>
      <c r="BC11" s="23">
        <v>2767.1991347337685</v>
      </c>
      <c r="BD11" s="23">
        <v>2790.3970846349366</v>
      </c>
      <c r="BE11" s="23">
        <v>2736.7701974000001</v>
      </c>
      <c r="BF11" s="23">
        <v>2793.0133686000004</v>
      </c>
      <c r="BG11" s="23">
        <v>2868.26971</v>
      </c>
      <c r="BH11" s="23">
        <v>2895.7053499999997</v>
      </c>
      <c r="BI11" s="23">
        <v>2812.3654804000003</v>
      </c>
      <c r="BJ11" s="23">
        <v>2832.0970000000002</v>
      </c>
      <c r="BK11" s="23">
        <v>2760.241</v>
      </c>
      <c r="BL11" s="23">
        <v>2912.4290000000001</v>
      </c>
      <c r="BM11" s="23">
        <v>2930.4380000000001</v>
      </c>
      <c r="BN11" s="23">
        <v>2894.3588550549944</v>
      </c>
      <c r="BO11" s="23">
        <v>2964.2170000000001</v>
      </c>
      <c r="BP11" s="23">
        <v>2911.6030000000001</v>
      </c>
      <c r="BQ11" s="23">
        <v>2429.0050000000001</v>
      </c>
      <c r="BR11" s="23">
        <v>2736.6030000000001</v>
      </c>
      <c r="BS11" s="23">
        <v>2789.17</v>
      </c>
    </row>
    <row r="12" spans="1:71" ht="20.100000000000001" customHeight="1" x14ac:dyDescent="0.2">
      <c r="A12" s="22" t="s">
        <v>7</v>
      </c>
      <c r="B12" s="23">
        <v>3173.4891331065896</v>
      </c>
      <c r="C12" s="23">
        <v>3156.5382286921713</v>
      </c>
      <c r="D12" s="23">
        <v>3190.5329197483188</v>
      </c>
      <c r="E12" s="23">
        <v>3133.9536230064482</v>
      </c>
      <c r="F12" s="23">
        <v>3193.0790096502092</v>
      </c>
      <c r="G12" s="23">
        <v>3244.166728359512</v>
      </c>
      <c r="H12" s="23">
        <v>3300.2904209151493</v>
      </c>
      <c r="I12" s="23">
        <v>3283.7097616090864</v>
      </c>
      <c r="J12" s="23">
        <v>3330.5061439939659</v>
      </c>
      <c r="K12" s="23">
        <v>3352.0990631606251</v>
      </c>
      <c r="L12" s="23">
        <v>3395.4096823255927</v>
      </c>
      <c r="M12" s="23">
        <v>3348.5413545377219</v>
      </c>
      <c r="N12" s="23">
        <v>3330.7313604540641</v>
      </c>
      <c r="O12" s="23">
        <v>3371.7583717777866</v>
      </c>
      <c r="P12" s="23">
        <v>3490.0821489314735</v>
      </c>
      <c r="Q12" s="23">
        <v>3532.9525424603212</v>
      </c>
      <c r="R12" s="24" t="s">
        <v>27</v>
      </c>
      <c r="S12" s="24">
        <v>3482.2473527444031</v>
      </c>
      <c r="T12" s="23">
        <v>3602.1901204218511</v>
      </c>
      <c r="U12" s="23">
        <v>3564.1868232599663</v>
      </c>
      <c r="V12" s="23">
        <v>3608.5734652239148</v>
      </c>
      <c r="W12" s="23">
        <v>3650.0522429335069</v>
      </c>
      <c r="X12" s="23">
        <v>3664.7213004412165</v>
      </c>
      <c r="Y12" s="23">
        <v>3630.3226456228881</v>
      </c>
      <c r="Z12" s="23">
        <v>3647.6270321036513</v>
      </c>
      <c r="AA12" s="23">
        <v>3665.3902958391845</v>
      </c>
      <c r="AB12" s="23">
        <v>3653.4536980197981</v>
      </c>
      <c r="AC12" s="23">
        <v>3677.2194165365158</v>
      </c>
      <c r="AD12" s="23">
        <v>3689.9469403042203</v>
      </c>
      <c r="AE12" s="23">
        <v>3686.7212127341363</v>
      </c>
      <c r="AF12" s="23">
        <v>3749.5920724224434</v>
      </c>
      <c r="AG12" s="23">
        <v>3815.5636252601112</v>
      </c>
      <c r="AH12" s="23">
        <v>3902.1441634655771</v>
      </c>
      <c r="AI12" s="23">
        <v>3931.6373465172928</v>
      </c>
      <c r="AJ12" s="23">
        <v>3884.4399814192038</v>
      </c>
      <c r="AK12" s="23">
        <v>3947.7800711753289</v>
      </c>
      <c r="AL12" s="23">
        <v>3908.1271374916059</v>
      </c>
      <c r="AM12" s="23">
        <v>3933.1418024325253</v>
      </c>
      <c r="AN12" s="23">
        <v>3971.0476339216616</v>
      </c>
      <c r="AO12" s="23">
        <v>4065.2144771761905</v>
      </c>
      <c r="AP12" s="23">
        <v>4090.2733558558562</v>
      </c>
      <c r="AQ12" s="23">
        <v>3946.111491203591</v>
      </c>
      <c r="AR12" s="23">
        <v>3960.8943740682089</v>
      </c>
      <c r="AS12" s="23">
        <v>3923.6588184825373</v>
      </c>
      <c r="AT12" s="23">
        <v>3957.6736061821271</v>
      </c>
      <c r="AU12" s="23">
        <v>3877.1669204623468</v>
      </c>
      <c r="AV12" s="23">
        <v>3948.4129334746603</v>
      </c>
      <c r="AW12" s="23">
        <v>4149.6562292205472</v>
      </c>
      <c r="AX12" s="15" t="s">
        <v>27</v>
      </c>
      <c r="AY12" s="15" t="s">
        <v>27</v>
      </c>
      <c r="AZ12" s="15" t="s">
        <v>27</v>
      </c>
      <c r="BA12" s="25">
        <v>4041.5632944274403</v>
      </c>
      <c r="BB12" s="23">
        <v>4083.6752415184765</v>
      </c>
      <c r="BC12" s="23">
        <v>4183.7600179258125</v>
      </c>
      <c r="BD12" s="23">
        <v>3952.4706974309311</v>
      </c>
      <c r="BE12" s="23">
        <v>4002.4740222</v>
      </c>
      <c r="BF12" s="23">
        <v>4183.0675340999996</v>
      </c>
      <c r="BG12" s="23">
        <v>4188.1164999999992</v>
      </c>
      <c r="BH12" s="23">
        <v>4137.9548499999992</v>
      </c>
      <c r="BI12" s="23">
        <v>4209.5762690000001</v>
      </c>
      <c r="BJ12" s="23">
        <v>4255.3509999999997</v>
      </c>
      <c r="BK12" s="23">
        <v>4212.9219999999996</v>
      </c>
      <c r="BL12" s="23">
        <v>4272.7659999999996</v>
      </c>
      <c r="BM12" s="23">
        <v>4326.1620000000003</v>
      </c>
      <c r="BN12" s="23">
        <v>4428.6332885919892</v>
      </c>
      <c r="BO12" s="23">
        <v>4414.098</v>
      </c>
      <c r="BP12" s="23">
        <v>4338.9979999999996</v>
      </c>
      <c r="BQ12" s="23">
        <v>3916.402</v>
      </c>
      <c r="BR12" s="23">
        <v>4175.1779999999999</v>
      </c>
      <c r="BS12" s="23">
        <v>4445.308</v>
      </c>
    </row>
    <row r="13" spans="1:71" ht="20.100000000000001" customHeight="1" x14ac:dyDescent="0.2">
      <c r="A13" s="22" t="s">
        <v>8</v>
      </c>
      <c r="B13" s="23">
        <v>1462.8035728387401</v>
      </c>
      <c r="C13" s="23">
        <v>1455.0701462449008</v>
      </c>
      <c r="D13" s="23">
        <v>1460.5282733530496</v>
      </c>
      <c r="E13" s="23">
        <v>1562.385936343946</v>
      </c>
      <c r="F13" s="23">
        <v>1579.9763190087149</v>
      </c>
      <c r="G13" s="23">
        <v>1543.1594564213924</v>
      </c>
      <c r="H13" s="23">
        <v>1532.5754373567156</v>
      </c>
      <c r="I13" s="23">
        <v>1534.5329084672776</v>
      </c>
      <c r="J13" s="23">
        <v>1576.9234653485535</v>
      </c>
      <c r="K13" s="23">
        <v>1565.9040676607356</v>
      </c>
      <c r="L13" s="23">
        <v>1556.6099990666119</v>
      </c>
      <c r="M13" s="23">
        <v>1696.3259642288822</v>
      </c>
      <c r="N13" s="23">
        <v>1635.802569489774</v>
      </c>
      <c r="O13" s="23">
        <v>1612.8938082347327</v>
      </c>
      <c r="P13" s="23">
        <v>1628.5544416053203</v>
      </c>
      <c r="Q13" s="23">
        <v>1689.1017878034349</v>
      </c>
      <c r="R13" s="24" t="s">
        <v>27</v>
      </c>
      <c r="S13" s="24">
        <v>1670.7330956578319</v>
      </c>
      <c r="T13" s="23">
        <v>1679.2103316486073</v>
      </c>
      <c r="U13" s="23">
        <v>1729.3960981747225</v>
      </c>
      <c r="V13" s="23">
        <v>1724.7739492502972</v>
      </c>
      <c r="W13" s="23">
        <v>1751.721913179578</v>
      </c>
      <c r="X13" s="23">
        <v>1774.35668530011</v>
      </c>
      <c r="Y13" s="23">
        <v>1710.254177422562</v>
      </c>
      <c r="Z13" s="23">
        <v>1720.4451160649237</v>
      </c>
      <c r="AA13" s="23">
        <v>1791.7802575668929</v>
      </c>
      <c r="AB13" s="23">
        <v>1721.8552457033895</v>
      </c>
      <c r="AC13" s="23">
        <v>1706.6814523703099</v>
      </c>
      <c r="AD13" s="23">
        <v>1754.6536698698819</v>
      </c>
      <c r="AE13" s="23">
        <v>1781.1618284619385</v>
      </c>
      <c r="AF13" s="23">
        <v>1797.7506186603493</v>
      </c>
      <c r="AG13" s="23">
        <v>1814.5506824601962</v>
      </c>
      <c r="AH13" s="23">
        <v>1809.7206794680483</v>
      </c>
      <c r="AI13" s="23">
        <v>1797.8476882354059</v>
      </c>
      <c r="AJ13" s="23">
        <v>1850.0237578855722</v>
      </c>
      <c r="AK13" s="23">
        <v>1834.5652220672459</v>
      </c>
      <c r="AL13" s="23">
        <v>1807.7008157907258</v>
      </c>
      <c r="AM13" s="23">
        <v>1812.6616681464709</v>
      </c>
      <c r="AN13" s="23">
        <v>1842.6064362260563</v>
      </c>
      <c r="AO13" s="23">
        <v>1835.7075664526849</v>
      </c>
      <c r="AP13" s="23">
        <v>1825.8147773624669</v>
      </c>
      <c r="AQ13" s="23">
        <v>1817.9619564585489</v>
      </c>
      <c r="AR13" s="23">
        <v>1805.7876334684938</v>
      </c>
      <c r="AS13" s="23">
        <v>1848.8216692846397</v>
      </c>
      <c r="AT13" s="23">
        <v>1810.7709837750353</v>
      </c>
      <c r="AU13" s="23">
        <v>1825.2654553073817</v>
      </c>
      <c r="AV13" s="23">
        <v>1846.8557453145168</v>
      </c>
      <c r="AW13" s="23">
        <v>1895.2370599181602</v>
      </c>
      <c r="AX13" s="15" t="s">
        <v>27</v>
      </c>
      <c r="AY13" s="15" t="s">
        <v>27</v>
      </c>
      <c r="AZ13" s="15" t="s">
        <v>27</v>
      </c>
      <c r="BA13" s="25">
        <v>2110.0564254142173</v>
      </c>
      <c r="BB13" s="23">
        <v>2106.2815194019363</v>
      </c>
      <c r="BC13" s="23">
        <v>2087.5638329142025</v>
      </c>
      <c r="BD13" s="23">
        <v>2151.0378194552709</v>
      </c>
      <c r="BE13" s="23">
        <v>2193.4209948000002</v>
      </c>
      <c r="BF13" s="23">
        <v>2141.4311919000002</v>
      </c>
      <c r="BG13" s="23">
        <v>2176.7257399999999</v>
      </c>
      <c r="BH13" s="23">
        <v>2064.5490799999998</v>
      </c>
      <c r="BI13" s="23">
        <v>2123.4187696999998</v>
      </c>
      <c r="BJ13" s="23">
        <v>2170.1680000000001</v>
      </c>
      <c r="BK13" s="23">
        <v>2150.81</v>
      </c>
      <c r="BL13" s="23">
        <v>2110.6669999999999</v>
      </c>
      <c r="BM13" s="23">
        <v>2176.616</v>
      </c>
      <c r="BN13" s="23">
        <v>2174.273692329667</v>
      </c>
      <c r="BO13" s="23">
        <v>2205.2759999999998</v>
      </c>
      <c r="BP13" s="23">
        <v>2171.826</v>
      </c>
      <c r="BQ13" s="23">
        <v>1654.4179999999999</v>
      </c>
      <c r="BR13" s="23">
        <v>1840.49</v>
      </c>
      <c r="BS13" s="23">
        <v>1952.1579999999999</v>
      </c>
    </row>
    <row r="14" spans="1:71" ht="20.100000000000001" customHeight="1" x14ac:dyDescent="0.2">
      <c r="A14" s="22" t="s">
        <v>9</v>
      </c>
      <c r="B14" s="23">
        <v>692.4424911679032</v>
      </c>
      <c r="C14" s="23">
        <v>783.19772276891263</v>
      </c>
      <c r="D14" s="23">
        <v>758.29736061592109</v>
      </c>
      <c r="E14" s="23">
        <v>762.52710808873394</v>
      </c>
      <c r="F14" s="23">
        <v>766.84935170509232</v>
      </c>
      <c r="G14" s="23">
        <v>797.20821042499779</v>
      </c>
      <c r="H14" s="23">
        <v>785.96044101410837</v>
      </c>
      <c r="I14" s="23">
        <v>858.62787228033403</v>
      </c>
      <c r="J14" s="23">
        <v>884.02261758191355</v>
      </c>
      <c r="K14" s="23">
        <v>891.30899146977595</v>
      </c>
      <c r="L14" s="23">
        <v>876.74472559325125</v>
      </c>
      <c r="M14" s="23">
        <v>865.36942699776102</v>
      </c>
      <c r="N14" s="23">
        <v>886.37422810897158</v>
      </c>
      <c r="O14" s="23">
        <v>948.23845486273831</v>
      </c>
      <c r="P14" s="23">
        <v>895.2625680880393</v>
      </c>
      <c r="Q14" s="23">
        <v>874.71543238519791</v>
      </c>
      <c r="R14" s="24" t="s">
        <v>27</v>
      </c>
      <c r="S14" s="24">
        <v>856.38415747030808</v>
      </c>
      <c r="T14" s="23">
        <v>810.96759068014489</v>
      </c>
      <c r="U14" s="23">
        <v>863.03214416860692</v>
      </c>
      <c r="V14" s="23">
        <v>838.32673627980444</v>
      </c>
      <c r="W14" s="23">
        <v>873.82184344461086</v>
      </c>
      <c r="X14" s="23">
        <v>893.0522198549512</v>
      </c>
      <c r="Y14" s="23">
        <v>907.7721721581994</v>
      </c>
      <c r="Z14" s="23">
        <v>875.70686851951427</v>
      </c>
      <c r="AA14" s="23">
        <v>917.62971481743375</v>
      </c>
      <c r="AB14" s="23">
        <v>911.18198082688457</v>
      </c>
      <c r="AC14" s="23">
        <v>965.54156902786929</v>
      </c>
      <c r="AD14" s="23">
        <v>950.74371671669564</v>
      </c>
      <c r="AE14" s="23">
        <v>934.61246682102103</v>
      </c>
      <c r="AF14" s="23">
        <v>948.94782372659461</v>
      </c>
      <c r="AG14" s="23">
        <v>941.07714301416684</v>
      </c>
      <c r="AH14" s="23">
        <v>1009.5559383140717</v>
      </c>
      <c r="AI14" s="23">
        <v>976.93738384654966</v>
      </c>
      <c r="AJ14" s="23">
        <v>908.10419136071835</v>
      </c>
      <c r="AK14" s="23">
        <v>984.63974896251148</v>
      </c>
      <c r="AL14" s="23">
        <v>1011.8903713065193</v>
      </c>
      <c r="AM14" s="23">
        <v>1010.1065989804183</v>
      </c>
      <c r="AN14" s="23">
        <v>949.18437172539382</v>
      </c>
      <c r="AO14" s="23">
        <v>1028.8549794541611</v>
      </c>
      <c r="AP14" s="23">
        <v>1038.7705038927511</v>
      </c>
      <c r="AQ14" s="23">
        <v>996.83978395508893</v>
      </c>
      <c r="AR14" s="23">
        <v>979.72772250788387</v>
      </c>
      <c r="AS14" s="23">
        <v>969.65980256996886</v>
      </c>
      <c r="AT14" s="23">
        <v>1010.4016450320146</v>
      </c>
      <c r="AU14" s="23">
        <v>1032.2457321793145</v>
      </c>
      <c r="AV14" s="23">
        <v>1009.0644907406819</v>
      </c>
      <c r="AW14" s="23">
        <v>973.19836874308999</v>
      </c>
      <c r="AX14" s="15" t="s">
        <v>27</v>
      </c>
      <c r="AY14" s="15" t="s">
        <v>27</v>
      </c>
      <c r="AZ14" s="15" t="s">
        <v>27</v>
      </c>
      <c r="BA14" s="25">
        <v>1160.1855756177256</v>
      </c>
      <c r="BB14" s="23">
        <v>1228.2364995109604</v>
      </c>
      <c r="BC14" s="23">
        <v>1204.6695291705719</v>
      </c>
      <c r="BD14" s="23">
        <v>1204.5352885989275</v>
      </c>
      <c r="BE14" s="23">
        <v>1166.2597368000002</v>
      </c>
      <c r="BF14" s="23">
        <v>1255.1543004</v>
      </c>
      <c r="BG14" s="23">
        <v>1287.2247999999997</v>
      </c>
      <c r="BH14" s="23">
        <v>1340.3194899999999</v>
      </c>
      <c r="BI14" s="23">
        <v>1257.0780745</v>
      </c>
      <c r="BJ14" s="23">
        <v>1207.1769999999999</v>
      </c>
      <c r="BK14" s="23">
        <v>1236.7460000000001</v>
      </c>
      <c r="BL14" s="23">
        <v>1322.2239999999999</v>
      </c>
      <c r="BM14" s="23">
        <v>1321.2560000000001</v>
      </c>
      <c r="BN14" s="23">
        <v>1329.5051525802178</v>
      </c>
      <c r="BO14" s="23">
        <v>1318.5809999999999</v>
      </c>
      <c r="BP14" s="23">
        <v>1296.7329999999999</v>
      </c>
      <c r="BQ14" s="23">
        <v>757.26800000000003</v>
      </c>
      <c r="BR14" s="23">
        <v>958.77099999999996</v>
      </c>
      <c r="BS14" s="23">
        <v>1096.1769999999999</v>
      </c>
    </row>
    <row r="15" spans="1:71" ht="20.100000000000001" customHeight="1" thickBot="1" x14ac:dyDescent="0.25">
      <c r="A15" s="26" t="s">
        <v>10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7"/>
      <c r="Z15" s="27"/>
      <c r="AA15" s="27"/>
      <c r="AB15" s="27"/>
      <c r="AC15" s="27"/>
      <c r="AD15" s="27"/>
      <c r="AE15" s="27"/>
      <c r="AF15" s="27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4"/>
      <c r="AY15" s="4"/>
      <c r="AZ15" s="4"/>
      <c r="BA15" s="16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</row>
    <row r="16" spans="1:71" ht="20.100000000000001" customHeight="1" x14ac:dyDescent="0.2">
      <c r="A16" s="22" t="s">
        <v>11</v>
      </c>
      <c r="B16" s="23">
        <v>4605.5099024778119</v>
      </c>
      <c r="C16" s="23">
        <v>4817.2878789407623</v>
      </c>
      <c r="D16" s="23">
        <v>4730.3022065032119</v>
      </c>
      <c r="E16" s="23">
        <v>4793.2065670907923</v>
      </c>
      <c r="F16" s="23">
        <v>4902.6255154476266</v>
      </c>
      <c r="G16" s="23">
        <v>4934.7648371548648</v>
      </c>
      <c r="H16" s="23">
        <v>4907.7169461853828</v>
      </c>
      <c r="I16" s="23">
        <v>4891.6701063652472</v>
      </c>
      <c r="J16" s="23">
        <v>5072.6131984111735</v>
      </c>
      <c r="K16" s="23">
        <v>5072.0338179779801</v>
      </c>
      <c r="L16" s="23">
        <v>5005.0505321997953</v>
      </c>
      <c r="M16" s="23">
        <v>5129.362530458543</v>
      </c>
      <c r="N16" s="23">
        <v>5197.1227599986751</v>
      </c>
      <c r="O16" s="23">
        <v>5128.5181616772061</v>
      </c>
      <c r="P16" s="23">
        <v>5119.3904085198465</v>
      </c>
      <c r="Q16" s="23">
        <v>5243.8232113963613</v>
      </c>
      <c r="R16" s="24" t="s">
        <v>27</v>
      </c>
      <c r="S16" s="24">
        <v>5122.9954335178345</v>
      </c>
      <c r="T16" s="23">
        <v>5095.3214548071901</v>
      </c>
      <c r="U16" s="23">
        <v>5231.0551446761019</v>
      </c>
      <c r="V16" s="23">
        <v>5198.8088121679839</v>
      </c>
      <c r="W16" s="23">
        <v>5238.4088626762868</v>
      </c>
      <c r="X16" s="23">
        <v>5223.8395436670107</v>
      </c>
      <c r="Y16" s="23">
        <v>5236.9644125842196</v>
      </c>
      <c r="Z16" s="23">
        <v>5246.9447739018824</v>
      </c>
      <c r="AA16" s="23">
        <v>5276.0261877225184</v>
      </c>
      <c r="AB16" s="23">
        <v>5251.6659001752469</v>
      </c>
      <c r="AC16" s="23">
        <v>5309.614454044492</v>
      </c>
      <c r="AD16" s="23">
        <v>5345.6138511973104</v>
      </c>
      <c r="AE16" s="23">
        <v>5406.5065617474538</v>
      </c>
      <c r="AF16" s="23">
        <v>5470.8649949135197</v>
      </c>
      <c r="AG16" s="23">
        <v>5566.8679936949975</v>
      </c>
      <c r="AH16" s="23">
        <v>5578.2078950353762</v>
      </c>
      <c r="AI16" s="23">
        <v>5652.2000948134864</v>
      </c>
      <c r="AJ16" s="23">
        <v>5628.6442271460037</v>
      </c>
      <c r="AK16" s="23">
        <v>5629.0222951237611</v>
      </c>
      <c r="AL16" s="23">
        <v>5590.90497944855</v>
      </c>
      <c r="AM16" s="23">
        <v>5677.6970255327378</v>
      </c>
      <c r="AN16" s="23">
        <v>5607.709527390497</v>
      </c>
      <c r="AO16" s="23">
        <v>5770.051880954662</v>
      </c>
      <c r="AP16" s="23">
        <v>5683.6835405079255</v>
      </c>
      <c r="AQ16" s="23">
        <v>5618.3911215851258</v>
      </c>
      <c r="AR16" s="23">
        <v>5572.0031268727189</v>
      </c>
      <c r="AS16" s="23">
        <v>5556.234329939145</v>
      </c>
      <c r="AT16" s="23">
        <v>5575.3267160198766</v>
      </c>
      <c r="AU16" s="23">
        <v>5622.6680056657888</v>
      </c>
      <c r="AV16" s="23">
        <v>5615.7234275153814</v>
      </c>
      <c r="AW16" s="23">
        <v>5657.523993720557</v>
      </c>
      <c r="AX16" s="15" t="s">
        <v>27</v>
      </c>
      <c r="AY16" s="15" t="s">
        <v>27</v>
      </c>
      <c r="AZ16" s="15" t="s">
        <v>27</v>
      </c>
      <c r="BA16" s="25">
        <v>5681.6637928638056</v>
      </c>
      <c r="BB16" s="23">
        <v>5694.6730299033834</v>
      </c>
      <c r="BC16" s="23">
        <v>5750.3811357433842</v>
      </c>
      <c r="BD16" s="23">
        <v>5667.1450166360974</v>
      </c>
      <c r="BE16" s="23">
        <v>5672.7700184000005</v>
      </c>
      <c r="BF16" s="23">
        <v>5786.9386574999999</v>
      </c>
      <c r="BG16" s="23">
        <v>5866.3385599999992</v>
      </c>
      <c r="BH16" s="23">
        <v>5817.1515599999993</v>
      </c>
      <c r="BI16" s="23">
        <v>5791.2543816999996</v>
      </c>
      <c r="BJ16" s="23">
        <v>5862.1229999999996</v>
      </c>
      <c r="BK16" s="23">
        <v>5884.53</v>
      </c>
      <c r="BL16" s="23">
        <v>5990.3950000000004</v>
      </c>
      <c r="BM16" s="23">
        <v>6022.4920000000002</v>
      </c>
      <c r="BN16" s="23">
        <v>6037.9079048008161</v>
      </c>
      <c r="BO16" s="23">
        <v>6100.2219999999998</v>
      </c>
      <c r="BP16" s="23">
        <v>6049.4620000000004</v>
      </c>
      <c r="BQ16" s="23">
        <v>5060.6009999999997</v>
      </c>
      <c r="BR16" s="23">
        <v>5599.6970000000001</v>
      </c>
      <c r="BS16" s="23">
        <v>5926.6620000000003</v>
      </c>
    </row>
    <row r="17" spans="1:71" ht="20.100000000000001" customHeight="1" x14ac:dyDescent="0.2">
      <c r="A17" s="22" t="s">
        <v>12</v>
      </c>
      <c r="B17" s="23">
        <v>1941.5941559974269</v>
      </c>
      <c r="C17" s="23">
        <v>1898.5898866020759</v>
      </c>
      <c r="D17" s="23">
        <v>1971.5621587310325</v>
      </c>
      <c r="E17" s="23">
        <v>2015.4842919298164</v>
      </c>
      <c r="F17" s="23">
        <v>1999.8760959153526</v>
      </c>
      <c r="G17" s="23">
        <v>2012.8341640035135</v>
      </c>
      <c r="H17" s="23">
        <v>1972.6134106499587</v>
      </c>
      <c r="I17" s="23">
        <v>2041.9458494891996</v>
      </c>
      <c r="J17" s="23">
        <v>2038.1679407834254</v>
      </c>
      <c r="K17" s="23">
        <v>2082.7255477606245</v>
      </c>
      <c r="L17" s="23">
        <v>2044.8945035809045</v>
      </c>
      <c r="M17" s="23">
        <v>2120.5199508823225</v>
      </c>
      <c r="N17" s="23">
        <v>2127.5037652439969</v>
      </c>
      <c r="O17" s="23">
        <v>2079.816752881643</v>
      </c>
      <c r="P17" s="23">
        <v>2105.5269523239376</v>
      </c>
      <c r="Q17" s="23">
        <v>2175.2056411416006</v>
      </c>
      <c r="R17" s="24" t="s">
        <v>27</v>
      </c>
      <c r="S17" s="24">
        <v>2115.3368447237581</v>
      </c>
      <c r="T17" s="23">
        <v>2172.8560228473343</v>
      </c>
      <c r="U17" s="23">
        <v>2236.1022456474871</v>
      </c>
      <c r="V17" s="23">
        <v>2209.7085052271441</v>
      </c>
      <c r="W17" s="23">
        <v>2313.4937661121571</v>
      </c>
      <c r="X17" s="23">
        <v>2273.8158785447922</v>
      </c>
      <c r="Y17" s="23">
        <v>2320.0845150886043</v>
      </c>
      <c r="Z17" s="23">
        <v>2313.1569282287296</v>
      </c>
      <c r="AA17" s="23">
        <v>2340.6944876779539</v>
      </c>
      <c r="AB17" s="23">
        <v>2283.9061999114415</v>
      </c>
      <c r="AC17" s="23">
        <v>2317.9426878042045</v>
      </c>
      <c r="AD17" s="23">
        <v>2333.4249191918066</v>
      </c>
      <c r="AE17" s="23">
        <v>2321.4492219002723</v>
      </c>
      <c r="AF17" s="23">
        <v>2373.5264834292611</v>
      </c>
      <c r="AG17" s="23">
        <v>2428.5112334475348</v>
      </c>
      <c r="AH17" s="23">
        <v>2474.6527289505025</v>
      </c>
      <c r="AI17" s="23">
        <v>2418.0708246527265</v>
      </c>
      <c r="AJ17" s="23">
        <v>2435.4460165212163</v>
      </c>
      <c r="AK17" s="23">
        <v>2445.7061786838331</v>
      </c>
      <c r="AL17" s="23">
        <v>2482.0388737204667</v>
      </c>
      <c r="AM17" s="23">
        <v>2460.3305443503327</v>
      </c>
      <c r="AN17" s="23">
        <v>2424.9169286702963</v>
      </c>
      <c r="AO17" s="23">
        <v>2438.8395217911825</v>
      </c>
      <c r="AP17" s="23">
        <v>2514.2434596008188</v>
      </c>
      <c r="AQ17" s="23">
        <v>2495.0673774838519</v>
      </c>
      <c r="AR17" s="23">
        <v>2518.7828522294185</v>
      </c>
      <c r="AS17" s="23">
        <v>2427.0565658213095</v>
      </c>
      <c r="AT17" s="23">
        <v>2464.8364437533314</v>
      </c>
      <c r="AU17" s="23">
        <v>2468.1556222643517</v>
      </c>
      <c r="AV17" s="23">
        <v>2481.3768711448715</v>
      </c>
      <c r="AW17" s="23">
        <v>2530.1511474079612</v>
      </c>
      <c r="AX17" s="15" t="s">
        <v>27</v>
      </c>
      <c r="AY17" s="15" t="s">
        <v>27</v>
      </c>
      <c r="AZ17" s="15" t="s">
        <v>27</v>
      </c>
      <c r="BA17" s="25">
        <v>2607.4415842815461</v>
      </c>
      <c r="BB17" s="23">
        <v>2659.5614703398519</v>
      </c>
      <c r="BC17" s="23">
        <v>2631.9080145876756</v>
      </c>
      <c r="BD17" s="23">
        <v>2618.2831822744001</v>
      </c>
      <c r="BE17" s="23">
        <v>2633.9843678000007</v>
      </c>
      <c r="BF17" s="23">
        <v>2704.3104269999999</v>
      </c>
      <c r="BG17" s="23">
        <v>2764.8547999999996</v>
      </c>
      <c r="BH17" s="23">
        <v>2707.2605599999997</v>
      </c>
      <c r="BI17" s="23">
        <v>2769.7992052999998</v>
      </c>
      <c r="BJ17" s="23">
        <v>2805.5430000000001</v>
      </c>
      <c r="BK17" s="23">
        <v>2745.5</v>
      </c>
      <c r="BL17" s="23">
        <v>2821.9319999999998</v>
      </c>
      <c r="BM17" s="23">
        <v>2872.9789999999998</v>
      </c>
      <c r="BN17" s="23">
        <v>2880.6410047507111</v>
      </c>
      <c r="BO17" s="23">
        <v>2910.2620000000002</v>
      </c>
      <c r="BP17" s="23">
        <v>2816.4920000000002</v>
      </c>
      <c r="BQ17" s="23">
        <v>2345.7460000000001</v>
      </c>
      <c r="BR17" s="23">
        <v>2506.5419999999999</v>
      </c>
      <c r="BS17" s="23">
        <v>2653.93</v>
      </c>
    </row>
    <row r="18" spans="1:71" ht="20.100000000000001" customHeight="1" x14ac:dyDescent="0.2">
      <c r="A18" s="22" t="s">
        <v>13</v>
      </c>
      <c r="B18" s="23">
        <v>2005.7114579157681</v>
      </c>
      <c r="C18" s="23">
        <v>2019.4728592210608</v>
      </c>
      <c r="D18" s="23">
        <v>2056.1614708069114</v>
      </c>
      <c r="E18" s="23">
        <v>2035.8675943888627</v>
      </c>
      <c r="F18" s="23">
        <v>2099.9026284366264</v>
      </c>
      <c r="G18" s="23">
        <v>2168.2990975654998</v>
      </c>
      <c r="H18" s="23">
        <v>2135.7308735580168</v>
      </c>
      <c r="I18" s="23">
        <v>2184.2726661858683</v>
      </c>
      <c r="J18" s="23">
        <v>2208.2892160738679</v>
      </c>
      <c r="K18" s="23">
        <v>2252.3648308075012</v>
      </c>
      <c r="L18" s="23">
        <v>2244.2994293015968</v>
      </c>
      <c r="M18" s="23">
        <v>2298.6965750253971</v>
      </c>
      <c r="N18" s="23">
        <v>2242.6739612770966</v>
      </c>
      <c r="O18" s="23">
        <v>2421.7013763041618</v>
      </c>
      <c r="P18" s="23">
        <v>2380.3983321954597</v>
      </c>
      <c r="Q18" s="23">
        <v>2314.9874898986263</v>
      </c>
      <c r="R18" s="24" t="s">
        <v>27</v>
      </c>
      <c r="S18" s="24">
        <v>2520.0478134065866</v>
      </c>
      <c r="T18" s="23">
        <v>2435.6911341127998</v>
      </c>
      <c r="U18" s="23">
        <v>2337.6381860277297</v>
      </c>
      <c r="V18" s="23">
        <v>2355.8611687860916</v>
      </c>
      <c r="W18" s="23">
        <v>2464.4125776645551</v>
      </c>
      <c r="X18" s="23">
        <v>2451.5964586202836</v>
      </c>
      <c r="Y18" s="23">
        <v>2365.8718837180954</v>
      </c>
      <c r="Z18" s="23">
        <v>2335.7029803158448</v>
      </c>
      <c r="AA18" s="23">
        <v>2391.5195396924473</v>
      </c>
      <c r="AB18" s="23">
        <v>2434.5687253099682</v>
      </c>
      <c r="AC18" s="23">
        <v>2426.2516759548571</v>
      </c>
      <c r="AD18" s="23">
        <v>2398.2841239877321</v>
      </c>
      <c r="AE18" s="23">
        <v>2405.4739166370391</v>
      </c>
      <c r="AF18" s="23">
        <v>2315.4603496877712</v>
      </c>
      <c r="AG18" s="23">
        <v>2402.2772746659107</v>
      </c>
      <c r="AH18" s="23">
        <v>2360.6982242056156</v>
      </c>
      <c r="AI18" s="23">
        <v>2371.469171629044</v>
      </c>
      <c r="AJ18" s="23">
        <v>2248.9280130056977</v>
      </c>
      <c r="AK18" s="23">
        <v>2366.6915985715823</v>
      </c>
      <c r="AL18" s="23">
        <v>2481.7429329412994</v>
      </c>
      <c r="AM18" s="23">
        <v>2355.6806574341604</v>
      </c>
      <c r="AN18" s="23">
        <v>2350.7846006904888</v>
      </c>
      <c r="AO18" s="23">
        <v>2395.1500866637684</v>
      </c>
      <c r="AP18" s="23">
        <v>2370.1491030360153</v>
      </c>
      <c r="AQ18" s="23">
        <v>2416.6948178010671</v>
      </c>
      <c r="AR18" s="23">
        <v>2285.1043775479629</v>
      </c>
      <c r="AS18" s="23">
        <v>2324.3134247359562</v>
      </c>
      <c r="AT18" s="23">
        <v>2245.5449309373867</v>
      </c>
      <c r="AU18" s="23">
        <v>2450.9797025807279</v>
      </c>
      <c r="AV18" s="23">
        <v>2320.1167046710125</v>
      </c>
      <c r="AW18" s="23">
        <v>2285.4520085176687</v>
      </c>
      <c r="AX18" s="15" t="s">
        <v>27</v>
      </c>
      <c r="AY18" s="15" t="s">
        <v>27</v>
      </c>
      <c r="AZ18" s="15" t="s">
        <v>27</v>
      </c>
      <c r="BA18" s="25">
        <v>2452.0571662450238</v>
      </c>
      <c r="BB18" s="23">
        <v>2473.3159974753271</v>
      </c>
      <c r="BC18" s="23">
        <v>2470.5670262892531</v>
      </c>
      <c r="BD18" s="23">
        <v>2505.5717186559727</v>
      </c>
      <c r="BE18" s="23">
        <v>2477.6922850000001</v>
      </c>
      <c r="BF18" s="23">
        <v>2542.3944273000002</v>
      </c>
      <c r="BG18" s="23">
        <v>2623.5265099999997</v>
      </c>
      <c r="BH18" s="23">
        <v>2557.25738</v>
      </c>
      <c r="BI18" s="23">
        <v>2452.2684671000002</v>
      </c>
      <c r="BJ18" s="23">
        <v>2416.2159999999999</v>
      </c>
      <c r="BK18" s="23">
        <v>2437.8240000000001</v>
      </c>
      <c r="BL18" s="23">
        <v>2405.4470000000001</v>
      </c>
      <c r="BM18" s="23">
        <v>2437.915</v>
      </c>
      <c r="BN18" s="23">
        <v>2490.6944432569449</v>
      </c>
      <c r="BO18" s="23">
        <v>2528.4520000000002</v>
      </c>
      <c r="BP18" s="23">
        <v>2435.3000000000002</v>
      </c>
      <c r="BQ18" s="23">
        <v>1642.049</v>
      </c>
      <c r="BR18" s="23">
        <v>2017.6110000000001</v>
      </c>
      <c r="BS18" s="23">
        <v>2173.9470000000001</v>
      </c>
    </row>
    <row r="19" spans="1:71" ht="20.100000000000001" customHeight="1" x14ac:dyDescent="0.2">
      <c r="A19" s="22" t="s">
        <v>14</v>
      </c>
      <c r="B19" s="23">
        <v>470.49478211865477</v>
      </c>
      <c r="C19" s="23">
        <v>515.01276280924185</v>
      </c>
      <c r="D19" s="23">
        <v>500.49823607847384</v>
      </c>
      <c r="E19" s="23">
        <v>520.75255421317627</v>
      </c>
      <c r="F19" s="23">
        <v>553.63076892243021</v>
      </c>
      <c r="G19" s="23">
        <v>554.63695046948033</v>
      </c>
      <c r="H19" s="23">
        <v>504.16275936954241</v>
      </c>
      <c r="I19" s="23">
        <v>518.68558363500563</v>
      </c>
      <c r="J19" s="23">
        <v>592.26994419397727</v>
      </c>
      <c r="K19" s="23">
        <v>607.77979949133351</v>
      </c>
      <c r="L19" s="23">
        <v>606.02255468672763</v>
      </c>
      <c r="M19" s="23">
        <v>609.61850474522134</v>
      </c>
      <c r="N19" s="23">
        <v>593.07399422327376</v>
      </c>
      <c r="O19" s="23">
        <v>667.871682149869</v>
      </c>
      <c r="P19" s="23">
        <v>636.87096471314294</v>
      </c>
      <c r="Q19" s="23">
        <v>653.79429044827737</v>
      </c>
      <c r="R19" s="24" t="s">
        <v>27</v>
      </c>
      <c r="S19" s="24">
        <v>616.0617546070921</v>
      </c>
      <c r="T19" s="23">
        <v>660.46001066268832</v>
      </c>
      <c r="U19" s="23">
        <v>633.20426704085094</v>
      </c>
      <c r="V19" s="23">
        <v>661.84400916419918</v>
      </c>
      <c r="W19" s="23">
        <v>652.34920792719731</v>
      </c>
      <c r="X19" s="23">
        <v>698.86874990484944</v>
      </c>
      <c r="Y19" s="23">
        <v>668.83500423910459</v>
      </c>
      <c r="Z19" s="23">
        <v>630.24783755293572</v>
      </c>
      <c r="AA19" s="23">
        <v>681.79833498908522</v>
      </c>
      <c r="AB19" s="23">
        <v>714.47639642081265</v>
      </c>
      <c r="AC19" s="23">
        <v>716.72845462042255</v>
      </c>
      <c r="AD19" s="23">
        <v>731.96888510153337</v>
      </c>
      <c r="AE19" s="23">
        <v>693.63149031548892</v>
      </c>
      <c r="AF19" s="23">
        <v>678.72267529905423</v>
      </c>
      <c r="AG19" s="23">
        <v>699.0322720215263</v>
      </c>
      <c r="AH19" s="23">
        <v>757.73052593850252</v>
      </c>
      <c r="AI19" s="23">
        <v>664.24698286134333</v>
      </c>
      <c r="AJ19" s="23">
        <v>647.86353087261682</v>
      </c>
      <c r="AK19" s="23">
        <v>696.34439181167454</v>
      </c>
      <c r="AL19" s="23">
        <v>731.04462702119611</v>
      </c>
      <c r="AM19" s="23">
        <v>776.16789666175782</v>
      </c>
      <c r="AN19" s="23">
        <v>691.2951640419368</v>
      </c>
      <c r="AO19" s="23">
        <v>732.72141436340996</v>
      </c>
      <c r="AP19" s="23">
        <v>762.44352796902717</v>
      </c>
      <c r="AQ19" s="23">
        <v>774.42707131841394</v>
      </c>
      <c r="AR19" s="23">
        <v>719.85160225682387</v>
      </c>
      <c r="AS19" s="23">
        <v>703.30205033040647</v>
      </c>
      <c r="AT19" s="23">
        <v>736.69501175461482</v>
      </c>
      <c r="AU19" s="23">
        <v>711.1531806966683</v>
      </c>
      <c r="AV19" s="23">
        <v>684.99967388599339</v>
      </c>
      <c r="AW19" s="23">
        <v>677.90728112145325</v>
      </c>
      <c r="AX19" s="15" t="s">
        <v>27</v>
      </c>
      <c r="AY19" s="15" t="s">
        <v>27</v>
      </c>
      <c r="AZ19" s="15" t="s">
        <v>27</v>
      </c>
      <c r="BA19" s="25">
        <v>731.23638573069877</v>
      </c>
      <c r="BB19" s="23">
        <v>786.66740186972663</v>
      </c>
      <c r="BC19" s="23">
        <v>743.89420699296602</v>
      </c>
      <c r="BD19" s="23">
        <v>669.82228774529767</v>
      </c>
      <c r="BE19" s="23">
        <v>726.60150299999998</v>
      </c>
      <c r="BF19" s="23">
        <v>777.15780870000015</v>
      </c>
      <c r="BG19" s="23">
        <v>756.60816999999997</v>
      </c>
      <c r="BH19" s="23">
        <v>784.71243000000004</v>
      </c>
      <c r="BI19" s="23">
        <v>744.27711190000002</v>
      </c>
      <c r="BJ19" s="23">
        <v>738.14200000000005</v>
      </c>
      <c r="BK19" s="23">
        <v>725.54300000000001</v>
      </c>
      <c r="BL19" s="23">
        <v>729.54300000000001</v>
      </c>
      <c r="BM19" s="23">
        <v>740.00699999999995</v>
      </c>
      <c r="BN19" s="23">
        <v>699.78895429376632</v>
      </c>
      <c r="BO19" s="23">
        <v>701.18299999999999</v>
      </c>
      <c r="BP19" s="23">
        <v>743.94600000000003</v>
      </c>
      <c r="BQ19" s="23">
        <v>497.68400000000003</v>
      </c>
      <c r="BR19" s="23">
        <v>533.99900000000002</v>
      </c>
      <c r="BS19" s="23">
        <v>769.11</v>
      </c>
    </row>
    <row r="20" spans="1:71" ht="20.100000000000001" customHeight="1" thickBot="1" x14ac:dyDescent="0.25">
      <c r="A20" s="26" t="s">
        <v>15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7"/>
      <c r="Z20" s="27"/>
      <c r="AA20" s="27"/>
      <c r="AB20" s="27"/>
      <c r="AC20" s="27"/>
      <c r="AD20" s="27"/>
      <c r="AE20" s="27"/>
      <c r="AF20" s="27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4"/>
      <c r="AY20" s="4"/>
      <c r="AZ20" s="4"/>
      <c r="BA20" s="16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</row>
    <row r="21" spans="1:71" ht="20.100000000000001" customHeight="1" x14ac:dyDescent="0.2">
      <c r="A21" s="22" t="s">
        <v>16</v>
      </c>
      <c r="B21" s="23">
        <v>686.73595483436804</v>
      </c>
      <c r="C21" s="23">
        <v>693.19604489020708</v>
      </c>
      <c r="D21" s="23">
        <v>734.40205258482774</v>
      </c>
      <c r="E21" s="23">
        <v>697.76721217299894</v>
      </c>
      <c r="F21" s="23">
        <v>685.35833475071195</v>
      </c>
      <c r="G21" s="23">
        <v>698.65078406823261</v>
      </c>
      <c r="H21" s="23">
        <v>690.57862882178654</v>
      </c>
      <c r="I21" s="23">
        <v>667.60070631703002</v>
      </c>
      <c r="J21" s="23">
        <v>707.94893702617298</v>
      </c>
      <c r="K21" s="23">
        <v>761.08648210167303</v>
      </c>
      <c r="L21" s="23">
        <v>672.71573653456915</v>
      </c>
      <c r="M21" s="23">
        <v>738.23966560953147</v>
      </c>
      <c r="N21" s="23">
        <v>709.9277110980712</v>
      </c>
      <c r="O21" s="23">
        <v>734.23324308506665</v>
      </c>
      <c r="P21" s="23">
        <v>678.81764700233907</v>
      </c>
      <c r="Q21" s="23">
        <v>641.46223548374132</v>
      </c>
      <c r="R21" s="24" t="s">
        <v>27</v>
      </c>
      <c r="S21" s="24">
        <v>695.98933310337986</v>
      </c>
      <c r="T21" s="23">
        <v>650.10570328763345</v>
      </c>
      <c r="U21" s="23">
        <v>589.64303604526799</v>
      </c>
      <c r="V21" s="23">
        <v>620.73098418027303</v>
      </c>
      <c r="W21" s="23">
        <v>670.5551025202742</v>
      </c>
      <c r="X21" s="23">
        <v>638.58301548017084</v>
      </c>
      <c r="Y21" s="23">
        <v>605.08331582272524</v>
      </c>
      <c r="Z21" s="23">
        <v>619.19627049546614</v>
      </c>
      <c r="AA21" s="23">
        <v>577.87894608828526</v>
      </c>
      <c r="AB21" s="23">
        <v>527.87976697210081</v>
      </c>
      <c r="AC21" s="23">
        <v>564.09522531545554</v>
      </c>
      <c r="AD21" s="23">
        <v>552.57938557904549</v>
      </c>
      <c r="AE21" s="23">
        <v>536.76515542574475</v>
      </c>
      <c r="AF21" s="23">
        <v>511.1456443504357</v>
      </c>
      <c r="AG21" s="28">
        <v>517.20411726618079</v>
      </c>
      <c r="AH21" s="28">
        <v>546.2605788494983</v>
      </c>
      <c r="AI21" s="28">
        <v>518.75381444672485</v>
      </c>
      <c r="AJ21" s="28">
        <v>521.73834844811006</v>
      </c>
      <c r="AK21" s="28">
        <v>554.84283693714985</v>
      </c>
      <c r="AL21" s="28">
        <v>516.19881435089633</v>
      </c>
      <c r="AM21" s="28">
        <v>511.27704819421137</v>
      </c>
      <c r="AN21" s="28">
        <v>453.61009406128147</v>
      </c>
      <c r="AO21" s="28">
        <v>466.6828370413059</v>
      </c>
      <c r="AP21" s="28">
        <v>510.47578997562977</v>
      </c>
      <c r="AQ21" s="28">
        <v>506.96448298621692</v>
      </c>
      <c r="AR21" s="28">
        <v>497.18474201171392</v>
      </c>
      <c r="AS21" s="28">
        <v>416.02348614536805</v>
      </c>
      <c r="AT21" s="28">
        <v>448.81503994261612</v>
      </c>
      <c r="AU21" s="28">
        <v>489.55276992601</v>
      </c>
      <c r="AV21" s="28">
        <v>466.49832624954286</v>
      </c>
      <c r="AW21" s="28">
        <v>444.14117780021496</v>
      </c>
      <c r="AX21" s="29" t="s">
        <v>27</v>
      </c>
      <c r="AY21" s="29" t="s">
        <v>27</v>
      </c>
      <c r="AZ21" s="29" t="s">
        <v>27</v>
      </c>
      <c r="BA21" s="30">
        <v>480.09605066414872</v>
      </c>
      <c r="BB21" s="28">
        <v>497.65069649303143</v>
      </c>
      <c r="BC21" s="28">
        <v>461.29447770233855</v>
      </c>
      <c r="BD21" s="28">
        <v>516.94770988845141</v>
      </c>
      <c r="BE21" s="28">
        <v>443.63034019999998</v>
      </c>
      <c r="BF21" s="28">
        <v>459.53388389999998</v>
      </c>
      <c r="BG21" s="28">
        <v>466.24629999999996</v>
      </c>
      <c r="BH21" s="28">
        <v>445.89480000000003</v>
      </c>
      <c r="BI21" s="28">
        <v>431.2363891</v>
      </c>
      <c r="BJ21" s="28">
        <v>436.96100000000001</v>
      </c>
      <c r="BK21" s="28">
        <v>452.10199999999998</v>
      </c>
      <c r="BL21" s="28">
        <v>455.97300000000001</v>
      </c>
      <c r="BM21" s="28">
        <v>463.66300000000001</v>
      </c>
      <c r="BN21" s="28">
        <v>481.33327901017736</v>
      </c>
      <c r="BO21" s="28">
        <v>420.52199999999999</v>
      </c>
      <c r="BP21" s="28">
        <v>436.15499999999997</v>
      </c>
      <c r="BQ21" s="28">
        <v>269.80399999999997</v>
      </c>
      <c r="BR21" s="28">
        <v>354.75599999999997</v>
      </c>
      <c r="BS21" s="28">
        <v>428.67099999999999</v>
      </c>
    </row>
    <row r="22" spans="1:71" ht="20.100000000000001" customHeight="1" x14ac:dyDescent="0.2">
      <c r="A22" s="22" t="s">
        <v>17</v>
      </c>
      <c r="B22" s="23">
        <v>1986.5234833437371</v>
      </c>
      <c r="C22" s="23">
        <v>2153.6613732391011</v>
      </c>
      <c r="D22" s="23">
        <v>2230.365646594214</v>
      </c>
      <c r="E22" s="23">
        <v>2132.1105403768183</v>
      </c>
      <c r="F22" s="23">
        <v>2215.2479795163467</v>
      </c>
      <c r="G22" s="23">
        <v>2257.136202458064</v>
      </c>
      <c r="H22" s="23">
        <v>2240.5491740650632</v>
      </c>
      <c r="I22" s="23">
        <v>2240.1506939267824</v>
      </c>
      <c r="J22" s="23">
        <v>2201.8228091178498</v>
      </c>
      <c r="K22" s="23">
        <v>2189.1593363223587</v>
      </c>
      <c r="L22" s="23">
        <v>2195.2395197576902</v>
      </c>
      <c r="M22" s="23">
        <v>2208.8497505055439</v>
      </c>
      <c r="N22" s="23">
        <v>2152.77778599044</v>
      </c>
      <c r="O22" s="23">
        <v>2149.2044948556459</v>
      </c>
      <c r="P22" s="23">
        <v>2157.9147725555836</v>
      </c>
      <c r="Q22" s="23">
        <v>2166.2385304146383</v>
      </c>
      <c r="R22" s="24" t="s">
        <v>27</v>
      </c>
      <c r="S22" s="24">
        <v>1957.9162773899179</v>
      </c>
      <c r="T22" s="23">
        <v>2070.5639549500825</v>
      </c>
      <c r="U22" s="23">
        <v>2150.173631422595</v>
      </c>
      <c r="V22" s="23">
        <v>2070.5257008400677</v>
      </c>
      <c r="W22" s="23">
        <v>2001.0303524106412</v>
      </c>
      <c r="X22" s="23">
        <v>2126.5491313302905</v>
      </c>
      <c r="Y22" s="23">
        <v>2015.270704340006</v>
      </c>
      <c r="Z22" s="23">
        <v>1947.1111883821823</v>
      </c>
      <c r="AA22" s="23">
        <v>2058.2851951910689</v>
      </c>
      <c r="AB22" s="23">
        <v>2056.9074369418418</v>
      </c>
      <c r="AC22" s="23">
        <v>2005.2112228715444</v>
      </c>
      <c r="AD22" s="23">
        <v>1991.2618464963293</v>
      </c>
      <c r="AE22" s="23">
        <v>2043.1821976694828</v>
      </c>
      <c r="AF22" s="23">
        <v>2038.6844125615521</v>
      </c>
      <c r="AG22" s="28">
        <v>2000.941175678033</v>
      </c>
      <c r="AH22" s="28">
        <v>2072.4910951730171</v>
      </c>
      <c r="AI22" s="28">
        <v>2011.0606154073096</v>
      </c>
      <c r="AJ22" s="28">
        <v>2029.4939794101954</v>
      </c>
      <c r="AK22" s="28">
        <v>2073.5636082774772</v>
      </c>
      <c r="AL22" s="28">
        <v>1999.0727702690315</v>
      </c>
      <c r="AM22" s="28">
        <v>1972.4151781304799</v>
      </c>
      <c r="AN22" s="28">
        <v>1913.9525550897702</v>
      </c>
      <c r="AO22" s="28">
        <v>1906.232954598956</v>
      </c>
      <c r="AP22" s="28">
        <v>1953.0232135909398</v>
      </c>
      <c r="AQ22" s="28">
        <v>1889.0790412088688</v>
      </c>
      <c r="AR22" s="28">
        <v>1851.7981068102706</v>
      </c>
      <c r="AS22" s="28">
        <v>1905.9472643690035</v>
      </c>
      <c r="AT22" s="28">
        <v>1868.0163637515996</v>
      </c>
      <c r="AU22" s="28">
        <v>1949.8474584050343</v>
      </c>
      <c r="AV22" s="28">
        <v>1891.9516666631973</v>
      </c>
      <c r="AW22" s="28">
        <v>1914.0031513766446</v>
      </c>
      <c r="AX22" s="29" t="s">
        <v>27</v>
      </c>
      <c r="AY22" s="29" t="s">
        <v>27</v>
      </c>
      <c r="AZ22" s="29" t="s">
        <v>27</v>
      </c>
      <c r="BA22" s="30">
        <v>1884.1201818333748</v>
      </c>
      <c r="BB22" s="28">
        <v>1849.2395930526548</v>
      </c>
      <c r="BC22" s="28">
        <v>1792.8919666751599</v>
      </c>
      <c r="BD22" s="28">
        <v>1656.4505002793696</v>
      </c>
      <c r="BE22" s="28">
        <v>1781.7927804000003</v>
      </c>
      <c r="BF22" s="28">
        <v>1796.2285068000001</v>
      </c>
      <c r="BG22" s="28">
        <v>1762.1621499999997</v>
      </c>
      <c r="BH22" s="28">
        <v>1693.8740299999999</v>
      </c>
      <c r="BI22" s="28">
        <v>1636.9024744000001</v>
      </c>
      <c r="BJ22" s="28">
        <v>1615.5730000000001</v>
      </c>
      <c r="BK22" s="28">
        <v>1599.146</v>
      </c>
      <c r="BL22" s="28">
        <v>1672.8219999999999</v>
      </c>
      <c r="BM22" s="28">
        <v>1638.3779999999999</v>
      </c>
      <c r="BN22" s="28">
        <v>1568.5066546972357</v>
      </c>
      <c r="BO22" s="28">
        <v>1598.5440000000001</v>
      </c>
      <c r="BP22" s="28">
        <v>1688.5930000000001</v>
      </c>
      <c r="BQ22" s="28">
        <v>1180.6300000000001</v>
      </c>
      <c r="BR22" s="28">
        <v>1311.873</v>
      </c>
      <c r="BS22" s="28">
        <v>1553.895</v>
      </c>
    </row>
    <row r="23" spans="1:71" ht="20.100000000000001" customHeight="1" x14ac:dyDescent="0.2">
      <c r="A23" s="22" t="s">
        <v>18</v>
      </c>
      <c r="B23" s="23">
        <v>1728.5250863966537</v>
      </c>
      <c r="C23" s="23">
        <v>1702.3237508088389</v>
      </c>
      <c r="D23" s="23">
        <v>1622.4330646483847</v>
      </c>
      <c r="E23" s="23">
        <v>1666.3365030949342</v>
      </c>
      <c r="F23" s="23">
        <v>1697.4831273492612</v>
      </c>
      <c r="G23" s="23">
        <v>1680.4512157435363</v>
      </c>
      <c r="H23" s="23">
        <v>1704.527407466386</v>
      </c>
      <c r="I23" s="23">
        <v>1588.2199414270153</v>
      </c>
      <c r="J23" s="23">
        <v>1716.3834668217821</v>
      </c>
      <c r="K23" s="23">
        <v>1720.7867658251428</v>
      </c>
      <c r="L23" s="23">
        <v>1708.7219254318791</v>
      </c>
      <c r="M23" s="23">
        <v>1723.4858349627052</v>
      </c>
      <c r="N23" s="23">
        <v>1727.3731764234224</v>
      </c>
      <c r="O23" s="23">
        <v>1788.5326679585901</v>
      </c>
      <c r="P23" s="23">
        <v>1807.0919305875268</v>
      </c>
      <c r="Q23" s="23">
        <v>1817.5142957866381</v>
      </c>
      <c r="R23" s="24" t="s">
        <v>27</v>
      </c>
      <c r="S23" s="24">
        <v>1826.2770001297299</v>
      </c>
      <c r="T23" s="23">
        <v>1763.6065171120094</v>
      </c>
      <c r="U23" s="23">
        <v>1775.2678712757811</v>
      </c>
      <c r="V23" s="23">
        <v>1754.7900643398839</v>
      </c>
      <c r="W23" s="23">
        <v>1845.1423163146887</v>
      </c>
      <c r="X23" s="23">
        <v>1814.8860818054525</v>
      </c>
      <c r="Y23" s="23">
        <v>1788.3386120482705</v>
      </c>
      <c r="Z23" s="23">
        <v>1777.4980418923783</v>
      </c>
      <c r="AA23" s="23">
        <v>1809.0143909467622</v>
      </c>
      <c r="AB23" s="23">
        <v>1766.3701712593372</v>
      </c>
      <c r="AC23" s="23">
        <v>1845.500129744715</v>
      </c>
      <c r="AD23" s="23">
        <v>1835.360765081025</v>
      </c>
      <c r="AE23" s="23">
        <v>1771.8523264832211</v>
      </c>
      <c r="AF23" s="23">
        <v>1831.3515410798057</v>
      </c>
      <c r="AG23" s="28">
        <v>1955.7012325328894</v>
      </c>
      <c r="AH23" s="28">
        <v>1946.2283377626359</v>
      </c>
      <c r="AI23" s="28">
        <v>1893.2911820866702</v>
      </c>
      <c r="AJ23" s="28">
        <v>1783.6808697178071</v>
      </c>
      <c r="AK23" s="28">
        <v>1828.9686215994141</v>
      </c>
      <c r="AL23" s="28">
        <v>1931.8099524817983</v>
      </c>
      <c r="AM23" s="28">
        <v>1889.7602577181415</v>
      </c>
      <c r="AN23" s="28">
        <v>1788.0466090451428</v>
      </c>
      <c r="AO23" s="28">
        <v>1929.6210180994303</v>
      </c>
      <c r="AP23" s="28">
        <v>1916.2593624632327</v>
      </c>
      <c r="AQ23" s="28">
        <v>1990.9141239519051</v>
      </c>
      <c r="AR23" s="28">
        <v>1952.90502384671</v>
      </c>
      <c r="AS23" s="28">
        <v>1922.000441976342</v>
      </c>
      <c r="AT23" s="28">
        <v>1956.4507026537735</v>
      </c>
      <c r="AU23" s="28">
        <v>1922.9959375515273</v>
      </c>
      <c r="AV23" s="28">
        <v>1800.6215192681657</v>
      </c>
      <c r="AW23" s="28">
        <v>1958.9518554457327</v>
      </c>
      <c r="AX23" s="29" t="s">
        <v>27</v>
      </c>
      <c r="AY23" s="29" t="s">
        <v>27</v>
      </c>
      <c r="AZ23" s="29" t="s">
        <v>27</v>
      </c>
      <c r="BA23" s="30">
        <v>1884.6352325225598</v>
      </c>
      <c r="BB23" s="28">
        <v>1956.7872586758615</v>
      </c>
      <c r="BC23" s="28">
        <v>1931.2706959946629</v>
      </c>
      <c r="BD23" s="28">
        <v>1941.7938519630134</v>
      </c>
      <c r="BE23" s="28">
        <v>1958.8707384000002</v>
      </c>
      <c r="BF23" s="28">
        <v>1993.3333601999998</v>
      </c>
      <c r="BG23" s="28">
        <v>1999.6040599999999</v>
      </c>
      <c r="BH23" s="28">
        <v>1924.7822499999997</v>
      </c>
      <c r="BI23" s="28">
        <v>1994.9342422000002</v>
      </c>
      <c r="BJ23" s="28">
        <v>2024.5129999999999</v>
      </c>
      <c r="BK23" s="28">
        <v>1901.568</v>
      </c>
      <c r="BL23" s="28">
        <v>1913.673</v>
      </c>
      <c r="BM23" s="28">
        <v>1915.5889999999999</v>
      </c>
      <c r="BN23" s="28">
        <v>1915.5462482113724</v>
      </c>
      <c r="BO23" s="28">
        <v>1945.8789999999999</v>
      </c>
      <c r="BP23" s="28">
        <v>1949.8489999999999</v>
      </c>
      <c r="BQ23" s="28">
        <v>1485.854</v>
      </c>
      <c r="BR23" s="28">
        <v>1752.8679999999999</v>
      </c>
      <c r="BS23" s="28">
        <v>2063.3409999999999</v>
      </c>
    </row>
    <row r="24" spans="1:71" ht="20.100000000000001" customHeight="1" x14ac:dyDescent="0.2">
      <c r="A24" s="22" t="s">
        <v>19</v>
      </c>
      <c r="B24" s="23">
        <v>1791.9651178996091</v>
      </c>
      <c r="C24" s="23">
        <v>1857.6346720658119</v>
      </c>
      <c r="D24" s="23">
        <v>1891.6725787281582</v>
      </c>
      <c r="E24" s="23">
        <v>1931.6696426364986</v>
      </c>
      <c r="F24" s="23">
        <v>1988.2735564680897</v>
      </c>
      <c r="G24" s="23">
        <v>2033.1412166876232</v>
      </c>
      <c r="H24" s="23">
        <v>1975.9186855562539</v>
      </c>
      <c r="I24" s="23">
        <v>2078.7371972855622</v>
      </c>
      <c r="J24" s="23">
        <v>2123.1468286567629</v>
      </c>
      <c r="K24" s="23">
        <v>2063.7887838711981</v>
      </c>
      <c r="L24" s="23">
        <v>2147.2606398540138</v>
      </c>
      <c r="M24" s="23">
        <v>2198.336152961791</v>
      </c>
      <c r="N24" s="23">
        <v>2207.994643830757</v>
      </c>
      <c r="O24" s="23">
        <v>2263.0898420443054</v>
      </c>
      <c r="P24" s="23">
        <v>2263.0496148765724</v>
      </c>
      <c r="Q24" s="23">
        <v>2359.2794288957812</v>
      </c>
      <c r="R24" s="24" t="s">
        <v>27</v>
      </c>
      <c r="S24" s="24">
        <v>2457.347999982926</v>
      </c>
      <c r="T24" s="23">
        <v>2375.5819275448143</v>
      </c>
      <c r="U24" s="23">
        <v>2493.1165540514426</v>
      </c>
      <c r="V24" s="23">
        <v>2568.407329036615</v>
      </c>
      <c r="W24" s="23">
        <v>2537.0946146000683</v>
      </c>
      <c r="X24" s="23">
        <v>2463.9497673810965</v>
      </c>
      <c r="Y24" s="23">
        <v>2531.2078022330347</v>
      </c>
      <c r="Z24" s="23">
        <v>2577.3763353731115</v>
      </c>
      <c r="AA24" s="23">
        <v>2586.4110639775445</v>
      </c>
      <c r="AB24" s="23">
        <v>2567.493878059895</v>
      </c>
      <c r="AC24" s="23">
        <v>2524.1956642209038</v>
      </c>
      <c r="AD24" s="23">
        <v>2654.5333897792916</v>
      </c>
      <c r="AE24" s="23">
        <v>2663.3117559700872</v>
      </c>
      <c r="AF24" s="23">
        <v>2641.6208865633366</v>
      </c>
      <c r="AG24" s="28">
        <v>2728.235340296646</v>
      </c>
      <c r="AH24" s="28">
        <v>2686.4881254097249</v>
      </c>
      <c r="AI24" s="28">
        <v>2758.6276020991786</v>
      </c>
      <c r="AJ24" s="28">
        <v>2798.6138953774553</v>
      </c>
      <c r="AK24" s="28">
        <v>2819.774604808772</v>
      </c>
      <c r="AL24" s="28">
        <v>2955.3118890820288</v>
      </c>
      <c r="AM24" s="28">
        <v>2907.0819625986392</v>
      </c>
      <c r="AN24" s="28">
        <v>2837.7859272281571</v>
      </c>
      <c r="AO24" s="28">
        <v>3061.6237249891665</v>
      </c>
      <c r="AP24" s="28">
        <v>2916.9748786021069</v>
      </c>
      <c r="AQ24" s="28">
        <v>2984.6862796751357</v>
      </c>
      <c r="AR24" s="28">
        <v>2930.7303271342303</v>
      </c>
      <c r="AS24" s="28">
        <v>2952.3444208659425</v>
      </c>
      <c r="AT24" s="28">
        <v>2821.8128184814414</v>
      </c>
      <c r="AU24" s="28">
        <v>2918.085598578512</v>
      </c>
      <c r="AV24" s="28">
        <v>2961.6933138036679</v>
      </c>
      <c r="AW24" s="28">
        <v>2976.0756145522992</v>
      </c>
      <c r="AX24" s="29" t="s">
        <v>27</v>
      </c>
      <c r="AY24" s="29" t="s">
        <v>27</v>
      </c>
      <c r="AZ24" s="29" t="s">
        <v>27</v>
      </c>
      <c r="BA24" s="30">
        <v>3105.3670910231863</v>
      </c>
      <c r="BB24" s="28">
        <v>3144.1083464187309</v>
      </c>
      <c r="BC24" s="28">
        <v>3234.8975425735507</v>
      </c>
      <c r="BD24" s="28">
        <v>3166.4010866182698</v>
      </c>
      <c r="BE24" s="28">
        <v>3182.6744978000002</v>
      </c>
      <c r="BF24" s="28">
        <v>3244.2442305000004</v>
      </c>
      <c r="BG24" s="28">
        <v>3270.1769899999995</v>
      </c>
      <c r="BH24" s="28">
        <v>3340.3416899999997</v>
      </c>
      <c r="BI24" s="28">
        <v>3297.8385489999996</v>
      </c>
      <c r="BJ24" s="28">
        <v>3337.3470000000002</v>
      </c>
      <c r="BK24" s="28">
        <v>3273.3530000000001</v>
      </c>
      <c r="BL24" s="28">
        <v>3329.9560000000001</v>
      </c>
      <c r="BM24" s="28">
        <v>3344.75</v>
      </c>
      <c r="BN24" s="28">
        <v>3312.8177233540023</v>
      </c>
      <c r="BO24" s="28">
        <v>3407.087</v>
      </c>
      <c r="BP24" s="28">
        <v>3294.3530000000001</v>
      </c>
      <c r="BQ24" s="28">
        <v>2628.9589999999998</v>
      </c>
      <c r="BR24" s="28">
        <v>2784.5839999999998</v>
      </c>
      <c r="BS24" s="28">
        <v>2950.8150000000001</v>
      </c>
    </row>
    <row r="25" spans="1:71" ht="20.100000000000001" customHeight="1" x14ac:dyDescent="0.2">
      <c r="A25" s="22" t="s">
        <v>20</v>
      </c>
      <c r="B25" s="23">
        <v>1169.6622537379822</v>
      </c>
      <c r="C25" s="23">
        <v>1215.0856578214532</v>
      </c>
      <c r="D25" s="23">
        <v>1196.5413354919719</v>
      </c>
      <c r="E25" s="23">
        <v>1281.1407491830182</v>
      </c>
      <c r="F25" s="23">
        <v>1269.2749942074965</v>
      </c>
      <c r="G25" s="23">
        <v>1318.9532258695251</v>
      </c>
      <c r="H25" s="23">
        <v>1210.3683681904779</v>
      </c>
      <c r="I25" s="23">
        <v>1349.287108686472</v>
      </c>
      <c r="J25" s="23">
        <v>1328.8353888681172</v>
      </c>
      <c r="K25" s="23">
        <v>1403.2938754281031</v>
      </c>
      <c r="L25" s="23">
        <v>1335.0398709119688</v>
      </c>
      <c r="M25" s="23">
        <v>1422.3840684354448</v>
      </c>
      <c r="N25" s="23">
        <v>1469.2572152455211</v>
      </c>
      <c r="O25" s="23">
        <v>1396.1789911753228</v>
      </c>
      <c r="P25" s="23">
        <v>1358.107821518887</v>
      </c>
      <c r="Q25" s="23">
        <v>1437.6147233907964</v>
      </c>
      <c r="R25" s="24" t="s">
        <v>27</v>
      </c>
      <c r="S25" s="24">
        <v>1420.1154217752378</v>
      </c>
      <c r="T25" s="23">
        <v>1389.7324512445039</v>
      </c>
      <c r="U25" s="23">
        <v>1402.1467917183461</v>
      </c>
      <c r="V25" s="23">
        <v>1404.3168935705687</v>
      </c>
      <c r="W25" s="23">
        <v>1448.2336521679983</v>
      </c>
      <c r="X25" s="23">
        <v>1390.4667766438358</v>
      </c>
      <c r="Y25" s="23">
        <v>1453.3078680511053</v>
      </c>
      <c r="Z25" s="23">
        <v>1478.996783701567</v>
      </c>
      <c r="AA25" s="23">
        <v>1478.4854579113298</v>
      </c>
      <c r="AB25" s="23">
        <v>1464.8011499245868</v>
      </c>
      <c r="AC25" s="23">
        <v>1516.4954004815472</v>
      </c>
      <c r="AD25" s="23">
        <v>1494.9012614525448</v>
      </c>
      <c r="AE25" s="23">
        <v>1502.0198664079405</v>
      </c>
      <c r="AF25" s="23">
        <v>1550.6005313609778</v>
      </c>
      <c r="AG25" s="28">
        <v>1517.0390534542437</v>
      </c>
      <c r="AH25" s="28">
        <v>1513.2991519509389</v>
      </c>
      <c r="AI25" s="28">
        <v>1536.5933538076306</v>
      </c>
      <c r="AJ25" s="28">
        <v>1444.7470004548811</v>
      </c>
      <c r="AK25" s="28">
        <v>1478.3816514516695</v>
      </c>
      <c r="AL25" s="28">
        <v>1531.8449618652487</v>
      </c>
      <c r="AM25" s="28">
        <v>1518.2532620036147</v>
      </c>
      <c r="AN25" s="28">
        <v>1541.0157858533285</v>
      </c>
      <c r="AO25" s="28">
        <v>1526.1704727583001</v>
      </c>
      <c r="AP25" s="28">
        <v>1505.4281511020929</v>
      </c>
      <c r="AQ25" s="28">
        <v>1506.8210223998331</v>
      </c>
      <c r="AR25" s="28">
        <v>1517.6195908627785</v>
      </c>
      <c r="AS25" s="28">
        <v>1430.3613612576487</v>
      </c>
      <c r="AT25" s="28">
        <v>1446.5240981438658</v>
      </c>
      <c r="AU25" s="28">
        <v>1507.1574076531438</v>
      </c>
      <c r="AV25" s="28">
        <v>1554.2061322922775</v>
      </c>
      <c r="AW25" s="28">
        <v>1473.8040342995146</v>
      </c>
      <c r="AX25" s="29" t="s">
        <v>27</v>
      </c>
      <c r="AY25" s="29" t="s">
        <v>27</v>
      </c>
      <c r="AZ25" s="29" t="s">
        <v>27</v>
      </c>
      <c r="BA25" s="30">
        <v>1553.5972798383796</v>
      </c>
      <c r="BB25" s="28">
        <v>1559.5408292190027</v>
      </c>
      <c r="BC25" s="28">
        <v>1519.7696087083571</v>
      </c>
      <c r="BD25" s="28">
        <v>1568.9544188942057</v>
      </c>
      <c r="BE25" s="28">
        <v>1647.4594149999998</v>
      </c>
      <c r="BF25" s="28">
        <v>1695.8306274000001</v>
      </c>
      <c r="BG25" s="28">
        <v>1693.7144499999997</v>
      </c>
      <c r="BH25" s="28">
        <v>1689.7845399999999</v>
      </c>
      <c r="BI25" s="28">
        <v>1708.7417108999998</v>
      </c>
      <c r="BJ25" s="28">
        <v>1692.9280000000001</v>
      </c>
      <c r="BK25" s="28">
        <v>1724.1859999999999</v>
      </c>
      <c r="BL25" s="28">
        <v>1716.2249999999999</v>
      </c>
      <c r="BM25" s="28">
        <v>1809.0139999999999</v>
      </c>
      <c r="BN25" s="28">
        <v>1783.8055704352498</v>
      </c>
      <c r="BO25" s="28">
        <v>1809.0170000000001</v>
      </c>
      <c r="BP25" s="28">
        <v>1815.489</v>
      </c>
      <c r="BQ25" s="28">
        <v>1468.9649999999999</v>
      </c>
      <c r="BR25" s="28">
        <v>1628.6410000000001</v>
      </c>
      <c r="BS25" s="28">
        <v>1652.229</v>
      </c>
    </row>
    <row r="26" spans="1:71" ht="20.100000000000001" customHeight="1" x14ac:dyDescent="0.2">
      <c r="A26" s="22" t="s">
        <v>21</v>
      </c>
      <c r="B26" s="23">
        <v>1659.8984022973113</v>
      </c>
      <c r="C26" s="23">
        <v>1628.4618887477293</v>
      </c>
      <c r="D26" s="23">
        <v>1583.1093940720727</v>
      </c>
      <c r="E26" s="23">
        <v>1656.286360158379</v>
      </c>
      <c r="F26" s="23">
        <v>1700.3970164301293</v>
      </c>
      <c r="G26" s="23">
        <v>1682.202404366378</v>
      </c>
      <c r="H26" s="23">
        <v>1698.2817256629323</v>
      </c>
      <c r="I26" s="23">
        <v>1712.5785580324593</v>
      </c>
      <c r="J26" s="23">
        <v>1833.2028689717586</v>
      </c>
      <c r="K26" s="23">
        <v>1876.7887524889634</v>
      </c>
      <c r="L26" s="23">
        <v>1841.2893272789036</v>
      </c>
      <c r="M26" s="23">
        <v>1866.9020886364663</v>
      </c>
      <c r="N26" s="23">
        <v>1893.0439481548312</v>
      </c>
      <c r="O26" s="23">
        <v>1966.6687338939489</v>
      </c>
      <c r="P26" s="23">
        <v>1977.2048712114777</v>
      </c>
      <c r="Q26" s="23">
        <v>1965.7014189132699</v>
      </c>
      <c r="R26" s="24" t="s">
        <v>27</v>
      </c>
      <c r="S26" s="24">
        <v>2016.7958138740794</v>
      </c>
      <c r="T26" s="23">
        <v>2114.7380682909679</v>
      </c>
      <c r="U26" s="23">
        <v>2027.651958878738</v>
      </c>
      <c r="V26" s="23">
        <v>2007.4515233780105</v>
      </c>
      <c r="W26" s="23">
        <v>2166.6083763665256</v>
      </c>
      <c r="X26" s="23">
        <v>2213.6858580960902</v>
      </c>
      <c r="Y26" s="23">
        <v>2198.5475131348821</v>
      </c>
      <c r="Z26" s="23">
        <v>2125.8739001546869</v>
      </c>
      <c r="AA26" s="23">
        <v>2179.9634959670161</v>
      </c>
      <c r="AB26" s="23">
        <v>2301.1648186597072</v>
      </c>
      <c r="AC26" s="23">
        <v>2315.0396297898114</v>
      </c>
      <c r="AD26" s="23">
        <v>2280.6551310901468</v>
      </c>
      <c r="AE26" s="23">
        <v>2309.9298886437782</v>
      </c>
      <c r="AF26" s="23">
        <v>2265.1714874134982</v>
      </c>
      <c r="AG26" s="28">
        <v>2377.5678546019776</v>
      </c>
      <c r="AH26" s="28">
        <v>2406.5220849841808</v>
      </c>
      <c r="AI26" s="28">
        <v>2387.6605061090859</v>
      </c>
      <c r="AJ26" s="28">
        <v>2382.6076941370861</v>
      </c>
      <c r="AK26" s="28">
        <v>2382.2331411163691</v>
      </c>
      <c r="AL26" s="28">
        <v>2351.4930250825091</v>
      </c>
      <c r="AM26" s="28">
        <v>2471.088415333903</v>
      </c>
      <c r="AN26" s="28">
        <v>2540.2952495155396</v>
      </c>
      <c r="AO26" s="28">
        <v>2446.4318962858652</v>
      </c>
      <c r="AP26" s="28">
        <v>2528.3582353797842</v>
      </c>
      <c r="AQ26" s="28">
        <v>2426.1154379664986</v>
      </c>
      <c r="AR26" s="28">
        <v>2345.5041682412225</v>
      </c>
      <c r="AS26" s="28">
        <v>2384.2293962125118</v>
      </c>
      <c r="AT26" s="28">
        <v>2480.7840794919152</v>
      </c>
      <c r="AU26" s="28">
        <v>2465.3173390933084</v>
      </c>
      <c r="AV26" s="28">
        <v>2427.2457189404086</v>
      </c>
      <c r="AW26" s="28">
        <v>2384.0585972932317</v>
      </c>
      <c r="AX26" s="29" t="s">
        <v>27</v>
      </c>
      <c r="AY26" s="29" t="s">
        <v>27</v>
      </c>
      <c r="AZ26" s="29" t="s">
        <v>27</v>
      </c>
      <c r="BA26" s="30">
        <v>2564.5830932394256</v>
      </c>
      <c r="BB26" s="28">
        <v>2606.8911757290075</v>
      </c>
      <c r="BC26" s="28">
        <v>2656.6260919592091</v>
      </c>
      <c r="BD26" s="28">
        <v>2610.2746376684577</v>
      </c>
      <c r="BE26" s="28">
        <v>2496.6204024000003</v>
      </c>
      <c r="BF26" s="28">
        <v>2621.6307117000001</v>
      </c>
      <c r="BG26" s="28">
        <v>2819.4240899999991</v>
      </c>
      <c r="BH26" s="28">
        <v>2771.70462</v>
      </c>
      <c r="BI26" s="28">
        <v>2687.9458003999998</v>
      </c>
      <c r="BJ26" s="28">
        <v>2714.7020000000002</v>
      </c>
      <c r="BK26" s="28">
        <v>2843.0419999999999</v>
      </c>
      <c r="BL26" s="28">
        <v>2858.6680000000001</v>
      </c>
      <c r="BM26" s="28">
        <v>2901.9989999999998</v>
      </c>
      <c r="BN26" s="28">
        <v>3047.0228313942002</v>
      </c>
      <c r="BO26" s="28">
        <v>3059.07</v>
      </c>
      <c r="BP26" s="28">
        <v>2860.761</v>
      </c>
      <c r="BQ26" s="28">
        <v>2511.8679999999999</v>
      </c>
      <c r="BR26" s="28">
        <v>2825.127</v>
      </c>
      <c r="BS26" s="28">
        <v>2874.6979999999999</v>
      </c>
    </row>
    <row r="27" spans="1:71" ht="20.100000000000001" customHeight="1" thickBot="1" x14ac:dyDescent="0.25">
      <c r="A27" s="26" t="s">
        <v>102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26"/>
      <c r="S27" s="26"/>
      <c r="T27" s="26"/>
      <c r="U27" s="26"/>
      <c r="V27" s="26"/>
      <c r="W27" s="26"/>
      <c r="X27" s="26"/>
      <c r="Y27" s="27"/>
      <c r="Z27" s="27"/>
      <c r="AA27" s="27"/>
      <c r="AB27" s="27"/>
      <c r="AC27" s="27"/>
      <c r="AD27" s="27"/>
      <c r="AE27" s="27"/>
      <c r="AF27" s="27"/>
      <c r="AG27" s="27"/>
      <c r="AH27" s="27"/>
      <c r="AI27" s="27"/>
      <c r="AJ27" s="27"/>
      <c r="AK27" s="27"/>
      <c r="AL27" s="27"/>
      <c r="AM27" s="27"/>
      <c r="AN27" s="27"/>
      <c r="AO27" s="27"/>
      <c r="AP27" s="27"/>
      <c r="AQ27" s="27"/>
      <c r="AR27" s="27"/>
      <c r="AS27" s="27"/>
      <c r="AT27" s="27"/>
      <c r="AU27" s="27"/>
      <c r="AV27" s="27"/>
      <c r="AW27" s="27"/>
      <c r="AX27" s="4"/>
      <c r="AY27" s="4"/>
      <c r="AZ27" s="4"/>
      <c r="BA27" s="31"/>
      <c r="BB27" s="27"/>
      <c r="BC27" s="27"/>
      <c r="BD27" s="27"/>
      <c r="BE27" s="27"/>
      <c r="BF27" s="27"/>
      <c r="BG27" s="27"/>
      <c r="BH27" s="27"/>
      <c r="BI27" s="27"/>
      <c r="BJ27" s="27"/>
      <c r="BK27" s="27"/>
      <c r="BL27" s="27"/>
      <c r="BM27" s="27"/>
      <c r="BN27" s="27"/>
      <c r="BO27" s="27"/>
      <c r="BP27" s="27"/>
      <c r="BQ27" s="27"/>
      <c r="BR27" s="27"/>
      <c r="BS27" s="27"/>
    </row>
    <row r="28" spans="1:71" ht="20.100000000000001" customHeight="1" x14ac:dyDescent="0.2">
      <c r="A28" s="22" t="s">
        <v>103</v>
      </c>
      <c r="B28" s="23">
        <v>328.6913995793285</v>
      </c>
      <c r="C28" s="23">
        <v>363.11316980857998</v>
      </c>
      <c r="D28" s="23">
        <v>342.95957887628748</v>
      </c>
      <c r="E28" s="23">
        <v>372.01512176041905</v>
      </c>
      <c r="F28" s="23">
        <v>395.58134361172392</v>
      </c>
      <c r="G28" s="23">
        <v>403.78980741935885</v>
      </c>
      <c r="H28" s="23">
        <v>348.32732605559386</v>
      </c>
      <c r="I28" s="23">
        <v>376.76530116813149</v>
      </c>
      <c r="J28" s="23">
        <v>419.85763154648799</v>
      </c>
      <c r="K28" s="23">
        <v>402.39599213338056</v>
      </c>
      <c r="L28" s="23">
        <v>382.70291928288708</v>
      </c>
      <c r="M28" s="23">
        <v>418.65684578073342</v>
      </c>
      <c r="N28" s="23">
        <v>430.03302949353235</v>
      </c>
      <c r="O28" s="23">
        <v>422.80158921381667</v>
      </c>
      <c r="P28" s="23">
        <v>466.00015876126349</v>
      </c>
      <c r="Q28" s="23">
        <v>458.77400101920875</v>
      </c>
      <c r="R28" s="24" t="s">
        <v>27</v>
      </c>
      <c r="S28" s="24">
        <v>455.848510052211</v>
      </c>
      <c r="T28" s="23">
        <v>481.09501559260008</v>
      </c>
      <c r="U28" s="23">
        <v>472.10994166762617</v>
      </c>
      <c r="V28" s="23">
        <v>459.47254325116262</v>
      </c>
      <c r="W28" s="23">
        <v>503.49649403850287</v>
      </c>
      <c r="X28" s="23">
        <v>503.52677373122992</v>
      </c>
      <c r="Y28" s="23">
        <v>461.36570150497033</v>
      </c>
      <c r="Z28" s="23">
        <v>448.06600267567939</v>
      </c>
      <c r="AA28" s="23">
        <v>473.94732933905158</v>
      </c>
      <c r="AB28" s="23">
        <v>488.33204073176597</v>
      </c>
      <c r="AC28" s="23">
        <v>493.75480380625447</v>
      </c>
      <c r="AD28" s="23">
        <v>515.99350361385132</v>
      </c>
      <c r="AE28" s="23">
        <v>442.65107838419965</v>
      </c>
      <c r="AF28" s="23">
        <v>469.36339650748863</v>
      </c>
      <c r="AG28" s="23">
        <v>526.46515172273894</v>
      </c>
      <c r="AH28" s="23">
        <v>509.7274155369056</v>
      </c>
      <c r="AI28" s="23">
        <v>471.94890619605781</v>
      </c>
      <c r="AJ28" s="23">
        <v>382.82185392041583</v>
      </c>
      <c r="AK28" s="23">
        <v>447.08087181679571</v>
      </c>
      <c r="AL28" s="23">
        <v>451.52856109782539</v>
      </c>
      <c r="AM28" s="23">
        <v>486.77695085049868</v>
      </c>
      <c r="AN28" s="23">
        <v>405.26256523870092</v>
      </c>
      <c r="AO28" s="23">
        <v>454.65495546790305</v>
      </c>
      <c r="AP28" s="23">
        <v>475.30031556069139</v>
      </c>
      <c r="AQ28" s="23">
        <v>404.39082515857649</v>
      </c>
      <c r="AR28" s="23">
        <v>383.67069919999909</v>
      </c>
      <c r="AS28" s="23">
        <v>377.06161032875548</v>
      </c>
      <c r="AT28" s="23">
        <v>383.94649371810095</v>
      </c>
      <c r="AU28" s="23">
        <v>396.72568726034973</v>
      </c>
      <c r="AV28" s="23">
        <v>376.73171808241273</v>
      </c>
      <c r="AW28" s="23">
        <v>394.42034738969386</v>
      </c>
      <c r="AX28" s="15" t="s">
        <v>27</v>
      </c>
      <c r="AY28" s="15" t="s">
        <v>27</v>
      </c>
      <c r="AZ28" s="15" t="s">
        <v>27</v>
      </c>
      <c r="BA28" s="25">
        <v>411.02967583048354</v>
      </c>
      <c r="BB28" s="23">
        <v>403.44870880803211</v>
      </c>
      <c r="BC28" s="23">
        <v>437.58839940435735</v>
      </c>
      <c r="BD28" s="23">
        <v>464.66352782236754</v>
      </c>
      <c r="BE28" s="23">
        <v>439.52084660000008</v>
      </c>
      <c r="BF28" s="23">
        <v>454.11267720000012</v>
      </c>
      <c r="BG28" s="23">
        <v>434.47876999999994</v>
      </c>
      <c r="BH28" s="23">
        <v>437.95013999999998</v>
      </c>
      <c r="BI28" s="23">
        <v>477.38881909999998</v>
      </c>
      <c r="BJ28" s="23">
        <v>469.03</v>
      </c>
      <c r="BK28" s="23">
        <v>462.11500000000001</v>
      </c>
      <c r="BL28" s="23">
        <v>430.61700000000002</v>
      </c>
      <c r="BM28" s="23">
        <v>416.32299999999998</v>
      </c>
      <c r="BN28" s="23">
        <v>476.89595676884068</v>
      </c>
      <c r="BO28" s="23">
        <v>509.56099999999998</v>
      </c>
      <c r="BP28" s="23">
        <v>426.60599999999999</v>
      </c>
      <c r="BQ28" s="23">
        <v>243.60499999999999</v>
      </c>
      <c r="BR28" s="23">
        <v>316.79300000000001</v>
      </c>
      <c r="BS28" s="23">
        <v>296.084</v>
      </c>
    </row>
    <row r="29" spans="1:71" ht="20.100000000000001" customHeight="1" x14ac:dyDescent="0.2">
      <c r="A29" s="22" t="s">
        <v>104</v>
      </c>
      <c r="B29" s="23">
        <v>1890.0867628515903</v>
      </c>
      <c r="C29" s="23">
        <v>1906.3847922837167</v>
      </c>
      <c r="D29" s="23">
        <v>1871.0475508781265</v>
      </c>
      <c r="E29" s="23">
        <v>1903.045263691288</v>
      </c>
      <c r="F29" s="23">
        <v>1956.8539204271133</v>
      </c>
      <c r="G29" s="23">
        <v>1948.4514489531191</v>
      </c>
      <c r="H29" s="23">
        <v>1919.1178326829563</v>
      </c>
      <c r="I29" s="23">
        <v>1974.4713817712709</v>
      </c>
      <c r="J29" s="23">
        <v>2016.90993447716</v>
      </c>
      <c r="K29" s="23">
        <v>2002.1951467493459</v>
      </c>
      <c r="L29" s="23">
        <v>1925.8205218928449</v>
      </c>
      <c r="M29" s="23">
        <v>1967.9031462138532</v>
      </c>
      <c r="N29" s="23">
        <v>1913.301743333961</v>
      </c>
      <c r="O29" s="23">
        <v>1998.130093316772</v>
      </c>
      <c r="P29" s="23">
        <v>1887.7575376277453</v>
      </c>
      <c r="Q29" s="23">
        <v>1901.222005635954</v>
      </c>
      <c r="R29" s="24" t="s">
        <v>27</v>
      </c>
      <c r="S29" s="24">
        <v>1862.0938716591606</v>
      </c>
      <c r="T29" s="23">
        <v>1836.3466180056109</v>
      </c>
      <c r="U29" s="23">
        <v>1932.3827040947604</v>
      </c>
      <c r="V29" s="23">
        <v>2006.5815428651556</v>
      </c>
      <c r="W29" s="23">
        <v>1919.5910755008306</v>
      </c>
      <c r="X29" s="23">
        <v>1924.6446911415148</v>
      </c>
      <c r="Y29" s="23">
        <v>2031.6642284868954</v>
      </c>
      <c r="Z29" s="23">
        <v>1975.0323300672692</v>
      </c>
      <c r="AA29" s="23">
        <v>2079.1968539873606</v>
      </c>
      <c r="AB29" s="23">
        <v>1992.5339220957321</v>
      </c>
      <c r="AC29" s="23">
        <v>2011.5699618369208</v>
      </c>
      <c r="AD29" s="23">
        <v>1912.5483764762994</v>
      </c>
      <c r="AE29" s="23">
        <v>1950.0851336350552</v>
      </c>
      <c r="AF29" s="23">
        <v>1964.3149574147619</v>
      </c>
      <c r="AG29" s="23">
        <v>1969.8957439965277</v>
      </c>
      <c r="AH29" s="23">
        <v>2007.3992363627985</v>
      </c>
      <c r="AI29" s="23">
        <v>1966.0275440724706</v>
      </c>
      <c r="AJ29" s="23">
        <v>2053.8132007980034</v>
      </c>
      <c r="AK29" s="23">
        <v>2124.4784622190059</v>
      </c>
      <c r="AL29" s="23">
        <v>2005.9554485289673</v>
      </c>
      <c r="AM29" s="23">
        <v>2062.7459181605764</v>
      </c>
      <c r="AN29" s="23">
        <v>2084.2729825471661</v>
      </c>
      <c r="AO29" s="23">
        <v>2232.9816320669329</v>
      </c>
      <c r="AP29" s="23">
        <v>2124.696909024236</v>
      </c>
      <c r="AQ29" s="23">
        <v>2176.1818134177106</v>
      </c>
      <c r="AR29" s="23">
        <v>2136.4228431292249</v>
      </c>
      <c r="AS29" s="23">
        <v>2194.6045643184225</v>
      </c>
      <c r="AT29" s="23">
        <v>2168.1140399128908</v>
      </c>
      <c r="AU29" s="23">
        <v>2195.7795874680337</v>
      </c>
      <c r="AV29" s="23">
        <v>2128.3640130623767</v>
      </c>
      <c r="AW29" s="23">
        <v>2155.4511164879532</v>
      </c>
      <c r="AX29" s="15" t="s">
        <v>27</v>
      </c>
      <c r="AY29" s="15" t="s">
        <v>27</v>
      </c>
      <c r="AZ29" s="15" t="s">
        <v>27</v>
      </c>
      <c r="BA29" s="25">
        <v>2330.9969808761857</v>
      </c>
      <c r="BB29" s="23">
        <v>2376.0983804109028</v>
      </c>
      <c r="BC29" s="23">
        <v>2358.2108411470945</v>
      </c>
      <c r="BD29" s="23">
        <v>2403.775387396503</v>
      </c>
      <c r="BE29" s="23">
        <v>2347.5714536</v>
      </c>
      <c r="BF29" s="23">
        <v>2495.4328581</v>
      </c>
      <c r="BG29" s="23">
        <v>2541.0711199999996</v>
      </c>
      <c r="BH29" s="23">
        <v>2430.8154799999998</v>
      </c>
      <c r="BI29" s="23">
        <v>2505.8992066000005</v>
      </c>
      <c r="BJ29" s="23">
        <v>2531.2689999999998</v>
      </c>
      <c r="BK29" s="23">
        <v>2488.8310000000001</v>
      </c>
      <c r="BL29" s="23">
        <v>2544.172</v>
      </c>
      <c r="BM29" s="23">
        <v>2628.8580000000002</v>
      </c>
      <c r="BN29" s="23">
        <v>2767.3426621532517</v>
      </c>
      <c r="BO29" s="23">
        <v>2775.34</v>
      </c>
      <c r="BP29" s="23">
        <v>2683.5810000000001</v>
      </c>
      <c r="BQ29" s="23">
        <v>1894.5989999999999</v>
      </c>
      <c r="BR29" s="23">
        <v>2660.4389999999999</v>
      </c>
      <c r="BS29" s="23">
        <v>3039.0059999999999</v>
      </c>
    </row>
    <row r="30" spans="1:71" ht="20.100000000000001" customHeight="1" x14ac:dyDescent="0.2">
      <c r="A30" s="22" t="s">
        <v>105</v>
      </c>
      <c r="B30" s="23">
        <v>6652.2626880303023</v>
      </c>
      <c r="C30" s="23">
        <v>6837.3945644829255</v>
      </c>
      <c r="D30" s="23">
        <v>6880.375714514601</v>
      </c>
      <c r="E30" s="23">
        <v>6964.2267978074742</v>
      </c>
      <c r="F30" s="23">
        <v>7081.0073944478409</v>
      </c>
      <c r="G30" s="23">
        <v>7185.8382123353613</v>
      </c>
      <c r="H30" s="23">
        <v>7132.7117050374272</v>
      </c>
      <c r="I30" s="23">
        <v>7198.3248973609516</v>
      </c>
      <c r="J30" s="23">
        <v>7363.3756718501354</v>
      </c>
      <c r="K30" s="23">
        <v>7482.015564967669</v>
      </c>
      <c r="L30" s="23">
        <v>7493.5050100374237</v>
      </c>
      <c r="M30" s="23">
        <v>7659.0097457270112</v>
      </c>
      <c r="N30" s="23">
        <v>7713.0845682394083</v>
      </c>
      <c r="O30" s="23">
        <v>7752.6328176448178</v>
      </c>
      <c r="P30" s="23">
        <v>7765.9573172683859</v>
      </c>
      <c r="Q30" s="23">
        <v>7932.6420184836616</v>
      </c>
      <c r="R30" s="24" t="s">
        <v>27</v>
      </c>
      <c r="S30" s="24">
        <v>7950.7216159336276</v>
      </c>
      <c r="T30" s="23">
        <v>7963.3945332461863</v>
      </c>
      <c r="U30" s="23">
        <v>7934.4696070393366</v>
      </c>
      <c r="V30" s="23">
        <v>7897.1587423419187</v>
      </c>
      <c r="W30" s="23">
        <v>8160.835273833768</v>
      </c>
      <c r="X30" s="23">
        <v>8129.6918799720843</v>
      </c>
      <c r="Y30" s="23">
        <v>8023.7046043778701</v>
      </c>
      <c r="Z30" s="23">
        <v>8013.5193757528587</v>
      </c>
      <c r="AA30" s="23">
        <v>8050.2040162978174</v>
      </c>
      <c r="AB30" s="23">
        <v>8110.7535690495124</v>
      </c>
      <c r="AC30" s="23">
        <v>8182.683736141501</v>
      </c>
      <c r="AD30" s="23">
        <v>8283.1296724328076</v>
      </c>
      <c r="AE30" s="23">
        <v>8355.0255613637328</v>
      </c>
      <c r="AF30" s="23">
        <v>8315.3148299979093</v>
      </c>
      <c r="AG30" s="23">
        <v>8504.6797338003216</v>
      </c>
      <c r="AH30" s="23">
        <v>8573.8543091812226</v>
      </c>
      <c r="AI30" s="23">
        <v>8597.9385355635022</v>
      </c>
      <c r="AJ30" s="23">
        <v>8467.3907806088955</v>
      </c>
      <c r="AK30" s="23">
        <v>8496.4555695769686</v>
      </c>
      <c r="AL30" s="23">
        <v>8752.9869916749249</v>
      </c>
      <c r="AM30" s="23">
        <v>8667.213835473216</v>
      </c>
      <c r="AN30" s="23">
        <v>8502.5869814290945</v>
      </c>
      <c r="AO30" s="23">
        <v>8579.3728590586179</v>
      </c>
      <c r="AP30" s="23">
        <v>8679.2660370121303</v>
      </c>
      <c r="AQ30" s="23">
        <v>8667.6243308516659</v>
      </c>
      <c r="AR30" s="23">
        <v>8510.1189604707215</v>
      </c>
      <c r="AS30" s="23">
        <v>8378.9742824163914</v>
      </c>
      <c r="AT30" s="23">
        <v>8396.2268384240579</v>
      </c>
      <c r="AU30" s="23">
        <v>8587.9418146077587</v>
      </c>
      <c r="AV30" s="23">
        <v>8539.3020878122079</v>
      </c>
      <c r="AW30" s="23">
        <v>8547.3138366671064</v>
      </c>
      <c r="AX30" s="15" t="s">
        <v>27</v>
      </c>
      <c r="AY30" s="15" t="s">
        <v>27</v>
      </c>
      <c r="AZ30" s="15" t="s">
        <v>27</v>
      </c>
      <c r="BA30" s="25">
        <v>8668.1128641547057</v>
      </c>
      <c r="BB30" s="23">
        <v>8758.9835727266218</v>
      </c>
      <c r="BC30" s="23">
        <v>8741.0397859084114</v>
      </c>
      <c r="BD30" s="23">
        <v>8500.2516413271842</v>
      </c>
      <c r="BE30" s="23">
        <v>8646.8968077999998</v>
      </c>
      <c r="BF30" s="23">
        <v>8794.3598925000006</v>
      </c>
      <c r="BG30" s="23">
        <v>8986.4305599999989</v>
      </c>
      <c r="BH30" s="23">
        <v>8927.0849800000015</v>
      </c>
      <c r="BI30" s="23">
        <v>8694.8956340000004</v>
      </c>
      <c r="BJ30" s="23">
        <v>8761.2999999999993</v>
      </c>
      <c r="BK30" s="23">
        <v>8789.7260000000006</v>
      </c>
      <c r="BL30" s="23">
        <v>8902.9889999999996</v>
      </c>
      <c r="BM30" s="23">
        <v>8951.84</v>
      </c>
      <c r="BN30" s="23">
        <v>8796.2166131661361</v>
      </c>
      <c r="BO30" s="23">
        <v>8887.2469999999994</v>
      </c>
      <c r="BP30" s="23">
        <v>8855.2039999999997</v>
      </c>
      <c r="BQ30" s="23">
        <v>7344.8540000000003</v>
      </c>
      <c r="BR30" s="23">
        <v>7615.482</v>
      </c>
      <c r="BS30" s="23">
        <v>8123.69</v>
      </c>
    </row>
    <row r="31" spans="1:71" ht="20.100000000000001" customHeight="1" x14ac:dyDescent="0.2">
      <c r="A31" s="22" t="s">
        <v>106</v>
      </c>
      <c r="B31" s="23">
        <v>152.26944804844078</v>
      </c>
      <c r="C31" s="23">
        <v>143.47086099791903</v>
      </c>
      <c r="D31" s="23">
        <v>164.14122785061448</v>
      </c>
      <c r="E31" s="23">
        <v>126.02382436346645</v>
      </c>
      <c r="F31" s="23">
        <v>122.59235023535749</v>
      </c>
      <c r="G31" s="23">
        <v>132.45558048551908</v>
      </c>
      <c r="H31" s="23">
        <v>120.06712598692273</v>
      </c>
      <c r="I31" s="23">
        <v>87.012625374965978</v>
      </c>
      <c r="J31" s="23">
        <v>111.19706158865965</v>
      </c>
      <c r="K31" s="23">
        <v>128.29729218704512</v>
      </c>
      <c r="L31" s="23">
        <v>98.238568555868454</v>
      </c>
      <c r="M31" s="23">
        <v>112.62782338988494</v>
      </c>
      <c r="N31" s="23">
        <v>103.9551396761413</v>
      </c>
      <c r="O31" s="23">
        <v>124.3434728374728</v>
      </c>
      <c r="P31" s="23">
        <v>122.47164409499224</v>
      </c>
      <c r="Q31" s="23">
        <v>95.172607746039489</v>
      </c>
      <c r="R31" s="24" t="s">
        <v>27</v>
      </c>
      <c r="S31" s="24">
        <v>105.7778486102701</v>
      </c>
      <c r="T31" s="23">
        <v>83.492455585614479</v>
      </c>
      <c r="U31" s="23">
        <v>99.037590590447095</v>
      </c>
      <c r="V31" s="23">
        <v>63.009666887181432</v>
      </c>
      <c r="W31" s="23">
        <v>84.741571007095075</v>
      </c>
      <c r="X31" s="23">
        <v>90.257285892105827</v>
      </c>
      <c r="Y31" s="23">
        <v>75.021281260289172</v>
      </c>
      <c r="Z31" s="23">
        <v>89.434811503583575</v>
      </c>
      <c r="AA31" s="23">
        <v>86.690350457777882</v>
      </c>
      <c r="AB31" s="23">
        <v>92.997689940457917</v>
      </c>
      <c r="AC31" s="23">
        <v>82.528770639300589</v>
      </c>
      <c r="AD31" s="23">
        <v>97.620226955423675</v>
      </c>
      <c r="AE31" s="23">
        <v>79.29941721726594</v>
      </c>
      <c r="AF31" s="23">
        <v>89.581319409446337</v>
      </c>
      <c r="AG31" s="23">
        <v>95.648144310381426</v>
      </c>
      <c r="AH31" s="23">
        <v>80.308413049067738</v>
      </c>
      <c r="AI31" s="23">
        <v>70.072088124567969</v>
      </c>
      <c r="AJ31" s="23">
        <v>56.855952218220139</v>
      </c>
      <c r="AK31" s="23">
        <v>69.749560578081514</v>
      </c>
      <c r="AL31" s="23">
        <v>75.260411829795288</v>
      </c>
      <c r="AM31" s="23">
        <v>53.139419494696931</v>
      </c>
      <c r="AN31" s="23">
        <v>82.583691578256463</v>
      </c>
      <c r="AO31" s="23">
        <v>69.753457179569267</v>
      </c>
      <c r="AP31" s="23">
        <v>51.256369516726821</v>
      </c>
      <c r="AQ31" s="23">
        <v>56.383418760504426</v>
      </c>
      <c r="AR31" s="23">
        <v>65.529456106980646</v>
      </c>
      <c r="AS31" s="23">
        <v>60.265913763246964</v>
      </c>
      <c r="AT31" s="23">
        <v>74.115730410162172</v>
      </c>
      <c r="AU31" s="23">
        <v>72.509421871393059</v>
      </c>
      <c r="AV31" s="23">
        <v>57.818858260264335</v>
      </c>
      <c r="AW31" s="23">
        <v>53.849130222885535</v>
      </c>
      <c r="AX31" s="15" t="s">
        <v>27</v>
      </c>
      <c r="AY31" s="15" t="s">
        <v>27</v>
      </c>
      <c r="AZ31" s="15" t="s">
        <v>27</v>
      </c>
      <c r="BA31" s="25">
        <v>62.259408259698986</v>
      </c>
      <c r="BB31" s="23">
        <v>75.687237642730651</v>
      </c>
      <c r="BC31" s="23">
        <v>59.911357153416638</v>
      </c>
      <c r="BD31" s="23">
        <v>92.131648765713322</v>
      </c>
      <c r="BE31" s="23">
        <v>77.059066200000004</v>
      </c>
      <c r="BF31" s="23">
        <v>66.895892700000019</v>
      </c>
      <c r="BG31" s="23">
        <v>49.34758999999999</v>
      </c>
      <c r="BH31" s="23">
        <v>70.531329999999997</v>
      </c>
      <c r="BI31" s="23">
        <v>79.415506300000004</v>
      </c>
      <c r="BJ31" s="23">
        <v>60.424999999999997</v>
      </c>
      <c r="BK31" s="23">
        <v>52.725000000000001</v>
      </c>
      <c r="BL31" s="23">
        <v>69.539000000000001</v>
      </c>
      <c r="BM31" s="23">
        <v>76.372</v>
      </c>
      <c r="BN31" s="23">
        <v>68.577075014008088</v>
      </c>
      <c r="BO31" s="23">
        <v>67.971000000000004</v>
      </c>
      <c r="BP31" s="23">
        <v>79.808999999999997</v>
      </c>
      <c r="BQ31" s="23">
        <v>63.021999999999998</v>
      </c>
      <c r="BR31" s="23">
        <v>65.135000000000005</v>
      </c>
      <c r="BS31" s="23">
        <v>64.869</v>
      </c>
    </row>
    <row r="32" spans="1:71" ht="20.100000000000001" customHeight="1" thickBot="1" x14ac:dyDescent="0.25">
      <c r="A32" s="26" t="s">
        <v>107</v>
      </c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3"/>
      <c r="S32" s="33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4"/>
      <c r="AY32" s="34"/>
      <c r="AZ32" s="34"/>
      <c r="BA32" s="35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</row>
    <row r="33" spans="1:71" ht="20.100000000000001" customHeight="1" x14ac:dyDescent="0.2">
      <c r="A33" s="22" t="s">
        <v>108</v>
      </c>
      <c r="B33" s="23">
        <v>173.39645730761467</v>
      </c>
      <c r="C33" s="23">
        <v>201.31579860633639</v>
      </c>
      <c r="D33" s="23">
        <v>186.18435978910799</v>
      </c>
      <c r="E33" s="23">
        <v>185.23842767634335</v>
      </c>
      <c r="F33" s="23">
        <v>185.74156713206966</v>
      </c>
      <c r="G33" s="23">
        <v>149.66845840013187</v>
      </c>
      <c r="H33" s="23">
        <v>141.64646252727823</v>
      </c>
      <c r="I33" s="23">
        <v>150.8058132834031</v>
      </c>
      <c r="J33" s="23">
        <v>167.27638322888183</v>
      </c>
      <c r="K33" s="23">
        <v>160.65425350081279</v>
      </c>
      <c r="L33" s="23">
        <v>145.23162313422222</v>
      </c>
      <c r="M33" s="23">
        <v>154.16458006976288</v>
      </c>
      <c r="N33" s="23">
        <v>134.06663182734187</v>
      </c>
      <c r="O33" s="23">
        <v>143.46040058294881</v>
      </c>
      <c r="P33" s="23">
        <v>149.52308540630196</v>
      </c>
      <c r="Q33" s="23">
        <v>120.13681028700543</v>
      </c>
      <c r="R33" s="24" t="s">
        <v>27</v>
      </c>
      <c r="S33" s="24">
        <v>131.39886153138823</v>
      </c>
      <c r="T33" s="23">
        <v>147.68570885973611</v>
      </c>
      <c r="U33" s="23">
        <v>157.24782096301121</v>
      </c>
      <c r="V33" s="23">
        <v>170.93732021180509</v>
      </c>
      <c r="W33" s="23">
        <v>184.7920194297233</v>
      </c>
      <c r="X33" s="23">
        <v>123.66132264716823</v>
      </c>
      <c r="Y33" s="23">
        <v>191.98137996465005</v>
      </c>
      <c r="Z33" s="23">
        <v>157.67268888127796</v>
      </c>
      <c r="AA33" s="23">
        <v>200.612119377309</v>
      </c>
      <c r="AB33" s="23">
        <v>201.55539204036614</v>
      </c>
      <c r="AC33" s="23">
        <v>183.34925833129083</v>
      </c>
      <c r="AD33" s="23">
        <v>165.50357324258223</v>
      </c>
      <c r="AE33" s="23">
        <v>172.47927326533852</v>
      </c>
      <c r="AF33" s="23">
        <v>189.09725153618939</v>
      </c>
      <c r="AG33" s="23">
        <v>197.34215601701254</v>
      </c>
      <c r="AH33" s="23">
        <v>170.08383245497009</v>
      </c>
      <c r="AI33" s="23">
        <v>173.93934611691023</v>
      </c>
      <c r="AJ33" s="23">
        <v>123.03349098092869</v>
      </c>
      <c r="AK33" s="23">
        <v>123.75550904055375</v>
      </c>
      <c r="AL33" s="23">
        <v>107.78615309013458</v>
      </c>
      <c r="AM33" s="23">
        <v>120.49823312856083</v>
      </c>
      <c r="AN33" s="23">
        <v>118.20677647530167</v>
      </c>
      <c r="AO33" s="23">
        <v>119.15600705519115</v>
      </c>
      <c r="AP33" s="23">
        <v>109.82608366417521</v>
      </c>
      <c r="AQ33" s="23">
        <v>123.17824606631859</v>
      </c>
      <c r="AR33" s="23">
        <v>100.74945610012925</v>
      </c>
      <c r="AS33" s="23">
        <v>115.41201078557943</v>
      </c>
      <c r="AT33" s="23">
        <v>98.791585934808609</v>
      </c>
      <c r="AU33" s="23">
        <v>118.20938636605518</v>
      </c>
      <c r="AV33" s="23">
        <v>98.961301971749364</v>
      </c>
      <c r="AW33" s="23">
        <v>102.87807240387872</v>
      </c>
      <c r="AX33" s="36" t="s">
        <v>27</v>
      </c>
      <c r="AY33" s="36" t="s">
        <v>27</v>
      </c>
      <c r="AZ33" s="36" t="s">
        <v>27</v>
      </c>
      <c r="BA33" s="25">
        <v>107.348</v>
      </c>
      <c r="BB33" s="23">
        <v>113.40183205272795</v>
      </c>
      <c r="BC33" s="23">
        <v>108.04608108789597</v>
      </c>
      <c r="BD33" s="23">
        <v>92.144800746496216</v>
      </c>
      <c r="BE33" s="23">
        <v>103.41619440000002</v>
      </c>
      <c r="BF33" s="23">
        <v>114.42210779999999</v>
      </c>
      <c r="BG33" s="23">
        <v>92.97757</v>
      </c>
      <c r="BH33" s="23">
        <v>116.40754999999997</v>
      </c>
      <c r="BI33" s="23">
        <v>109.28228889999998</v>
      </c>
      <c r="BJ33" s="23">
        <v>106.40300000000001</v>
      </c>
      <c r="BK33" s="23">
        <v>95.73</v>
      </c>
      <c r="BL33" s="23">
        <v>120.608</v>
      </c>
      <c r="BM33" s="23">
        <v>97.015000000000001</v>
      </c>
      <c r="BN33" s="23">
        <v>114.86505321731376</v>
      </c>
      <c r="BO33" s="23">
        <v>130.12100000000001</v>
      </c>
      <c r="BP33" s="23">
        <v>121.46299999999999</v>
      </c>
      <c r="BQ33" s="23">
        <v>93.078999999999994</v>
      </c>
      <c r="BR33" s="23">
        <v>103.816</v>
      </c>
      <c r="BS33" s="23">
        <v>97.995999999999995</v>
      </c>
    </row>
    <row r="34" spans="1:71" s="56" customFormat="1" ht="20.100000000000001" customHeight="1" x14ac:dyDescent="0.2">
      <c r="A34" s="22"/>
      <c r="B34" s="23"/>
      <c r="C34" s="57">
        <f t="shared" ref="C34" si="0">C33/B33-1</f>
        <v>0.16101448514136196</v>
      </c>
      <c r="D34" s="57">
        <f t="shared" ref="D34" si="1">D33/C33-1</f>
        <v>-7.5162699211785311E-2</v>
      </c>
      <c r="E34" s="57">
        <f t="shared" ref="E34" si="2">E33/D33-1</f>
        <v>-5.0806207021690808E-3</v>
      </c>
      <c r="F34" s="57">
        <f t="shared" ref="F34" si="3">F33/E33-1</f>
        <v>2.7161721357591428E-3</v>
      </c>
      <c r="G34" s="57">
        <f t="shared" ref="G34" si="4">G33/F33-1</f>
        <v>-0.19421128662217202</v>
      </c>
      <c r="H34" s="57">
        <f t="shared" ref="H34" si="5">H33/G33-1</f>
        <v>-5.3598439902462269E-2</v>
      </c>
      <c r="I34" s="57">
        <f t="shared" ref="I34" si="6">I33/H33-1</f>
        <v>6.4663462769929403E-2</v>
      </c>
      <c r="J34" s="57">
        <f t="shared" ref="J34" si="7">J33/I33-1</f>
        <v>0.10921707583331863</v>
      </c>
      <c r="K34" s="57">
        <f t="shared" ref="K34" si="8">K33/J33-1</f>
        <v>-3.9587953781904051E-2</v>
      </c>
      <c r="L34" s="57">
        <f t="shared" ref="L34" si="9">L33/K33-1</f>
        <v>-9.599889222050717E-2</v>
      </c>
      <c r="M34" s="57">
        <f t="shared" ref="M34" si="10">M33/L33-1</f>
        <v>6.1508346066509789E-2</v>
      </c>
      <c r="N34" s="57">
        <f t="shared" ref="N34" si="11">N33/M33-1</f>
        <v>-0.13036683415429307</v>
      </c>
      <c r="O34" s="57">
        <f t="shared" ref="O34" si="12">O33/N33-1</f>
        <v>7.0067910467868977E-2</v>
      </c>
      <c r="P34" s="57">
        <f t="shared" ref="P34" si="13">P33/O33-1</f>
        <v>4.2260336641453344E-2</v>
      </c>
      <c r="Q34" s="57">
        <f t="shared" ref="Q34" si="14">Q33/P33-1</f>
        <v>-0.19653336499474072</v>
      </c>
      <c r="R34" s="64"/>
      <c r="S34" s="64"/>
      <c r="T34" s="57">
        <f t="shared" ref="T34" si="15">T33/S33-1</f>
        <v>0.12394968372277182</v>
      </c>
      <c r="U34" s="57">
        <f t="shared" ref="U34" si="16">U33/T33-1</f>
        <v>6.4746360207111664E-2</v>
      </c>
      <c r="V34" s="57">
        <f t="shared" ref="V34" si="17">V33/U33-1</f>
        <v>8.7056845461877641E-2</v>
      </c>
      <c r="W34" s="57">
        <f t="shared" ref="W34" si="18">W33/V33-1</f>
        <v>8.1051342098677592E-2</v>
      </c>
      <c r="X34" s="62">
        <f t="shared" ref="X34" si="19">X33/W33-1</f>
        <v>-0.330808099674473</v>
      </c>
      <c r="Y34" s="57">
        <f t="shared" ref="Y34" si="20">Y33/X33-1</f>
        <v>0.55247716792107515</v>
      </c>
      <c r="Z34" s="57">
        <f t="shared" ref="Z34" si="21">Z33/Y33-1</f>
        <v>-0.17870843042012419</v>
      </c>
      <c r="AA34" s="57">
        <f t="shared" ref="AA34" si="22">AA33/Z33-1</f>
        <v>0.27233270898527606</v>
      </c>
      <c r="AB34" s="57">
        <f t="shared" ref="AB34" si="23">AB33/AA33-1</f>
        <v>4.7019724729742141E-3</v>
      </c>
      <c r="AC34" s="57">
        <f t="shared" ref="AC34" si="24">AC33/AB33-1</f>
        <v>-9.0328189808135284E-2</v>
      </c>
      <c r="AD34" s="57">
        <f t="shared" ref="AD34" si="25">AD33/AC33-1</f>
        <v>-9.7331645904252917E-2</v>
      </c>
      <c r="AE34" s="57">
        <f t="shared" ref="AE34" si="26">AE33/AD33-1</f>
        <v>4.214833484309044E-2</v>
      </c>
      <c r="AF34" s="57">
        <f t="shared" ref="AF34" si="27">AF33/AE33-1</f>
        <v>9.6347682572190063E-2</v>
      </c>
      <c r="AG34" s="57">
        <f t="shared" ref="AG34" si="28">AG33/AF33-1</f>
        <v>4.3601397766721339E-2</v>
      </c>
      <c r="AH34" s="57">
        <f t="shared" ref="AH34" si="29">AH33/AG33-1</f>
        <v>-0.13812722082398121</v>
      </c>
      <c r="AI34" s="57">
        <f t="shared" ref="AI34" si="30">AI33/AH33-1</f>
        <v>2.2668313656213579E-2</v>
      </c>
      <c r="AJ34" s="57">
        <f t="shared" ref="AJ34" si="31">AJ33/AI33-1</f>
        <v>-0.29266440441696318</v>
      </c>
      <c r="AK34" s="57">
        <f t="shared" ref="AK34" si="32">AK33/AJ33-1</f>
        <v>5.8684676332314556E-3</v>
      </c>
      <c r="AL34" s="57">
        <f t="shared" ref="AL34" si="33">AL33/AK33-1</f>
        <v>-0.12903955609108386</v>
      </c>
      <c r="AM34" s="57">
        <f t="shared" ref="AM34" si="34">AM33/AL33-1</f>
        <v>0.11793796952560287</v>
      </c>
      <c r="AN34" s="57">
        <f t="shared" ref="AN34" si="35">AN33/AM33-1</f>
        <v>-1.9016516622400448E-2</v>
      </c>
      <c r="AO34" s="57">
        <f t="shared" ref="AO34" si="36">AO33/AN33-1</f>
        <v>8.0302551866628935E-3</v>
      </c>
      <c r="AP34" s="57">
        <f t="shared" ref="AP34" si="37">AP33/AO33-1</f>
        <v>-7.8300067462771406E-2</v>
      </c>
      <c r="AQ34" s="57">
        <f t="shared" ref="AQ34" si="38">AQ33/AP33-1</f>
        <v>0.12157551245268339</v>
      </c>
      <c r="AR34" s="57">
        <f t="shared" ref="AR34" si="39">AR33/AQ33-1</f>
        <v>-0.1820840179370129</v>
      </c>
      <c r="AS34" s="57">
        <f t="shared" ref="AS34" si="40">AS33/AR33-1</f>
        <v>0.1455348272141328</v>
      </c>
      <c r="AT34" s="57">
        <f t="shared" ref="AT34" si="41">AT33/AS33-1</f>
        <v>-0.14400949032635268</v>
      </c>
      <c r="AU34" s="57">
        <f t="shared" ref="AU34" si="42">AU33/AT33-1</f>
        <v>0.19655318059232441</v>
      </c>
      <c r="AV34" s="57">
        <f t="shared" ref="AV34" si="43">AV33/AU33-1</f>
        <v>-0.16283042308248608</v>
      </c>
      <c r="AW34" s="57">
        <f t="shared" ref="AW34" si="44">AW33/AV33-1</f>
        <v>3.9578808626097972E-2</v>
      </c>
      <c r="AX34" s="61"/>
      <c r="AY34" s="61"/>
      <c r="AZ34" s="61"/>
      <c r="BA34" s="58"/>
      <c r="BB34" s="57">
        <f t="shared" ref="BB34:BO34" si="45">BB33/BA33-1</f>
        <v>5.6394455907217145E-2</v>
      </c>
      <c r="BC34" s="57">
        <f t="shared" si="45"/>
        <v>-4.7228081485859441E-2</v>
      </c>
      <c r="BD34" s="57">
        <f t="shared" si="45"/>
        <v>-0.14717128267210355</v>
      </c>
      <c r="BE34" s="57">
        <f t="shared" si="45"/>
        <v>0.12232262224445045</v>
      </c>
      <c r="BF34" s="57">
        <f t="shared" si="45"/>
        <v>0.10642350034106429</v>
      </c>
      <c r="BG34" s="57">
        <f t="shared" si="45"/>
        <v>-0.18741603534767248</v>
      </c>
      <c r="BH34" s="57">
        <f t="shared" si="45"/>
        <v>0.2519960459280659</v>
      </c>
      <c r="BI34" s="57">
        <f t="shared" si="45"/>
        <v>-6.1209613122172879E-2</v>
      </c>
      <c r="BJ34" s="57">
        <f t="shared" si="45"/>
        <v>-2.6347260191765365E-2</v>
      </c>
      <c r="BK34" s="57">
        <f t="shared" si="45"/>
        <v>-0.10030732216196914</v>
      </c>
      <c r="BL34" s="57">
        <f t="shared" si="45"/>
        <v>0.25987673665517597</v>
      </c>
      <c r="BM34" s="57">
        <f t="shared" si="45"/>
        <v>-0.19561720615547895</v>
      </c>
      <c r="BN34" s="57">
        <f t="shared" si="45"/>
        <v>0.18399271470714584</v>
      </c>
      <c r="BO34" s="57">
        <f t="shared" si="45"/>
        <v>0.13281626008411318</v>
      </c>
      <c r="BP34" s="57">
        <f>BP33/BO33-1</f>
        <v>-6.6538068413246276E-2</v>
      </c>
      <c r="BQ34" s="63">
        <f>BQ33/$BP33-1</f>
        <v>-0.23368433185414494</v>
      </c>
      <c r="BR34" s="63">
        <f>BR33/$BP33-1</f>
        <v>-0.14528704214452126</v>
      </c>
      <c r="BS34" s="63">
        <f>BS33/$BP33-1</f>
        <v>-0.19320286836320522</v>
      </c>
    </row>
    <row r="35" spans="1:71" ht="20.100000000000001" customHeight="1" x14ac:dyDescent="0.2">
      <c r="A35" s="22" t="s">
        <v>109</v>
      </c>
      <c r="B35" s="23">
        <v>1233.4292433725029</v>
      </c>
      <c r="C35" s="23">
        <v>1219.5997657336661</v>
      </c>
      <c r="D35" s="23">
        <v>1245.8618774703839</v>
      </c>
      <c r="E35" s="23">
        <v>1364.8474856773821</v>
      </c>
      <c r="F35" s="23">
        <v>1340.1157363757511</v>
      </c>
      <c r="G35" s="23">
        <v>1387.5771646475021</v>
      </c>
      <c r="H35" s="23">
        <v>1399.8135619538723</v>
      </c>
      <c r="I35" s="23">
        <v>1363.8191752374271</v>
      </c>
      <c r="J35" s="23">
        <v>1399.1953737843121</v>
      </c>
      <c r="K35" s="23">
        <v>1414.5430832652946</v>
      </c>
      <c r="L35" s="23">
        <v>1395.7525838599793</v>
      </c>
      <c r="M35" s="23">
        <v>1474.0377411489433</v>
      </c>
      <c r="N35" s="23">
        <v>1455.8324746644271</v>
      </c>
      <c r="O35" s="23">
        <v>1447.5836118692578</v>
      </c>
      <c r="P35" s="23">
        <v>1420.6706667674225</v>
      </c>
      <c r="Q35" s="23">
        <v>1504.7010214124507</v>
      </c>
      <c r="R35" s="24" t="s">
        <v>27</v>
      </c>
      <c r="S35" s="24">
        <v>1516.9065913077004</v>
      </c>
      <c r="T35" s="23">
        <v>1455.9423422009693</v>
      </c>
      <c r="U35" s="23">
        <v>1434.5116391984245</v>
      </c>
      <c r="V35" s="23">
        <v>1421.7608457749186</v>
      </c>
      <c r="W35" s="23">
        <v>1578.0393691125967</v>
      </c>
      <c r="X35" s="23">
        <v>1475.3441241503667</v>
      </c>
      <c r="Y35" s="23">
        <v>1337.9246770320353</v>
      </c>
      <c r="Z35" s="23">
        <v>1373.5354690208533</v>
      </c>
      <c r="AA35" s="23">
        <v>1450.372615374984</v>
      </c>
      <c r="AB35" s="23">
        <v>1440.4428864496272</v>
      </c>
      <c r="AC35" s="23">
        <v>1415.2775554469815</v>
      </c>
      <c r="AD35" s="23">
        <v>1469.2864459847574</v>
      </c>
      <c r="AE35" s="23">
        <v>1542.0830240229845</v>
      </c>
      <c r="AF35" s="23">
        <v>1440.2273114066618</v>
      </c>
      <c r="AG35" s="23">
        <v>1467.4869315285969</v>
      </c>
      <c r="AH35" s="23">
        <v>1619.9097668235199</v>
      </c>
      <c r="AI35" s="23">
        <v>1557.916698918594</v>
      </c>
      <c r="AJ35" s="23">
        <v>1467.1648468896826</v>
      </c>
      <c r="AK35" s="23">
        <v>1438.6615198932766</v>
      </c>
      <c r="AL35" s="23">
        <v>1503.572341733287</v>
      </c>
      <c r="AM35" s="23">
        <v>1454.5081715927952</v>
      </c>
      <c r="AN35" s="23">
        <v>1464.1951370214904</v>
      </c>
      <c r="AO35" s="23">
        <v>1523.094100817475</v>
      </c>
      <c r="AP35" s="23">
        <v>1503.1658237763038</v>
      </c>
      <c r="AQ35" s="23">
        <v>1466.8543542155435</v>
      </c>
      <c r="AR35" s="23">
        <v>1429.0258261505194</v>
      </c>
      <c r="AS35" s="23">
        <v>1444.9201951545963</v>
      </c>
      <c r="AT35" s="23">
        <v>1469.4376788058303</v>
      </c>
      <c r="AU35" s="23">
        <v>1489.3305055908399</v>
      </c>
      <c r="AV35" s="23">
        <v>1461.5150338181807</v>
      </c>
      <c r="AW35" s="23">
        <v>1477.048199080514</v>
      </c>
      <c r="AX35" s="36" t="s">
        <v>27</v>
      </c>
      <c r="AY35" s="36" t="s">
        <v>27</v>
      </c>
      <c r="AZ35" s="36" t="s">
        <v>27</v>
      </c>
      <c r="BA35" s="25">
        <v>1393.6130000000001</v>
      </c>
      <c r="BB35" s="23">
        <v>1470.2235539549711</v>
      </c>
      <c r="BC35" s="23">
        <v>1420.5026195835339</v>
      </c>
      <c r="BD35" s="23">
        <v>1332.8126273193054</v>
      </c>
      <c r="BE35" s="23">
        <v>1422.1716824000002</v>
      </c>
      <c r="BF35" s="23">
        <v>1404.9228375</v>
      </c>
      <c r="BG35" s="23">
        <v>1381.7749399999998</v>
      </c>
      <c r="BH35" s="23">
        <v>1387.3723599999998</v>
      </c>
      <c r="BI35" s="23">
        <v>1348.7618460000001</v>
      </c>
      <c r="BJ35" s="23">
        <v>1310.338</v>
      </c>
      <c r="BK35" s="23">
        <v>1286.693</v>
      </c>
      <c r="BL35" s="23">
        <v>1351.1089999999999</v>
      </c>
      <c r="BM35" s="23">
        <v>1418.394</v>
      </c>
      <c r="BN35" s="23">
        <v>1420.1693973237425</v>
      </c>
      <c r="BO35" s="23">
        <v>1332.473</v>
      </c>
      <c r="BP35" s="23">
        <v>1335.4280000000001</v>
      </c>
      <c r="BQ35" s="23">
        <v>1171.0309999999999</v>
      </c>
      <c r="BR35" s="23">
        <v>1258.2329999999999</v>
      </c>
      <c r="BS35" s="23">
        <v>1516.615</v>
      </c>
    </row>
    <row r="36" spans="1:71" s="56" customFormat="1" ht="20.100000000000001" customHeight="1" x14ac:dyDescent="0.2">
      <c r="A36" s="22"/>
      <c r="B36" s="23"/>
      <c r="C36" s="57">
        <f t="shared" ref="C36" si="46">C35/B35-1</f>
        <v>-1.1212218060456802E-2</v>
      </c>
      <c r="D36" s="57">
        <f t="shared" ref="D36" si="47">D35/C35-1</f>
        <v>2.1533385356891532E-2</v>
      </c>
      <c r="E36" s="57">
        <f t="shared" ref="E36" si="48">E35/D35-1</f>
        <v>9.5504654535692568E-2</v>
      </c>
      <c r="F36" s="57">
        <f t="shared" ref="F36" si="49">F35/E35-1</f>
        <v>-1.8120522300963504E-2</v>
      </c>
      <c r="G36" s="57">
        <f t="shared" ref="G36" si="50">G35/F35-1</f>
        <v>3.5415917434196365E-2</v>
      </c>
      <c r="H36" s="57">
        <f t="shared" ref="H36" si="51">H35/G35-1</f>
        <v>8.8185346502720474E-3</v>
      </c>
      <c r="I36" s="57">
        <f t="shared" ref="I36" si="52">I35/H35-1</f>
        <v>-2.5713700520377802E-2</v>
      </c>
      <c r="J36" s="57">
        <f t="shared" ref="J36" si="53">J35/I35-1</f>
        <v>2.5939068161823009E-2</v>
      </c>
      <c r="K36" s="57">
        <f t="shared" ref="K36" si="54">K35/J35-1</f>
        <v>1.0968953849148644E-2</v>
      </c>
      <c r="L36" s="57">
        <f t="shared" ref="L36" si="55">L35/K35-1</f>
        <v>-1.3283794341519717E-2</v>
      </c>
      <c r="M36" s="57">
        <f t="shared" ref="M36" si="56">M35/L35-1</f>
        <v>5.6088133523253036E-2</v>
      </c>
      <c r="N36" s="57">
        <f t="shared" ref="N36" si="57">N35/M35-1</f>
        <v>-1.2350610826508457E-2</v>
      </c>
      <c r="O36" s="57">
        <f t="shared" ref="O36" si="58">O35/N35-1</f>
        <v>-5.6660796751842879E-3</v>
      </c>
      <c r="P36" s="57">
        <f t="shared" ref="P36" si="59">P35/O35-1</f>
        <v>-1.8591634280166192E-2</v>
      </c>
      <c r="Q36" s="57">
        <f t="shared" ref="Q36" si="60">Q35/P35-1</f>
        <v>5.9148370280798446E-2</v>
      </c>
      <c r="R36" s="64"/>
      <c r="S36" s="64"/>
      <c r="T36" s="57">
        <f t="shared" ref="T36" si="61">T35/S35-1</f>
        <v>-4.018985048655821E-2</v>
      </c>
      <c r="U36" s="57">
        <f t="shared" ref="U36" si="62">U35/T35-1</f>
        <v>-1.4719472317940574E-2</v>
      </c>
      <c r="V36" s="57">
        <f t="shared" ref="V36" si="63">V35/U35-1</f>
        <v>-8.8885953066444312E-3</v>
      </c>
      <c r="W36" s="57">
        <f t="shared" ref="W36" si="64">W35/V35-1</f>
        <v>0.10991899502795754</v>
      </c>
      <c r="X36" s="57">
        <f t="shared" ref="X36" si="65">X35/W35-1</f>
        <v>-6.5077745823274413E-2</v>
      </c>
      <c r="Y36" s="62">
        <f t="shared" ref="Y36" si="66">Y35/X35-1</f>
        <v>-9.3143995945671021E-2</v>
      </c>
      <c r="Z36" s="57">
        <f t="shared" ref="Z36" si="67">Z35/Y35-1</f>
        <v>2.6616440073304215E-2</v>
      </c>
      <c r="AA36" s="57">
        <f t="shared" ref="AA36" si="68">AA35/Z35-1</f>
        <v>5.5941144649803043E-2</v>
      </c>
      <c r="AB36" s="57">
        <f t="shared" ref="AB36" si="69">AB35/AA35-1</f>
        <v>-6.8463295708252048E-3</v>
      </c>
      <c r="AC36" s="57">
        <f t="shared" ref="AC36" si="70">AC35/AB35-1</f>
        <v>-1.7470551064105444E-2</v>
      </c>
      <c r="AD36" s="57">
        <f t="shared" ref="AD36" si="71">AD35/AC35-1</f>
        <v>3.8161341801763005E-2</v>
      </c>
      <c r="AE36" s="57">
        <f t="shared" ref="AE36" si="72">AE35/AD35-1</f>
        <v>4.9545531599481052E-2</v>
      </c>
      <c r="AF36" s="57">
        <f t="shared" ref="AF36" si="73">AF35/AE35-1</f>
        <v>-6.6050732048525962E-2</v>
      </c>
      <c r="AG36" s="57">
        <f t="shared" ref="AG36" si="74">AG35/AF35-1</f>
        <v>1.8927303979057841E-2</v>
      </c>
      <c r="AH36" s="57">
        <f t="shared" ref="AH36" si="75">AH35/AG35-1</f>
        <v>0.10386657081583195</v>
      </c>
      <c r="AI36" s="57">
        <f t="shared" ref="AI36" si="76">AI35/AH35-1</f>
        <v>-3.8269457456564515E-2</v>
      </c>
      <c r="AJ36" s="57">
        <f t="shared" ref="AJ36" si="77">AJ35/AI35-1</f>
        <v>-5.8252056796044061E-2</v>
      </c>
      <c r="AK36" s="57">
        <f t="shared" ref="AK36" si="78">AK35/AJ35-1</f>
        <v>-1.9427487686084932E-2</v>
      </c>
      <c r="AL36" s="57">
        <f t="shared" ref="AL36" si="79">AL35/AK35-1</f>
        <v>4.511889762980914E-2</v>
      </c>
      <c r="AM36" s="57">
        <f t="shared" ref="AM36" si="80">AM35/AL35-1</f>
        <v>-3.263173229425842E-2</v>
      </c>
      <c r="AN36" s="57">
        <f t="shared" ref="AN36" si="81">AN35/AM35-1</f>
        <v>6.659959440507901E-3</v>
      </c>
      <c r="AO36" s="57">
        <f t="shared" ref="AO36" si="82">AO35/AN35-1</f>
        <v>4.0226170888532531E-2</v>
      </c>
      <c r="AP36" s="57">
        <f t="shared" ref="AP36" si="83">AP35/AO35-1</f>
        <v>-1.308407473344908E-2</v>
      </c>
      <c r="AQ36" s="57">
        <f t="shared" ref="AQ36" si="84">AQ35/AP35-1</f>
        <v>-2.4156662549403518E-2</v>
      </c>
      <c r="AR36" s="57">
        <f t="shared" ref="AR36" si="85">AR35/AQ35-1</f>
        <v>-2.5788878054804787E-2</v>
      </c>
      <c r="AS36" s="57">
        <f t="shared" ref="AS36" si="86">AS35/AR35-1</f>
        <v>1.1122520470391306E-2</v>
      </c>
      <c r="AT36" s="57">
        <f t="shared" ref="AT36" si="87">AT35/AS35-1</f>
        <v>1.6968053829859331E-2</v>
      </c>
      <c r="AU36" s="57">
        <f t="shared" ref="AU36" si="88">AU35/AT35-1</f>
        <v>1.3537713828854603E-2</v>
      </c>
      <c r="AV36" s="57">
        <f t="shared" ref="AV36" si="89">AV35/AU35-1</f>
        <v>-1.8676493678362216E-2</v>
      </c>
      <c r="AW36" s="57">
        <f t="shared" ref="AW36" si="90">AW35/AV35-1</f>
        <v>1.0628125542953448E-2</v>
      </c>
      <c r="AX36" s="61"/>
      <c r="AY36" s="61"/>
      <c r="AZ36" s="61"/>
      <c r="BA36" s="58"/>
      <c r="BB36" s="57">
        <f t="shared" ref="BB36" si="91">BB35/BA35-1</f>
        <v>5.4972617186386019E-2</v>
      </c>
      <c r="BC36" s="57">
        <f t="shared" ref="BC36" si="92">BC35/BB35-1</f>
        <v>-3.3818621826378292E-2</v>
      </c>
      <c r="BD36" s="57">
        <f t="shared" ref="BD36" si="93">BD35/BC35-1</f>
        <v>-6.1731665296004601E-2</v>
      </c>
      <c r="BE36" s="57">
        <f t="shared" ref="BE36" si="94">BE35/BD35-1</f>
        <v>6.7045474546878481E-2</v>
      </c>
      <c r="BF36" s="57">
        <f t="shared" ref="BF36" si="95">BF35/BE35-1</f>
        <v>-1.2128525067305329E-2</v>
      </c>
      <c r="BG36" s="57">
        <f t="shared" ref="BG36" si="96">BG35/BF35-1</f>
        <v>-1.6476276762068198E-2</v>
      </c>
      <c r="BH36" s="57">
        <f t="shared" ref="BH36" si="97">BH35/BG35-1</f>
        <v>4.0508912399295216E-3</v>
      </c>
      <c r="BI36" s="57">
        <f t="shared" ref="BI36" si="98">BI35/BH35-1</f>
        <v>-2.7829957633003222E-2</v>
      </c>
      <c r="BJ36" s="57">
        <f t="shared" ref="BJ36" si="99">BJ35/BI35-1</f>
        <v>-2.8488236165601144E-2</v>
      </c>
      <c r="BK36" s="57">
        <f t="shared" ref="BK36" si="100">BK35/BJ35-1</f>
        <v>-1.8044962444804358E-2</v>
      </c>
      <c r="BL36" s="57">
        <f t="shared" ref="BL36" si="101">BL35/BK35-1</f>
        <v>5.0063224094636372E-2</v>
      </c>
      <c r="BM36" s="57">
        <f t="shared" ref="BM36" si="102">BM35/BL35-1</f>
        <v>4.9799831101709824E-2</v>
      </c>
      <c r="BN36" s="57">
        <f t="shared" ref="BN36" si="103">BN35/BM35-1</f>
        <v>1.2516954553829507E-3</v>
      </c>
      <c r="BO36" s="57">
        <f t="shared" ref="BO36" si="104">BO35/BN35-1</f>
        <v>-6.1750659807909725E-2</v>
      </c>
      <c r="BP36" s="57">
        <f>BP35/BO35-1</f>
        <v>2.2176809586387236E-3</v>
      </c>
      <c r="BQ36" s="63">
        <f>BQ35/$BP35-1</f>
        <v>-0.12310435306134071</v>
      </c>
      <c r="BR36" s="63">
        <f>BR35/$BP35-1</f>
        <v>-5.7805437657440284E-2</v>
      </c>
      <c r="BS36" s="62">
        <f>BS35/$BP35-1</f>
        <v>0.13567710127389865</v>
      </c>
    </row>
    <row r="37" spans="1:71" ht="20.100000000000001" customHeight="1" x14ac:dyDescent="0.2">
      <c r="A37" s="22" t="s">
        <v>110</v>
      </c>
      <c r="B37" s="23">
        <v>623.91328526927589</v>
      </c>
      <c r="C37" s="23">
        <v>674.52275968378888</v>
      </c>
      <c r="D37" s="23">
        <v>726.34681473753835</v>
      </c>
      <c r="E37" s="23">
        <v>684.69958304682189</v>
      </c>
      <c r="F37" s="23">
        <v>744.71480588786187</v>
      </c>
      <c r="G37" s="23">
        <v>740.4170409254898</v>
      </c>
      <c r="H37" s="23">
        <v>729.85866298184555</v>
      </c>
      <c r="I37" s="23">
        <v>767.39464530358646</v>
      </c>
      <c r="J37" s="23">
        <v>820.49384797876871</v>
      </c>
      <c r="K37" s="23">
        <v>864.72051333733714</v>
      </c>
      <c r="L37" s="23">
        <v>829.08012229899725</v>
      </c>
      <c r="M37" s="23">
        <v>824.45383051204453</v>
      </c>
      <c r="N37" s="23">
        <v>859.39648831037277</v>
      </c>
      <c r="O37" s="23">
        <v>948.71584705869975</v>
      </c>
      <c r="P37" s="23">
        <v>942.22795802279711</v>
      </c>
      <c r="Q37" s="23">
        <v>911.05561536967582</v>
      </c>
      <c r="R37" s="24" t="s">
        <v>27</v>
      </c>
      <c r="S37" s="24">
        <v>943.47145838799406</v>
      </c>
      <c r="T37" s="23">
        <v>907.6209933961004</v>
      </c>
      <c r="U37" s="23">
        <v>887.03904210809776</v>
      </c>
      <c r="V37" s="23">
        <v>971.78937927655613</v>
      </c>
      <c r="W37" s="23">
        <v>961.75777047488873</v>
      </c>
      <c r="X37" s="23">
        <v>969.46605478486958</v>
      </c>
      <c r="Y37" s="23">
        <v>928.63258273919757</v>
      </c>
      <c r="Z37" s="23">
        <v>959.69837087538906</v>
      </c>
      <c r="AA37" s="23">
        <v>937.86272802565736</v>
      </c>
      <c r="AB37" s="23">
        <v>924.33189072900609</v>
      </c>
      <c r="AC37" s="23">
        <v>938.90432629692657</v>
      </c>
      <c r="AD37" s="23">
        <v>948.70004663092845</v>
      </c>
      <c r="AE37" s="23">
        <v>927.03955288159204</v>
      </c>
      <c r="AF37" s="23">
        <v>944.53289492842202</v>
      </c>
      <c r="AG37" s="23">
        <v>969.55331173230036</v>
      </c>
      <c r="AH37" s="23">
        <v>1062.3459210766273</v>
      </c>
      <c r="AI37" s="23">
        <v>1015.3674310605871</v>
      </c>
      <c r="AJ37" s="23">
        <v>1010.0693674445512</v>
      </c>
      <c r="AK37" s="23">
        <v>994.14769761693697</v>
      </c>
      <c r="AL37" s="23">
        <v>1008.2168008706769</v>
      </c>
      <c r="AM37" s="23">
        <v>1019.074062413812</v>
      </c>
      <c r="AN37" s="23">
        <v>971.41634209848917</v>
      </c>
      <c r="AO37" s="23">
        <v>1040.2667610447822</v>
      </c>
      <c r="AP37" s="23">
        <v>1038.4866808933932</v>
      </c>
      <c r="AQ37" s="23">
        <v>992.20629176010266</v>
      </c>
      <c r="AR37" s="23">
        <v>1019.4180037582265</v>
      </c>
      <c r="AS37" s="23">
        <v>973.17431468777215</v>
      </c>
      <c r="AT37" s="23">
        <v>1010.9256187404754</v>
      </c>
      <c r="AU37" s="23">
        <v>1046.3089545814983</v>
      </c>
      <c r="AV37" s="23">
        <v>950.06319967111938</v>
      </c>
      <c r="AW37" s="23">
        <v>1064.7879492516022</v>
      </c>
      <c r="AX37" s="36" t="s">
        <v>27</v>
      </c>
      <c r="AY37" s="36" t="s">
        <v>27</v>
      </c>
      <c r="AZ37" s="36" t="s">
        <v>27</v>
      </c>
      <c r="BA37" s="25">
        <v>1078.6579999999999</v>
      </c>
      <c r="BB37" s="23">
        <v>1089.831254469362</v>
      </c>
      <c r="BC37" s="23">
        <v>1044.8607074695087</v>
      </c>
      <c r="BD37" s="23">
        <v>1025.5702159413415</v>
      </c>
      <c r="BE37" s="23">
        <v>1052.0253106</v>
      </c>
      <c r="BF37" s="23">
        <v>1089.7888092000001</v>
      </c>
      <c r="BG37" s="23">
        <v>1086.8892799999999</v>
      </c>
      <c r="BH37" s="23">
        <v>1018.53349</v>
      </c>
      <c r="BI37" s="23">
        <v>1078.9741303000001</v>
      </c>
      <c r="BJ37" s="23">
        <v>1127.2239999999999</v>
      </c>
      <c r="BK37" s="23">
        <v>1092.546</v>
      </c>
      <c r="BL37" s="23">
        <v>1025.702</v>
      </c>
      <c r="BM37" s="23">
        <v>1109.085</v>
      </c>
      <c r="BN37" s="23">
        <v>1131.614583600121</v>
      </c>
      <c r="BO37" s="23">
        <v>1102.9059999999999</v>
      </c>
      <c r="BP37" s="23">
        <v>1007.773</v>
      </c>
      <c r="BQ37" s="23">
        <v>661.97500000000002</v>
      </c>
      <c r="BR37" s="23">
        <v>919.07100000000003</v>
      </c>
      <c r="BS37" s="23">
        <v>1168.902</v>
      </c>
    </row>
    <row r="38" spans="1:71" s="56" customFormat="1" ht="20.100000000000001" customHeight="1" x14ac:dyDescent="0.2">
      <c r="A38" s="22"/>
      <c r="B38" s="23"/>
      <c r="C38" s="57">
        <f t="shared" ref="C38" si="105">C37/B37-1</f>
        <v>8.1116199333165939E-2</v>
      </c>
      <c r="D38" s="57">
        <f t="shared" ref="D38" si="106">D37/C37-1</f>
        <v>7.6830698904873485E-2</v>
      </c>
      <c r="E38" s="57">
        <f t="shared" ref="E38" si="107">E37/D37-1</f>
        <v>-5.7337942213962156E-2</v>
      </c>
      <c r="F38" s="57">
        <f t="shared" ref="F38" si="108">F37/E37-1</f>
        <v>8.7651905050066148E-2</v>
      </c>
      <c r="G38" s="57">
        <f t="shared" ref="G38" si="109">G37/F37-1</f>
        <v>-5.7710212397995564E-3</v>
      </c>
      <c r="H38" s="57">
        <f t="shared" ref="H38" si="110">H37/G37-1</f>
        <v>-1.4260041787323985E-2</v>
      </c>
      <c r="I38" s="57">
        <f t="shared" ref="I38" si="111">I37/H37-1</f>
        <v>5.1429111176658937E-2</v>
      </c>
      <c r="J38" s="57">
        <f t="shared" ref="J38" si="112">J37/I37-1</f>
        <v>6.9194127168004771E-2</v>
      </c>
      <c r="K38" s="57">
        <f t="shared" ref="K38" si="113">K37/J37-1</f>
        <v>5.3902494781061128E-2</v>
      </c>
      <c r="L38" s="57">
        <f t="shared" ref="L38" si="114">L37/K37-1</f>
        <v>-4.1216081368057211E-2</v>
      </c>
      <c r="M38" s="57">
        <f t="shared" ref="M38" si="115">M37/L37-1</f>
        <v>-5.5800297975112656E-3</v>
      </c>
      <c r="N38" s="57">
        <f t="shared" ref="N38" si="116">N37/M37-1</f>
        <v>4.2382795136783225E-2</v>
      </c>
      <c r="O38" s="57">
        <f t="shared" ref="O38" si="117">O37/N37-1</f>
        <v>0.10393265502391613</v>
      </c>
      <c r="P38" s="57">
        <f t="shared" ref="P38" si="118">P37/O37-1</f>
        <v>-6.8386008898417838E-3</v>
      </c>
      <c r="Q38" s="57">
        <f t="shared" ref="Q38" si="119">Q37/P37-1</f>
        <v>-3.3083652833369892E-2</v>
      </c>
      <c r="R38" s="64"/>
      <c r="S38" s="64"/>
      <c r="T38" s="57">
        <f t="shared" ref="T38" si="120">T37/S37-1</f>
        <v>-3.7998462670134625E-2</v>
      </c>
      <c r="U38" s="57">
        <f t="shared" ref="U38" si="121">U37/T37-1</f>
        <v>-2.2676812720020867E-2</v>
      </c>
      <c r="V38" s="57">
        <f t="shared" ref="V38" si="122">V37/U37-1</f>
        <v>9.554296163452336E-2</v>
      </c>
      <c r="W38" s="57">
        <f t="shared" ref="W38" si="123">W37/V37-1</f>
        <v>-1.0322822018424826E-2</v>
      </c>
      <c r="X38" s="57">
        <f t="shared" ref="X38" si="124">X37/W37-1</f>
        <v>8.0147876592404632E-3</v>
      </c>
      <c r="Y38" s="57">
        <f t="shared" ref="Y38" si="125">Y37/X37-1</f>
        <v>-4.2119548017318875E-2</v>
      </c>
      <c r="Z38" s="57">
        <f t="shared" ref="Z38" si="126">Z37/Y37-1</f>
        <v>3.3453260970615961E-2</v>
      </c>
      <c r="AA38" s="57">
        <f t="shared" ref="AA38" si="127">AA37/Z37-1</f>
        <v>-2.2752610103749848E-2</v>
      </c>
      <c r="AB38" s="57">
        <f t="shared" ref="AB38" si="128">AB37/AA37-1</f>
        <v>-1.4427311047039648E-2</v>
      </c>
      <c r="AC38" s="57">
        <f t="shared" ref="AC38" si="129">AC37/AB37-1</f>
        <v>1.5765371414836027E-2</v>
      </c>
      <c r="AD38" s="57">
        <f t="shared" ref="AD38" si="130">AD37/AC37-1</f>
        <v>1.043314005446816E-2</v>
      </c>
      <c r="AE38" s="57">
        <f t="shared" ref="AE38" si="131">AE37/AD37-1</f>
        <v>-2.2831762079340345E-2</v>
      </c>
      <c r="AF38" s="57">
        <f t="shared" ref="AF38" si="132">AF37/AE37-1</f>
        <v>1.8870114001559024E-2</v>
      </c>
      <c r="AG38" s="57">
        <f t="shared" ref="AG38" si="133">AG37/AF37-1</f>
        <v>2.6489725173387768E-2</v>
      </c>
      <c r="AH38" s="57">
        <f t="shared" ref="AH38" si="134">AH37/AG37-1</f>
        <v>9.5706557052066099E-2</v>
      </c>
      <c r="AI38" s="57">
        <f t="shared" ref="AI38" si="135">AI37/AH37-1</f>
        <v>-4.4221462222427621E-2</v>
      </c>
      <c r="AJ38" s="57">
        <f t="shared" ref="AJ38" si="136">AJ37/AI37-1</f>
        <v>-5.217878232022799E-3</v>
      </c>
      <c r="AK38" s="57">
        <f t="shared" ref="AK38" si="137">AK37/AJ37-1</f>
        <v>-1.5762946923037147E-2</v>
      </c>
      <c r="AL38" s="57">
        <f t="shared" ref="AL38" si="138">AL37/AK37-1</f>
        <v>1.4151924595776855E-2</v>
      </c>
      <c r="AM38" s="57">
        <f t="shared" ref="AM38" si="139">AM37/AL37-1</f>
        <v>1.0768776649783041E-2</v>
      </c>
      <c r="AN38" s="57">
        <f t="shared" ref="AN38" si="140">AN37/AM37-1</f>
        <v>-4.676570827682458E-2</v>
      </c>
      <c r="AO38" s="57">
        <f t="shared" ref="AO38" si="141">AO37/AN37-1</f>
        <v>7.087632353143225E-2</v>
      </c>
      <c r="AP38" s="57">
        <f t="shared" ref="AP38" si="142">AP37/AO37-1</f>
        <v>-1.7111766116618687E-3</v>
      </c>
      <c r="AQ38" s="57">
        <f t="shared" ref="AQ38" si="143">AQ37/AP37-1</f>
        <v>-4.4565221668010468E-2</v>
      </c>
      <c r="AR38" s="57">
        <f t="shared" ref="AR38" si="144">AR37/AQ37-1</f>
        <v>2.7425458016248072E-2</v>
      </c>
      <c r="AS38" s="57">
        <f t="shared" ref="AS38" si="145">AS37/AR37-1</f>
        <v>-4.5362833400990121E-2</v>
      </c>
      <c r="AT38" s="57">
        <f t="shared" ref="AT38" si="146">AT37/AS37-1</f>
        <v>3.8791923998544142E-2</v>
      </c>
      <c r="AU38" s="57">
        <f t="shared" ref="AU38" si="147">AU37/AT37-1</f>
        <v>3.5000929034825878E-2</v>
      </c>
      <c r="AV38" s="62">
        <f t="shared" ref="AV38" si="148">AV37/AU37-1</f>
        <v>-9.1985980325357319E-2</v>
      </c>
      <c r="AW38" s="57">
        <f t="shared" ref="AW38" si="149">AW37/AV37-1</f>
        <v>0.12075486096103583</v>
      </c>
      <c r="AX38" s="61"/>
      <c r="AY38" s="61"/>
      <c r="AZ38" s="61"/>
      <c r="BA38" s="58"/>
      <c r="BB38" s="57">
        <f t="shared" ref="BB38" si="150">BB37/BA37-1</f>
        <v>1.0358477357384821E-2</v>
      </c>
      <c r="BC38" s="57">
        <f t="shared" ref="BC38" si="151">BC37/BB37-1</f>
        <v>-4.1263770712603898E-2</v>
      </c>
      <c r="BD38" s="57">
        <f t="shared" ref="BD38" si="152">BD37/BC37-1</f>
        <v>-1.8462261419405657E-2</v>
      </c>
      <c r="BE38" s="57">
        <f t="shared" ref="BE38" si="153">BE37/BD37-1</f>
        <v>2.5795498199385758E-2</v>
      </c>
      <c r="BF38" s="57">
        <f t="shared" ref="BF38" si="154">BF37/BE37-1</f>
        <v>3.5895998147100094E-2</v>
      </c>
      <c r="BG38" s="57">
        <f t="shared" ref="BG38" si="155">BG37/BF37-1</f>
        <v>-2.6606340380103122E-3</v>
      </c>
      <c r="BH38" s="57">
        <f t="shared" ref="BH38" si="156">BH37/BG37-1</f>
        <v>-6.289121740164727E-2</v>
      </c>
      <c r="BI38" s="57">
        <f t="shared" ref="BI38" si="157">BI37/BH37-1</f>
        <v>5.9340847299974353E-2</v>
      </c>
      <c r="BJ38" s="57">
        <f t="shared" ref="BJ38" si="158">BJ37/BI37-1</f>
        <v>4.4718282250737929E-2</v>
      </c>
      <c r="BK38" s="57">
        <f t="shared" ref="BK38" si="159">BK37/BJ37-1</f>
        <v>-3.0764071737294341E-2</v>
      </c>
      <c r="BL38" s="57">
        <f t="shared" ref="BL38" si="160">BL37/BK37-1</f>
        <v>-6.1181863280813875E-2</v>
      </c>
      <c r="BM38" s="57">
        <f t="shared" ref="BM38" si="161">BM37/BL37-1</f>
        <v>8.1293592095949885E-2</v>
      </c>
      <c r="BN38" s="57">
        <f t="shared" ref="BN38" si="162">BN37/BM37-1</f>
        <v>2.031366721227057E-2</v>
      </c>
      <c r="BO38" s="57">
        <f t="shared" ref="BO38" si="163">BO37/BN37-1</f>
        <v>-2.536957725375677E-2</v>
      </c>
      <c r="BP38" s="57">
        <f>BP37/BO37-1</f>
        <v>-8.6256671012760799E-2</v>
      </c>
      <c r="BQ38" s="63">
        <f>BQ37/$BP37-1</f>
        <v>-0.34313084394997684</v>
      </c>
      <c r="BR38" s="63">
        <f>BR37/$BP37-1</f>
        <v>-8.8017837350276351E-2</v>
      </c>
      <c r="BS38" s="62">
        <f>BS37/$BP37-1</f>
        <v>0.15988620453217139</v>
      </c>
    </row>
    <row r="39" spans="1:71" ht="20.100000000000001" customHeight="1" x14ac:dyDescent="0.2">
      <c r="A39" s="22" t="s">
        <v>111</v>
      </c>
      <c r="B39" s="23">
        <v>1831.2275094314243</v>
      </c>
      <c r="C39" s="23">
        <v>1905.6455937687788</v>
      </c>
      <c r="D39" s="23">
        <v>1897.4507175373446</v>
      </c>
      <c r="E39" s="23">
        <v>1873.5423116753484</v>
      </c>
      <c r="F39" s="23">
        <v>1927.6966776228226</v>
      </c>
      <c r="G39" s="23">
        <v>2030.9124311676426</v>
      </c>
      <c r="H39" s="23">
        <v>1902.38194010702</v>
      </c>
      <c r="I39" s="23">
        <v>1848.2711038182924</v>
      </c>
      <c r="J39" s="23">
        <v>2026.2692614857206</v>
      </c>
      <c r="K39" s="23">
        <v>2009.482298589988</v>
      </c>
      <c r="L39" s="23">
        <v>1926.6712185131394</v>
      </c>
      <c r="M39" s="23">
        <v>2030.9293805679811</v>
      </c>
      <c r="N39" s="23">
        <v>2056.750443919173</v>
      </c>
      <c r="O39" s="23">
        <v>2066.4467371222941</v>
      </c>
      <c r="P39" s="23">
        <v>2024.3220365790653</v>
      </c>
      <c r="Q39" s="23">
        <v>1984.3037700894565</v>
      </c>
      <c r="R39" s="24" t="s">
        <v>27</v>
      </c>
      <c r="S39" s="24">
        <v>2001.88598103904</v>
      </c>
      <c r="T39" s="23">
        <v>2032.6306549000751</v>
      </c>
      <c r="U39" s="23">
        <v>2070.5990079877597</v>
      </c>
      <c r="V39" s="23">
        <v>2083.6454955173799</v>
      </c>
      <c r="W39" s="23">
        <v>2096.772442422659</v>
      </c>
      <c r="X39" s="23">
        <v>2073.590095683754</v>
      </c>
      <c r="Y39" s="23">
        <v>2031.1375739175833</v>
      </c>
      <c r="Z39" s="23">
        <v>2059.8791223004496</v>
      </c>
      <c r="AA39" s="23">
        <v>2085.8600123963338</v>
      </c>
      <c r="AB39" s="23">
        <v>2068.7691007411472</v>
      </c>
      <c r="AC39" s="23">
        <v>2060.4500223945406</v>
      </c>
      <c r="AD39" s="23">
        <v>2118.0582470350178</v>
      </c>
      <c r="AE39" s="23">
        <v>2101.3165009788318</v>
      </c>
      <c r="AF39" s="23">
        <v>2159.5967917854632</v>
      </c>
      <c r="AG39" s="23">
        <v>2192.2887265287118</v>
      </c>
      <c r="AH39" s="23">
        <v>2085.7766169408928</v>
      </c>
      <c r="AI39" s="23">
        <v>2111.5827576513821</v>
      </c>
      <c r="AJ39" s="23">
        <v>2020.6752584707338</v>
      </c>
      <c r="AK39" s="23">
        <v>2078.3417457704063</v>
      </c>
      <c r="AL39" s="23">
        <v>2081.3946579128428</v>
      </c>
      <c r="AM39" s="23">
        <v>2095.973866669337</v>
      </c>
      <c r="AN39" s="23">
        <v>2061.0353390611608</v>
      </c>
      <c r="AO39" s="23">
        <v>2061.2486638345508</v>
      </c>
      <c r="AP39" s="23">
        <v>2047.0068134727867</v>
      </c>
      <c r="AQ39" s="23">
        <v>2049.311997914012</v>
      </c>
      <c r="AR39" s="23">
        <v>1982.4621963516402</v>
      </c>
      <c r="AS39" s="23">
        <v>1922.7085525683306</v>
      </c>
      <c r="AT39" s="23">
        <v>1867.7087921865946</v>
      </c>
      <c r="AU39" s="23">
        <v>2001.1939439012287</v>
      </c>
      <c r="AV39" s="23">
        <v>1902.5955677701372</v>
      </c>
      <c r="AW39" s="23">
        <v>1906.1460646369835</v>
      </c>
      <c r="AX39" s="36" t="s">
        <v>27</v>
      </c>
      <c r="AY39" s="36" t="s">
        <v>27</v>
      </c>
      <c r="AZ39" s="36" t="s">
        <v>27</v>
      </c>
      <c r="BA39" s="25">
        <v>2053.9789999999998</v>
      </c>
      <c r="BB39" s="23">
        <v>2126.0885374702202</v>
      </c>
      <c r="BC39" s="23">
        <v>2037.8200304527741</v>
      </c>
      <c r="BD39" s="23">
        <v>2050.799492073158</v>
      </c>
      <c r="BE39" s="23">
        <v>2112.1079764000006</v>
      </c>
      <c r="BF39" s="23">
        <v>2137.7665491000002</v>
      </c>
      <c r="BG39" s="23">
        <v>2146.0772899999997</v>
      </c>
      <c r="BH39" s="23">
        <v>2139.7940800000001</v>
      </c>
      <c r="BI39" s="23">
        <v>2173.1856318</v>
      </c>
      <c r="BJ39" s="23">
        <v>2211.0810000000001</v>
      </c>
      <c r="BK39" s="23">
        <v>2164.1529999999998</v>
      </c>
      <c r="BL39" s="23">
        <v>2191.2359999999999</v>
      </c>
      <c r="BM39" s="23">
        <v>2221.3560000000002</v>
      </c>
      <c r="BN39" s="23">
        <v>2253.8613741675367</v>
      </c>
      <c r="BO39" s="23">
        <v>2221.819</v>
      </c>
      <c r="BP39" s="23">
        <v>2239.3069999999998</v>
      </c>
      <c r="BQ39" s="23">
        <v>1652.1569999999999</v>
      </c>
      <c r="BR39" s="23">
        <v>1907.095</v>
      </c>
      <c r="BS39" s="23">
        <v>1959.377</v>
      </c>
    </row>
    <row r="40" spans="1:71" s="56" customFormat="1" ht="20.100000000000001" customHeight="1" x14ac:dyDescent="0.2">
      <c r="A40" s="22"/>
      <c r="B40" s="23"/>
      <c r="C40" s="57">
        <f t="shared" ref="C40" si="164">C39/B39-1</f>
        <v>4.0638360855806743E-2</v>
      </c>
      <c r="D40" s="57">
        <f t="shared" ref="D40" si="165">D39/C39-1</f>
        <v>-4.300314947454198E-3</v>
      </c>
      <c r="E40" s="57">
        <f t="shared" ref="E40" si="166">E39/D39-1</f>
        <v>-1.2600277646750313E-2</v>
      </c>
      <c r="F40" s="57">
        <f t="shared" ref="F40" si="167">F39/E39-1</f>
        <v>2.8904800073102477E-2</v>
      </c>
      <c r="G40" s="57">
        <f t="shared" ref="G40" si="168">G39/F39-1</f>
        <v>5.3543565615365774E-2</v>
      </c>
      <c r="H40" s="62">
        <f t="shared" ref="H40" si="169">H39/G39-1</f>
        <v>-6.3287066979409778E-2</v>
      </c>
      <c r="I40" s="57">
        <f t="shared" ref="I40" si="170">I39/H39-1</f>
        <v>-2.8443728963114312E-2</v>
      </c>
      <c r="J40" s="57">
        <f t="shared" ref="J40" si="171">J39/I39-1</f>
        <v>9.6305221295569954E-2</v>
      </c>
      <c r="K40" s="57">
        <f t="shared" ref="K40" si="172">K39/J39-1</f>
        <v>-8.2846654266589548E-3</v>
      </c>
      <c r="L40" s="57">
        <f t="shared" ref="L40" si="173">L39/K39-1</f>
        <v>-4.1210156533827313E-2</v>
      </c>
      <c r="M40" s="57">
        <f t="shared" ref="M40" si="174">M39/L39-1</f>
        <v>5.4113105055516586E-2</v>
      </c>
      <c r="N40" s="57">
        <f t="shared" ref="N40" si="175">N39/M39-1</f>
        <v>1.2713914919075364E-2</v>
      </c>
      <c r="O40" s="57">
        <f t="shared" ref="O40" si="176">O39/N39-1</f>
        <v>4.7143751599949546E-3</v>
      </c>
      <c r="P40" s="57">
        <f t="shared" ref="P40" si="177">P39/O39-1</f>
        <v>-2.0385088948332131E-2</v>
      </c>
      <c r="Q40" s="57">
        <f t="shared" ref="Q40" si="178">Q39/P39-1</f>
        <v>-1.9768725413490174E-2</v>
      </c>
      <c r="R40" s="64"/>
      <c r="S40" s="64"/>
      <c r="T40" s="57">
        <f t="shared" ref="T40" si="179">T39/S39-1</f>
        <v>1.5357854619211464E-2</v>
      </c>
      <c r="U40" s="57">
        <f t="shared" ref="U40" si="180">U39/T39-1</f>
        <v>1.8679415759156326E-2</v>
      </c>
      <c r="V40" s="57">
        <f t="shared" ref="V40" si="181">V39/U39-1</f>
        <v>6.3008276731952861E-3</v>
      </c>
      <c r="W40" s="57">
        <f t="shared" ref="W40" si="182">W39/V39-1</f>
        <v>6.299990537507183E-3</v>
      </c>
      <c r="X40" s="57">
        <f t="shared" ref="X40" si="183">X39/W39-1</f>
        <v>-1.1056205370631234E-2</v>
      </c>
      <c r="Y40" s="57">
        <f t="shared" ref="Y40" si="184">Y39/X39-1</f>
        <v>-2.0472957434806927E-2</v>
      </c>
      <c r="Z40" s="57">
        <f t="shared" ref="Z40" si="185">Z39/Y39-1</f>
        <v>1.4150468561039187E-2</v>
      </c>
      <c r="AA40" s="57">
        <f t="shared" ref="AA40" si="186">AA39/Z39-1</f>
        <v>1.261282267226882E-2</v>
      </c>
      <c r="AB40" s="57">
        <f t="shared" ref="AB40" si="187">AB39/AA39-1</f>
        <v>-8.1937002261008862E-3</v>
      </c>
      <c r="AC40" s="57">
        <f t="shared" ref="AC40" si="188">AC39/AB39-1</f>
        <v>-4.0212696253179026E-3</v>
      </c>
      <c r="AD40" s="57">
        <f t="shared" ref="AD40" si="189">AD39/AC39-1</f>
        <v>2.7959049729111118E-2</v>
      </c>
      <c r="AE40" s="57">
        <f t="shared" ref="AE40" si="190">AE39/AD39-1</f>
        <v>-7.9042897331185191E-3</v>
      </c>
      <c r="AF40" s="57">
        <f t="shared" ref="AF40" si="191">AF39/AE39-1</f>
        <v>2.7735132132395757E-2</v>
      </c>
      <c r="AG40" s="57">
        <f t="shared" ref="AG40" si="192">AG39/AF39-1</f>
        <v>1.5137980787710115E-2</v>
      </c>
      <c r="AH40" s="57">
        <f t="shared" ref="AH40" si="193">AH39/AG39-1</f>
        <v>-4.8584891350725967E-2</v>
      </c>
      <c r="AI40" s="57">
        <f t="shared" ref="AI40" si="194">AI39/AH39-1</f>
        <v>1.2372437441713124E-2</v>
      </c>
      <c r="AJ40" s="57">
        <f t="shared" ref="AJ40" si="195">AJ39/AI39-1</f>
        <v>-4.3051828705856887E-2</v>
      </c>
      <c r="AK40" s="57">
        <f t="shared" ref="AK40" si="196">AK39/AJ39-1</f>
        <v>2.8538226049897419E-2</v>
      </c>
      <c r="AL40" s="57">
        <f t="shared" ref="AL40" si="197">AL39/AK39-1</f>
        <v>1.4689172984421184E-3</v>
      </c>
      <c r="AM40" s="57">
        <f t="shared" ref="AM40" si="198">AM39/AL39-1</f>
        <v>7.0045383757799673E-3</v>
      </c>
      <c r="AN40" s="57">
        <f t="shared" ref="AN40" si="199">AN39/AM39-1</f>
        <v>-1.6669352687920802E-2</v>
      </c>
      <c r="AO40" s="57">
        <f t="shared" ref="AO40" si="200">AO39/AN39-1</f>
        <v>1.0350369513179025E-4</v>
      </c>
      <c r="AP40" s="57">
        <f t="shared" ref="AP40" si="201">AP39/AO39-1</f>
        <v>-6.9093315191142146E-3</v>
      </c>
      <c r="AQ40" s="57">
        <f t="shared" ref="AQ40" si="202">AQ39/AP39-1</f>
        <v>1.1261244594074071E-3</v>
      </c>
      <c r="AR40" s="57">
        <f t="shared" ref="AR40" si="203">AR39/AQ39-1</f>
        <v>-3.2620607125912526E-2</v>
      </c>
      <c r="AS40" s="57">
        <f t="shared" ref="AS40" si="204">AS39/AR39-1</f>
        <v>-3.0141126470545232E-2</v>
      </c>
      <c r="AT40" s="57">
        <f t="shared" ref="AT40" si="205">AT39/AS39-1</f>
        <v>-2.8605354830438579E-2</v>
      </c>
      <c r="AU40" s="57">
        <f t="shared" ref="AU40" si="206">AU39/AT39-1</f>
        <v>7.1470002322127746E-2</v>
      </c>
      <c r="AV40" s="57">
        <f t="shared" ref="AV40" si="207">AV39/AU39-1</f>
        <v>-4.9269775391623916E-2</v>
      </c>
      <c r="AW40" s="57">
        <f t="shared" ref="AW40" si="208">AW39/AV39-1</f>
        <v>1.8661332586868973E-3</v>
      </c>
      <c r="AX40" s="61"/>
      <c r="AY40" s="61"/>
      <c r="AZ40" s="61"/>
      <c r="BA40" s="58"/>
      <c r="BB40" s="57">
        <f t="shared" ref="BB40" si="209">BB39/BA39-1</f>
        <v>3.5107241831693781E-2</v>
      </c>
      <c r="BC40" s="57">
        <f t="shared" ref="BC40" si="210">BC39/BB39-1</f>
        <v>-4.1516853819490773E-2</v>
      </c>
      <c r="BD40" s="57">
        <f t="shared" ref="BD40" si="211">BD39/BC39-1</f>
        <v>6.3692874868346294E-3</v>
      </c>
      <c r="BE40" s="57">
        <f t="shared" ref="BE40" si="212">BE39/BD39-1</f>
        <v>2.9894918817668259E-2</v>
      </c>
      <c r="BF40" s="57">
        <f t="shared" ref="BF40" si="213">BF39/BE39-1</f>
        <v>1.2148324321815007E-2</v>
      </c>
      <c r="BG40" s="57">
        <f t="shared" ref="BG40" si="214">BG39/BF39-1</f>
        <v>3.887581131577944E-3</v>
      </c>
      <c r="BH40" s="57">
        <f t="shared" ref="BH40" si="215">BH39/BG39-1</f>
        <v>-2.9277650107371045E-3</v>
      </c>
      <c r="BI40" s="57">
        <f t="shared" ref="BI40" si="216">BI39/BH39-1</f>
        <v>1.5605030461622649E-2</v>
      </c>
      <c r="BJ40" s="57">
        <f t="shared" ref="BJ40" si="217">BJ39/BI39-1</f>
        <v>1.7437704191248571E-2</v>
      </c>
      <c r="BK40" s="57">
        <f t="shared" ref="BK40" si="218">BK39/BJ39-1</f>
        <v>-2.1224007623420582E-2</v>
      </c>
      <c r="BL40" s="57">
        <f t="shared" ref="BL40" si="219">BL39/BK39-1</f>
        <v>1.2514364742234108E-2</v>
      </c>
      <c r="BM40" s="57">
        <f t="shared" ref="BM40" si="220">BM39/BL39-1</f>
        <v>1.3745666829132253E-2</v>
      </c>
      <c r="BN40" s="57">
        <f t="shared" ref="BN40" si="221">BN39/BM39-1</f>
        <v>1.4633122366489948E-2</v>
      </c>
      <c r="BO40" s="57">
        <f t="shared" ref="BO40" si="222">BO39/BN39-1</f>
        <v>-1.4216657037911973E-2</v>
      </c>
      <c r="BP40" s="57">
        <f>BP39/BO39-1</f>
        <v>7.8710281980665098E-3</v>
      </c>
      <c r="BQ40" s="63">
        <f>BQ39/$BP39-1</f>
        <v>-0.26220165435110054</v>
      </c>
      <c r="BR40" s="63">
        <f>BR39/$BP39-1</f>
        <v>-0.1483548258456745</v>
      </c>
      <c r="BS40" s="63">
        <f>BS39/$BP39-1</f>
        <v>-0.12500742417185307</v>
      </c>
    </row>
    <row r="41" spans="1:71" ht="20.100000000000001" customHeight="1" x14ac:dyDescent="0.2">
      <c r="A41" s="22" t="s">
        <v>112</v>
      </c>
      <c r="B41" s="23">
        <v>241.12959123373469</v>
      </c>
      <c r="C41" s="23">
        <v>287.85212124401426</v>
      </c>
      <c r="D41" s="23">
        <v>325.28054790680125</v>
      </c>
      <c r="E41" s="23">
        <v>303.35204026741997</v>
      </c>
      <c r="F41" s="23">
        <v>344.52711137783086</v>
      </c>
      <c r="G41" s="23">
        <v>317.06106831630063</v>
      </c>
      <c r="H41" s="23">
        <v>326.42604715423556</v>
      </c>
      <c r="I41" s="23">
        <v>322.43986646562678</v>
      </c>
      <c r="J41" s="23">
        <v>323.34487273247788</v>
      </c>
      <c r="K41" s="23">
        <v>323.85122735299069</v>
      </c>
      <c r="L41" s="23">
        <v>355.950506794136</v>
      </c>
      <c r="M41" s="23">
        <v>348.80194935811721</v>
      </c>
      <c r="N41" s="23">
        <v>369.30811966124304</v>
      </c>
      <c r="O41" s="23">
        <v>404.14789372628616</v>
      </c>
      <c r="P41" s="23">
        <v>398.65234003372387</v>
      </c>
      <c r="Q41" s="23">
        <v>352.70972965306811</v>
      </c>
      <c r="R41" s="24" t="s">
        <v>27</v>
      </c>
      <c r="S41" s="24">
        <v>353.03274552673577</v>
      </c>
      <c r="T41" s="23">
        <v>393.32050506919927</v>
      </c>
      <c r="U41" s="23">
        <v>358.68526728157417</v>
      </c>
      <c r="V41" s="23">
        <v>338.2718531607162</v>
      </c>
      <c r="W41" s="23">
        <v>432.83880513425726</v>
      </c>
      <c r="X41" s="23">
        <v>385.08575128223811</v>
      </c>
      <c r="Y41" s="23">
        <v>371.09894193843934</v>
      </c>
      <c r="Z41" s="23">
        <v>343.17488124650271</v>
      </c>
      <c r="AA41" s="23">
        <v>379.0001242264471</v>
      </c>
      <c r="AB41" s="23">
        <v>449.2947131058591</v>
      </c>
      <c r="AC41" s="23">
        <v>425.94255562063682</v>
      </c>
      <c r="AD41" s="23">
        <v>356.9681909180066</v>
      </c>
      <c r="AE41" s="23">
        <v>371.36102189434166</v>
      </c>
      <c r="AF41" s="23">
        <v>386.3604846747449</v>
      </c>
      <c r="AG41" s="23">
        <v>396.8291237336951</v>
      </c>
      <c r="AH41" s="23">
        <v>435.23788141175498</v>
      </c>
      <c r="AI41" s="23">
        <v>398.96585184973645</v>
      </c>
      <c r="AJ41" s="23">
        <v>401.6649875727349</v>
      </c>
      <c r="AK41" s="23">
        <v>394.90221607151301</v>
      </c>
      <c r="AL41" s="23">
        <v>410.48835700353135</v>
      </c>
      <c r="AM41" s="23">
        <v>433.98203826522695</v>
      </c>
      <c r="AN41" s="23">
        <v>417.63152020526724</v>
      </c>
      <c r="AO41" s="23">
        <v>384.03978390705612</v>
      </c>
      <c r="AP41" s="23">
        <v>398.03543846646193</v>
      </c>
      <c r="AQ41" s="23">
        <v>376.58163476076402</v>
      </c>
      <c r="AR41" s="23">
        <v>410.97707953816024</v>
      </c>
      <c r="AS41" s="23">
        <v>384.92070492386188</v>
      </c>
      <c r="AT41" s="23">
        <v>441.06463724920707</v>
      </c>
      <c r="AU41" s="23">
        <v>402.39624453432521</v>
      </c>
      <c r="AV41" s="23">
        <v>427.22330398921406</v>
      </c>
      <c r="AW41" s="23">
        <v>371.52996126054944</v>
      </c>
      <c r="AX41" s="36" t="s">
        <v>27</v>
      </c>
      <c r="AY41" s="36" t="s">
        <v>27</v>
      </c>
      <c r="AZ41" s="36" t="s">
        <v>27</v>
      </c>
      <c r="BA41" s="25">
        <v>419.24599999999998</v>
      </c>
      <c r="BB41" s="23">
        <v>420.09842363342818</v>
      </c>
      <c r="BC41" s="23">
        <v>430.74930966528552</v>
      </c>
      <c r="BD41" s="23">
        <v>450.02132644770745</v>
      </c>
      <c r="BE41" s="23">
        <v>460.56129220000003</v>
      </c>
      <c r="BF41" s="23">
        <v>494.56617210000002</v>
      </c>
      <c r="BG41" s="23">
        <v>469.8277599999999</v>
      </c>
      <c r="BH41" s="23">
        <v>517.76640000000009</v>
      </c>
      <c r="BI41" s="23">
        <v>496.9990573</v>
      </c>
      <c r="BJ41" s="23">
        <v>461.80200000000002</v>
      </c>
      <c r="BK41" s="23">
        <v>465.18200000000002</v>
      </c>
      <c r="BL41" s="23">
        <v>484.06700000000001</v>
      </c>
      <c r="BM41" s="23">
        <v>467.58800000000002</v>
      </c>
      <c r="BN41" s="23">
        <v>416.50758298684434</v>
      </c>
      <c r="BO41" s="23">
        <v>496.59800000000001</v>
      </c>
      <c r="BP41" s="23">
        <v>490.71199999999999</v>
      </c>
      <c r="BQ41" s="23">
        <v>268.79000000000002</v>
      </c>
      <c r="BR41" s="23">
        <v>395.464</v>
      </c>
      <c r="BS41" s="23">
        <v>315.72500000000002</v>
      </c>
    </row>
    <row r="42" spans="1:71" s="56" customFormat="1" ht="20.100000000000001" customHeight="1" x14ac:dyDescent="0.2">
      <c r="A42" s="22"/>
      <c r="B42" s="23"/>
      <c r="C42" s="57">
        <f t="shared" ref="C42" si="223">C41/B41-1</f>
        <v>0.19376522711801858</v>
      </c>
      <c r="D42" s="57">
        <f t="shared" ref="D42" si="224">D41/C41-1</f>
        <v>0.13002657927630357</v>
      </c>
      <c r="E42" s="57">
        <f t="shared" ref="E42" si="225">E41/D41-1</f>
        <v>-6.7414137674362884E-2</v>
      </c>
      <c r="F42" s="57">
        <f t="shared" ref="F42" si="226">F41/E41-1</f>
        <v>0.13573362181481619</v>
      </c>
      <c r="G42" s="57">
        <f t="shared" ref="G42" si="227">G41/F41-1</f>
        <v>-7.9720991917553885E-2</v>
      </c>
      <c r="H42" s="57">
        <f t="shared" ref="H42" si="228">H41/G41-1</f>
        <v>2.9536829884747595E-2</v>
      </c>
      <c r="I42" s="57">
        <f t="shared" ref="I42" si="229">I41/H41-1</f>
        <v>-1.2211588883179192E-2</v>
      </c>
      <c r="J42" s="57">
        <f t="shared" ref="J42" si="230">J41/I41-1</f>
        <v>2.8067443296364569E-3</v>
      </c>
      <c r="K42" s="57">
        <f t="shared" ref="K42" si="231">K41/J41-1</f>
        <v>1.5659893297017558E-3</v>
      </c>
      <c r="L42" s="57">
        <f t="shared" ref="L42" si="232">L41/K41-1</f>
        <v>9.9117362325626734E-2</v>
      </c>
      <c r="M42" s="57">
        <f t="shared" ref="M42" si="233">M41/L41-1</f>
        <v>-2.0083009574567545E-2</v>
      </c>
      <c r="N42" s="57">
        <f t="shared" ref="N42" si="234">N41/M41-1</f>
        <v>5.8790297304422534E-2</v>
      </c>
      <c r="O42" s="57">
        <f t="shared" ref="O42" si="235">O41/N41-1</f>
        <v>9.4337958496554908E-2</v>
      </c>
      <c r="P42" s="57">
        <f t="shared" ref="P42" si="236">P41/O41-1</f>
        <v>-1.3597877850834994E-2</v>
      </c>
      <c r="Q42" s="57">
        <f t="shared" ref="Q42" si="237">Q41/P41-1</f>
        <v>-0.11524480296984907</v>
      </c>
      <c r="R42" s="64"/>
      <c r="S42" s="64"/>
      <c r="T42" s="57">
        <f t="shared" ref="T42" si="238">T41/S41-1</f>
        <v>0.11411904434630538</v>
      </c>
      <c r="U42" s="57">
        <f t="shared" ref="U42" si="239">U41/T41-1</f>
        <v>-8.8058561252817302E-2</v>
      </c>
      <c r="V42" s="57">
        <f t="shared" ref="V42" si="240">V41/U41-1</f>
        <v>-5.6911771915162279E-2</v>
      </c>
      <c r="W42" s="57">
        <f t="shared" ref="W42" si="241">W41/V41-1</f>
        <v>0.27955903244663816</v>
      </c>
      <c r="X42" s="57">
        <f t="shared" ref="X42" si="242">X41/W41-1</f>
        <v>-0.11032526031765377</v>
      </c>
      <c r="Y42" s="57">
        <f t="shared" ref="Y42" si="243">Y41/X41-1</f>
        <v>-3.6321285057227426E-2</v>
      </c>
      <c r="Z42" s="57">
        <f t="shared" ref="Z42" si="244">Z41/Y41-1</f>
        <v>-7.5246942354712743E-2</v>
      </c>
      <c r="AA42" s="57">
        <f t="shared" ref="AA42" si="245">AA41/Z41-1</f>
        <v>0.10439354666582101</v>
      </c>
      <c r="AB42" s="57">
        <f t="shared" ref="AB42" si="246">AB41/AA41-1</f>
        <v>0.18547378849251239</v>
      </c>
      <c r="AC42" s="57">
        <f t="shared" ref="AC42" si="247">AC41/AB41-1</f>
        <v>-5.1975144162714093E-2</v>
      </c>
      <c r="AD42" s="62">
        <f t="shared" ref="AD42" si="248">AD41/AC41-1</f>
        <v>-0.16193349030863646</v>
      </c>
      <c r="AE42" s="57">
        <f t="shared" ref="AE42" si="249">AE41/AD41-1</f>
        <v>4.0319645678572602E-2</v>
      </c>
      <c r="AF42" s="57">
        <f t="shared" ref="AF42" si="250">AF41/AE41-1</f>
        <v>4.0390514609987438E-2</v>
      </c>
      <c r="AG42" s="57">
        <f t="shared" ref="AG42" si="251">AG41/AF41-1</f>
        <v>2.709552212039279E-2</v>
      </c>
      <c r="AH42" s="57">
        <f t="shared" ref="AH42" si="252">AH41/AG41-1</f>
        <v>9.6789160323412338E-2</v>
      </c>
      <c r="AI42" s="57">
        <f t="shared" ref="AI42" si="253">AI41/AH41-1</f>
        <v>-8.3338402081098995E-2</v>
      </c>
      <c r="AJ42" s="57">
        <f t="shared" ref="AJ42" si="254">AJ41/AI41-1</f>
        <v>6.7653301917554032E-3</v>
      </c>
      <c r="AK42" s="57">
        <f t="shared" ref="AK42" si="255">AK41/AJ41-1</f>
        <v>-1.6836845905064735E-2</v>
      </c>
      <c r="AL42" s="57">
        <f t="shared" ref="AL42" si="256">AL41/AK41-1</f>
        <v>3.9468355197064264E-2</v>
      </c>
      <c r="AM42" s="57">
        <f t="shared" ref="AM42" si="257">AM41/AL41-1</f>
        <v>5.7233489965937023E-2</v>
      </c>
      <c r="AN42" s="57">
        <f t="shared" ref="AN42" si="258">AN41/AM41-1</f>
        <v>-3.7675564005640094E-2</v>
      </c>
      <c r="AO42" s="57">
        <f t="shared" ref="AO42" si="259">AO41/AN41-1</f>
        <v>-8.0433910452210822E-2</v>
      </c>
      <c r="AP42" s="57">
        <f t="shared" ref="AP42" si="260">AP41/AO41-1</f>
        <v>3.6443241418948835E-2</v>
      </c>
      <c r="AQ42" s="57">
        <f t="shared" ref="AQ42" si="261">AQ41/AP41-1</f>
        <v>-5.3899230149843991E-2</v>
      </c>
      <c r="AR42" s="57">
        <f t="shared" ref="AR42" si="262">AR41/AQ41-1</f>
        <v>9.1335959065680594E-2</v>
      </c>
      <c r="AS42" s="57">
        <f t="shared" ref="AS42" si="263">AS41/AR41-1</f>
        <v>-6.3401040864808023E-2</v>
      </c>
      <c r="AT42" s="57">
        <f t="shared" ref="AT42" si="264">AT41/AS41-1</f>
        <v>0.14585843683428412</v>
      </c>
      <c r="AU42" s="57">
        <f t="shared" ref="AU42" si="265">AU41/AT41-1</f>
        <v>-8.7670580339529125E-2</v>
      </c>
      <c r="AV42" s="57">
        <f t="shared" ref="AV42" si="266">AV41/AU41-1</f>
        <v>6.1698039661428838E-2</v>
      </c>
      <c r="AW42" s="57">
        <f t="shared" ref="AW42" si="267">AW41/AV41-1</f>
        <v>-0.13036120035734444</v>
      </c>
      <c r="AX42" s="61"/>
      <c r="AY42" s="61"/>
      <c r="AZ42" s="61"/>
      <c r="BA42" s="58"/>
      <c r="BB42" s="57">
        <f t="shared" ref="BB42" si="268">BB41/BA41-1</f>
        <v>2.0332302119236978E-3</v>
      </c>
      <c r="BC42" s="57">
        <f t="shared" ref="BC42" si="269">BC41/BB41-1</f>
        <v>2.5353311111567356E-2</v>
      </c>
      <c r="BD42" s="57">
        <f t="shared" ref="BD42" si="270">BD41/BC41-1</f>
        <v>4.4740679439271291E-2</v>
      </c>
      <c r="BE42" s="57">
        <f t="shared" ref="BE42" si="271">BE41/BD41-1</f>
        <v>2.3421036143977725E-2</v>
      </c>
      <c r="BF42" s="57">
        <f t="shared" ref="BF42" si="272">BF41/BE41-1</f>
        <v>7.3833560214246807E-2</v>
      </c>
      <c r="BG42" s="57">
        <f t="shared" ref="BG42" si="273">BG41/BF41-1</f>
        <v>-5.002042900539927E-2</v>
      </c>
      <c r="BH42" s="57">
        <f t="shared" ref="BH42" si="274">BH41/BG41-1</f>
        <v>0.10203449877035831</v>
      </c>
      <c r="BI42" s="57">
        <f t="shared" ref="BI42" si="275">BI41/BH41-1</f>
        <v>-4.010948315688323E-2</v>
      </c>
      <c r="BJ42" s="57">
        <f t="shared" ref="BJ42" si="276">BJ41/BI41-1</f>
        <v>-7.0819163101056404E-2</v>
      </c>
      <c r="BK42" s="57">
        <f t="shared" ref="BK42" si="277">BK41/BJ41-1</f>
        <v>7.3191540963442048E-3</v>
      </c>
      <c r="BL42" s="57">
        <f t="shared" ref="BL42" si="278">BL41/BK41-1</f>
        <v>4.0597013641972435E-2</v>
      </c>
      <c r="BM42" s="57">
        <f t="shared" ref="BM42" si="279">BM41/BL41-1</f>
        <v>-3.4042808123668777E-2</v>
      </c>
      <c r="BN42" s="57">
        <f t="shared" ref="BN42" si="280">BN41/BM41-1</f>
        <v>-0.10924236082439176</v>
      </c>
      <c r="BO42" s="57">
        <f t="shared" ref="BO42" si="281">BO41/BN41-1</f>
        <v>0.19229041747286835</v>
      </c>
      <c r="BP42" s="57">
        <f>BP41/BO41-1</f>
        <v>-1.1852645399296868E-2</v>
      </c>
      <c r="BQ42" s="63">
        <f>BQ41/$BP41-1</f>
        <v>-0.45224490128629413</v>
      </c>
      <c r="BR42" s="63">
        <f>BR41/$BP41-1</f>
        <v>-0.19410163191444263</v>
      </c>
      <c r="BS42" s="63">
        <f>BS41/$BP41-1</f>
        <v>-0.35659816756060581</v>
      </c>
    </row>
    <row r="43" spans="1:71" ht="20.100000000000001" customHeight="1" x14ac:dyDescent="0.2">
      <c r="A43" s="22" t="s">
        <v>113</v>
      </c>
      <c r="B43" s="23">
        <v>595.14503128320507</v>
      </c>
      <c r="C43" s="23">
        <v>630.72615709652348</v>
      </c>
      <c r="D43" s="23">
        <v>606.34471199158111</v>
      </c>
      <c r="E43" s="23">
        <v>597.02246998716589</v>
      </c>
      <c r="F43" s="23">
        <v>659.04055348953409</v>
      </c>
      <c r="G43" s="23">
        <v>675.50162164367123</v>
      </c>
      <c r="H43" s="23">
        <v>653.2057198859535</v>
      </c>
      <c r="I43" s="23">
        <v>649.86335229599035</v>
      </c>
      <c r="J43" s="23">
        <v>671.88093767098644</v>
      </c>
      <c r="K43" s="23">
        <v>673.01598848181516</v>
      </c>
      <c r="L43" s="23">
        <v>662.45312086856347</v>
      </c>
      <c r="M43" s="23">
        <v>652.18232828079204</v>
      </c>
      <c r="N43" s="23">
        <v>667.51752859882527</v>
      </c>
      <c r="O43" s="23">
        <v>665.12667702309147</v>
      </c>
      <c r="P43" s="23">
        <v>688.08707860334562</v>
      </c>
      <c r="Q43" s="23">
        <v>736.52697178399092</v>
      </c>
      <c r="R43" s="24" t="s">
        <v>27</v>
      </c>
      <c r="S43" s="24">
        <v>711.62954283604006</v>
      </c>
      <c r="T43" s="23">
        <v>706.38979699087122</v>
      </c>
      <c r="U43" s="23">
        <v>791.03479941359092</v>
      </c>
      <c r="V43" s="23">
        <v>711.97924252220832</v>
      </c>
      <c r="W43" s="23">
        <v>728.70012109845425</v>
      </c>
      <c r="X43" s="23">
        <v>739.16915526905007</v>
      </c>
      <c r="Y43" s="23">
        <v>736.70009913688205</v>
      </c>
      <c r="Z43" s="23">
        <v>740.16785982022202</v>
      </c>
      <c r="AA43" s="23">
        <v>704.03467736568973</v>
      </c>
      <c r="AB43" s="23">
        <v>705.27084701099022</v>
      </c>
      <c r="AC43" s="23">
        <v>738.25623352729895</v>
      </c>
      <c r="AD43" s="23">
        <v>770.6157996669665</v>
      </c>
      <c r="AE43" s="23">
        <v>736.57294805921845</v>
      </c>
      <c r="AF43" s="23">
        <v>722.56713270111072</v>
      </c>
      <c r="AG43" s="23">
        <v>742.97835648359944</v>
      </c>
      <c r="AH43" s="23">
        <v>714.64650889339839</v>
      </c>
      <c r="AI43" s="23">
        <v>806.37012069968728</v>
      </c>
      <c r="AJ43" s="23">
        <v>862.27356587230452</v>
      </c>
      <c r="AK43" s="23">
        <v>898.0029753415273</v>
      </c>
      <c r="AL43" s="23">
        <v>922.63134407882796</v>
      </c>
      <c r="AM43" s="23">
        <v>958.34417874458768</v>
      </c>
      <c r="AN43" s="23">
        <v>893.27883851429567</v>
      </c>
      <c r="AO43" s="23">
        <v>867.29230490739747</v>
      </c>
      <c r="AP43" s="23">
        <v>902.74497717877796</v>
      </c>
      <c r="AQ43" s="23">
        <v>944.77862263909003</v>
      </c>
      <c r="AR43" s="23">
        <v>876.15291132358277</v>
      </c>
      <c r="AS43" s="23">
        <v>905.53823508809671</v>
      </c>
      <c r="AT43" s="23">
        <v>898.24021370636558</v>
      </c>
      <c r="AU43" s="23">
        <v>880.07309285051497</v>
      </c>
      <c r="AV43" s="23">
        <v>908.50354472242657</v>
      </c>
      <c r="AW43" s="23">
        <v>944.69778037075423</v>
      </c>
      <c r="AX43" s="36" t="s">
        <v>27</v>
      </c>
      <c r="AY43" s="36" t="s">
        <v>27</v>
      </c>
      <c r="AZ43" s="36" t="s">
        <v>27</v>
      </c>
      <c r="BA43" s="25">
        <v>871.32100000000003</v>
      </c>
      <c r="BB43" s="23">
        <v>806.15565374521907</v>
      </c>
      <c r="BC43" s="23">
        <v>833.91658458088148</v>
      </c>
      <c r="BD43" s="23">
        <v>858.5764808686622</v>
      </c>
      <c r="BE43" s="23">
        <v>853.3603887999999</v>
      </c>
      <c r="BF43" s="23">
        <v>831.26381519999995</v>
      </c>
      <c r="BG43" s="23">
        <v>859.67867000000001</v>
      </c>
      <c r="BH43" s="23">
        <v>856.68604000000005</v>
      </c>
      <c r="BI43" s="23">
        <v>859.8975332</v>
      </c>
      <c r="BJ43" s="23">
        <v>830.77800000000002</v>
      </c>
      <c r="BK43" s="23">
        <v>844.11500000000001</v>
      </c>
      <c r="BL43" s="23">
        <v>857.35299999999995</v>
      </c>
      <c r="BM43" s="23">
        <v>896.13300000000004</v>
      </c>
      <c r="BN43" s="23">
        <v>912.60487722945913</v>
      </c>
      <c r="BO43" s="23">
        <v>925.47699999999998</v>
      </c>
      <c r="BP43" s="23">
        <v>875.80799999999999</v>
      </c>
      <c r="BQ43" s="23">
        <v>695.00300000000004</v>
      </c>
      <c r="BR43" s="23">
        <v>794.54499999999996</v>
      </c>
      <c r="BS43" s="23">
        <v>780.93600000000004</v>
      </c>
    </row>
    <row r="44" spans="1:71" s="56" customFormat="1" ht="20.100000000000001" customHeight="1" x14ac:dyDescent="0.2">
      <c r="A44" s="22"/>
      <c r="B44" s="23"/>
      <c r="C44" s="57">
        <f t="shared" ref="C44" si="282">C43/B43-1</f>
        <v>5.9785638698186094E-2</v>
      </c>
      <c r="D44" s="57">
        <f t="shared" ref="D44" si="283">D43/C43-1</f>
        <v>-3.8656150265242828E-2</v>
      </c>
      <c r="E44" s="57">
        <f t="shared" ref="E44" si="284">E43/D43-1</f>
        <v>-1.5374492133023887E-2</v>
      </c>
      <c r="F44" s="57">
        <f t="shared" ref="F44" si="285">F43/E43-1</f>
        <v>0.10387897712409622</v>
      </c>
      <c r="G44" s="57">
        <f t="shared" ref="G44" si="286">G43/F43-1</f>
        <v>2.4977322058525653E-2</v>
      </c>
      <c r="H44" s="57">
        <f t="shared" ref="H44" si="287">H43/G43-1</f>
        <v>-3.3006437058531457E-2</v>
      </c>
      <c r="I44" s="57">
        <f t="shared" ref="I44" si="288">I43/H43-1</f>
        <v>-5.1168682211580885E-3</v>
      </c>
      <c r="J44" s="57">
        <f t="shared" ref="J44" si="289">J43/I43-1</f>
        <v>3.3880330837563255E-2</v>
      </c>
      <c r="K44" s="57">
        <f t="shared" ref="K44" si="290">K43/J43-1</f>
        <v>1.6893630213163924E-3</v>
      </c>
      <c r="L44" s="57">
        <f t="shared" ref="L44" si="291">L43/K43-1</f>
        <v>-1.5694824185498613E-2</v>
      </c>
      <c r="M44" s="57">
        <f t="shared" ref="M44" si="292">M43/L43-1</f>
        <v>-1.5504180241924237E-2</v>
      </c>
      <c r="N44" s="57">
        <f t="shared" ref="N44" si="293">N43/M43-1</f>
        <v>2.3513670415538757E-2</v>
      </c>
      <c r="O44" s="57">
        <f t="shared" ref="O44" si="294">O43/N43-1</f>
        <v>-3.5817060575957793E-3</v>
      </c>
      <c r="P44" s="57">
        <f t="shared" ref="P44" si="295">P43/O43-1</f>
        <v>3.4520343828363664E-2</v>
      </c>
      <c r="Q44" s="57">
        <f t="shared" ref="Q44" si="296">Q43/P43-1</f>
        <v>7.039791137913376E-2</v>
      </c>
      <c r="R44" s="64"/>
      <c r="S44" s="64"/>
      <c r="T44" s="57">
        <f t="shared" ref="T44" si="297">T43/S43-1</f>
        <v>-7.3630246213317596E-3</v>
      </c>
      <c r="U44" s="57">
        <f t="shared" ref="U44" si="298">U43/T43-1</f>
        <v>0.11982761186995683</v>
      </c>
      <c r="V44" s="62">
        <f t="shared" ref="V44" si="299">V43/U43-1</f>
        <v>-9.9939417267088548E-2</v>
      </c>
      <c r="W44" s="57">
        <f t="shared" ref="W44" si="300">W43/V43-1</f>
        <v>2.3485064700779379E-2</v>
      </c>
      <c r="X44" s="57">
        <f t="shared" ref="X44" si="301">X43/W43-1</f>
        <v>1.4366724894754546E-2</v>
      </c>
      <c r="Y44" s="57">
        <f t="shared" ref="Y44" si="302">Y43/X43-1</f>
        <v>-3.3403127207997096E-3</v>
      </c>
      <c r="Z44" s="57">
        <f t="shared" ref="Z44" si="303">Z43/Y43-1</f>
        <v>4.7071538165974758E-3</v>
      </c>
      <c r="AA44" s="57">
        <f t="shared" ref="AA44" si="304">AA43/Z43-1</f>
        <v>-4.8817551282635541E-2</v>
      </c>
      <c r="AB44" s="57">
        <f t="shared" ref="AB44" si="305">AB43/AA43-1</f>
        <v>1.7558363032996738E-3</v>
      </c>
      <c r="AC44" s="57">
        <f t="shared" ref="AC44" si="306">AC43/AB43-1</f>
        <v>4.6769814258031728E-2</v>
      </c>
      <c r="AD44" s="57">
        <f t="shared" ref="AD44" si="307">AD43/AC43-1</f>
        <v>4.3832431979690112E-2</v>
      </c>
      <c r="AE44" s="57">
        <f t="shared" ref="AE44" si="308">AE43/AD43-1</f>
        <v>-4.4176166154989538E-2</v>
      </c>
      <c r="AF44" s="57">
        <f t="shared" ref="AF44" si="309">AF43/AE43-1</f>
        <v>-1.9014838102609399E-2</v>
      </c>
      <c r="AG44" s="57">
        <f t="shared" ref="AG44" si="310">AG43/AF43-1</f>
        <v>2.8248204019724943E-2</v>
      </c>
      <c r="AH44" s="57">
        <f t="shared" ref="AH44" si="311">AH43/AG43-1</f>
        <v>-3.8132803389174463E-2</v>
      </c>
      <c r="AI44" s="57">
        <f t="shared" ref="AI44" si="312">AI43/AH43-1</f>
        <v>0.12834822624169706</v>
      </c>
      <c r="AJ44" s="57">
        <f t="shared" ref="AJ44" si="313">AJ43/AI43-1</f>
        <v>6.9327277558486111E-2</v>
      </c>
      <c r="AK44" s="57">
        <f t="shared" ref="AK44" si="314">AK43/AJ43-1</f>
        <v>4.1436280646128587E-2</v>
      </c>
      <c r="AL44" s="57">
        <f t="shared" ref="AL44" si="315">AL43/AK43-1</f>
        <v>2.7425709506067042E-2</v>
      </c>
      <c r="AM44" s="57">
        <f t="shared" ref="AM44" si="316">AM43/AL43-1</f>
        <v>3.8707588783921221E-2</v>
      </c>
      <c r="AN44" s="57">
        <f t="shared" ref="AN44" si="317">AN43/AM43-1</f>
        <v>-6.7893499718990724E-2</v>
      </c>
      <c r="AO44" s="57">
        <f t="shared" ref="AO44" si="318">AO43/AN43-1</f>
        <v>-2.909117790153759E-2</v>
      </c>
      <c r="AP44" s="57">
        <f t="shared" ref="AP44" si="319">AP43/AO43-1</f>
        <v>4.0877420531438835E-2</v>
      </c>
      <c r="AQ44" s="57">
        <f t="shared" ref="AQ44" si="320">AQ43/AP43-1</f>
        <v>4.6562037477819951E-2</v>
      </c>
      <c r="AR44" s="57">
        <f t="shared" ref="AR44" si="321">AR43/AQ43-1</f>
        <v>-7.2636816362135925E-2</v>
      </c>
      <c r="AS44" s="57">
        <f t="shared" ref="AS44" si="322">AS43/AR43-1</f>
        <v>3.3539035691980024E-2</v>
      </c>
      <c r="AT44" s="57">
        <f t="shared" ref="AT44" si="323">AT43/AS43-1</f>
        <v>-8.0593188657805959E-3</v>
      </c>
      <c r="AU44" s="57">
        <f t="shared" ref="AU44" si="324">AU43/AT43-1</f>
        <v>-2.0225236611138175E-2</v>
      </c>
      <c r="AV44" s="57">
        <f t="shared" ref="AV44" si="325">AV43/AU43-1</f>
        <v>3.2304648446672468E-2</v>
      </c>
      <c r="AW44" s="57">
        <f t="shared" ref="AW44" si="326">AW43/AV43-1</f>
        <v>3.9839399481249149E-2</v>
      </c>
      <c r="AX44" s="61"/>
      <c r="AY44" s="61"/>
      <c r="AZ44" s="61"/>
      <c r="BA44" s="58"/>
      <c r="BB44" s="57">
        <f t="shared" ref="BB44" si="327">BB43/BA43-1</f>
        <v>-7.4789137705599806E-2</v>
      </c>
      <c r="BC44" s="57">
        <f t="shared" ref="BC44" si="328">BC43/BB43-1</f>
        <v>3.4436191952126549E-2</v>
      </c>
      <c r="BD44" s="57">
        <f t="shared" ref="BD44" si="329">BD43/BC43-1</f>
        <v>2.9571178633141848E-2</v>
      </c>
      <c r="BE44" s="57">
        <f t="shared" ref="BE44" si="330">BE43/BD43-1</f>
        <v>-6.0752794711834701E-3</v>
      </c>
      <c r="BF44" s="57">
        <f t="shared" ref="BF44" si="331">BF43/BE43-1</f>
        <v>-2.5893601214689976E-2</v>
      </c>
      <c r="BG44" s="57">
        <f t="shared" ref="BG44" si="332">BG43/BF43-1</f>
        <v>3.4182715860383572E-2</v>
      </c>
      <c r="BH44" s="57">
        <f t="shared" ref="BH44" si="333">BH43/BG43-1</f>
        <v>-3.4811030032884105E-3</v>
      </c>
      <c r="BI44" s="57">
        <f t="shared" ref="BI44" si="334">BI43/BH43-1</f>
        <v>3.7487399701294777E-3</v>
      </c>
      <c r="BJ44" s="57">
        <f t="shared" ref="BJ44" si="335">BJ43/BI43-1</f>
        <v>-3.3863957129444566E-2</v>
      </c>
      <c r="BK44" s="57">
        <f t="shared" ref="BK44" si="336">BK43/BJ43-1</f>
        <v>1.6053626841346258E-2</v>
      </c>
      <c r="BL44" s="57">
        <f t="shared" ref="BL44" si="337">BL43/BK43-1</f>
        <v>1.5682697262813683E-2</v>
      </c>
      <c r="BM44" s="57">
        <f t="shared" ref="BM44" si="338">BM43/BL43-1</f>
        <v>4.5232243894871793E-2</v>
      </c>
      <c r="BN44" s="57">
        <f t="shared" ref="BN44" si="339">BN43/BM43-1</f>
        <v>1.8381063111679863E-2</v>
      </c>
      <c r="BO44" s="57">
        <f t="shared" ref="BO44" si="340">BO43/BN43-1</f>
        <v>1.4104814790842246E-2</v>
      </c>
      <c r="BP44" s="57">
        <f>BP43/BO43-1</f>
        <v>-5.3668540655251284E-2</v>
      </c>
      <c r="BQ44" s="63">
        <f>BQ43/$BP43-1</f>
        <v>-0.20644364974971674</v>
      </c>
      <c r="BR44" s="63">
        <f>BR43/$BP43-1</f>
        <v>-9.2786318462494077E-2</v>
      </c>
      <c r="BS44" s="63">
        <f>BS43/$BP43-1</f>
        <v>-0.10832511235339248</v>
      </c>
    </row>
    <row r="45" spans="1:71" ht="20.100000000000001" customHeight="1" x14ac:dyDescent="0.2">
      <c r="A45" s="22" t="s">
        <v>114</v>
      </c>
      <c r="B45" s="23">
        <v>810.69776420636742</v>
      </c>
      <c r="C45" s="23">
        <v>860.96903398316977</v>
      </c>
      <c r="D45" s="23">
        <v>889.80287975258079</v>
      </c>
      <c r="E45" s="23">
        <v>841.78702282997051</v>
      </c>
      <c r="F45" s="23">
        <v>820.75935836708595</v>
      </c>
      <c r="G45" s="23">
        <v>902.23972805408789</v>
      </c>
      <c r="H45" s="23">
        <v>950.92779494888077</v>
      </c>
      <c r="I45" s="23">
        <v>948.25539119367374</v>
      </c>
      <c r="J45" s="23">
        <v>954.57778007848106</v>
      </c>
      <c r="K45" s="23">
        <v>934.14302564492755</v>
      </c>
      <c r="L45" s="23">
        <v>971.94187458366287</v>
      </c>
      <c r="M45" s="23">
        <v>1031.9039100760072</v>
      </c>
      <c r="N45" s="23">
        <v>1017.9887971866785</v>
      </c>
      <c r="O45" s="23">
        <v>986.37217936343598</v>
      </c>
      <c r="P45" s="23">
        <v>1045.2278259219845</v>
      </c>
      <c r="Q45" s="23">
        <v>1065.3206943333682</v>
      </c>
      <c r="R45" s="24" t="s">
        <v>27</v>
      </c>
      <c r="S45" s="24">
        <v>1091.2398921373053</v>
      </c>
      <c r="T45" s="23">
        <v>1040.8429625039212</v>
      </c>
      <c r="U45" s="23">
        <v>1124.7995097508733</v>
      </c>
      <c r="V45" s="23">
        <v>1037.8303189517126</v>
      </c>
      <c r="W45" s="23">
        <v>1019.7113517140955</v>
      </c>
      <c r="X45" s="23">
        <v>1118.0059927441216</v>
      </c>
      <c r="Y45" s="23">
        <v>1218.6633932753023</v>
      </c>
      <c r="Z45" s="23">
        <v>1076.3069636236517</v>
      </c>
      <c r="AA45" s="23">
        <v>1078.7428267919233</v>
      </c>
      <c r="AB45" s="23">
        <v>1072.7333502656172</v>
      </c>
      <c r="AC45" s="23">
        <v>1199.1325263169163</v>
      </c>
      <c r="AD45" s="23">
        <v>1140.0911289509429</v>
      </c>
      <c r="AE45" s="23">
        <v>1148.8904636170671</v>
      </c>
      <c r="AF45" s="23">
        <v>1162.4642551214442</v>
      </c>
      <c r="AG45" s="23">
        <v>1218.7543900211631</v>
      </c>
      <c r="AH45" s="23">
        <v>1106.0489436561179</v>
      </c>
      <c r="AI45" s="23">
        <v>1120.3853418657616</v>
      </c>
      <c r="AJ45" s="23">
        <v>1066.1443043086774</v>
      </c>
      <c r="AK45" s="23">
        <v>1089.253917876453</v>
      </c>
      <c r="AL45" s="23">
        <v>1135.945046673648</v>
      </c>
      <c r="AM45" s="23">
        <v>1153.4050192399166</v>
      </c>
      <c r="AN45" s="23">
        <v>1168.420079936941</v>
      </c>
      <c r="AO45" s="23">
        <v>1173.7303228089959</v>
      </c>
      <c r="AP45" s="23">
        <v>1019.6800529141371</v>
      </c>
      <c r="AQ45" s="23">
        <v>1067.5071533891628</v>
      </c>
      <c r="AR45" s="23">
        <v>1097.5393747685748</v>
      </c>
      <c r="AS45" s="23">
        <v>1029.0309195033251</v>
      </c>
      <c r="AT45" s="23">
        <v>1049.0875356218928</v>
      </c>
      <c r="AU45" s="23">
        <v>1092.3273996860373</v>
      </c>
      <c r="AV45" s="23">
        <v>1098.9313900706024</v>
      </c>
      <c r="AW45" s="23">
        <v>1018.0539532675382</v>
      </c>
      <c r="AX45" s="36" t="s">
        <v>27</v>
      </c>
      <c r="AY45" s="36" t="s">
        <v>27</v>
      </c>
      <c r="AZ45" s="36" t="s">
        <v>27</v>
      </c>
      <c r="BA45" s="25">
        <v>1116.9079999999999</v>
      </c>
      <c r="BB45" s="23">
        <v>1130.8073836075093</v>
      </c>
      <c r="BC45" s="23">
        <v>1262.0438046465911</v>
      </c>
      <c r="BD45" s="23">
        <v>1269.0801518271414</v>
      </c>
      <c r="BE45" s="23">
        <v>1187.8487210000001</v>
      </c>
      <c r="BF45" s="23">
        <v>1194.3695127000001</v>
      </c>
      <c r="BG45" s="23">
        <v>1267.4005199999999</v>
      </c>
      <c r="BH45" s="23">
        <v>1265.0896400000001</v>
      </c>
      <c r="BI45" s="23">
        <v>1170.989149</v>
      </c>
      <c r="BJ45" s="23">
        <v>1186.74</v>
      </c>
      <c r="BK45" s="23">
        <v>1208.77</v>
      </c>
      <c r="BL45" s="23">
        <v>1334.374</v>
      </c>
      <c r="BM45" s="23">
        <v>1264.5319999999999</v>
      </c>
      <c r="BN45" s="23">
        <v>1302.0664078447992</v>
      </c>
      <c r="BO45" s="23">
        <v>1273.982</v>
      </c>
      <c r="BP45" s="23">
        <v>1267.876</v>
      </c>
      <c r="BQ45" s="23">
        <v>1049.4780000000001</v>
      </c>
      <c r="BR45" s="23">
        <v>1100.6310000000001</v>
      </c>
      <c r="BS45" s="23">
        <v>1273.914</v>
      </c>
    </row>
    <row r="46" spans="1:71" s="56" customFormat="1" ht="20.100000000000001" customHeight="1" x14ac:dyDescent="0.2">
      <c r="A46" s="22"/>
      <c r="B46" s="23"/>
      <c r="C46" s="57">
        <f t="shared" ref="C46" si="341">C45/B45-1</f>
        <v>6.2009878399029938E-2</v>
      </c>
      <c r="D46" s="57">
        <f t="shared" ref="D46" si="342">D45/C45-1</f>
        <v>3.3489991662086549E-2</v>
      </c>
      <c r="E46" s="57">
        <f t="shared" ref="E46" si="343">E45/D45-1</f>
        <v>-5.3962352803310298E-2</v>
      </c>
      <c r="F46" s="57">
        <f t="shared" ref="F46" si="344">F45/E45-1</f>
        <v>-2.4979791672473772E-2</v>
      </c>
      <c r="G46" s="57">
        <f t="shared" ref="G46" si="345">G45/F45-1</f>
        <v>9.927437178311127E-2</v>
      </c>
      <c r="H46" s="57">
        <f t="shared" ref="H46" si="346">H45/G45-1</f>
        <v>5.3963559108399339E-2</v>
      </c>
      <c r="I46" s="57">
        <f t="shared" ref="I46" si="347">I45/H45-1</f>
        <v>-2.8103119599639514E-3</v>
      </c>
      <c r="J46" s="57">
        <f t="shared" ref="J46" si="348">J45/I45-1</f>
        <v>6.6673903924223676E-3</v>
      </c>
      <c r="K46" s="57">
        <f t="shared" ref="K46" si="349">K45/J45-1</f>
        <v>-2.1407113029462521E-2</v>
      </c>
      <c r="L46" s="57">
        <f t="shared" ref="L46" si="350">L45/K45-1</f>
        <v>4.0463663380282844E-2</v>
      </c>
      <c r="M46" s="57">
        <f t="shared" ref="M46" si="351">M45/L45-1</f>
        <v>6.1693026157587205E-2</v>
      </c>
      <c r="N46" s="57">
        <f t="shared" ref="N46" si="352">N45/M45-1</f>
        <v>-1.3484892104249968E-2</v>
      </c>
      <c r="O46" s="57">
        <f t="shared" ref="O46" si="353">O45/N45-1</f>
        <v>-3.1057923142787547E-2</v>
      </c>
      <c r="P46" s="57">
        <f t="shared" ref="P46" si="354">P45/O45-1</f>
        <v>5.9668802293807222E-2</v>
      </c>
      <c r="Q46" s="57">
        <f t="shared" ref="Q46" si="355">Q45/P45-1</f>
        <v>1.9223434272485074E-2</v>
      </c>
      <c r="R46" s="64"/>
      <c r="S46" s="64"/>
      <c r="T46" s="57">
        <f t="shared" ref="T46" si="356">T45/S45-1</f>
        <v>-4.6183181165304177E-2</v>
      </c>
      <c r="U46" s="57">
        <f t="shared" ref="U46" si="357">U45/T45-1</f>
        <v>8.0662069372098744E-2</v>
      </c>
      <c r="V46" s="57">
        <f t="shared" ref="V46" si="358">V45/U45-1</f>
        <v>-7.7319726800399446E-2</v>
      </c>
      <c r="W46" s="57">
        <f t="shared" ref="W46" si="359">W45/V45-1</f>
        <v>-1.745850637310209E-2</v>
      </c>
      <c r="X46" s="57">
        <f t="shared" ref="X46" si="360">X45/W45-1</f>
        <v>9.6394573684794871E-2</v>
      </c>
      <c r="Y46" s="57">
        <f t="shared" ref="Y46" si="361">Y45/X45-1</f>
        <v>9.0032970471042972E-2</v>
      </c>
      <c r="Z46" s="57">
        <f t="shared" ref="Z46" si="362">Z45/Y45-1</f>
        <v>-0.11681357660957625</v>
      </c>
      <c r="AA46" s="57">
        <f t="shared" ref="AA46" si="363">AA45/Z45-1</f>
        <v>2.263167711997971E-3</v>
      </c>
      <c r="AB46" s="57">
        <f t="shared" ref="AB46" si="364">AB45/AA45-1</f>
        <v>-5.570814819856329E-3</v>
      </c>
      <c r="AC46" s="57">
        <f t="shared" ref="AC46" si="365">AC45/AB45-1</f>
        <v>0.11782907282597455</v>
      </c>
      <c r="AD46" s="57">
        <f t="shared" ref="AD46" si="366">AD45/AC45-1</f>
        <v>-4.923675746442846E-2</v>
      </c>
      <c r="AE46" s="57">
        <f t="shared" ref="AE46" si="367">AE45/AD45-1</f>
        <v>7.7180976526156631E-3</v>
      </c>
      <c r="AF46" s="57">
        <f t="shared" ref="AF46" si="368">AF45/AE45-1</f>
        <v>1.1814695947290454E-2</v>
      </c>
      <c r="AG46" s="57">
        <f t="shared" ref="AG46" si="369">AG45/AF45-1</f>
        <v>4.8423110346595744E-2</v>
      </c>
      <c r="AH46" s="57">
        <f t="shared" ref="AH46" si="370">AH45/AG45-1</f>
        <v>-9.2475930579489551E-2</v>
      </c>
      <c r="AI46" s="57">
        <f t="shared" ref="AI46" si="371">AI45/AH45-1</f>
        <v>1.2961811764182762E-2</v>
      </c>
      <c r="AJ46" s="57">
        <f t="shared" ref="AJ46" si="372">AJ45/AI45-1</f>
        <v>-4.841284112728339E-2</v>
      </c>
      <c r="AK46" s="57">
        <f t="shared" ref="AK46" si="373">AK45/AJ45-1</f>
        <v>2.167587771597268E-2</v>
      </c>
      <c r="AL46" s="57">
        <f t="shared" ref="AL46" si="374">AL45/AK45-1</f>
        <v>4.2865238335081157E-2</v>
      </c>
      <c r="AM46" s="57">
        <f t="shared" ref="AM46" si="375">AM45/AL45-1</f>
        <v>1.5370437696256456E-2</v>
      </c>
      <c r="AN46" s="57">
        <f t="shared" ref="AN46" si="376">AN45/AM45-1</f>
        <v>1.3018029613673043E-2</v>
      </c>
      <c r="AO46" s="57">
        <f t="shared" ref="AO46" si="377">AO45/AN45-1</f>
        <v>4.544806241554511E-3</v>
      </c>
      <c r="AP46" s="62">
        <f t="shared" ref="AP46" si="378">AP45/AO45-1</f>
        <v>-0.13124843663081176</v>
      </c>
      <c r="AQ46" s="57">
        <f t="shared" ref="AQ46" si="379">AQ45/AP45-1</f>
        <v>4.6904026746763305E-2</v>
      </c>
      <c r="AR46" s="57">
        <f t="shared" ref="AR46" si="380">AR45/AQ45-1</f>
        <v>2.8133039937076276E-2</v>
      </c>
      <c r="AS46" s="57">
        <f t="shared" ref="AS46" si="381">AS45/AR45-1</f>
        <v>-6.2420043271518399E-2</v>
      </c>
      <c r="AT46" s="57">
        <f t="shared" ref="AT46" si="382">AT45/AS45-1</f>
        <v>1.9490780829256593E-2</v>
      </c>
      <c r="AU46" s="57">
        <f t="shared" ref="AU46" si="383">AU45/AT45-1</f>
        <v>4.1216640743436228E-2</v>
      </c>
      <c r="AV46" s="57">
        <f t="shared" ref="AV46" si="384">AV45/AU45-1</f>
        <v>6.045797612019399E-3</v>
      </c>
      <c r="AW46" s="57">
        <f t="shared" ref="AW46" si="385">AW45/AV45-1</f>
        <v>-7.359643880758393E-2</v>
      </c>
      <c r="AX46" s="61"/>
      <c r="AY46" s="61"/>
      <c r="AZ46" s="61"/>
      <c r="BA46" s="58"/>
      <c r="BB46" s="57">
        <f t="shared" ref="BB46" si="386">BB45/BA45-1</f>
        <v>1.2444519698586953E-2</v>
      </c>
      <c r="BC46" s="57">
        <f t="shared" ref="BC46" si="387">BC45/BB45-1</f>
        <v>0.11605550418357757</v>
      </c>
      <c r="BD46" s="57">
        <f t="shared" ref="BD46" si="388">BD45/BC45-1</f>
        <v>5.5753589175304707E-3</v>
      </c>
      <c r="BE46" s="57">
        <f t="shared" ref="BE46" si="389">BE45/BD45-1</f>
        <v>-6.4008116989450525E-2</v>
      </c>
      <c r="BF46" s="57">
        <f t="shared" ref="BF46" si="390">BF45/BE45-1</f>
        <v>5.4895809413428864E-3</v>
      </c>
      <c r="BG46" s="57">
        <f t="shared" ref="BG46" si="391">BG45/BF45-1</f>
        <v>6.114607458030763E-2</v>
      </c>
      <c r="BH46" s="57">
        <f t="shared" ref="BH46" si="392">BH45/BG45-1</f>
        <v>-1.8233225910304629E-3</v>
      </c>
      <c r="BI46" s="57">
        <f t="shared" ref="BI46" si="393">BI45/BH45-1</f>
        <v>-7.4382469055710665E-2</v>
      </c>
      <c r="BJ46" s="57">
        <f t="shared" ref="BJ46" si="394">BJ45/BI45-1</f>
        <v>1.3450894069727992E-2</v>
      </c>
      <c r="BK46" s="57">
        <f t="shared" ref="BK46" si="395">BK45/BJ45-1</f>
        <v>1.8563459561487861E-2</v>
      </c>
      <c r="BL46" s="57">
        <f t="shared" ref="BL46" si="396">BL45/BK45-1</f>
        <v>0.10391058679484111</v>
      </c>
      <c r="BM46" s="57">
        <f t="shared" ref="BM46" si="397">BM45/BL45-1</f>
        <v>-5.2340648124139189E-2</v>
      </c>
      <c r="BN46" s="57">
        <f t="shared" ref="BN46" si="398">BN45/BM45-1</f>
        <v>2.9682449985290349E-2</v>
      </c>
      <c r="BO46" s="57">
        <f t="shared" ref="BO46" si="399">BO45/BN45-1</f>
        <v>-2.1569105596760618E-2</v>
      </c>
      <c r="BP46" s="57">
        <f>BP45/BO45-1</f>
        <v>-4.7928463667461507E-3</v>
      </c>
      <c r="BQ46" s="63">
        <f>BQ45/$BP45-1</f>
        <v>-0.17225501547469935</v>
      </c>
      <c r="BR46" s="63">
        <f>BR45/$BP45-1</f>
        <v>-0.1319095873728976</v>
      </c>
      <c r="BS46" s="62">
        <f>BS45/$BP45-1</f>
        <v>4.7622953664239187E-3</v>
      </c>
    </row>
    <row r="47" spans="1:71" ht="20.100000000000001" customHeight="1" x14ac:dyDescent="0.2">
      <c r="A47" s="22" t="s">
        <v>115</v>
      </c>
      <c r="B47" s="23">
        <v>790.48423773097875</v>
      </c>
      <c r="C47" s="23">
        <v>746.15602231863011</v>
      </c>
      <c r="D47" s="23">
        <v>683.91754703559968</v>
      </c>
      <c r="E47" s="23">
        <v>757.31980651656227</v>
      </c>
      <c r="F47" s="23">
        <v>751.11659369009078</v>
      </c>
      <c r="G47" s="23">
        <v>699.79170998917516</v>
      </c>
      <c r="H47" s="23">
        <v>676.02479002597988</v>
      </c>
      <c r="I47" s="23">
        <v>753.46727288338047</v>
      </c>
      <c r="J47" s="23">
        <v>744.41035715855071</v>
      </c>
      <c r="K47" s="23">
        <v>798.63845764922041</v>
      </c>
      <c r="L47" s="23">
        <v>751.6851564938064</v>
      </c>
      <c r="M47" s="23">
        <v>783.48288311793749</v>
      </c>
      <c r="N47" s="23">
        <v>830.67463303870181</v>
      </c>
      <c r="O47" s="23">
        <v>827.62410284414136</v>
      </c>
      <c r="P47" s="23">
        <v>707.61147028253117</v>
      </c>
      <c r="Q47" s="23">
        <v>802.72850408252884</v>
      </c>
      <c r="R47" s="24" t="s">
        <v>27</v>
      </c>
      <c r="S47" s="24">
        <v>797.43969859524748</v>
      </c>
      <c r="T47" s="23">
        <v>797.80461269614625</v>
      </c>
      <c r="U47" s="23">
        <v>785.7903967260313</v>
      </c>
      <c r="V47" s="23">
        <v>774.55252485719063</v>
      </c>
      <c r="W47" s="23">
        <v>821.1857397804946</v>
      </c>
      <c r="X47" s="23">
        <v>825.81126116998291</v>
      </c>
      <c r="Y47" s="23">
        <v>869.43844276208881</v>
      </c>
      <c r="Z47" s="23">
        <v>820.29019368352408</v>
      </c>
      <c r="AA47" s="23">
        <v>829.8256111648235</v>
      </c>
      <c r="AB47" s="23">
        <v>846.83194431703816</v>
      </c>
      <c r="AC47" s="23">
        <v>834.99180601888122</v>
      </c>
      <c r="AD47" s="23">
        <v>833.80003247855541</v>
      </c>
      <c r="AE47" s="23">
        <v>851.88689121193897</v>
      </c>
      <c r="AF47" s="23">
        <v>844.94944998873211</v>
      </c>
      <c r="AG47" s="23">
        <v>871.14008274026992</v>
      </c>
      <c r="AH47" s="23">
        <v>882.87948400425796</v>
      </c>
      <c r="AI47" s="23">
        <v>836.83482767832857</v>
      </c>
      <c r="AJ47" s="23">
        <v>840.47960797016651</v>
      </c>
      <c r="AK47" s="23">
        <v>860.03904323179484</v>
      </c>
      <c r="AL47" s="23">
        <v>874.47417527442394</v>
      </c>
      <c r="AM47" s="23">
        <v>918.08314738938509</v>
      </c>
      <c r="AN47" s="23">
        <v>879.06340176664901</v>
      </c>
      <c r="AO47" s="23">
        <v>904.02920136814384</v>
      </c>
      <c r="AP47" s="23">
        <v>910.192492681923</v>
      </c>
      <c r="AQ47" s="23">
        <v>862.86124811060176</v>
      </c>
      <c r="AR47" s="23">
        <v>885.18637329034527</v>
      </c>
      <c r="AS47" s="23">
        <v>908.24047324535923</v>
      </c>
      <c r="AT47" s="23">
        <v>893.95925834068066</v>
      </c>
      <c r="AU47" s="23">
        <v>869.13258284329004</v>
      </c>
      <c r="AV47" s="23">
        <v>879.91855750392119</v>
      </c>
      <c r="AW47" s="23">
        <v>904.43108695473825</v>
      </c>
      <c r="AX47" s="36" t="s">
        <v>27</v>
      </c>
      <c r="AY47" s="36" t="s">
        <v>27</v>
      </c>
      <c r="AZ47" s="36" t="s">
        <v>27</v>
      </c>
      <c r="BA47" s="25">
        <v>921.54300000000001</v>
      </c>
      <c r="BB47" s="23">
        <v>926.86279737179575</v>
      </c>
      <c r="BC47" s="23">
        <v>948.99099923460381</v>
      </c>
      <c r="BD47" s="23">
        <v>908.19485759913982</v>
      </c>
      <c r="BE47" s="23">
        <v>953.77729940000006</v>
      </c>
      <c r="BF47" s="23">
        <v>966.90812399999993</v>
      </c>
      <c r="BG47" s="23">
        <v>1002.6219499999997</v>
      </c>
      <c r="BH47" s="23">
        <v>963.61473999999998</v>
      </c>
      <c r="BI47" s="23">
        <v>987.51051700000016</v>
      </c>
      <c r="BJ47" s="23">
        <v>1014.005</v>
      </c>
      <c r="BK47" s="23">
        <v>985.80700000000002</v>
      </c>
      <c r="BL47" s="23">
        <v>919.00199999999995</v>
      </c>
      <c r="BM47" s="23">
        <v>1052.0239999999999</v>
      </c>
      <c r="BN47" s="23">
        <v>1029.9458202864394</v>
      </c>
      <c r="BO47" s="23">
        <v>1001.928</v>
      </c>
      <c r="BP47" s="23">
        <v>947.76300000000003</v>
      </c>
      <c r="BQ47" s="23">
        <v>965.89200000000005</v>
      </c>
      <c r="BR47" s="23">
        <v>1005.015</v>
      </c>
      <c r="BS47" s="23">
        <v>992.06700000000001</v>
      </c>
    </row>
    <row r="48" spans="1:71" s="56" customFormat="1" ht="20.100000000000001" customHeight="1" x14ac:dyDescent="0.2">
      <c r="A48" s="22"/>
      <c r="B48" s="23"/>
      <c r="C48" s="57">
        <f t="shared" ref="C48" si="400">C47/B47-1</f>
        <v>-5.6077291989514166E-2</v>
      </c>
      <c r="D48" s="57">
        <f t="shared" ref="D48" si="401">D47/C47-1</f>
        <v>-8.3412146282259458E-2</v>
      </c>
      <c r="E48" s="57">
        <f t="shared" ref="E48" si="402">E47/D47-1</f>
        <v>0.10732618251881432</v>
      </c>
      <c r="F48" s="57">
        <f t="shared" ref="F48" si="403">F47/E47-1</f>
        <v>-8.1910083073152284E-3</v>
      </c>
      <c r="G48" s="57">
        <f t="shared" ref="G48" si="404">G47/F47-1</f>
        <v>-6.8331446984503885E-2</v>
      </c>
      <c r="H48" s="57">
        <f t="shared" ref="H48" si="405">H47/G47-1</f>
        <v>-3.3962848693310344E-2</v>
      </c>
      <c r="I48" s="57">
        <f t="shared" ref="I48" si="406">I47/H47-1</f>
        <v>0.11455568493934143</v>
      </c>
      <c r="J48" s="57">
        <f t="shared" ref="J48" si="407">J47/I47-1</f>
        <v>-1.2020317339292763E-2</v>
      </c>
      <c r="K48" s="57">
        <f t="shared" ref="K48" si="408">K47/J47-1</f>
        <v>7.2847052662809331E-2</v>
      </c>
      <c r="L48" s="57">
        <f t="shared" ref="L48" si="409">L47/K47-1</f>
        <v>-5.8791685656636505E-2</v>
      </c>
      <c r="M48" s="57">
        <f t="shared" ref="M48" si="410">M47/L47-1</f>
        <v>4.2301921688130406E-2</v>
      </c>
      <c r="N48" s="57">
        <f t="shared" ref="N48" si="411">N47/M47-1</f>
        <v>6.0233287717736284E-2</v>
      </c>
      <c r="O48" s="57">
        <f t="shared" ref="O48" si="412">O47/N47-1</f>
        <v>-3.6723526555774155E-3</v>
      </c>
      <c r="P48" s="62">
        <f t="shared" ref="P48" si="413">P47/O47-1</f>
        <v>-0.14500862426454852</v>
      </c>
      <c r="Q48" s="57">
        <f t="shared" ref="Q48" si="414">Q47/P47-1</f>
        <v>0.13441985862951022</v>
      </c>
      <c r="R48" s="64"/>
      <c r="S48" s="64"/>
      <c r="T48" s="57">
        <f t="shared" ref="T48" si="415">T47/S47-1</f>
        <v>4.5760714138198821E-4</v>
      </c>
      <c r="U48" s="57">
        <f t="shared" ref="U48" si="416">U47/T47-1</f>
        <v>-1.5059095646882015E-2</v>
      </c>
      <c r="V48" s="57">
        <f t="shared" ref="V48" si="417">V47/U47-1</f>
        <v>-1.430136066266896E-2</v>
      </c>
      <c r="W48" s="57">
        <f t="shared" ref="W48" si="418">W47/V47-1</f>
        <v>6.0206652779166925E-2</v>
      </c>
      <c r="X48" s="57">
        <f t="shared" ref="X48" si="419">X47/W47-1</f>
        <v>5.6327346730651318E-3</v>
      </c>
      <c r="Y48" s="57">
        <f t="shared" ref="Y48" si="420">Y47/X47-1</f>
        <v>5.2829482526426608E-2</v>
      </c>
      <c r="Z48" s="57">
        <f t="shared" ref="Z48" si="421">Z47/Y47-1</f>
        <v>-5.652872781013385E-2</v>
      </c>
      <c r="AA48" s="57">
        <f t="shared" ref="AA48" si="422">AA47/Z47-1</f>
        <v>1.1624444074456841E-2</v>
      </c>
      <c r="AB48" s="57">
        <f t="shared" ref="AB48" si="423">AB47/AA47-1</f>
        <v>2.0493863919604616E-2</v>
      </c>
      <c r="AC48" s="57">
        <f t="shared" ref="AC48" si="424">AC47/AB47-1</f>
        <v>-1.3981685950340328E-2</v>
      </c>
      <c r="AD48" s="57">
        <f t="shared" ref="AD48" si="425">AD47/AC47-1</f>
        <v>-1.4272877071788148E-3</v>
      </c>
      <c r="AE48" s="57">
        <f t="shared" ref="AE48" si="426">AE47/AD47-1</f>
        <v>2.1692082068668794E-2</v>
      </c>
      <c r="AF48" s="57">
        <f t="shared" ref="AF48" si="427">AF47/AE47-1</f>
        <v>-8.1436177675386912E-3</v>
      </c>
      <c r="AG48" s="57">
        <f t="shared" ref="AG48" si="428">AG47/AF47-1</f>
        <v>3.0996685957825232E-2</v>
      </c>
      <c r="AH48" s="57">
        <f t="shared" ref="AH48" si="429">AH47/AG47-1</f>
        <v>1.3475905306825631E-2</v>
      </c>
      <c r="AI48" s="57">
        <f t="shared" ref="AI48" si="430">AI47/AH47-1</f>
        <v>-5.2152821715933495E-2</v>
      </c>
      <c r="AJ48" s="57">
        <f t="shared" ref="AJ48" si="431">AJ47/AI47-1</f>
        <v>4.3554357099953034E-3</v>
      </c>
      <c r="AK48" s="57">
        <f t="shared" ref="AK48" si="432">AK47/AJ47-1</f>
        <v>2.3271754693568569E-2</v>
      </c>
      <c r="AL48" s="57">
        <f t="shared" ref="AL48" si="433">AL47/AK47-1</f>
        <v>1.6784275267766713E-2</v>
      </c>
      <c r="AM48" s="57">
        <f t="shared" ref="AM48" si="434">AM47/AL47-1</f>
        <v>4.9868793553881741E-2</v>
      </c>
      <c r="AN48" s="57">
        <f t="shared" ref="AN48" si="435">AN47/AM47-1</f>
        <v>-4.2501319987945152E-2</v>
      </c>
      <c r="AO48" s="57">
        <f t="shared" ref="AO48" si="436">AO47/AN47-1</f>
        <v>2.8400453882303722E-2</v>
      </c>
      <c r="AP48" s="57">
        <f t="shared" ref="AP48" si="437">AP47/AO47-1</f>
        <v>6.8175799016798599E-3</v>
      </c>
      <c r="AQ48" s="57">
        <f t="shared" ref="AQ48" si="438">AQ47/AP47-1</f>
        <v>-5.2001356802952259E-2</v>
      </c>
      <c r="AR48" s="57">
        <f t="shared" ref="AR48" si="439">AR47/AQ47-1</f>
        <v>2.5873366347867188E-2</v>
      </c>
      <c r="AS48" s="57">
        <f t="shared" ref="AS48" si="440">AS47/AR47-1</f>
        <v>2.6044345745313668E-2</v>
      </c>
      <c r="AT48" s="57">
        <f t="shared" ref="AT48" si="441">AT47/AS47-1</f>
        <v>-1.5724045916659435E-2</v>
      </c>
      <c r="AU48" s="57">
        <f t="shared" ref="AU48" si="442">AU47/AT47-1</f>
        <v>-2.7771596150223399E-2</v>
      </c>
      <c r="AV48" s="57">
        <f t="shared" ref="AV48" si="443">AV47/AU47-1</f>
        <v>1.2410045226179278E-2</v>
      </c>
      <c r="AW48" s="57">
        <f t="shared" ref="AW48" si="444">AW47/AV47-1</f>
        <v>2.7857725288067625E-2</v>
      </c>
      <c r="AX48" s="61"/>
      <c r="AY48" s="61"/>
      <c r="AZ48" s="61"/>
      <c r="BA48" s="58"/>
      <c r="BB48" s="57">
        <f t="shared" ref="BB48" si="445">BB47/BA47-1</f>
        <v>5.7727066146622263E-3</v>
      </c>
      <c r="BC48" s="57">
        <f t="shared" ref="BC48" si="446">BC47/BB47-1</f>
        <v>2.3874301488369776E-2</v>
      </c>
      <c r="BD48" s="57">
        <f t="shared" ref="BD48" si="447">BD47/BC47-1</f>
        <v>-4.2988965826196046E-2</v>
      </c>
      <c r="BE48" s="57">
        <f t="shared" ref="BE48" si="448">BE47/BD47-1</f>
        <v>5.0190156241756156E-2</v>
      </c>
      <c r="BF48" s="57">
        <f t="shared" ref="BF48" si="449">BF47/BE47-1</f>
        <v>1.3767180879918461E-2</v>
      </c>
      <c r="BG48" s="57">
        <f t="shared" ref="BG48" si="450">BG47/BF47-1</f>
        <v>3.6936111212154676E-2</v>
      </c>
      <c r="BH48" s="57">
        <f t="shared" ref="BH48" si="451">BH47/BG47-1</f>
        <v>-3.8905202504293634E-2</v>
      </c>
      <c r="BI48" s="57">
        <f t="shared" ref="BI48" si="452">BI47/BH47-1</f>
        <v>2.4798060893091112E-2</v>
      </c>
      <c r="BJ48" s="57">
        <f t="shared" ref="BJ48" si="453">BJ47/BI47-1</f>
        <v>2.6829570464209862E-2</v>
      </c>
      <c r="BK48" s="57">
        <f t="shared" ref="BK48" si="454">BK47/BJ47-1</f>
        <v>-2.7808541378001039E-2</v>
      </c>
      <c r="BL48" s="57">
        <f t="shared" ref="BL48" si="455">BL47/BK47-1</f>
        <v>-6.7766814396732933E-2</v>
      </c>
      <c r="BM48" s="57">
        <f t="shared" ref="BM48" si="456">BM47/BL47-1</f>
        <v>0.14474614853939372</v>
      </c>
      <c r="BN48" s="57">
        <f t="shared" ref="BN48" si="457">BN47/BM47-1</f>
        <v>-2.0986384068766961E-2</v>
      </c>
      <c r="BO48" s="57">
        <f t="shared" ref="BO48" si="458">BO47/BN47-1</f>
        <v>-2.7203198201869783E-2</v>
      </c>
      <c r="BP48" s="57">
        <f>BP47/BO47-1</f>
        <v>-5.4060770833832317E-2</v>
      </c>
      <c r="BQ48" s="62">
        <f>BQ47/$BP47-1</f>
        <v>1.9128199771461851E-2</v>
      </c>
      <c r="BR48" s="62">
        <f>BR47/$BP47-1</f>
        <v>6.0407506940026057E-2</v>
      </c>
      <c r="BS48" s="62">
        <f>BS47/$BP47-1</f>
        <v>4.6745863681110222E-2</v>
      </c>
    </row>
    <row r="49" spans="1:71" ht="20.100000000000001" customHeight="1" x14ac:dyDescent="0.2">
      <c r="A49" s="22" t="s">
        <v>116</v>
      </c>
      <c r="B49" s="23">
        <v>676.86324081818282</v>
      </c>
      <c r="C49" s="23">
        <v>658.21526538678813</v>
      </c>
      <c r="D49" s="23">
        <v>629.11468581054044</v>
      </c>
      <c r="E49" s="23">
        <v>617.01178892550229</v>
      </c>
      <c r="F49" s="23">
        <v>698.99080882359033</v>
      </c>
      <c r="G49" s="23">
        <v>635.44573316163735</v>
      </c>
      <c r="H49" s="23">
        <v>643.19484551762991</v>
      </c>
      <c r="I49" s="23">
        <v>642.27607526355246</v>
      </c>
      <c r="J49" s="23">
        <v>634.91777831367085</v>
      </c>
      <c r="K49" s="23">
        <v>648.18478305293775</v>
      </c>
      <c r="L49" s="23">
        <v>640.6308587087384</v>
      </c>
      <c r="M49" s="23">
        <v>636.95775342290324</v>
      </c>
      <c r="N49" s="23">
        <v>605.28886199791725</v>
      </c>
      <c r="O49" s="23">
        <v>579.60570852837043</v>
      </c>
      <c r="P49" s="23">
        <v>620.06537695404279</v>
      </c>
      <c r="Q49" s="23">
        <v>629.05223205160814</v>
      </c>
      <c r="R49" s="24" t="s">
        <v>27</v>
      </c>
      <c r="S49" s="24">
        <v>557.93795532949662</v>
      </c>
      <c r="T49" s="23">
        <v>591.36630751193491</v>
      </c>
      <c r="U49" s="23">
        <v>612.02565130955634</v>
      </c>
      <c r="V49" s="23">
        <v>576.08934098878058</v>
      </c>
      <c r="W49" s="23">
        <v>621.35265155305683</v>
      </c>
      <c r="X49" s="23">
        <v>646.2903484218117</v>
      </c>
      <c r="Y49" s="23">
        <v>609.98212012412284</v>
      </c>
      <c r="Z49" s="23">
        <v>599.97973971643341</v>
      </c>
      <c r="AA49" s="23">
        <v>605.36409240503679</v>
      </c>
      <c r="AB49" s="23">
        <v>649.1259786266877</v>
      </c>
      <c r="AC49" s="23">
        <v>599.27207571716838</v>
      </c>
      <c r="AD49" s="23">
        <v>591.80028444642835</v>
      </c>
      <c r="AE49" s="23">
        <v>559.88865819962837</v>
      </c>
      <c r="AF49" s="23">
        <v>577.6283754393221</v>
      </c>
      <c r="AG49" s="23">
        <v>596.93226345396351</v>
      </c>
      <c r="AH49" s="23">
        <v>590.77251745070748</v>
      </c>
      <c r="AI49" s="23">
        <v>602.78599891669478</v>
      </c>
      <c r="AJ49" s="23">
        <v>625.58649618241998</v>
      </c>
      <c r="AK49" s="23">
        <v>617.63313654565025</v>
      </c>
      <c r="AL49" s="23">
        <v>634.14765600340286</v>
      </c>
      <c r="AM49" s="23">
        <v>583.45381666585627</v>
      </c>
      <c r="AN49" s="23">
        <v>619.52554963579894</v>
      </c>
      <c r="AO49" s="23">
        <v>636.95759878177751</v>
      </c>
      <c r="AP49" s="23">
        <v>666.53406002608415</v>
      </c>
      <c r="AQ49" s="23">
        <v>628.52395740514362</v>
      </c>
      <c r="AR49" s="23">
        <v>614.70355904209396</v>
      </c>
      <c r="AS49" s="23">
        <v>586.09822929154984</v>
      </c>
      <c r="AT49" s="23">
        <v>648.91088114458466</v>
      </c>
      <c r="AU49" s="23">
        <v>621.34966080213678</v>
      </c>
      <c r="AV49" s="23">
        <v>646.74862439775416</v>
      </c>
      <c r="AW49" s="23">
        <v>628.31661781634261</v>
      </c>
      <c r="AX49" s="36" t="s">
        <v>27</v>
      </c>
      <c r="AY49" s="36" t="s">
        <v>27</v>
      </c>
      <c r="AZ49" s="36" t="s">
        <v>27</v>
      </c>
      <c r="BA49" s="25">
        <v>681.47400000000005</v>
      </c>
      <c r="BB49" s="23">
        <v>734.69130918985104</v>
      </c>
      <c r="BC49" s="23">
        <v>766.89087394038654</v>
      </c>
      <c r="BD49" s="23">
        <v>744.62164922083787</v>
      </c>
      <c r="BE49" s="23">
        <v>701.31417660000011</v>
      </c>
      <c r="BF49" s="23">
        <v>717.44271690000005</v>
      </c>
      <c r="BG49" s="23">
        <v>743.47614999999996</v>
      </c>
      <c r="BH49" s="23">
        <v>739.4401899999998</v>
      </c>
      <c r="BI49" s="23">
        <v>733.92967649999991</v>
      </c>
      <c r="BJ49" s="23">
        <v>745.83900000000006</v>
      </c>
      <c r="BK49" s="23">
        <v>694.15700000000004</v>
      </c>
      <c r="BL49" s="23">
        <v>735.18499999999995</v>
      </c>
      <c r="BM49" s="23">
        <v>763.34400000000005</v>
      </c>
      <c r="BN49" s="23">
        <v>806.05536386299252</v>
      </c>
      <c r="BO49" s="23">
        <v>805.99300000000005</v>
      </c>
      <c r="BP49" s="23">
        <v>762.94299999999998</v>
      </c>
      <c r="BQ49" s="23">
        <v>711.71699999999998</v>
      </c>
      <c r="BR49" s="23">
        <v>778.04200000000003</v>
      </c>
      <c r="BS49" s="23">
        <v>846.45500000000004</v>
      </c>
    </row>
    <row r="50" spans="1:71" s="56" customFormat="1" ht="20.100000000000001" customHeight="1" x14ac:dyDescent="0.2">
      <c r="A50" s="22"/>
      <c r="B50" s="23"/>
      <c r="C50" s="57">
        <f t="shared" ref="C50" si="459">C49/B49-1</f>
        <v>-2.7550580836467442E-2</v>
      </c>
      <c r="D50" s="57">
        <f t="shared" ref="D50" si="460">D49/C49-1</f>
        <v>-4.4211341040757079E-2</v>
      </c>
      <c r="E50" s="57">
        <f t="shared" ref="E50" si="461">E49/D49-1</f>
        <v>-1.9237981814786309E-2</v>
      </c>
      <c r="F50" s="57">
        <f t="shared" ref="F50" si="462">F49/E49-1</f>
        <v>0.13286459249158056</v>
      </c>
      <c r="G50" s="62">
        <f t="shared" ref="G50" si="463">G49/F49-1</f>
        <v>-9.0909744248139801E-2</v>
      </c>
      <c r="H50" s="57">
        <f t="shared" ref="H50" si="464">H49/G49-1</f>
        <v>1.2194766526225864E-2</v>
      </c>
      <c r="I50" s="57">
        <f t="shared" ref="I50" si="465">I49/H49-1</f>
        <v>-1.4284477876032042E-3</v>
      </c>
      <c r="J50" s="57">
        <f t="shared" ref="J50" si="466">J49/I49-1</f>
        <v>-1.145659512050512E-2</v>
      </c>
      <c r="K50" s="57">
        <f t="shared" ref="K50" si="467">K49/J49-1</f>
        <v>2.0895626477027918E-2</v>
      </c>
      <c r="L50" s="57">
        <f t="shared" ref="L50" si="468">L49/K49-1</f>
        <v>-1.1653967420556355E-2</v>
      </c>
      <c r="M50" s="57">
        <f t="shared" ref="M50" si="469">M49/L49-1</f>
        <v>-5.7335753279801338E-3</v>
      </c>
      <c r="N50" s="57">
        <f t="shared" ref="N50" si="470">N49/M49-1</f>
        <v>-4.9718982546020918E-2</v>
      </c>
      <c r="O50" s="57">
        <f t="shared" ref="O50" si="471">O49/N49-1</f>
        <v>-4.2431234212327529E-2</v>
      </c>
      <c r="P50" s="57">
        <f t="shared" ref="P50" si="472">P49/O49-1</f>
        <v>6.9805503690431481E-2</v>
      </c>
      <c r="Q50" s="57">
        <f t="shared" ref="Q50" si="473">Q49/P49-1</f>
        <v>1.4493399295589793E-2</v>
      </c>
      <c r="R50" s="64"/>
      <c r="S50" s="64"/>
      <c r="T50" s="57">
        <f t="shared" ref="T50" si="474">T49/S49-1</f>
        <v>5.9914103106136318E-2</v>
      </c>
      <c r="U50" s="57">
        <f t="shared" ref="U50" si="475">U49/T49-1</f>
        <v>3.4934935479401741E-2</v>
      </c>
      <c r="V50" s="57">
        <f t="shared" ref="V50" si="476">V49/U49-1</f>
        <v>-5.8717000249715934E-2</v>
      </c>
      <c r="W50" s="57">
        <f t="shared" ref="W50" si="477">W49/V49-1</f>
        <v>7.8569949734858424E-2</v>
      </c>
      <c r="X50" s="57">
        <f t="shared" ref="X50" si="478">X49/W49-1</f>
        <v>4.0134530377272437E-2</v>
      </c>
      <c r="Y50" s="57">
        <f t="shared" ref="Y50" si="479">Y49/X49-1</f>
        <v>-5.6179437595425319E-2</v>
      </c>
      <c r="Z50" s="57">
        <f t="shared" ref="Z50" si="480">Z49/Y49-1</f>
        <v>-1.6397825571762836E-2</v>
      </c>
      <c r="AA50" s="57">
        <f t="shared" ref="AA50" si="481">AA49/Z49-1</f>
        <v>8.9742241815500279E-3</v>
      </c>
      <c r="AB50" s="57">
        <f t="shared" ref="AB50" si="482">AB49/AA49-1</f>
        <v>7.2290191589974073E-2</v>
      </c>
      <c r="AC50" s="57">
        <f t="shared" ref="AC50" si="483">AC49/AB49-1</f>
        <v>-7.6801583284329289E-2</v>
      </c>
      <c r="AD50" s="57">
        <f t="shared" ref="AD50" si="484">AD49/AC49-1</f>
        <v>-1.2468111853532138E-2</v>
      </c>
      <c r="AE50" s="57">
        <f t="shared" ref="AE50" si="485">AE49/AD49-1</f>
        <v>-5.3922965374459397E-2</v>
      </c>
      <c r="AF50" s="57">
        <f t="shared" ref="AF50" si="486">AF49/AE49-1</f>
        <v>3.168436613225456E-2</v>
      </c>
      <c r="AG50" s="57">
        <f t="shared" ref="AG50" si="487">AG49/AF49-1</f>
        <v>3.3419216983514133E-2</v>
      </c>
      <c r="AH50" s="57">
        <f t="shared" ref="AH50" si="488">AH49/AG49-1</f>
        <v>-1.0319003311388464E-2</v>
      </c>
      <c r="AI50" s="57">
        <f t="shared" ref="AI50" si="489">AI49/AH49-1</f>
        <v>2.0335207057071036E-2</v>
      </c>
      <c r="AJ50" s="57">
        <f t="shared" ref="AJ50" si="490">AJ49/AI49-1</f>
        <v>3.7825193861007689E-2</v>
      </c>
      <c r="AK50" s="57">
        <f t="shared" ref="AK50" si="491">AK49/AJ49-1</f>
        <v>-1.2713445199511675E-2</v>
      </c>
      <c r="AL50" s="57">
        <f t="shared" ref="AL50" si="492">AL49/AK49-1</f>
        <v>2.6738396113453966E-2</v>
      </c>
      <c r="AM50" s="57">
        <f t="shared" ref="AM50" si="493">AM49/AL49-1</f>
        <v>-7.9940119399060872E-2</v>
      </c>
      <c r="AN50" s="57">
        <f t="shared" ref="AN50" si="494">AN49/AM49-1</f>
        <v>6.1824487113777638E-2</v>
      </c>
      <c r="AO50" s="57">
        <f t="shared" ref="AO50" si="495">AO49/AN49-1</f>
        <v>2.8137740495491004E-2</v>
      </c>
      <c r="AP50" s="57">
        <f t="shared" ref="AP50" si="496">AP49/AO49-1</f>
        <v>4.6433956201909821E-2</v>
      </c>
      <c r="AQ50" s="57">
        <f t="shared" ref="AQ50" si="497">AQ49/AP49-1</f>
        <v>-5.7026497069711746E-2</v>
      </c>
      <c r="AR50" s="57">
        <f t="shared" ref="AR50" si="498">AR49/AQ49-1</f>
        <v>-2.1988658030009045E-2</v>
      </c>
      <c r="AS50" s="57">
        <f t="shared" ref="AS50" si="499">AS49/AR49-1</f>
        <v>-4.6535162078970904E-2</v>
      </c>
      <c r="AT50" s="57">
        <f t="shared" ref="AT50" si="500">AT49/AS49-1</f>
        <v>0.10717086098171635</v>
      </c>
      <c r="AU50" s="57">
        <f t="shared" ref="AU50" si="501">AU49/AT49-1</f>
        <v>-4.2473043900626006E-2</v>
      </c>
      <c r="AV50" s="57">
        <f t="shared" ref="AV50" si="502">AV49/AU49-1</f>
        <v>4.0877086120604478E-2</v>
      </c>
      <c r="AW50" s="57">
        <f t="shared" ref="AW50" si="503">AW49/AV49-1</f>
        <v>-2.8499490970816166E-2</v>
      </c>
      <c r="AX50" s="61"/>
      <c r="AY50" s="61"/>
      <c r="AZ50" s="61"/>
      <c r="BA50" s="58"/>
      <c r="BB50" s="57">
        <f t="shared" ref="BB50" si="504">BB49/BA49-1</f>
        <v>7.8091474054550858E-2</v>
      </c>
      <c r="BC50" s="57">
        <f t="shared" ref="BC50" si="505">BC49/BB49-1</f>
        <v>4.3827338567598018E-2</v>
      </c>
      <c r="BD50" s="57">
        <f t="shared" ref="BD50" si="506">BD49/BC49-1</f>
        <v>-2.9038322760481461E-2</v>
      </c>
      <c r="BE50" s="57">
        <f t="shared" ref="BE50" si="507">BE49/BD49-1</f>
        <v>-5.8160372675376992E-2</v>
      </c>
      <c r="BF50" s="57">
        <f t="shared" ref="BF50" si="508">BF49/BE49-1</f>
        <v>2.2997596281586263E-2</v>
      </c>
      <c r="BG50" s="57">
        <f t="shared" ref="BG50" si="509">BG49/BF49-1</f>
        <v>3.6286427455125336E-2</v>
      </c>
      <c r="BH50" s="57">
        <f t="shared" ref="BH50" si="510">BH49/BG49-1</f>
        <v>-5.4284996230210547E-3</v>
      </c>
      <c r="BI50" s="57">
        <f t="shared" ref="BI50" si="511">BI49/BH49-1</f>
        <v>-7.4522775128031959E-3</v>
      </c>
      <c r="BJ50" s="57">
        <f t="shared" ref="BJ50" si="512">BJ49/BI49-1</f>
        <v>1.6226791041880073E-2</v>
      </c>
      <c r="BK50" s="57">
        <f t="shared" ref="BK50" si="513">BK49/BJ49-1</f>
        <v>-6.9293775198132623E-2</v>
      </c>
      <c r="BL50" s="57">
        <f t="shared" ref="BL50" si="514">BL49/BK49-1</f>
        <v>5.9104784652463271E-2</v>
      </c>
      <c r="BM50" s="57">
        <f t="shared" ref="BM50" si="515">BM49/BL49-1</f>
        <v>3.8301924005522459E-2</v>
      </c>
      <c r="BN50" s="57">
        <f t="shared" ref="BN50" si="516">BN49/BM49-1</f>
        <v>5.5952969910017636E-2</v>
      </c>
      <c r="BO50" s="57">
        <f t="shared" ref="BO50" si="517">BO49/BN49-1</f>
        <v>-7.7369205377597616E-5</v>
      </c>
      <c r="BP50" s="57">
        <f>BP49/BO49-1</f>
        <v>-5.3412374549158703E-2</v>
      </c>
      <c r="BQ50" s="63">
        <f>BQ49/$BP49-1</f>
        <v>-6.7142630576596196E-2</v>
      </c>
      <c r="BR50" s="62">
        <f>BR49/$BP49-1</f>
        <v>1.9790469274900024E-2</v>
      </c>
      <c r="BS50" s="62">
        <f>BS49/$BP49-1</f>
        <v>0.10946033976325897</v>
      </c>
    </row>
    <row r="51" spans="1:71" ht="20.100000000000001" customHeight="1" x14ac:dyDescent="0.2">
      <c r="A51" s="22" t="s">
        <v>117</v>
      </c>
      <c r="B51" s="23">
        <v>686.87303355412382</v>
      </c>
      <c r="C51" s="23">
        <v>656.8118473258321</v>
      </c>
      <c r="D51" s="23">
        <v>649.12469360787043</v>
      </c>
      <c r="E51" s="23">
        <v>695.08364483297078</v>
      </c>
      <c r="F51" s="23">
        <v>692.13124068640343</v>
      </c>
      <c r="G51" s="23">
        <v>719.06907192710355</v>
      </c>
      <c r="H51" s="23">
        <v>726.34693614881235</v>
      </c>
      <c r="I51" s="23">
        <v>729.71464228129253</v>
      </c>
      <c r="J51" s="23">
        <v>740.94416683067243</v>
      </c>
      <c r="K51" s="23">
        <v>761.39574571267269</v>
      </c>
      <c r="L51" s="23">
        <v>777.64727079860177</v>
      </c>
      <c r="M51" s="23">
        <v>764.30994346151726</v>
      </c>
      <c r="N51" s="23">
        <v>786.64657388174794</v>
      </c>
      <c r="O51" s="23">
        <v>818.4828514307975</v>
      </c>
      <c r="P51" s="23">
        <v>805.86886182390651</v>
      </c>
      <c r="Q51" s="23">
        <v>806.49533847122018</v>
      </c>
      <c r="R51" s="24" t="s">
        <v>27</v>
      </c>
      <c r="S51" s="24">
        <v>801.59473161282278</v>
      </c>
      <c r="T51" s="23">
        <v>809.54091598543562</v>
      </c>
      <c r="U51" s="23">
        <v>786.11119255438393</v>
      </c>
      <c r="V51" s="23">
        <v>815.98965845275347</v>
      </c>
      <c r="W51" s="23">
        <v>767.63827218882079</v>
      </c>
      <c r="X51" s="23">
        <v>821.90314569449095</v>
      </c>
      <c r="Y51" s="23">
        <v>826.89657018255718</v>
      </c>
      <c r="Z51" s="23">
        <v>827.23026011651757</v>
      </c>
      <c r="AA51" s="23">
        <v>781.8700275827614</v>
      </c>
      <c r="AB51" s="23">
        <v>768.25301523416977</v>
      </c>
      <c r="AC51" s="23">
        <v>829.43799658036698</v>
      </c>
      <c r="AD51" s="23">
        <v>874.90527482831715</v>
      </c>
      <c r="AE51" s="23">
        <v>764.77538312693707</v>
      </c>
      <c r="AF51" s="23">
        <v>743.87867732139068</v>
      </c>
      <c r="AG51" s="23">
        <v>816.09264976766735</v>
      </c>
      <c r="AH51" s="23">
        <v>848.96968331207506</v>
      </c>
      <c r="AI51" s="23">
        <v>821.93239648811641</v>
      </c>
      <c r="AJ51" s="23">
        <v>798.21552812976324</v>
      </c>
      <c r="AK51" s="23">
        <v>849.37948838152658</v>
      </c>
      <c r="AL51" s="23">
        <v>875.06400168845857</v>
      </c>
      <c r="AM51" s="23">
        <v>816.89375524997581</v>
      </c>
      <c r="AN51" s="23">
        <v>779.60480386654524</v>
      </c>
      <c r="AO51" s="23">
        <v>845.95997200273735</v>
      </c>
      <c r="AP51" s="23">
        <v>823.72762207396909</v>
      </c>
      <c r="AQ51" s="23">
        <v>838.08417258747795</v>
      </c>
      <c r="AR51" s="23">
        <v>775.08537557673651</v>
      </c>
      <c r="AS51" s="23">
        <v>817.26378652305948</v>
      </c>
      <c r="AT51" s="23">
        <v>835.69698866222791</v>
      </c>
      <c r="AU51" s="23">
        <v>803.26217972307722</v>
      </c>
      <c r="AV51" s="23">
        <v>797.62965843443953</v>
      </c>
      <c r="AW51" s="23">
        <v>830.54122892577129</v>
      </c>
      <c r="AX51" s="36" t="s">
        <v>27</v>
      </c>
      <c r="AY51" s="36" t="s">
        <v>27</v>
      </c>
      <c r="AZ51" s="36" t="s">
        <v>27</v>
      </c>
      <c r="BA51" s="25">
        <v>877.48199999999997</v>
      </c>
      <c r="BB51" s="23">
        <v>894.48627174584772</v>
      </c>
      <c r="BC51" s="23">
        <v>900.2966398124496</v>
      </c>
      <c r="BD51" s="23">
        <v>832.94225863200506</v>
      </c>
      <c r="BE51" s="23">
        <v>844.09281400000009</v>
      </c>
      <c r="BF51" s="23">
        <v>912.48797640000009</v>
      </c>
      <c r="BG51" s="23">
        <v>895.59830999999974</v>
      </c>
      <c r="BH51" s="23">
        <v>865.06196999999997</v>
      </c>
      <c r="BI51" s="23">
        <v>867.73839680000003</v>
      </c>
      <c r="BJ51" s="23">
        <v>906.80899999999997</v>
      </c>
      <c r="BK51" s="23">
        <v>924.77499999999998</v>
      </c>
      <c r="BL51" s="23">
        <v>956.03</v>
      </c>
      <c r="BM51" s="23">
        <v>940.09699999999998</v>
      </c>
      <c r="BN51" s="23">
        <v>890.49132506722492</v>
      </c>
      <c r="BO51" s="23">
        <v>930.85500000000002</v>
      </c>
      <c r="BP51" s="23">
        <v>926.52200000000005</v>
      </c>
      <c r="BQ51" s="23">
        <v>582.93899999999996</v>
      </c>
      <c r="BR51" s="23">
        <v>668.48800000000006</v>
      </c>
      <c r="BS51" s="23">
        <v>729.88</v>
      </c>
    </row>
    <row r="52" spans="1:71" s="56" customFormat="1" ht="20.100000000000001" customHeight="1" x14ac:dyDescent="0.2">
      <c r="A52" s="22"/>
      <c r="B52" s="23"/>
      <c r="C52" s="57">
        <f t="shared" ref="C52" si="518">C51/B51-1</f>
        <v>-4.3765273580103292E-2</v>
      </c>
      <c r="D52" s="57">
        <f t="shared" ref="D52" si="519">D51/C51-1</f>
        <v>-1.1703737911031076E-2</v>
      </c>
      <c r="E52" s="57">
        <f t="shared" ref="E52" si="520">E51/D51-1</f>
        <v>7.0801421787943353E-2</v>
      </c>
      <c r="F52" s="57">
        <f t="shared" ref="F52" si="521">F51/E51-1</f>
        <v>-4.2475523176448426E-3</v>
      </c>
      <c r="G52" s="57">
        <f t="shared" ref="G52" si="522">G51/F51-1</f>
        <v>3.8920120429739802E-2</v>
      </c>
      <c r="H52" s="57">
        <f t="shared" ref="H52" si="523">H51/G51-1</f>
        <v>1.0121231055320035E-2</v>
      </c>
      <c r="I52" s="57">
        <f t="shared" ref="I52" si="524">I51/H51-1</f>
        <v>4.6364980216426765E-3</v>
      </c>
      <c r="J52" s="57">
        <f t="shared" ref="J52" si="525">J51/I51-1</f>
        <v>1.5388925887896754E-2</v>
      </c>
      <c r="K52" s="57">
        <f t="shared" ref="K52" si="526">K51/J51-1</f>
        <v>2.7602051271258699E-2</v>
      </c>
      <c r="L52" s="57">
        <f t="shared" ref="L52" si="527">L51/K51-1</f>
        <v>2.1344386513110214E-2</v>
      </c>
      <c r="M52" s="57">
        <f t="shared" ref="M52" si="528">M51/L51-1</f>
        <v>-1.7150870115428818E-2</v>
      </c>
      <c r="N52" s="57">
        <f t="shared" ref="N52" si="529">N51/M51-1</f>
        <v>2.9224571276764033E-2</v>
      </c>
      <c r="O52" s="57">
        <f t="shared" ref="O52" si="530">O51/N51-1</f>
        <v>4.047087803605609E-2</v>
      </c>
      <c r="P52" s="57">
        <f t="shared" ref="P52" si="531">P51/O51-1</f>
        <v>-1.5411428088982326E-2</v>
      </c>
      <c r="Q52" s="57">
        <f t="shared" ref="Q52" si="532">Q51/P51-1</f>
        <v>7.7739279551725105E-4</v>
      </c>
      <c r="R52" s="64"/>
      <c r="S52" s="64"/>
      <c r="T52" s="57">
        <f t="shared" ref="T52" si="533">T51/S51-1</f>
        <v>9.9129698078541661E-3</v>
      </c>
      <c r="U52" s="57">
        <f t="shared" ref="U52" si="534">U51/T51-1</f>
        <v>-2.8941987944526848E-2</v>
      </c>
      <c r="V52" s="57">
        <f t="shared" ref="V52" si="535">V51/U51-1</f>
        <v>3.8007938547831577E-2</v>
      </c>
      <c r="W52" s="57">
        <f t="shared" ref="W52" si="536">W51/V51-1</f>
        <v>-5.9254900798148102E-2</v>
      </c>
      <c r="X52" s="57">
        <f t="shared" ref="X52" si="537">X51/W51-1</f>
        <v>7.0690682671332938E-2</v>
      </c>
      <c r="Y52" s="57">
        <f t="shared" ref="Y52" si="538">Y51/X51-1</f>
        <v>6.0754415094090852E-3</v>
      </c>
      <c r="Z52" s="57">
        <f t="shared" ref="Z52" si="539">Z51/Y51-1</f>
        <v>4.0354494865879609E-4</v>
      </c>
      <c r="AA52" s="57">
        <f t="shared" ref="AA52" si="540">AA51/Z51-1</f>
        <v>-5.483386515305555E-2</v>
      </c>
      <c r="AB52" s="57">
        <f t="shared" ref="AB52" si="541">AB51/AA51-1</f>
        <v>-1.7415953890303371E-2</v>
      </c>
      <c r="AC52" s="57">
        <f t="shared" ref="AC52" si="542">AC51/AB51-1</f>
        <v>7.9641706746243601E-2</v>
      </c>
      <c r="AD52" s="57">
        <f t="shared" ref="AD52" si="543">AD51/AC51-1</f>
        <v>5.4816970569715906E-2</v>
      </c>
      <c r="AE52" s="62">
        <f t="shared" ref="AE52" si="544">AE51/AD51-1</f>
        <v>-0.12587636041283545</v>
      </c>
      <c r="AF52" s="57">
        <f t="shared" ref="AF52" si="545">AF51/AE51-1</f>
        <v>-2.7323978081127631E-2</v>
      </c>
      <c r="AG52" s="57">
        <f t="shared" ref="AG52" si="546">AG51/AF51-1</f>
        <v>9.7077621187247498E-2</v>
      </c>
      <c r="AH52" s="57">
        <f t="shared" ref="AH52" si="547">AH51/AG51-1</f>
        <v>4.0285908167127182E-2</v>
      </c>
      <c r="AI52" s="57">
        <f t="shared" ref="AI52" si="548">AI51/AH51-1</f>
        <v>-3.1847175883216949E-2</v>
      </c>
      <c r="AJ52" s="57">
        <f t="shared" ref="AJ52" si="549">AJ51/AI51-1</f>
        <v>-2.8855011019992216E-2</v>
      </c>
      <c r="AK52" s="57">
        <f t="shared" ref="AK52" si="550">AK51/AJ51-1</f>
        <v>6.4097926498174695E-2</v>
      </c>
      <c r="AL52" s="57">
        <f t="shared" ref="AL52" si="551">AL51/AK51-1</f>
        <v>3.0239149471190219E-2</v>
      </c>
      <c r="AM52" s="57">
        <f t="shared" ref="AM52" si="552">AM51/AL51-1</f>
        <v>-6.6475419313606565E-2</v>
      </c>
      <c r="AN52" s="57">
        <f t="shared" ref="AN52" si="553">AN51/AM51-1</f>
        <v>-4.5647247446542027E-2</v>
      </c>
      <c r="AO52" s="57">
        <f t="shared" ref="AO52" si="554">AO51/AN51-1</f>
        <v>8.5113852309651739E-2</v>
      </c>
      <c r="AP52" s="57">
        <f t="shared" ref="AP52" si="555">AP51/AO51-1</f>
        <v>-2.628061689034189E-2</v>
      </c>
      <c r="AQ52" s="57">
        <f t="shared" ref="AQ52" si="556">AQ51/AP51-1</f>
        <v>1.7428759372378755E-2</v>
      </c>
      <c r="AR52" s="57">
        <f t="shared" ref="AR52" si="557">AR51/AQ51-1</f>
        <v>-7.5170011642435308E-2</v>
      </c>
      <c r="AS52" s="57">
        <f t="shared" ref="AS52" si="558">AS51/AR51-1</f>
        <v>5.4417761288475086E-2</v>
      </c>
      <c r="AT52" s="57">
        <f t="shared" ref="AT52" si="559">AT51/AS51-1</f>
        <v>2.2554776613301408E-2</v>
      </c>
      <c r="AU52" s="57">
        <f t="shared" ref="AU52" si="560">AU51/AT51-1</f>
        <v>-3.8811685789453265E-2</v>
      </c>
      <c r="AV52" s="57">
        <f t="shared" ref="AV52" si="561">AV51/AU51-1</f>
        <v>-7.0120583675177262E-3</v>
      </c>
      <c r="AW52" s="57">
        <f t="shared" ref="AW52" si="562">AW51/AV51-1</f>
        <v>4.126171857241312E-2</v>
      </c>
      <c r="AX52" s="61"/>
      <c r="AY52" s="61"/>
      <c r="AZ52" s="61"/>
      <c r="BA52" s="58"/>
      <c r="BB52" s="57">
        <f t="shared" ref="BB52" si="563">BB51/BA51-1</f>
        <v>1.9378484967039533E-2</v>
      </c>
      <c r="BC52" s="57">
        <f t="shared" ref="BC52" si="564">BC51/BB51-1</f>
        <v>6.4957599128505628E-3</v>
      </c>
      <c r="BD52" s="57">
        <f t="shared" ref="BD52" si="565">BD51/BC51-1</f>
        <v>-7.4813542783493947E-2</v>
      </c>
      <c r="BE52" s="57">
        <f t="shared" ref="BE52" si="566">BE51/BD51-1</f>
        <v>1.33869487979974E-2</v>
      </c>
      <c r="BF52" s="57">
        <f t="shared" ref="BF52" si="567">BF51/BE51-1</f>
        <v>8.1028011689719293E-2</v>
      </c>
      <c r="BG52" s="57">
        <f t="shared" ref="BG52" si="568">BG51/BF51-1</f>
        <v>-1.8509467342939012E-2</v>
      </c>
      <c r="BH52" s="57">
        <f t="shared" ref="BH52" si="569">BH51/BG51-1</f>
        <v>-3.4096022356272404E-2</v>
      </c>
      <c r="BI52" s="57">
        <f t="shared" ref="BI52" si="570">BI51/BH51-1</f>
        <v>3.093913375940005E-3</v>
      </c>
      <c r="BJ52" s="57">
        <f t="shared" ref="BJ52" si="571">BJ51/BI51-1</f>
        <v>4.5025785817571773E-2</v>
      </c>
      <c r="BK52" s="57">
        <f t="shared" ref="BK52" si="572">BK51/BJ51-1</f>
        <v>1.9812330931872069E-2</v>
      </c>
      <c r="BL52" s="57">
        <f t="shared" ref="BL52" si="573">BL51/BK51-1</f>
        <v>3.3797410180854692E-2</v>
      </c>
      <c r="BM52" s="57">
        <f t="shared" ref="BM52" si="574">BM51/BL51-1</f>
        <v>-1.6665795006432838E-2</v>
      </c>
      <c r="BN52" s="57">
        <f t="shared" ref="BN52" si="575">BN51/BM51-1</f>
        <v>-5.2766549550498532E-2</v>
      </c>
      <c r="BO52" s="57">
        <f t="shared" ref="BO52" si="576">BO51/BN51-1</f>
        <v>4.532742071319773E-2</v>
      </c>
      <c r="BP52" s="57">
        <f>BP51/BO51-1</f>
        <v>-4.654860316590681E-3</v>
      </c>
      <c r="BQ52" s="63">
        <f>BQ51/$BP51-1</f>
        <v>-0.37083091389087364</v>
      </c>
      <c r="BR52" s="63">
        <f>BR51/$BP51-1</f>
        <v>-0.27849743449157172</v>
      </c>
      <c r="BS52" s="63">
        <f>BS51/$BP51-1</f>
        <v>-0.21223673048238467</v>
      </c>
    </row>
    <row r="53" spans="1:71" ht="20.100000000000001" customHeight="1" x14ac:dyDescent="0.2">
      <c r="A53" s="37" t="s">
        <v>118</v>
      </c>
      <c r="B53" s="23">
        <v>1266.0377323075822</v>
      </c>
      <c r="C53" s="23">
        <v>1337.0986817683045</v>
      </c>
      <c r="D53" s="23">
        <v>1349.3184159555537</v>
      </c>
      <c r="E53" s="23">
        <v>1375.4097053863327</v>
      </c>
      <c r="F53" s="23">
        <v>1338.0470586482909</v>
      </c>
      <c r="G53" s="23">
        <v>1332.2044987527438</v>
      </c>
      <c r="H53" s="23">
        <v>1299.9317109822009</v>
      </c>
      <c r="I53" s="23">
        <v>1403.3847616471573</v>
      </c>
      <c r="J53" s="23">
        <v>1357.9321764259023</v>
      </c>
      <c r="K53" s="23">
        <v>1345.7309057661669</v>
      </c>
      <c r="L53" s="23">
        <v>1373.1338813023335</v>
      </c>
      <c r="M53" s="23">
        <v>1399.5835942457945</v>
      </c>
      <c r="N53" s="23">
        <v>1309.8731365192511</v>
      </c>
      <c r="O53" s="23">
        <v>1338.0625598618976</v>
      </c>
      <c r="P53" s="23">
        <v>1364.3650166963375</v>
      </c>
      <c r="Q53" s="23">
        <v>1386.4056171327093</v>
      </c>
      <c r="R53" s="24" t="s">
        <v>27</v>
      </c>
      <c r="S53" s="24">
        <v>1353.8671939239703</v>
      </c>
      <c r="T53" s="23">
        <v>1359.9794297287172</v>
      </c>
      <c r="U53" s="23">
        <v>1316.4922751948941</v>
      </c>
      <c r="V53" s="23">
        <v>1375.6073730720934</v>
      </c>
      <c r="W53" s="23">
        <v>1354.5434038476335</v>
      </c>
      <c r="X53" s="23">
        <v>1380.2486830568723</v>
      </c>
      <c r="Y53" s="23">
        <v>1377.1945680320102</v>
      </c>
      <c r="Z53" s="23">
        <v>1445.9428845504121</v>
      </c>
      <c r="AA53" s="23">
        <v>1503.5963636572133</v>
      </c>
      <c r="AB53" s="23">
        <v>1451.0591776297285</v>
      </c>
      <c r="AC53" s="23">
        <v>1442.1834485149352</v>
      </c>
      <c r="AD53" s="23">
        <v>1418.0037061813873</v>
      </c>
      <c r="AE53" s="23">
        <v>1523.0500599973252</v>
      </c>
      <c r="AF53" s="23">
        <v>1538.071789952262</v>
      </c>
      <c r="AG53" s="23">
        <v>1490.2965733518565</v>
      </c>
      <c r="AH53" s="23">
        <v>1521.5925942599069</v>
      </c>
      <c r="AI53" s="23">
        <v>1525.7998149521934</v>
      </c>
      <c r="AJ53" s="23">
        <v>1552.3795923033049</v>
      </c>
      <c r="AK53" s="23">
        <v>1612.1777270122259</v>
      </c>
      <c r="AL53" s="23">
        <v>1576.0017922901468</v>
      </c>
      <c r="AM53" s="23">
        <v>1535.2317965546847</v>
      </c>
      <c r="AN53" s="23">
        <v>1523.6988367390236</v>
      </c>
      <c r="AO53" s="23">
        <v>1585.3150391120791</v>
      </c>
      <c r="AP53" s="23">
        <v>1668.6655949108449</v>
      </c>
      <c r="AQ53" s="23">
        <v>1687.5913176986955</v>
      </c>
      <c r="AR53" s="23">
        <v>1657.8129427091264</v>
      </c>
      <c r="AS53" s="23">
        <v>1693.4389689586512</v>
      </c>
      <c r="AT53" s="23">
        <v>1595.5610558314991</v>
      </c>
      <c r="AU53" s="23">
        <v>1719.2845225469855</v>
      </c>
      <c r="AV53" s="23">
        <v>1684.7912437150796</v>
      </c>
      <c r="AW53" s="23">
        <v>1684.4104057119516</v>
      </c>
      <c r="AX53" s="36" t="s">
        <v>27</v>
      </c>
      <c r="AY53" s="36" t="s">
        <v>27</v>
      </c>
      <c r="AZ53" s="36" t="s">
        <v>27</v>
      </c>
      <c r="BA53" s="25">
        <v>1543.4449999999999</v>
      </c>
      <c r="BB53" s="23">
        <v>1591.4801897805507</v>
      </c>
      <c r="BC53" s="23">
        <v>1599.0384841406974</v>
      </c>
      <c r="BD53" s="23">
        <v>1549.6503461774305</v>
      </c>
      <c r="BE53" s="23">
        <v>1567.1353824000003</v>
      </c>
      <c r="BF53" s="23">
        <v>1652.8842057000002</v>
      </c>
      <c r="BG53" s="23">
        <v>1790.9229099999998</v>
      </c>
      <c r="BH53" s="23">
        <v>1681.9014899999997</v>
      </c>
      <c r="BI53" s="23">
        <v>1596.9276027000001</v>
      </c>
      <c r="BJ53" s="23">
        <v>1575.0340000000001</v>
      </c>
      <c r="BK53" s="23">
        <v>1746.634</v>
      </c>
      <c r="BL53" s="23">
        <v>1720.1690000000001</v>
      </c>
      <c r="BM53" s="23">
        <v>1608.7560000000001</v>
      </c>
      <c r="BN53" s="23">
        <v>1618.4983205705344</v>
      </c>
      <c r="BO53" s="23">
        <v>1769.66</v>
      </c>
      <c r="BP53" s="23">
        <v>1836.633</v>
      </c>
      <c r="BQ53" s="23">
        <v>1438.1969999999999</v>
      </c>
      <c r="BR53" s="23">
        <v>1508.97</v>
      </c>
      <c r="BS53" s="23">
        <v>1634.913</v>
      </c>
    </row>
    <row r="54" spans="1:71" s="56" customFormat="1" ht="20.100000000000001" customHeight="1" x14ac:dyDescent="0.2">
      <c r="A54" s="37"/>
      <c r="B54" s="23"/>
      <c r="C54" s="57">
        <f t="shared" ref="C54" si="577">C53/B53-1</f>
        <v>5.6128618956088117E-2</v>
      </c>
      <c r="D54" s="57">
        <f t="shared" ref="D54" si="578">D53/C53-1</f>
        <v>9.1389920234523636E-3</v>
      </c>
      <c r="E54" s="57">
        <f t="shared" ref="E54" si="579">E53/D53-1</f>
        <v>1.9336643687844157E-2</v>
      </c>
      <c r="F54" s="57">
        <f t="shared" ref="F54" si="580">F53/E53-1</f>
        <v>-2.7164739780244029E-2</v>
      </c>
      <c r="G54" s="57">
        <f t="shared" ref="G54" si="581">G53/F53-1</f>
        <v>-4.3664831201447596E-3</v>
      </c>
      <c r="H54" s="57">
        <f t="shared" ref="H54" si="582">H53/G53-1</f>
        <v>-2.4225100426216728E-2</v>
      </c>
      <c r="I54" s="57">
        <f t="shared" ref="I54" si="583">I53/H53-1</f>
        <v>7.9583450262006084E-2</v>
      </c>
      <c r="J54" s="57">
        <f t="shared" ref="J54" si="584">J53/I53-1</f>
        <v>-3.2387828672093555E-2</v>
      </c>
      <c r="K54" s="57">
        <f t="shared" ref="K54" si="585">K53/J53-1</f>
        <v>-8.985184143621483E-3</v>
      </c>
      <c r="L54" s="57">
        <f t="shared" ref="L54" si="586">L53/K53-1</f>
        <v>2.0362893813875349E-2</v>
      </c>
      <c r="M54" s="57">
        <f t="shared" ref="M54" si="587">M53/L53-1</f>
        <v>1.9262297219244884E-2</v>
      </c>
      <c r="N54" s="57">
        <f t="shared" ref="N54" si="588">N53/M53-1</f>
        <v>-6.4097963205182018E-2</v>
      </c>
      <c r="O54" s="57">
        <f t="shared" ref="O54" si="589">O53/N53-1</f>
        <v>2.1520727890912195E-2</v>
      </c>
      <c r="P54" s="57">
        <f t="shared" ref="P54" si="590">P53/O53-1</f>
        <v>1.965712039439671E-2</v>
      </c>
      <c r="Q54" s="57">
        <f t="shared" ref="Q54" si="591">Q53/P53-1</f>
        <v>1.6154474914448214E-2</v>
      </c>
      <c r="R54" s="64"/>
      <c r="S54" s="64"/>
      <c r="T54" s="57">
        <f t="shared" ref="T54" si="592">T53/S53-1</f>
        <v>4.5146494664898285E-3</v>
      </c>
      <c r="U54" s="57">
        <f t="shared" ref="U54" si="593">U53/T53-1</f>
        <v>-3.1976332570337274E-2</v>
      </c>
      <c r="V54" s="57">
        <f t="shared" ref="V54" si="594">V53/U53-1</f>
        <v>4.4903490123744172E-2</v>
      </c>
      <c r="W54" s="57">
        <f t="shared" ref="W54" si="595">W53/V53-1</f>
        <v>-1.5312486423665006E-2</v>
      </c>
      <c r="X54" s="57">
        <f t="shared" ref="X54" si="596">X53/W53-1</f>
        <v>1.8977080495332865E-2</v>
      </c>
      <c r="Y54" s="57">
        <f t="shared" ref="Y54" si="597">Y53/X53-1</f>
        <v>-2.2127280846941932E-3</v>
      </c>
      <c r="Z54" s="57">
        <f t="shared" ref="Z54" si="598">Z53/Y53-1</f>
        <v>4.9919102292599105E-2</v>
      </c>
      <c r="AA54" s="57">
        <f t="shared" ref="AA54" si="599">AA53/Z53-1</f>
        <v>3.9872583988493693E-2</v>
      </c>
      <c r="AB54" s="57">
        <f t="shared" ref="AB54" si="600">AB53/AA53-1</f>
        <v>-3.4941016949321391E-2</v>
      </c>
      <c r="AC54" s="57">
        <f t="shared" ref="AC54" si="601">AC53/AB53-1</f>
        <v>-6.1167244255961872E-3</v>
      </c>
      <c r="AD54" s="57">
        <f t="shared" ref="AD54" si="602">AD53/AC53-1</f>
        <v>-1.6766065619770232E-2</v>
      </c>
      <c r="AE54" s="57">
        <f t="shared" ref="AE54" si="603">AE53/AD53-1</f>
        <v>7.4080450818300392E-2</v>
      </c>
      <c r="AF54" s="57">
        <f t="shared" ref="AF54" si="604">AF53/AE53-1</f>
        <v>9.8629259467433172E-3</v>
      </c>
      <c r="AG54" s="57">
        <f t="shared" ref="AG54" si="605">AG53/AF53-1</f>
        <v>-3.1061759868756367E-2</v>
      </c>
      <c r="AH54" s="57">
        <f t="shared" ref="AH54" si="606">AH53/AG53-1</f>
        <v>2.0999861012672039E-2</v>
      </c>
      <c r="AI54" s="57">
        <f t="shared" ref="AI54" si="607">AI53/AH53-1</f>
        <v>2.7650112836759E-3</v>
      </c>
      <c r="AJ54" s="57">
        <f t="shared" ref="AJ54" si="608">AJ53/AI53-1</f>
        <v>1.7420225832144531E-2</v>
      </c>
      <c r="AK54" s="57">
        <f t="shared" ref="AK54" si="609">AK53/AJ53-1</f>
        <v>3.8520304573314457E-2</v>
      </c>
      <c r="AL54" s="57">
        <f t="shared" ref="AL54" si="610">AL53/AK53-1</f>
        <v>-2.2439172875264979E-2</v>
      </c>
      <c r="AM54" s="57">
        <f t="shared" ref="AM54" si="611">AM53/AL53-1</f>
        <v>-2.5869257214623853E-2</v>
      </c>
      <c r="AN54" s="57">
        <f t="shared" ref="AN54" si="612">AN53/AM53-1</f>
        <v>-7.5121944722242873E-3</v>
      </c>
      <c r="AO54" s="57">
        <f t="shared" ref="AO54" si="613">AO53/AN53-1</f>
        <v>4.0438570199951673E-2</v>
      </c>
      <c r="AP54" s="57">
        <f t="shared" ref="AP54" si="614">AP53/AO53-1</f>
        <v>5.2576651165467725E-2</v>
      </c>
      <c r="AQ54" s="57">
        <f t="shared" ref="AQ54" si="615">AQ53/AP53-1</f>
        <v>1.1341830769191263E-2</v>
      </c>
      <c r="AR54" s="57">
        <f t="shared" ref="AR54" si="616">AR53/AQ53-1</f>
        <v>-1.7645489566855965E-2</v>
      </c>
      <c r="AS54" s="57">
        <f t="shared" ref="AS54" si="617">AS53/AR53-1</f>
        <v>2.1489774468346434E-2</v>
      </c>
      <c r="AT54" s="57">
        <f t="shared" ref="AT54" si="618">AT53/AS53-1</f>
        <v>-5.7798311554942194E-2</v>
      </c>
      <c r="AU54" s="57">
        <f t="shared" ref="AU54" si="619">AU53/AT53-1</f>
        <v>7.7542295397157401E-2</v>
      </c>
      <c r="AV54" s="57">
        <f t="shared" ref="AV54" si="620">AV53/AU53-1</f>
        <v>-2.0062577414939331E-2</v>
      </c>
      <c r="AW54" s="57">
        <f t="shared" ref="AW54" si="621">AW53/AV53-1</f>
        <v>-2.2604462395481306E-4</v>
      </c>
      <c r="AX54" s="61"/>
      <c r="AY54" s="61"/>
      <c r="AZ54" s="61"/>
      <c r="BA54" s="58"/>
      <c r="BB54" s="57">
        <f t="shared" ref="BB54" si="622">BB53/BA53-1</f>
        <v>3.1122061220549391E-2</v>
      </c>
      <c r="BC54" s="57">
        <f t="shared" ref="BC54" si="623">BC53/BB53-1</f>
        <v>4.7492230243775246E-3</v>
      </c>
      <c r="BD54" s="57">
        <f t="shared" ref="BD54" si="624">BD53/BC53-1</f>
        <v>-3.0886147177256573E-2</v>
      </c>
      <c r="BE54" s="57">
        <f t="shared" ref="BE54" si="625">BE53/BD53-1</f>
        <v>1.1283213833172434E-2</v>
      </c>
      <c r="BF54" s="57">
        <f t="shared" ref="BF54" si="626">BF53/BE53-1</f>
        <v>5.4716921245616446E-2</v>
      </c>
      <c r="BG54" s="57">
        <f t="shared" ref="BG54" si="627">BG53/BF53-1</f>
        <v>8.3513838310010247E-2</v>
      </c>
      <c r="BH54" s="57">
        <f t="shared" ref="BH54" si="628">BH53/BG53-1</f>
        <v>-6.0874434846556302E-2</v>
      </c>
      <c r="BI54" s="57">
        <f t="shared" ref="BI54" si="629">BI53/BH53-1</f>
        <v>-5.0522511458147124E-2</v>
      </c>
      <c r="BJ54" s="57">
        <f t="shared" ref="BJ54" si="630">BJ53/BI53-1</f>
        <v>-1.370982796150777E-2</v>
      </c>
      <c r="BK54" s="57">
        <f t="shared" ref="BK54" si="631">BK53/BJ53-1</f>
        <v>0.10895002901524653</v>
      </c>
      <c r="BL54" s="57">
        <f t="shared" ref="BL54" si="632">BL53/BK53-1</f>
        <v>-1.5152000934368526E-2</v>
      </c>
      <c r="BM54" s="62">
        <f t="shared" ref="BM54" si="633">BM53/BL53-1</f>
        <v>-6.476863610494088E-2</v>
      </c>
      <c r="BN54" s="57">
        <f t="shared" ref="BN54" si="634">BN53/BM53-1</f>
        <v>6.055809936705403E-3</v>
      </c>
      <c r="BO54" s="57">
        <f t="shared" ref="BO54" si="635">BO53/BN53-1</f>
        <v>9.3396253495141135E-2</v>
      </c>
      <c r="BP54" s="57">
        <f>BP53/BO53-1</f>
        <v>3.7845122791948738E-2</v>
      </c>
      <c r="BQ54" s="63">
        <f>BQ53/$BP53-1</f>
        <v>-0.21693827781598185</v>
      </c>
      <c r="BR54" s="63">
        <f>BR53/$BP53-1</f>
        <v>-0.17840417764463556</v>
      </c>
      <c r="BS54" s="63">
        <f>BS53/$BP53-1</f>
        <v>-0.10983141433264021</v>
      </c>
    </row>
    <row r="55" spans="1:71" ht="20.100000000000001" customHeight="1" x14ac:dyDescent="0.2">
      <c r="A55" s="22" t="s">
        <v>119</v>
      </c>
      <c r="B55" s="23">
        <v>60.811166277417371</v>
      </c>
      <c r="C55" s="23">
        <v>47.269071460752812</v>
      </c>
      <c r="D55" s="23">
        <v>43.301477958497863</v>
      </c>
      <c r="E55" s="23">
        <v>49.872001841162408</v>
      </c>
      <c r="F55" s="23">
        <v>43.2220083293345</v>
      </c>
      <c r="G55" s="23">
        <v>45.975844892935001</v>
      </c>
      <c r="H55" s="23">
        <v>51.371780423625559</v>
      </c>
      <c r="I55" s="23">
        <v>41.023185268816277</v>
      </c>
      <c r="J55" s="23">
        <v>52.986114646564239</v>
      </c>
      <c r="K55" s="23">
        <v>54.601412168521591</v>
      </c>
      <c r="L55" s="23">
        <v>49.995573455999164</v>
      </c>
      <c r="M55" s="23">
        <v>47.72375821776366</v>
      </c>
      <c r="N55" s="23">
        <v>45.763085435320029</v>
      </c>
      <c r="O55" s="23">
        <v>46.837029259695385</v>
      </c>
      <c r="P55" s="23">
        <v>56.635508678434228</v>
      </c>
      <c r="Q55" s="23">
        <v>51.370064782086295</v>
      </c>
      <c r="R55" s="24" t="s">
        <v>27</v>
      </c>
      <c r="S55" s="24">
        <v>59.996404490106123</v>
      </c>
      <c r="T55" s="23">
        <v>58.118969983195065</v>
      </c>
      <c r="U55" s="23">
        <v>60.145157109398909</v>
      </c>
      <c r="V55" s="23">
        <v>65.423202885579499</v>
      </c>
      <c r="W55" s="23">
        <v>63.712993947884314</v>
      </c>
      <c r="X55" s="23">
        <v>61.384891902160795</v>
      </c>
      <c r="Y55" s="23">
        <v>57.442020326785503</v>
      </c>
      <c r="Z55" s="23">
        <v>53.829297551800543</v>
      </c>
      <c r="AA55" s="23">
        <v>50.650805174314016</v>
      </c>
      <c r="AB55" s="23">
        <v>51.371620542172529</v>
      </c>
      <c r="AC55" s="23">
        <v>56.301143060987087</v>
      </c>
      <c r="AD55" s="23">
        <v>66.201225032156756</v>
      </c>
      <c r="AE55" s="23">
        <v>54.844087359690121</v>
      </c>
      <c r="AF55" s="23">
        <v>70.400520082630962</v>
      </c>
      <c r="AG55" s="23">
        <v>75.006894812552986</v>
      </c>
      <c r="AH55" s="23">
        <v>66.09090267805297</v>
      </c>
      <c r="AI55" s="23">
        <v>69.992784861562484</v>
      </c>
      <c r="AJ55" s="23">
        <v>108.55146556868937</v>
      </c>
      <c r="AK55" s="23">
        <v>104.37048081714245</v>
      </c>
      <c r="AL55" s="23">
        <v>97.227849250056664</v>
      </c>
      <c r="AM55" s="23">
        <v>107.10257043551179</v>
      </c>
      <c r="AN55" s="23">
        <v>109.77499052966587</v>
      </c>
      <c r="AO55" s="23">
        <v>124.79585028115832</v>
      </c>
      <c r="AP55" s="23">
        <v>134.20596326718191</v>
      </c>
      <c r="AQ55" s="23">
        <v>148.74486703153937</v>
      </c>
      <c r="AR55" s="23">
        <v>163.64642446428073</v>
      </c>
      <c r="AS55" s="23">
        <v>154.93199344282783</v>
      </c>
      <c r="AT55" s="23">
        <v>125.08344450294894</v>
      </c>
      <c r="AU55" s="23">
        <v>134.29666321025664</v>
      </c>
      <c r="AV55" s="23">
        <v>155.16446959946117</v>
      </c>
      <c r="AW55" s="23">
        <v>127.84412322160705</v>
      </c>
      <c r="AX55" s="36" t="s">
        <v>27</v>
      </c>
      <c r="AY55" s="36" t="s">
        <v>27</v>
      </c>
      <c r="AZ55" s="36" t="s">
        <v>27</v>
      </c>
      <c r="BA55" s="25">
        <v>117.32299999999999</v>
      </c>
      <c r="BB55" s="23">
        <v>125.52607889665127</v>
      </c>
      <c r="BC55" s="23">
        <v>112.56769294853116</v>
      </c>
      <c r="BD55" s="23">
        <v>102.64412817454999</v>
      </c>
      <c r="BE55" s="23">
        <v>96.548854800000015</v>
      </c>
      <c r="BF55" s="23">
        <v>113.9362497</v>
      </c>
      <c r="BG55" s="23">
        <v>115.59146999999999</v>
      </c>
      <c r="BH55" s="23">
        <v>112.2817</v>
      </c>
      <c r="BI55" s="23">
        <v>111.23341569999998</v>
      </c>
      <c r="BJ55" s="23">
        <v>116.553</v>
      </c>
      <c r="BK55" s="23">
        <v>98.73</v>
      </c>
      <c r="BL55" s="23">
        <v>96.52</v>
      </c>
      <c r="BM55" s="23">
        <v>113.19</v>
      </c>
      <c r="BN55" s="23">
        <v>100.73320166115185</v>
      </c>
      <c r="BO55" s="23">
        <v>88.929000000000002</v>
      </c>
      <c r="BP55" s="23">
        <v>123.27800000000001</v>
      </c>
      <c r="BQ55" s="23">
        <v>144.322</v>
      </c>
      <c r="BR55" s="23">
        <v>88.935000000000002</v>
      </c>
      <c r="BS55" s="23">
        <v>64.581000000000003</v>
      </c>
    </row>
    <row r="56" spans="1:71" ht="20.100000000000001" customHeight="1" x14ac:dyDescent="0.2">
      <c r="A56" s="22" t="s">
        <v>120</v>
      </c>
      <c r="B56" s="23">
        <v>33.302005717251205</v>
      </c>
      <c r="C56" s="23">
        <v>24.181269196556158</v>
      </c>
      <c r="D56" s="23">
        <v>26.475342566229656</v>
      </c>
      <c r="E56" s="23">
        <v>20.124718959665604</v>
      </c>
      <c r="F56" s="23">
        <v>9.9314882913699734</v>
      </c>
      <c r="G56" s="23">
        <v>34.670677314937713</v>
      </c>
      <c r="H56" s="23">
        <v>19.093737105566063</v>
      </c>
      <c r="I56" s="23">
        <v>15.858920733121895</v>
      </c>
      <c r="J56" s="23">
        <v>17.111249127453483</v>
      </c>
      <c r="K56" s="23">
        <v>25.94230151475379</v>
      </c>
      <c r="L56" s="23">
        <v>20.09322895684409</v>
      </c>
      <c r="M56" s="23">
        <v>9.6659086319188834</v>
      </c>
      <c r="N56" s="23">
        <v>21.267705702043614</v>
      </c>
      <c r="O56" s="23">
        <v>25.442374341963319</v>
      </c>
      <c r="P56" s="23">
        <v>18.929431982494194</v>
      </c>
      <c r="Q56" s="23">
        <v>37.004263435695776</v>
      </c>
      <c r="R56" s="24" t="s">
        <v>27</v>
      </c>
      <c r="S56" s="24">
        <v>54.04078953742431</v>
      </c>
      <c r="T56" s="23">
        <v>63.085422603710242</v>
      </c>
      <c r="U56" s="23">
        <v>53.518083794573343</v>
      </c>
      <c r="V56" s="23">
        <v>82.345939673724189</v>
      </c>
      <c r="W56" s="23">
        <v>36.931113882303833</v>
      </c>
      <c r="X56" s="23">
        <v>28.159803930048703</v>
      </c>
      <c r="Y56" s="23">
        <v>34.663446198369492</v>
      </c>
      <c r="Z56" s="23">
        <v>68.344788612357576</v>
      </c>
      <c r="AA56" s="23">
        <v>82.24654653951319</v>
      </c>
      <c r="AB56" s="23">
        <v>55.577305125058793</v>
      </c>
      <c r="AC56" s="23">
        <v>47.038324597046184</v>
      </c>
      <c r="AD56" s="23">
        <v>54.715411046880291</v>
      </c>
      <c r="AE56" s="23">
        <v>72.873325985360097</v>
      </c>
      <c r="AF56" s="23">
        <v>58.799568391232491</v>
      </c>
      <c r="AG56" s="23">
        <v>61.987313658580717</v>
      </c>
      <c r="AH56" s="23">
        <v>65.713134789737538</v>
      </c>
      <c r="AI56" s="23">
        <v>64.113702897044817</v>
      </c>
      <c r="AJ56" s="23">
        <v>84.643275851577982</v>
      </c>
      <c r="AK56" s="23">
        <v>77.099006591844741</v>
      </c>
      <c r="AL56" s="23">
        <v>58.781237262074647</v>
      </c>
      <c r="AM56" s="23">
        <v>73.325467629339897</v>
      </c>
      <c r="AN56" s="23">
        <v>68.854604942590882</v>
      </c>
      <c r="AO56" s="23">
        <v>70.877297851678719</v>
      </c>
      <c r="AP56" s="23">
        <v>108.24802778774658</v>
      </c>
      <c r="AQ56" s="23">
        <v>118.35652461000764</v>
      </c>
      <c r="AR56" s="23">
        <v>82.982435833508958</v>
      </c>
      <c r="AS56" s="23">
        <v>75.227986653807307</v>
      </c>
      <c r="AT56" s="23">
        <v>87.935411738094487</v>
      </c>
      <c r="AU56" s="23">
        <v>75.791374571290234</v>
      </c>
      <c r="AV56" s="23">
        <v>90.170781553175232</v>
      </c>
      <c r="AW56" s="23">
        <v>90.348987865407793</v>
      </c>
      <c r="AX56" s="36" t="s">
        <v>27</v>
      </c>
      <c r="AY56" s="36" t="s">
        <v>27</v>
      </c>
      <c r="AZ56" s="36" t="s">
        <v>27</v>
      </c>
      <c r="BA56" s="25">
        <v>155.28399999999999</v>
      </c>
      <c r="BB56" s="24">
        <v>184.56461367015348</v>
      </c>
      <c r="BC56" s="24">
        <v>131.02655605013959</v>
      </c>
      <c r="BD56" s="24">
        <v>243.76387028399239</v>
      </c>
      <c r="BE56" s="24">
        <v>156.68808120000003</v>
      </c>
      <c r="BF56" s="24">
        <v>180.04224420000003</v>
      </c>
      <c r="BG56" s="24">
        <v>158.49121999999997</v>
      </c>
      <c r="BH56" s="24">
        <v>202.43227999999996</v>
      </c>
      <c r="BI56" s="24">
        <v>222.16992079999997</v>
      </c>
      <c r="BJ56" s="24">
        <v>229.41800000000001</v>
      </c>
      <c r="BK56" s="24">
        <v>186.10499999999999</v>
      </c>
      <c r="BL56" s="24">
        <v>155.96199999999999</v>
      </c>
      <c r="BM56" s="24">
        <v>121.879</v>
      </c>
      <c r="BN56" s="24">
        <v>111.61899928407887</v>
      </c>
      <c r="BO56" s="24"/>
      <c r="BP56" s="24">
        <v>109.694</v>
      </c>
      <c r="BQ56" s="24">
        <v>111.5</v>
      </c>
      <c r="BR56" s="24">
        <v>129.54400000000001</v>
      </c>
      <c r="BS56" s="24">
        <v>142.28800000000001</v>
      </c>
    </row>
    <row r="57" spans="1:71" ht="20.100000000000001" customHeight="1" thickBot="1" x14ac:dyDescent="0.25">
      <c r="A57" s="26" t="s">
        <v>121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26"/>
      <c r="S57" s="26"/>
      <c r="T57" s="26"/>
      <c r="U57" s="26"/>
      <c r="V57" s="26"/>
      <c r="W57" s="26"/>
      <c r="X57" s="26"/>
      <c r="Y57" s="27"/>
      <c r="Z57" s="27"/>
      <c r="AA57" s="27"/>
      <c r="AB57" s="27"/>
      <c r="AC57" s="27"/>
      <c r="AD57" s="27"/>
      <c r="AE57" s="27"/>
      <c r="AF57" s="27"/>
      <c r="AG57" s="27"/>
      <c r="AH57" s="27"/>
      <c r="AI57" s="27"/>
      <c r="AJ57" s="27"/>
      <c r="AK57" s="27"/>
      <c r="AL57" s="27"/>
      <c r="AM57" s="27"/>
      <c r="AN57" s="27"/>
      <c r="AO57" s="27"/>
      <c r="AP57" s="27"/>
      <c r="AQ57" s="27"/>
      <c r="AR57" s="27"/>
      <c r="AS57" s="27"/>
      <c r="AT57" s="27"/>
      <c r="AU57" s="27"/>
      <c r="AV57" s="27"/>
      <c r="AW57" s="27"/>
      <c r="AX57" s="26"/>
      <c r="AY57" s="26"/>
      <c r="AZ57" s="26"/>
      <c r="BA57" s="31"/>
      <c r="BB57" s="27"/>
      <c r="BC57" s="27"/>
      <c r="BD57" s="27"/>
      <c r="BE57" s="27"/>
      <c r="BF57" s="27"/>
      <c r="BG57" s="27"/>
      <c r="BH57" s="27"/>
      <c r="BI57" s="27"/>
      <c r="BJ57" s="27"/>
      <c r="BK57" s="27"/>
      <c r="BL57" s="27"/>
      <c r="BM57" s="27"/>
      <c r="BN57" s="27"/>
      <c r="BO57" s="27"/>
      <c r="BP57" s="27"/>
      <c r="BQ57" s="27"/>
      <c r="BR57" s="27"/>
      <c r="BS57" s="27"/>
    </row>
    <row r="58" spans="1:71" ht="20.100000000000001" customHeight="1" x14ac:dyDescent="0.2">
      <c r="A58" s="22" t="s">
        <v>122</v>
      </c>
      <c r="B58" s="23">
        <v>4292.4505376975831</v>
      </c>
      <c r="C58" s="23">
        <v>4428.0736087800797</v>
      </c>
      <c r="D58" s="23">
        <v>4394.6557751626897</v>
      </c>
      <c r="E58" s="23">
        <v>4453.1987887182668</v>
      </c>
      <c r="F58" s="23">
        <v>4555.4475602593484</v>
      </c>
      <c r="G58" s="23">
        <v>4583.0769732898161</v>
      </c>
      <c r="H58" s="23">
        <v>4514.3739017476737</v>
      </c>
      <c r="I58" s="23">
        <v>4508.0846316987863</v>
      </c>
      <c r="J58" s="23">
        <v>4652.2354339410731</v>
      </c>
      <c r="K58" s="23">
        <v>4607.3191601247745</v>
      </c>
      <c r="L58" s="23">
        <v>4453.0446536459813</v>
      </c>
      <c r="M58" s="23">
        <v>4705.8009791843051</v>
      </c>
      <c r="N58" s="23">
        <v>4617.2422368467487</v>
      </c>
      <c r="O58" s="23">
        <v>4701.2278721123803</v>
      </c>
      <c r="P58" s="23">
        <v>4646.7273082573683</v>
      </c>
      <c r="Q58" s="23">
        <v>4598.3683946632236</v>
      </c>
      <c r="R58" s="24" t="s">
        <v>27</v>
      </c>
      <c r="S58" s="24">
        <v>4633.6003067929632</v>
      </c>
      <c r="T58" s="23">
        <v>4509.3694031473469</v>
      </c>
      <c r="U58" s="23">
        <v>4650.7913259034567</v>
      </c>
      <c r="V58" s="23">
        <v>4682.3524076769563</v>
      </c>
      <c r="W58" s="23">
        <v>4662.8229728261131</v>
      </c>
      <c r="X58" s="23">
        <v>4720.4783413772666</v>
      </c>
      <c r="Y58" s="23">
        <v>4773.9515148731025</v>
      </c>
      <c r="Z58" s="23">
        <v>4753.7734304229189</v>
      </c>
      <c r="AA58" s="23">
        <v>4899.4869179933457</v>
      </c>
      <c r="AB58" s="23">
        <v>4741.9063048125672</v>
      </c>
      <c r="AC58" s="23">
        <v>4795.5035136756651</v>
      </c>
      <c r="AD58" s="23">
        <v>4829.2393935894615</v>
      </c>
      <c r="AE58" s="23">
        <v>4622.4406394412963</v>
      </c>
      <c r="AF58" s="23">
        <v>4685.7809974234569</v>
      </c>
      <c r="AG58" s="23">
        <v>4889.2869144039678</v>
      </c>
      <c r="AH58" s="23">
        <v>4779.2123865574613</v>
      </c>
      <c r="AI58" s="23">
        <v>4692.1908548117053</v>
      </c>
      <c r="AJ58" s="23">
        <v>4626.2208346511798</v>
      </c>
      <c r="AK58" s="23">
        <v>4819.0750367516675</v>
      </c>
      <c r="AL58" s="23">
        <v>4934.4631180812212</v>
      </c>
      <c r="AM58" s="23">
        <v>4868.8163981581056</v>
      </c>
      <c r="AN58" s="23">
        <v>4756.3722036178806</v>
      </c>
      <c r="AO58" s="23">
        <v>5057.6380301778181</v>
      </c>
      <c r="AP58" s="23">
        <v>4956.7085987058999</v>
      </c>
      <c r="AQ58" s="23">
        <v>4903.1748711466471</v>
      </c>
      <c r="AR58" s="23">
        <v>4713.2193838131961</v>
      </c>
      <c r="AS58" s="23">
        <v>4775.1893485468927</v>
      </c>
      <c r="AT58" s="23">
        <v>4824.9452705534404</v>
      </c>
      <c r="AU58" s="23">
        <v>4928.5935980516188</v>
      </c>
      <c r="AV58" s="23">
        <v>4649.0419821699024</v>
      </c>
      <c r="AW58" s="23">
        <v>4694.5367337542029</v>
      </c>
      <c r="AX58" s="36" t="s">
        <v>27</v>
      </c>
      <c r="AY58" s="36" t="s">
        <v>27</v>
      </c>
      <c r="AZ58" s="36" t="s">
        <v>27</v>
      </c>
      <c r="BA58" s="25">
        <v>4994.5254602464483</v>
      </c>
      <c r="BB58" s="23">
        <v>5094.2672921968615</v>
      </c>
      <c r="BC58" s="23">
        <v>5015.3935325967586</v>
      </c>
      <c r="BD58" s="23">
        <v>5024.4228911393329</v>
      </c>
      <c r="BE58" s="23">
        <v>4963.8692398000003</v>
      </c>
      <c r="BF58" s="23">
        <v>5215.2836735999999</v>
      </c>
      <c r="BG58" s="23">
        <v>5325.523221571787</v>
      </c>
      <c r="BH58" s="23">
        <v>5144.5036799999998</v>
      </c>
      <c r="BI58" s="23">
        <v>5290.0359621999996</v>
      </c>
      <c r="BJ58" s="23">
        <v>5341.2529999999997</v>
      </c>
      <c r="BK58" s="23">
        <v>5348.8450000000003</v>
      </c>
      <c r="BL58" s="23">
        <v>5329.9549999999999</v>
      </c>
      <c r="BM58" s="23">
        <v>5501.24</v>
      </c>
      <c r="BN58" s="23">
        <v>5613.872196108854</v>
      </c>
      <c r="BO58" s="23">
        <v>5666.1189999999997</v>
      </c>
      <c r="BP58" s="23">
        <v>5491.6189999999997</v>
      </c>
      <c r="BQ58" s="23">
        <v>3720.5830000000001</v>
      </c>
      <c r="BR58" s="23">
        <v>4838.66</v>
      </c>
      <c r="BS58" s="23">
        <v>5504.1989999999996</v>
      </c>
    </row>
    <row r="59" spans="1:71" ht="20.100000000000001" customHeight="1" x14ac:dyDescent="0.2">
      <c r="A59" s="22" t="s">
        <v>123</v>
      </c>
      <c r="B59" s="23">
        <v>2186.5294586507507</v>
      </c>
      <c r="C59" s="23">
        <v>2112.4815711637552</v>
      </c>
      <c r="D59" s="23">
        <v>2273.7037207872531</v>
      </c>
      <c r="E59" s="23">
        <v>2264.7394424724939</v>
      </c>
      <c r="F59" s="23">
        <v>2220.3906165086137</v>
      </c>
      <c r="G59" s="23">
        <v>2381.5287635326999</v>
      </c>
      <c r="H59" s="23">
        <v>2212.6045771300251</v>
      </c>
      <c r="I59" s="23">
        <v>2306.7681711452205</v>
      </c>
      <c r="J59" s="23">
        <v>2378.7017249266469</v>
      </c>
      <c r="K59" s="23">
        <v>2485.3109894570343</v>
      </c>
      <c r="L59" s="23">
        <v>2496.0554674954928</v>
      </c>
      <c r="M59" s="23">
        <v>2473.6300459435101</v>
      </c>
      <c r="N59" s="23">
        <v>2498.1308280481658</v>
      </c>
      <c r="O59" s="23">
        <v>2542.1185006146816</v>
      </c>
      <c r="P59" s="23">
        <v>2625.4306619727049</v>
      </c>
      <c r="Q59" s="23">
        <v>2601.744717422363</v>
      </c>
      <c r="R59" s="24" t="s">
        <v>27</v>
      </c>
      <c r="S59" s="24">
        <v>2393.8305701988738</v>
      </c>
      <c r="T59" s="23">
        <v>2527.173983415616</v>
      </c>
      <c r="U59" s="23">
        <v>2484.3210633652216</v>
      </c>
      <c r="V59" s="23">
        <v>2450.7904475040746</v>
      </c>
      <c r="W59" s="23">
        <v>2724.3875388410561</v>
      </c>
      <c r="X59" s="23">
        <v>2612.7319270807561</v>
      </c>
      <c r="Y59" s="23">
        <v>2496.7562402714484</v>
      </c>
      <c r="Z59" s="23">
        <v>2527.5220993463117</v>
      </c>
      <c r="AA59" s="23">
        <v>2522.4033723641992</v>
      </c>
      <c r="AB59" s="23">
        <v>2641.7354397173553</v>
      </c>
      <c r="AC59" s="23">
        <v>2603.1737558813052</v>
      </c>
      <c r="AD59" s="23">
        <v>2631.0030973724997</v>
      </c>
      <c r="AE59" s="23">
        <v>2704.1067541008051</v>
      </c>
      <c r="AF59" s="23">
        <v>2755.9476977606873</v>
      </c>
      <c r="AG59" s="23">
        <v>2672.7214210318111</v>
      </c>
      <c r="AH59" s="23">
        <v>2799.4530425341327</v>
      </c>
      <c r="AI59" s="23">
        <v>2768.4636992592241</v>
      </c>
      <c r="AJ59" s="23">
        <v>2660.5320485370094</v>
      </c>
      <c r="AK59" s="23">
        <v>2647.292786826446</v>
      </c>
      <c r="AL59" s="23">
        <v>2638.6871101098277</v>
      </c>
      <c r="AM59" s="23">
        <v>2654.5553128535339</v>
      </c>
      <c r="AN59" s="23">
        <v>2562.2490111381371</v>
      </c>
      <c r="AO59" s="23">
        <v>2524.1709173963645</v>
      </c>
      <c r="AP59" s="23">
        <v>2603.9655861577648</v>
      </c>
      <c r="AQ59" s="23">
        <v>2484.3688332523452</v>
      </c>
      <c r="AR59" s="23">
        <v>2587.7940182471298</v>
      </c>
      <c r="AS59" s="23">
        <v>2484.742039011644</v>
      </c>
      <c r="AT59" s="23">
        <v>2476.0913589365982</v>
      </c>
      <c r="AU59" s="23">
        <v>2558.1143764184144</v>
      </c>
      <c r="AV59" s="23">
        <v>2588.234096363105</v>
      </c>
      <c r="AW59" s="23">
        <v>2548.9452748583803</v>
      </c>
      <c r="AX59" s="36" t="s">
        <v>27</v>
      </c>
      <c r="AY59" s="36" t="s">
        <v>27</v>
      </c>
      <c r="AZ59" s="36" t="s">
        <v>27</v>
      </c>
      <c r="BA59" s="25">
        <v>2756.3195663034103</v>
      </c>
      <c r="BB59" s="23">
        <v>2619.009350835925</v>
      </c>
      <c r="BC59" s="23">
        <v>2663.1383059975237</v>
      </c>
      <c r="BD59" s="23">
        <v>2556.3393761687075</v>
      </c>
      <c r="BE59" s="23">
        <v>2777.6772362000002</v>
      </c>
      <c r="BF59" s="23">
        <v>2849.6769482999998</v>
      </c>
      <c r="BG59" s="23">
        <v>2871.8095325542549</v>
      </c>
      <c r="BH59" s="23">
        <v>2731.1591800000001</v>
      </c>
      <c r="BI59" s="23">
        <v>2756.7068617</v>
      </c>
      <c r="BJ59" s="23">
        <v>2725.087</v>
      </c>
      <c r="BK59" s="23">
        <v>2629.58</v>
      </c>
      <c r="BL59" s="23">
        <v>2708.15</v>
      </c>
      <c r="BM59" s="23">
        <v>2745.107</v>
      </c>
      <c r="BN59" s="23">
        <v>2635.7501318839295</v>
      </c>
      <c r="BO59" s="23">
        <v>2622.6060000000002</v>
      </c>
      <c r="BP59" s="23">
        <v>2568.1179999999999</v>
      </c>
      <c r="BQ59" s="23">
        <v>2040.2070000000001</v>
      </c>
      <c r="BR59" s="23">
        <v>2217.7660000000001</v>
      </c>
      <c r="BS59" s="23">
        <v>2302.7759999999998</v>
      </c>
    </row>
    <row r="60" spans="1:71" ht="20.100000000000001" customHeight="1" x14ac:dyDescent="0.2">
      <c r="A60" s="22" t="s">
        <v>124</v>
      </c>
      <c r="B60" s="23">
        <v>1922.56255270571</v>
      </c>
      <c r="C60" s="23">
        <v>2066.7419306818138</v>
      </c>
      <c r="D60" s="23">
        <v>2047.1770952271106</v>
      </c>
      <c r="E60" s="23">
        <v>2034.9208122848315</v>
      </c>
      <c r="F60" s="23">
        <v>2125.7554924756641</v>
      </c>
      <c r="G60" s="23">
        <v>2088.5771539661905</v>
      </c>
      <c r="H60" s="23">
        <v>2185.1117215396321</v>
      </c>
      <c r="I60" s="23">
        <v>2179.3472690600715</v>
      </c>
      <c r="J60" s="23">
        <v>2298.0933842326535</v>
      </c>
      <c r="K60" s="23">
        <v>2361.5359095420908</v>
      </c>
      <c r="L60" s="23">
        <v>2389.2454394910992</v>
      </c>
      <c r="M60" s="23">
        <v>2468.4742113286056</v>
      </c>
      <c r="N60" s="23">
        <v>2522.9211016541331</v>
      </c>
      <c r="O60" s="23">
        <v>2424.257245116014</v>
      </c>
      <c r="P60" s="23">
        <v>2424.0873964535385</v>
      </c>
      <c r="Q60" s="23">
        <v>2517.0764845276121</v>
      </c>
      <c r="R60" s="24" t="s">
        <v>27</v>
      </c>
      <c r="S60" s="24">
        <v>2387.8932146686329</v>
      </c>
      <c r="T60" s="23">
        <v>2495.8074486685878</v>
      </c>
      <c r="U60" s="23">
        <v>2541.8054424173047</v>
      </c>
      <c r="V60" s="23">
        <v>2500.9886737583893</v>
      </c>
      <c r="W60" s="23">
        <v>2816.1766514600249</v>
      </c>
      <c r="X60" s="23">
        <v>2835.1973295695152</v>
      </c>
      <c r="Y60" s="23">
        <v>2766.0285076480855</v>
      </c>
      <c r="Z60" s="23">
        <v>2673.1280735419368</v>
      </c>
      <c r="AA60" s="23">
        <v>2793.3490569445316</v>
      </c>
      <c r="AB60" s="23">
        <v>2795.5889772532855</v>
      </c>
      <c r="AC60" s="23">
        <v>2790.3872888320366</v>
      </c>
      <c r="AD60" s="23">
        <v>2851.9513072697764</v>
      </c>
      <c r="AE60" s="23">
        <v>2984.9536183617097</v>
      </c>
      <c r="AF60" s="23">
        <v>2909.3429463047955</v>
      </c>
      <c r="AG60" s="23">
        <v>3019.4888762744981</v>
      </c>
      <c r="AH60" s="23">
        <v>2976.751420421388</v>
      </c>
      <c r="AI60" s="23">
        <v>3080.2879900719649</v>
      </c>
      <c r="AJ60" s="23">
        <v>3033.1230082292604</v>
      </c>
      <c r="AK60" s="23">
        <v>2913.0207754180387</v>
      </c>
      <c r="AL60" s="23">
        <v>3003.3067014867502</v>
      </c>
      <c r="AM60" s="23">
        <v>3034.3777798206324</v>
      </c>
      <c r="AN60" s="23">
        <v>3117.9287437430812</v>
      </c>
      <c r="AO60" s="23">
        <v>3029.2036563809761</v>
      </c>
      <c r="AP60" s="23">
        <v>3003.1858566360902</v>
      </c>
      <c r="AQ60" s="23">
        <v>3044.8850498131587</v>
      </c>
      <c r="AR60" s="23">
        <v>2994.886486988717</v>
      </c>
      <c r="AS60" s="23">
        <v>3094.6516137260087</v>
      </c>
      <c r="AT60" s="23">
        <v>3025.7487958679794</v>
      </c>
      <c r="AU60" s="23">
        <v>3148.8227974117767</v>
      </c>
      <c r="AV60" s="23">
        <v>3055.593923701017</v>
      </c>
      <c r="AW60" s="23">
        <v>3015.5352719147709</v>
      </c>
      <c r="AX60" s="36" t="s">
        <v>27</v>
      </c>
      <c r="AY60" s="36" t="s">
        <v>27</v>
      </c>
      <c r="AZ60" s="36" t="s">
        <v>27</v>
      </c>
      <c r="BA60" s="25">
        <v>2883.607918650509</v>
      </c>
      <c r="BB60" s="23">
        <v>2917.4139735793742</v>
      </c>
      <c r="BC60" s="23">
        <v>2964.3861422165146</v>
      </c>
      <c r="BD60" s="23">
        <v>2997.8594645765297</v>
      </c>
      <c r="BE60" s="23">
        <v>2953.5954846000004</v>
      </c>
      <c r="BF60" s="23">
        <v>2964.3273386999999</v>
      </c>
      <c r="BG60" s="23">
        <v>3136.5931616505759</v>
      </c>
      <c r="BH60" s="23">
        <v>3097.5720299999998</v>
      </c>
      <c r="BI60" s="23">
        <v>3063.4387392000003</v>
      </c>
      <c r="BJ60" s="23">
        <v>2967.7190000000001</v>
      </c>
      <c r="BK60" s="23">
        <v>2923.9589999999998</v>
      </c>
      <c r="BL60" s="23">
        <v>3025.5030000000002</v>
      </c>
      <c r="BM60" s="23">
        <v>3086.4349999999999</v>
      </c>
      <c r="BN60" s="23">
        <v>3184.0684075644931</v>
      </c>
      <c r="BO60" s="23">
        <v>3158.8679999999999</v>
      </c>
      <c r="BP60" s="23">
        <v>3233.1289999999999</v>
      </c>
      <c r="BQ60" s="23">
        <v>3159.502</v>
      </c>
      <c r="BR60" s="23">
        <v>3064.69</v>
      </c>
      <c r="BS60" s="23">
        <v>3070.43</v>
      </c>
    </row>
    <row r="61" spans="1:71" ht="20.100000000000001" customHeight="1" x14ac:dyDescent="0.2">
      <c r="A61" s="22" t="s">
        <v>120</v>
      </c>
      <c r="B61" s="23">
        <v>621.76774945561749</v>
      </c>
      <c r="C61" s="23">
        <v>643.06627694749147</v>
      </c>
      <c r="D61" s="23">
        <v>542.98748094257689</v>
      </c>
      <c r="E61" s="23">
        <v>611.83502871152518</v>
      </c>
      <c r="F61" s="23">
        <v>654.44133947840896</v>
      </c>
      <c r="G61" s="23">
        <v>617.35215840465139</v>
      </c>
      <c r="H61" s="23">
        <v>608.13378934556897</v>
      </c>
      <c r="I61" s="23">
        <v>642.37413377124142</v>
      </c>
      <c r="J61" s="23">
        <v>582.30975636206983</v>
      </c>
      <c r="K61" s="23">
        <v>560.73793691353978</v>
      </c>
      <c r="L61" s="23">
        <v>561.92145913645027</v>
      </c>
      <c r="M61" s="23">
        <v>510.29232465506192</v>
      </c>
      <c r="N61" s="23">
        <v>522.08031419399606</v>
      </c>
      <c r="O61" s="23">
        <v>630.30435516980367</v>
      </c>
      <c r="P61" s="23">
        <v>545.94129106877563</v>
      </c>
      <c r="Q61" s="23">
        <v>670.6210362716655</v>
      </c>
      <c r="R61" s="24" t="s">
        <v>27</v>
      </c>
      <c r="S61" s="24">
        <v>958.64909608549453</v>
      </c>
      <c r="T61" s="23">
        <v>831.97778719846031</v>
      </c>
      <c r="U61" s="23">
        <v>761.08201170618759</v>
      </c>
      <c r="V61" s="23">
        <v>792.09096640599921</v>
      </c>
      <c r="W61" s="23">
        <v>465.27725125300299</v>
      </c>
      <c r="X61" s="23">
        <v>479.71303270939728</v>
      </c>
      <c r="Y61" s="23">
        <v>555.01955283738766</v>
      </c>
      <c r="Z61" s="23">
        <v>571.62891668822408</v>
      </c>
      <c r="AA61" s="23">
        <v>474.79920277992971</v>
      </c>
      <c r="AB61" s="23">
        <v>505.38650003426125</v>
      </c>
      <c r="AC61" s="23">
        <v>581.47271403497064</v>
      </c>
      <c r="AD61" s="23">
        <v>497.09798124664536</v>
      </c>
      <c r="AE61" s="23">
        <v>515.56017869644324</v>
      </c>
      <c r="AF61" s="23">
        <v>487.50286184066647</v>
      </c>
      <c r="AG61" s="23">
        <v>514.38982084381269</v>
      </c>
      <c r="AH61" s="23">
        <v>615.87252461701291</v>
      </c>
      <c r="AI61" s="23">
        <v>565.04452981370457</v>
      </c>
      <c r="AJ61" s="23">
        <v>641.00589612808437</v>
      </c>
      <c r="AK61" s="23">
        <v>758.37586519470017</v>
      </c>
      <c r="AL61" s="23">
        <v>709.27448345371306</v>
      </c>
      <c r="AM61" s="23">
        <v>712.12663314671602</v>
      </c>
      <c r="AN61" s="23">
        <v>638.15626229411998</v>
      </c>
      <c r="AO61" s="23">
        <v>725.75029981786417</v>
      </c>
      <c r="AP61" s="23">
        <v>766.65958961403112</v>
      </c>
      <c r="AQ61" s="23">
        <v>872.15163397630647</v>
      </c>
      <c r="AR61" s="23">
        <v>798.66870938332465</v>
      </c>
      <c r="AS61" s="23">
        <v>656.32336954227139</v>
      </c>
      <c r="AT61" s="23">
        <v>695.61767710719198</v>
      </c>
      <c r="AU61" s="23">
        <v>617.42573932572634</v>
      </c>
      <c r="AV61" s="23">
        <v>809.34667498323597</v>
      </c>
      <c r="AW61" s="23">
        <v>892.0171502402842</v>
      </c>
      <c r="AX61" s="36" t="s">
        <v>27</v>
      </c>
      <c r="AY61" s="36" t="s">
        <v>27</v>
      </c>
      <c r="AZ61" s="36" t="s">
        <v>27</v>
      </c>
      <c r="BA61" s="25">
        <v>837.94598392070679</v>
      </c>
      <c r="BB61" s="23">
        <v>983.52728297612646</v>
      </c>
      <c r="BC61" s="23">
        <v>953.83240280248162</v>
      </c>
      <c r="BD61" s="23">
        <v>882.20047342719784</v>
      </c>
      <c r="BE61" s="23">
        <v>815.9062136</v>
      </c>
      <c r="BF61" s="23">
        <v>781.51335990000007</v>
      </c>
      <c r="BG61" s="23">
        <v>677.40212422338038</v>
      </c>
      <c r="BH61" s="23">
        <v>893.14703999999995</v>
      </c>
      <c r="BI61" s="23">
        <v>647.41760290000002</v>
      </c>
      <c r="BJ61" s="23">
        <v>787.96500000000003</v>
      </c>
      <c r="BK61" s="23">
        <v>891.01300000000003</v>
      </c>
      <c r="BL61" s="23">
        <v>883.70899999999995</v>
      </c>
      <c r="BM61" s="23">
        <v>740.61099999999999</v>
      </c>
      <c r="BN61" s="23">
        <v>675.34157154496108</v>
      </c>
      <c r="BO61" s="23">
        <v>792.52599999999995</v>
      </c>
      <c r="BP61" s="23">
        <v>752.33399999999995</v>
      </c>
      <c r="BQ61" s="23">
        <v>625.78800000000001</v>
      </c>
      <c r="BR61" s="23">
        <v>536.73299999999995</v>
      </c>
      <c r="BS61" s="23">
        <v>646.24400000000003</v>
      </c>
    </row>
    <row r="62" spans="1:71" ht="20.100000000000001" customHeight="1" thickBot="1" x14ac:dyDescent="0.25">
      <c r="A62" s="26" t="s">
        <v>125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26"/>
      <c r="S62" s="26"/>
      <c r="T62" s="26"/>
      <c r="U62" s="26"/>
      <c r="V62" s="26"/>
      <c r="W62" s="26"/>
      <c r="X62" s="26"/>
      <c r="Y62" s="27"/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7"/>
      <c r="AM62" s="27"/>
      <c r="AN62" s="27"/>
      <c r="AO62" s="27"/>
      <c r="AP62" s="27"/>
      <c r="AQ62" s="27"/>
      <c r="AR62" s="27"/>
      <c r="AS62" s="27"/>
      <c r="AT62" s="27"/>
      <c r="AU62" s="27"/>
      <c r="AV62" s="27"/>
      <c r="AW62" s="27"/>
      <c r="AX62" s="26"/>
      <c r="AY62" s="26"/>
      <c r="AZ62" s="26"/>
      <c r="BA62" s="31"/>
      <c r="BB62" s="27"/>
      <c r="BC62" s="27"/>
      <c r="BD62" s="27"/>
      <c r="BE62" s="27"/>
      <c r="BF62" s="27"/>
      <c r="BG62" s="27"/>
      <c r="BH62" s="27"/>
      <c r="BI62" s="27"/>
      <c r="BJ62" s="27"/>
      <c r="BK62" s="27"/>
      <c r="BL62" s="27"/>
      <c r="BM62" s="27"/>
      <c r="BN62" s="27"/>
      <c r="BO62" s="27"/>
      <c r="BP62" s="27"/>
      <c r="BQ62" s="27"/>
      <c r="BR62" s="27"/>
      <c r="BS62" s="27"/>
    </row>
    <row r="63" spans="1:71" ht="20.100000000000001" customHeight="1" x14ac:dyDescent="0.2">
      <c r="A63" s="22" t="s">
        <v>126</v>
      </c>
      <c r="B63" s="23">
        <v>841.80433864117833</v>
      </c>
      <c r="C63" s="23">
        <v>862.6929641893247</v>
      </c>
      <c r="D63" s="23">
        <v>861.37570399835136</v>
      </c>
      <c r="E63" s="23">
        <v>875.86080909149939</v>
      </c>
      <c r="F63" s="23">
        <v>859.17249308529642</v>
      </c>
      <c r="G63" s="23">
        <v>894.30066965590288</v>
      </c>
      <c r="H63" s="23">
        <v>896.421003548773</v>
      </c>
      <c r="I63" s="23">
        <v>866.70545829541311</v>
      </c>
      <c r="J63" s="23">
        <v>962.8369183221298</v>
      </c>
      <c r="K63" s="23">
        <v>907.64533079363503</v>
      </c>
      <c r="L63" s="23">
        <v>879.49701183137529</v>
      </c>
      <c r="M63" s="23">
        <v>884.4855452243844</v>
      </c>
      <c r="N63" s="23">
        <v>915.58661180759066</v>
      </c>
      <c r="O63" s="23">
        <v>884.21425718014405</v>
      </c>
      <c r="P63" s="23">
        <v>955.74759043209895</v>
      </c>
      <c r="Q63" s="23">
        <v>935.85695341109954</v>
      </c>
      <c r="R63" s="24" t="s">
        <v>27</v>
      </c>
      <c r="S63" s="24">
        <v>1022.104295760033</v>
      </c>
      <c r="T63" s="23">
        <v>1032.1008847420205</v>
      </c>
      <c r="U63" s="23">
        <v>1011.6956684498791</v>
      </c>
      <c r="V63" s="23">
        <v>918.16793432329575</v>
      </c>
      <c r="W63" s="23">
        <v>1073.4244834411002</v>
      </c>
      <c r="X63" s="23">
        <v>1057.9407748586509</v>
      </c>
      <c r="Y63" s="23">
        <v>1055.8292977753042</v>
      </c>
      <c r="Z63" s="23">
        <v>1028.778931739871</v>
      </c>
      <c r="AA63" s="23">
        <v>1041.2166955935745</v>
      </c>
      <c r="AB63" s="23">
        <v>1073.4010975227816</v>
      </c>
      <c r="AC63" s="23">
        <v>1073.1848518875493</v>
      </c>
      <c r="AD63" s="23">
        <v>1122.6035734626003</v>
      </c>
      <c r="AE63" s="23">
        <v>1076.6207946763473</v>
      </c>
      <c r="AF63" s="23">
        <v>1075.7962040441535</v>
      </c>
      <c r="AG63" s="23">
        <v>1041.0662891290613</v>
      </c>
      <c r="AH63" s="23">
        <v>1112.55245606672</v>
      </c>
      <c r="AI63" s="23">
        <v>1103.4457154023664</v>
      </c>
      <c r="AJ63" s="23">
        <v>1095.5238416964928</v>
      </c>
      <c r="AK63" s="23">
        <v>1074.5861563789281</v>
      </c>
      <c r="AL63" s="23">
        <v>1021.3327055079902</v>
      </c>
      <c r="AM63" s="23">
        <v>1039.054584754482</v>
      </c>
      <c r="AN63" s="23">
        <v>1095.3066913392604</v>
      </c>
      <c r="AO63" s="23">
        <v>1104.7119740505318</v>
      </c>
      <c r="AP63" s="23">
        <v>901.80319449442572</v>
      </c>
      <c r="AQ63" s="23">
        <v>900.5929770295038</v>
      </c>
      <c r="AR63" s="23">
        <v>828.69750876682303</v>
      </c>
      <c r="AS63" s="23">
        <v>858.18192632199862</v>
      </c>
      <c r="AT63" s="23">
        <v>1029.1939506546978</v>
      </c>
      <c r="AU63" s="23">
        <v>939.10780588926684</v>
      </c>
      <c r="AV63" s="23">
        <v>991.13390084389437</v>
      </c>
      <c r="AW63" s="23">
        <v>969.71689931607295</v>
      </c>
      <c r="AX63" s="36" t="s">
        <v>27</v>
      </c>
      <c r="AY63" s="36" t="s">
        <v>27</v>
      </c>
      <c r="AZ63" s="36" t="s">
        <v>27</v>
      </c>
      <c r="BA63" s="25">
        <v>1144.5420782819849</v>
      </c>
      <c r="BB63" s="23">
        <v>1158.0020772640235</v>
      </c>
      <c r="BC63" s="23">
        <v>1176.4497100968301</v>
      </c>
      <c r="BD63" s="23">
        <v>1097.5976461562313</v>
      </c>
      <c r="BE63" s="23">
        <v>1105.6957348386816</v>
      </c>
      <c r="BF63" s="23">
        <v>1051.5120798</v>
      </c>
      <c r="BG63" s="23">
        <v>1163.8845391257066</v>
      </c>
      <c r="BH63" s="23">
        <v>1135.3126613634574</v>
      </c>
      <c r="BI63" s="23">
        <v>1163.5946774334473</v>
      </c>
      <c r="BJ63" s="23">
        <v>1218.6980098650345</v>
      </c>
      <c r="BK63" s="23">
        <v>1180.7398420627467</v>
      </c>
      <c r="BL63" s="23">
        <v>1170.5445014785614</v>
      </c>
      <c r="BM63" s="23">
        <v>1282.3861973425905</v>
      </c>
      <c r="BN63" s="23">
        <v>1326.0968019411937</v>
      </c>
      <c r="BO63" s="23">
        <v>1363.2703582746187</v>
      </c>
      <c r="BP63" s="23">
        <v>1258.1211753863199</v>
      </c>
      <c r="BQ63" s="23">
        <v>994.99734684720124</v>
      </c>
      <c r="BR63" s="23">
        <v>1061.0980671567436</v>
      </c>
      <c r="BS63" s="23">
        <v>1118.0293448977661</v>
      </c>
    </row>
    <row r="64" spans="1:71" ht="20.100000000000001" customHeight="1" x14ac:dyDescent="0.2">
      <c r="A64" s="22" t="s">
        <v>127</v>
      </c>
      <c r="B64" s="23">
        <v>1568.6035995228654</v>
      </c>
      <c r="C64" s="23">
        <v>1579.9802316367338</v>
      </c>
      <c r="D64" s="23">
        <v>1473.0294827855198</v>
      </c>
      <c r="E64" s="23">
        <v>1566.3553422366449</v>
      </c>
      <c r="F64" s="23">
        <v>1554.6100754151748</v>
      </c>
      <c r="G64" s="23">
        <v>1563.5622600615234</v>
      </c>
      <c r="H64" s="23">
        <v>1393.6445527137528</v>
      </c>
      <c r="I64" s="23">
        <v>1515.9159516115046</v>
      </c>
      <c r="J64" s="23">
        <v>1676.1698970146329</v>
      </c>
      <c r="K64" s="23">
        <v>1674.1569177510346</v>
      </c>
      <c r="L64" s="23">
        <v>1587.0697177143863</v>
      </c>
      <c r="M64" s="23">
        <v>1675.9482301620985</v>
      </c>
      <c r="N64" s="23">
        <v>1687.3312678034081</v>
      </c>
      <c r="O64" s="23">
        <v>1644.1039313690374</v>
      </c>
      <c r="P64" s="23">
        <v>1704.4476414038706</v>
      </c>
      <c r="Q64" s="23">
        <v>1811.7777023653464</v>
      </c>
      <c r="R64" s="24" t="s">
        <v>27</v>
      </c>
      <c r="S64" s="24">
        <v>1763.3567292139344</v>
      </c>
      <c r="T64" s="23">
        <v>1765.9982018991059</v>
      </c>
      <c r="U64" s="23">
        <v>1846.625418277679</v>
      </c>
      <c r="V64" s="23">
        <v>1763.0400242982837</v>
      </c>
      <c r="W64" s="23">
        <v>1865.1004027134068</v>
      </c>
      <c r="X64" s="23">
        <v>1851.8236152045811</v>
      </c>
      <c r="Y64" s="23">
        <v>1867.8596718307226</v>
      </c>
      <c r="Z64" s="23">
        <v>1904.8512542141868</v>
      </c>
      <c r="AA64" s="23">
        <v>1837.7274372636325</v>
      </c>
      <c r="AB64" s="23">
        <v>1859.606434005148</v>
      </c>
      <c r="AC64" s="23">
        <v>1991.7222807330604</v>
      </c>
      <c r="AD64" s="23">
        <v>1813.8278949084042</v>
      </c>
      <c r="AE64" s="23">
        <v>1936.8655926633623</v>
      </c>
      <c r="AF64" s="23">
        <v>1867.2827615802044</v>
      </c>
      <c r="AG64" s="23">
        <v>2055.9851988765963</v>
      </c>
      <c r="AH64" s="23">
        <v>1962.026862926602</v>
      </c>
      <c r="AI64" s="23">
        <v>1944.7720506828639</v>
      </c>
      <c r="AJ64" s="23">
        <v>1895.9458695385811</v>
      </c>
      <c r="AK64" s="23">
        <v>1978.4446988360578</v>
      </c>
      <c r="AL64" s="23">
        <v>2023.7435856463076</v>
      </c>
      <c r="AM64" s="23">
        <v>2018.5892280531982</v>
      </c>
      <c r="AN64" s="23">
        <v>1911.0215651785725</v>
      </c>
      <c r="AO64" s="23">
        <v>1948.34044704386</v>
      </c>
      <c r="AP64" s="23">
        <v>2168.4554497257905</v>
      </c>
      <c r="AQ64" s="23">
        <v>2109.7236048048017</v>
      </c>
      <c r="AR64" s="23">
        <v>2053.1467872652629</v>
      </c>
      <c r="AS64" s="23">
        <v>2031.4532861293892</v>
      </c>
      <c r="AT64" s="23">
        <v>1871.6814295991051</v>
      </c>
      <c r="AU64" s="23">
        <v>1981.80375327308</v>
      </c>
      <c r="AV64" s="23">
        <v>1872.7662863194407</v>
      </c>
      <c r="AW64" s="23">
        <v>1846.3833426867577</v>
      </c>
      <c r="AX64" s="36" t="s">
        <v>27</v>
      </c>
      <c r="AY64" s="36" t="s">
        <v>27</v>
      </c>
      <c r="AZ64" s="36" t="s">
        <v>27</v>
      </c>
      <c r="BA64" s="25">
        <v>2005.1539455067045</v>
      </c>
      <c r="BB64" s="23">
        <v>2039.8249835862694</v>
      </c>
      <c r="BC64" s="23">
        <v>2083.2149012816985</v>
      </c>
      <c r="BD64" s="23">
        <v>1999.0280747781032</v>
      </c>
      <c r="BE64" s="23">
        <v>2037.2815696157841</v>
      </c>
      <c r="BF64" s="23">
        <v>2015.806065</v>
      </c>
      <c r="BG64" s="23">
        <v>2203.7281838907634</v>
      </c>
      <c r="BH64" s="23">
        <v>2118.4358879175061</v>
      </c>
      <c r="BI64" s="23">
        <v>2183.5279283795071</v>
      </c>
      <c r="BJ64" s="23">
        <v>2028.3951853962278</v>
      </c>
      <c r="BK64" s="23">
        <v>2189.5162471879471</v>
      </c>
      <c r="BL64" s="23">
        <v>2136.4602028282798</v>
      </c>
      <c r="BM64" s="23">
        <v>2172.7345660233459</v>
      </c>
      <c r="BN64" s="23">
        <v>2236.2808819769452</v>
      </c>
      <c r="BO64" s="23">
        <v>2328.0170739991099</v>
      </c>
      <c r="BP64" s="23">
        <v>2160.7877779027508</v>
      </c>
      <c r="BQ64" s="23">
        <v>1970.4254534713991</v>
      </c>
      <c r="BR64" s="23">
        <v>1992.9343810560217</v>
      </c>
      <c r="BS64" s="23">
        <v>2094.7826176227882</v>
      </c>
    </row>
    <row r="65" spans="1:81" ht="20.100000000000001" customHeight="1" x14ac:dyDescent="0.2">
      <c r="A65" s="22" t="s">
        <v>128</v>
      </c>
      <c r="B65" s="23">
        <v>4187.4293661797865</v>
      </c>
      <c r="C65" s="23">
        <v>4358.7484234382873</v>
      </c>
      <c r="D65" s="23">
        <v>4562.0885023710689</v>
      </c>
      <c r="E65" s="23">
        <v>4619.539482255921</v>
      </c>
      <c r="F65" s="23">
        <v>4864.4215499696184</v>
      </c>
      <c r="G65" s="23">
        <v>4789.0391338638055</v>
      </c>
      <c r="H65" s="23">
        <v>4783.5432658511536</v>
      </c>
      <c r="I65" s="23">
        <v>4871.7365930621918</v>
      </c>
      <c r="J65" s="23">
        <v>4794.1286940279897</v>
      </c>
      <c r="K65" s="23">
        <v>4965.8330547099167</v>
      </c>
      <c r="L65" s="23">
        <v>4949.9938959408028</v>
      </c>
      <c r="M65" s="23">
        <v>5171.2495868148726</v>
      </c>
      <c r="N65" s="23">
        <v>5139.0142039306174</v>
      </c>
      <c r="O65" s="23">
        <v>5263.5543350757844</v>
      </c>
      <c r="P65" s="23">
        <v>5094.4403397828455</v>
      </c>
      <c r="Q65" s="23">
        <v>5207.9161923332795</v>
      </c>
      <c r="R65" s="24" t="s">
        <v>27</v>
      </c>
      <c r="S65" s="24">
        <v>5134.7586683708432</v>
      </c>
      <c r="T65" s="23">
        <v>5127.4400839883519</v>
      </c>
      <c r="U65" s="23">
        <v>5115.097065332362</v>
      </c>
      <c r="V65" s="23">
        <v>5342.0647381538884</v>
      </c>
      <c r="W65" s="23">
        <v>5356.2631823635093</v>
      </c>
      <c r="X65" s="23">
        <v>5365.4510824797153</v>
      </c>
      <c r="Y65" s="23">
        <v>5156.1962665138744</v>
      </c>
      <c r="Z65" s="23">
        <v>5115.5768473075177</v>
      </c>
      <c r="AA65" s="23">
        <v>5340.7531872620966</v>
      </c>
      <c r="AB65" s="23">
        <v>5257.106819339544</v>
      </c>
      <c r="AC65" s="23">
        <v>5205.7230836019799</v>
      </c>
      <c r="AD65" s="23">
        <v>5296.1638441402756</v>
      </c>
      <c r="AE65" s="23">
        <v>5351.4923124459201</v>
      </c>
      <c r="AF65" s="23">
        <v>5423.0910681904643</v>
      </c>
      <c r="AG65" s="23">
        <v>5526.7414481998585</v>
      </c>
      <c r="AH65" s="23">
        <v>5596.9213615629296</v>
      </c>
      <c r="AI65" s="23">
        <v>5648.5914080950806</v>
      </c>
      <c r="AJ65" s="23">
        <v>5647.1573205573413</v>
      </c>
      <c r="AK65" s="23">
        <v>5514.0342510019764</v>
      </c>
      <c r="AL65" s="23">
        <v>5531.0478669611448</v>
      </c>
      <c r="AM65" s="23">
        <v>5791.1779083108795</v>
      </c>
      <c r="AN65" s="23">
        <v>5565.1419706585366</v>
      </c>
      <c r="AO65" s="23">
        <v>5744.8192943601225</v>
      </c>
      <c r="AP65" s="23">
        <v>5939.6411479385206</v>
      </c>
      <c r="AQ65" s="23">
        <v>5894.9149407686746</v>
      </c>
      <c r="AR65" s="23">
        <v>5976.6247022520183</v>
      </c>
      <c r="AS65" s="23">
        <v>5774.5527372069064</v>
      </c>
      <c r="AT65" s="23">
        <v>5749.2134601302059</v>
      </c>
      <c r="AU65" s="23">
        <v>5933.1080538908773</v>
      </c>
      <c r="AV65" s="23">
        <v>5899.8101999294149</v>
      </c>
      <c r="AW65" s="23">
        <v>5986.1488744669605</v>
      </c>
      <c r="AX65" s="36" t="s">
        <v>27</v>
      </c>
      <c r="AY65" s="36" t="s">
        <v>27</v>
      </c>
      <c r="AZ65" s="36" t="s">
        <v>27</v>
      </c>
      <c r="BA65" s="25">
        <v>5822.0410664770779</v>
      </c>
      <c r="BB65" s="23">
        <v>5943.0273459128175</v>
      </c>
      <c r="BC65" s="23">
        <v>5838.8245560021551</v>
      </c>
      <c r="BD65" s="23">
        <v>5951.4420997827046</v>
      </c>
      <c r="BE65" s="23">
        <v>5898.1411969823039</v>
      </c>
      <c r="BF65" s="23">
        <v>6137.7524481000009</v>
      </c>
      <c r="BG65" s="23">
        <v>6088.073658511963</v>
      </c>
      <c r="BH65" s="23">
        <v>6128.6189527063525</v>
      </c>
      <c r="BI65" s="23">
        <v>5996.9410801805407</v>
      </c>
      <c r="BJ65" s="23">
        <v>5976.1580101334357</v>
      </c>
      <c r="BK65" s="23">
        <v>5883.3711993202078</v>
      </c>
      <c r="BL65" s="23">
        <v>6069.311703157402</v>
      </c>
      <c r="BM65" s="23">
        <v>6086.865624974178</v>
      </c>
      <c r="BN65" s="23">
        <v>5976.5752006960311</v>
      </c>
      <c r="BO65" s="23">
        <v>6018.9158093737678</v>
      </c>
      <c r="BP65" s="23">
        <v>6008.2978605135268</v>
      </c>
      <c r="BQ65" s="23">
        <v>4782.3353132835882</v>
      </c>
      <c r="BR65" s="23">
        <v>5667.3994154337133</v>
      </c>
      <c r="BS65" s="23">
        <v>5996.1991092248845</v>
      </c>
    </row>
    <row r="66" spans="1:81" ht="20.100000000000001" customHeight="1" x14ac:dyDescent="0.2">
      <c r="A66" s="22" t="s">
        <v>129</v>
      </c>
      <c r="B66" s="23">
        <v>2425.4729941658316</v>
      </c>
      <c r="C66" s="23">
        <v>2448.9417683087963</v>
      </c>
      <c r="D66" s="23">
        <v>2362.03038296469</v>
      </c>
      <c r="E66" s="23">
        <v>2303.5553740385822</v>
      </c>
      <c r="F66" s="23">
        <v>2277.8308902519452</v>
      </c>
      <c r="G66" s="23">
        <v>2423.632985612126</v>
      </c>
      <c r="H66" s="23">
        <v>2446.6151676492218</v>
      </c>
      <c r="I66" s="23">
        <v>2382.2162027062109</v>
      </c>
      <c r="J66" s="23">
        <v>2478.2047900976904</v>
      </c>
      <c r="K66" s="23">
        <v>2467.2686927828549</v>
      </c>
      <c r="L66" s="23">
        <v>2483.7063942824602</v>
      </c>
      <c r="M66" s="23">
        <v>2426.5141989101276</v>
      </c>
      <c r="N66" s="23">
        <v>2418.442397201427</v>
      </c>
      <c r="O66" s="23">
        <v>2506.035449387914</v>
      </c>
      <c r="P66" s="23">
        <v>2487.5510861335715</v>
      </c>
      <c r="Q66" s="23">
        <v>2432.259784775139</v>
      </c>
      <c r="R66" s="24" t="s">
        <v>27</v>
      </c>
      <c r="S66" s="24">
        <v>2454.2221529104604</v>
      </c>
      <c r="T66" s="23">
        <v>2438.7894518005328</v>
      </c>
      <c r="U66" s="23">
        <v>2464.5816913322501</v>
      </c>
      <c r="V66" s="23">
        <v>2402.9497985699504</v>
      </c>
      <c r="W66" s="23">
        <v>2373.8763458621806</v>
      </c>
      <c r="X66" s="23">
        <v>2372.9051581939884</v>
      </c>
      <c r="Y66" s="23">
        <v>2511.8705795101232</v>
      </c>
      <c r="Z66" s="23">
        <v>2476.8454867378164</v>
      </c>
      <c r="AA66" s="23">
        <v>2470.341229962703</v>
      </c>
      <c r="AB66" s="23">
        <v>2494.5028709499948</v>
      </c>
      <c r="AC66" s="23">
        <v>2499.9070562013871</v>
      </c>
      <c r="AD66" s="23">
        <v>2576.6964669671029</v>
      </c>
      <c r="AE66" s="23">
        <v>2462.0824908146246</v>
      </c>
      <c r="AF66" s="23">
        <v>2472.4044695147845</v>
      </c>
      <c r="AG66" s="23">
        <v>2472.8958376244536</v>
      </c>
      <c r="AH66" s="23">
        <v>2499.7886935737433</v>
      </c>
      <c r="AI66" s="23">
        <v>2409.177899776289</v>
      </c>
      <c r="AJ66" s="23">
        <v>2322.2547557531207</v>
      </c>
      <c r="AK66" s="23">
        <v>2570.6993579738892</v>
      </c>
      <c r="AL66" s="23">
        <v>2709.6072550160693</v>
      </c>
      <c r="AM66" s="23">
        <v>2421.0544028604286</v>
      </c>
      <c r="AN66" s="23">
        <v>2503.23599361685</v>
      </c>
      <c r="AO66" s="23">
        <v>2538.8911883185092</v>
      </c>
      <c r="AP66" s="23">
        <v>2320.6198389550491</v>
      </c>
      <c r="AQ66" s="23">
        <v>2399.3488655854781</v>
      </c>
      <c r="AR66" s="23">
        <v>2237.2729606228218</v>
      </c>
      <c r="AS66" s="23">
        <v>2346.718421168523</v>
      </c>
      <c r="AT66" s="23">
        <v>2372.3142620812027</v>
      </c>
      <c r="AU66" s="23">
        <v>2398.9368981543125</v>
      </c>
      <c r="AV66" s="23">
        <v>2338.5062901245092</v>
      </c>
      <c r="AW66" s="23">
        <v>2289.6143520345258</v>
      </c>
      <c r="AX66" s="36" t="s">
        <v>27</v>
      </c>
      <c r="AY66" s="36" t="s">
        <v>27</v>
      </c>
      <c r="AZ66" s="36" t="s">
        <v>27</v>
      </c>
      <c r="BA66" s="25">
        <v>2500.6618388553075</v>
      </c>
      <c r="BB66" s="23">
        <v>2473.3634928251772</v>
      </c>
      <c r="BC66" s="23">
        <v>2498.261216232595</v>
      </c>
      <c r="BD66" s="23">
        <v>2412.7543845947293</v>
      </c>
      <c r="BE66" s="23">
        <v>2469.9296727632313</v>
      </c>
      <c r="BF66" s="23">
        <v>2524.5601017000004</v>
      </c>
      <c r="BG66" s="23">
        <v>2555.6416584715644</v>
      </c>
      <c r="BH66" s="23">
        <v>2484.0144280126829</v>
      </c>
      <c r="BI66" s="23">
        <v>2413.5354800065047</v>
      </c>
      <c r="BJ66" s="23">
        <v>2598.7727946053028</v>
      </c>
      <c r="BK66" s="23">
        <v>2539.7697114290991</v>
      </c>
      <c r="BL66" s="23">
        <v>2571.0005925357577</v>
      </c>
      <c r="BM66" s="23">
        <v>2531.4066116598851</v>
      </c>
      <c r="BN66" s="23">
        <v>2570.0794224880669</v>
      </c>
      <c r="BO66" s="23">
        <v>2529.9157583525034</v>
      </c>
      <c r="BP66" s="23">
        <v>2617.9931861974028</v>
      </c>
      <c r="BQ66" s="23">
        <v>1798.3218863978118</v>
      </c>
      <c r="BR66" s="23">
        <v>1936.4171363535208</v>
      </c>
      <c r="BS66" s="23">
        <v>2314.6379282545613</v>
      </c>
      <c r="BT66" s="38"/>
      <c r="BU66" s="38"/>
      <c r="BV66" s="38"/>
      <c r="BW66" s="38"/>
      <c r="BX66" s="38"/>
      <c r="BY66" s="38"/>
      <c r="BZ66" s="38"/>
      <c r="CA66" s="38"/>
      <c r="CB66" s="38"/>
      <c r="CC66" s="38"/>
    </row>
    <row r="67" spans="1:81" ht="20.100000000000001" customHeight="1" thickBot="1" x14ac:dyDescent="0.25">
      <c r="A67" s="26" t="s">
        <v>130</v>
      </c>
      <c r="B67" s="26"/>
      <c r="C67" s="26"/>
      <c r="D67" s="26"/>
      <c r="E67" s="26"/>
      <c r="F67" s="26"/>
      <c r="G67" s="26"/>
      <c r="H67" s="26"/>
      <c r="I67" s="26"/>
      <c r="J67" s="26"/>
      <c r="K67" s="26"/>
      <c r="L67" s="26"/>
      <c r="M67" s="26"/>
      <c r="N67" s="26"/>
      <c r="O67" s="26"/>
      <c r="P67" s="26"/>
      <c r="Q67" s="26"/>
      <c r="R67" s="26"/>
      <c r="S67" s="26"/>
      <c r="T67" s="26"/>
      <c r="U67" s="26"/>
      <c r="V67" s="26"/>
      <c r="W67" s="26"/>
      <c r="X67" s="26"/>
      <c r="Y67" s="27"/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7"/>
      <c r="AM67" s="27"/>
      <c r="AN67" s="27"/>
      <c r="AO67" s="27"/>
      <c r="AP67" s="27"/>
      <c r="AQ67" s="27"/>
      <c r="AR67" s="27"/>
      <c r="AS67" s="27"/>
      <c r="AT67" s="27"/>
      <c r="AU67" s="27"/>
      <c r="AV67" s="27"/>
      <c r="AW67" s="27"/>
      <c r="AX67" s="26"/>
      <c r="AY67" s="26"/>
      <c r="AZ67" s="26"/>
      <c r="BA67" s="31"/>
      <c r="BB67" s="27"/>
      <c r="BC67" s="27"/>
      <c r="BD67" s="27"/>
      <c r="BE67" s="27"/>
      <c r="BF67" s="27"/>
      <c r="BG67" s="27"/>
      <c r="BH67" s="27"/>
      <c r="BI67" s="27"/>
      <c r="BJ67" s="27"/>
      <c r="BK67" s="27"/>
      <c r="BL67" s="27"/>
      <c r="BM67" s="27"/>
      <c r="BN67" s="27"/>
      <c r="BO67" s="27"/>
      <c r="BP67" s="27"/>
      <c r="BQ67" s="27"/>
      <c r="BR67" s="27"/>
      <c r="BS67" s="27"/>
      <c r="BT67" s="38"/>
      <c r="BU67" s="38"/>
      <c r="BV67" s="38"/>
      <c r="BW67" s="38"/>
      <c r="BX67" s="38"/>
      <c r="BY67" s="38"/>
      <c r="BZ67" s="38"/>
      <c r="CA67" s="38"/>
      <c r="CB67" s="38"/>
      <c r="CC67" s="38"/>
    </row>
    <row r="68" spans="1:81" ht="20.100000000000001" customHeight="1" x14ac:dyDescent="0.2">
      <c r="A68" s="22" t="s">
        <v>131</v>
      </c>
      <c r="B68" s="23">
        <v>1401.2710045484657</v>
      </c>
      <c r="C68" s="23">
        <v>1391.0036483340423</v>
      </c>
      <c r="D68" s="23">
        <v>1242.7582990519395</v>
      </c>
      <c r="E68" s="23">
        <v>1399.2986436678839</v>
      </c>
      <c r="F68" s="23">
        <v>1379.3886496925238</v>
      </c>
      <c r="G68" s="23">
        <v>1338.4575467893355</v>
      </c>
      <c r="H68" s="23">
        <v>1192.8225893513181</v>
      </c>
      <c r="I68" s="23">
        <v>1254.9072292765936</v>
      </c>
      <c r="J68" s="23">
        <v>1302.1977705184026</v>
      </c>
      <c r="K68" s="23">
        <v>1359.6235813557973</v>
      </c>
      <c r="L68" s="23">
        <v>1160.2386407439521</v>
      </c>
      <c r="M68" s="23">
        <v>1410.91175197811</v>
      </c>
      <c r="N68" s="23">
        <v>1276.3934964020314</v>
      </c>
      <c r="O68" s="23">
        <v>1337.394655878225</v>
      </c>
      <c r="P68" s="23">
        <v>1143.7721574883437</v>
      </c>
      <c r="Q68" s="23">
        <v>1359.6642027934954</v>
      </c>
      <c r="R68" s="24" t="s">
        <v>27</v>
      </c>
      <c r="S68" s="24">
        <v>1247.2800173889707</v>
      </c>
      <c r="T68" s="23">
        <v>1063.6263843316638</v>
      </c>
      <c r="U68" s="23">
        <v>1177.5003200291137</v>
      </c>
      <c r="V68" s="23">
        <v>1218.4774641173105</v>
      </c>
      <c r="W68" s="23">
        <v>2178.3413755843685</v>
      </c>
      <c r="X68" s="23">
        <v>1238.6309311031096</v>
      </c>
      <c r="Y68" s="23">
        <v>1405.8574190621378</v>
      </c>
      <c r="Z68" s="23">
        <v>1378.4796555735177</v>
      </c>
      <c r="AA68" s="23">
        <v>1306.1841549771755</v>
      </c>
      <c r="AB68" s="23">
        <v>1162.6215394764527</v>
      </c>
      <c r="AC68" s="23">
        <v>1273.2757089011614</v>
      </c>
      <c r="AD68" s="23">
        <v>1249.5289133819608</v>
      </c>
      <c r="AE68" s="23">
        <v>1214.9112097610584</v>
      </c>
      <c r="AF68" s="23">
        <v>1074.8395694727815</v>
      </c>
      <c r="AG68" s="23">
        <v>1201.5106589753814</v>
      </c>
      <c r="AH68" s="23">
        <v>1274.8742086705543</v>
      </c>
      <c r="AI68" s="23">
        <v>1234.1767843484386</v>
      </c>
      <c r="AJ68" s="23">
        <v>1112.4872421241844</v>
      </c>
      <c r="AK68" s="23">
        <v>1336.6620058962719</v>
      </c>
      <c r="AL68" s="23">
        <v>1390.7864391832691</v>
      </c>
      <c r="AM68" s="23">
        <v>1302.9297061373243</v>
      </c>
      <c r="AN68" s="23">
        <v>1168.2950666819277</v>
      </c>
      <c r="AO68" s="23">
        <v>1395.658995392045</v>
      </c>
      <c r="AP68" s="23">
        <v>1268.5010435969634</v>
      </c>
      <c r="AQ68" s="23">
        <v>1274.5147585070713</v>
      </c>
      <c r="AR68" s="23">
        <v>1141.845440220246</v>
      </c>
      <c r="AS68" s="23">
        <v>1286.5120374550124</v>
      </c>
      <c r="AT68" s="23">
        <v>1252.3736344693609</v>
      </c>
      <c r="AU68" s="23">
        <v>1332.61968326805</v>
      </c>
      <c r="AV68" s="23">
        <v>1205.6144876245655</v>
      </c>
      <c r="AW68" s="23">
        <v>1337.6989475606561</v>
      </c>
      <c r="AX68" s="36" t="s">
        <v>27</v>
      </c>
      <c r="AY68" s="36" t="s">
        <v>27</v>
      </c>
      <c r="AZ68" s="36" t="s">
        <v>27</v>
      </c>
      <c r="BA68" s="25">
        <v>1546.5464483997889</v>
      </c>
      <c r="BB68" s="23">
        <v>1495.4961472844213</v>
      </c>
      <c r="BC68" s="23">
        <v>1540.6157776244772</v>
      </c>
      <c r="BD68" s="23">
        <v>1382.9034636671372</v>
      </c>
      <c r="BE68" s="23">
        <v>1602.3701482000001</v>
      </c>
      <c r="BF68" s="23">
        <v>1593.0125484</v>
      </c>
      <c r="BG68" s="23">
        <v>1607.7977899999998</v>
      </c>
      <c r="BH68" s="23">
        <v>1455.8038999999999</v>
      </c>
      <c r="BI68" s="23">
        <v>1702.1652421000001</v>
      </c>
      <c r="BJ68" s="23">
        <v>1642.24</v>
      </c>
      <c r="BK68" s="23">
        <v>1667.7750000000001</v>
      </c>
      <c r="BL68" s="23">
        <v>11947.316999999999</v>
      </c>
      <c r="BM68" s="23">
        <v>1927.9739999999999</v>
      </c>
      <c r="BN68" s="23">
        <v>1841.164023290507</v>
      </c>
      <c r="BO68" s="23">
        <v>1833.3510000000001</v>
      </c>
      <c r="BP68" s="23">
        <v>1792.441</v>
      </c>
      <c r="BQ68" s="23">
        <v>1555.028</v>
      </c>
      <c r="BR68" s="23">
        <v>1909.713</v>
      </c>
      <c r="BS68" s="23">
        <v>2009.4780000000001</v>
      </c>
      <c r="BT68" s="38"/>
      <c r="BU68" s="38"/>
      <c r="BV68" s="38"/>
      <c r="BW68" s="38"/>
      <c r="BX68" s="38"/>
      <c r="BY68" s="38"/>
      <c r="BZ68" s="38"/>
      <c r="CA68" s="38"/>
      <c r="CB68" s="38"/>
      <c r="CC68" s="38"/>
    </row>
    <row r="69" spans="1:81" ht="20.100000000000001" customHeight="1" x14ac:dyDescent="0.2">
      <c r="A69" s="22" t="s">
        <v>132</v>
      </c>
      <c r="B69" s="23">
        <v>2097.301178635762</v>
      </c>
      <c r="C69" s="23">
        <v>2158.7356783233695</v>
      </c>
      <c r="D69" s="23">
        <v>1929.5148662519409</v>
      </c>
      <c r="E69" s="23">
        <v>2137.2116180157905</v>
      </c>
      <c r="F69" s="23">
        <v>2101.7900392436422</v>
      </c>
      <c r="G69" s="23">
        <v>2116.6298711710788</v>
      </c>
      <c r="H69" s="23">
        <v>1823.067218662944</v>
      </c>
      <c r="I69" s="23">
        <v>2091.9465407214252</v>
      </c>
      <c r="J69" s="23">
        <v>2100.9544379052522</v>
      </c>
      <c r="K69" s="23">
        <v>2066.7605097053056</v>
      </c>
      <c r="L69" s="23">
        <v>1845.9665137298193</v>
      </c>
      <c r="M69" s="23">
        <v>2159.0056718928577</v>
      </c>
      <c r="N69" s="23">
        <v>2092.3089922390513</v>
      </c>
      <c r="O69" s="23">
        <v>2070.1611776798295</v>
      </c>
      <c r="P69" s="23">
        <v>1777.6465141420836</v>
      </c>
      <c r="Q69" s="23">
        <v>2075.7052577802165</v>
      </c>
      <c r="R69" s="24" t="s">
        <v>27</v>
      </c>
      <c r="S69" s="24">
        <v>1974.7070079381779</v>
      </c>
      <c r="T69" s="23">
        <v>1907.0718836361029</v>
      </c>
      <c r="U69" s="23">
        <v>2073.1633277029164</v>
      </c>
      <c r="V69" s="23">
        <v>2000.7910062275662</v>
      </c>
      <c r="W69" s="23">
        <v>3280.9277496910281</v>
      </c>
      <c r="X69" s="23">
        <v>2011.8876624915436</v>
      </c>
      <c r="Y69" s="23">
        <v>2175.3340297039304</v>
      </c>
      <c r="Z69" s="23">
        <v>2197.91096499074</v>
      </c>
      <c r="AA69" s="23">
        <v>2122.2258761589842</v>
      </c>
      <c r="AB69" s="23">
        <v>1924.876833991126</v>
      </c>
      <c r="AC69" s="23">
        <v>2266.0125147082472</v>
      </c>
      <c r="AD69" s="23">
        <v>2229.7276340582162</v>
      </c>
      <c r="AE69" s="23">
        <v>2142.2745548257135</v>
      </c>
      <c r="AF69" s="23">
        <v>2036.5584533417377</v>
      </c>
      <c r="AG69" s="23">
        <v>2269.8409297038506</v>
      </c>
      <c r="AH69" s="23">
        <v>2226.1423931842505</v>
      </c>
      <c r="AI69" s="23">
        <v>2278.9157585515554</v>
      </c>
      <c r="AJ69" s="23">
        <v>2039.5151680042932</v>
      </c>
      <c r="AK69" s="23">
        <v>2366.7419915761334</v>
      </c>
      <c r="AL69" s="23">
        <v>2317.5743537027552</v>
      </c>
      <c r="AM69" s="23">
        <v>2317.8194224042072</v>
      </c>
      <c r="AN69" s="23">
        <v>2013.3847299025813</v>
      </c>
      <c r="AO69" s="23">
        <v>2378.7151363759231</v>
      </c>
      <c r="AP69" s="23">
        <v>2419.8855098405684</v>
      </c>
      <c r="AQ69" s="23">
        <v>2290.9641445355719</v>
      </c>
      <c r="AR69" s="23">
        <v>2020.4106395788976</v>
      </c>
      <c r="AS69" s="23">
        <v>2484.6529654110614</v>
      </c>
      <c r="AT69" s="23">
        <v>2381.7404975514037</v>
      </c>
      <c r="AU69" s="23">
        <v>2441.7291840321359</v>
      </c>
      <c r="AV69" s="23">
        <v>2106.2624246707378</v>
      </c>
      <c r="AW69" s="23">
        <v>2463.8251202022402</v>
      </c>
      <c r="AX69" s="36" t="s">
        <v>27</v>
      </c>
      <c r="AY69" s="36" t="s">
        <v>27</v>
      </c>
      <c r="AZ69" s="36" t="s">
        <v>27</v>
      </c>
      <c r="BA69" s="25">
        <v>2717.7322519981285</v>
      </c>
      <c r="BB69" s="23">
        <v>2567.1850515811889</v>
      </c>
      <c r="BC69" s="23">
        <v>2627.6282705056196</v>
      </c>
      <c r="BD69" s="23">
        <v>2296.9448825696804</v>
      </c>
      <c r="BE69" s="23">
        <v>2760.6543560000005</v>
      </c>
      <c r="BF69" s="23">
        <v>2629.2610070999999</v>
      </c>
      <c r="BG69" s="23">
        <v>2819.0251399999997</v>
      </c>
      <c r="BH69" s="23">
        <v>2390.7245400000002</v>
      </c>
      <c r="BI69" s="23">
        <v>2782.7400638999998</v>
      </c>
      <c r="BJ69" s="23">
        <v>2658.2840000000001</v>
      </c>
      <c r="BK69" s="23">
        <v>2734.1080000000002</v>
      </c>
      <c r="BL69" s="23">
        <v>1661.018</v>
      </c>
      <c r="BM69" s="23">
        <v>2954.3910000000001</v>
      </c>
      <c r="BN69" s="23">
        <v>2894.5820910241455</v>
      </c>
      <c r="BO69" s="23">
        <v>2817.0819999999999</v>
      </c>
      <c r="BP69" s="23">
        <v>2563.4369999999999</v>
      </c>
      <c r="BQ69" s="23">
        <v>2124.2539999999999</v>
      </c>
      <c r="BR69" s="23">
        <v>2442.7249999999999</v>
      </c>
      <c r="BS69" s="23">
        <v>2654.569</v>
      </c>
      <c r="BT69" s="38"/>
      <c r="BU69" s="38"/>
      <c r="BV69" s="38"/>
      <c r="BW69" s="38"/>
      <c r="BX69" s="38"/>
      <c r="BY69" s="38"/>
      <c r="BZ69" s="38"/>
      <c r="CA69" s="38"/>
      <c r="CB69" s="38"/>
      <c r="CC69" s="38"/>
    </row>
    <row r="70" spans="1:81" ht="20.100000000000001" customHeight="1" x14ac:dyDescent="0.2">
      <c r="A70" s="22" t="s">
        <v>133</v>
      </c>
      <c r="B70" s="23">
        <v>2232.1562415587418</v>
      </c>
      <c r="C70" s="23">
        <v>2397.1070091431525</v>
      </c>
      <c r="D70" s="23">
        <v>2173.3094977436085</v>
      </c>
      <c r="E70" s="23">
        <v>2431.6291807502771</v>
      </c>
      <c r="F70" s="23">
        <v>2561.3325058913488</v>
      </c>
      <c r="G70" s="23">
        <v>2681.7125795186143</v>
      </c>
      <c r="H70" s="23">
        <v>2344.0887323200982</v>
      </c>
      <c r="I70" s="23">
        <v>2721.9042009396012</v>
      </c>
      <c r="J70" s="23">
        <v>2693.8572719164799</v>
      </c>
      <c r="K70" s="23">
        <v>2727.3862594642101</v>
      </c>
      <c r="L70" s="23">
        <v>2542.0220434470252</v>
      </c>
      <c r="M70" s="23">
        <v>2798.8746281703329</v>
      </c>
      <c r="N70" s="23">
        <v>2927.1408331097946</v>
      </c>
      <c r="O70" s="23">
        <v>3024.2960023676987</v>
      </c>
      <c r="P70" s="23">
        <v>2861.2223259876837</v>
      </c>
      <c r="Q70" s="23">
        <v>3089.9432415213828</v>
      </c>
      <c r="R70" s="24" t="s">
        <v>27</v>
      </c>
      <c r="S70" s="24">
        <v>3184.7554240690502</v>
      </c>
      <c r="T70" s="23">
        <v>2884.6920216837216</v>
      </c>
      <c r="U70" s="23">
        <v>3249.3354458620506</v>
      </c>
      <c r="V70" s="23">
        <v>3298.8199117653521</v>
      </c>
      <c r="W70" s="23">
        <v>2675.1296044505661</v>
      </c>
      <c r="X70" s="23">
        <v>3451.8005585845372</v>
      </c>
      <c r="Y70" s="23">
        <v>3409.4798748061644</v>
      </c>
      <c r="Z70" s="23">
        <v>3407.645239255969</v>
      </c>
      <c r="AA70" s="23">
        <v>3402.5634950532681</v>
      </c>
      <c r="AB70" s="23">
        <v>3249.5764719785593</v>
      </c>
      <c r="AC70" s="23">
        <v>3490.5851588824748</v>
      </c>
      <c r="AD70" s="23">
        <v>3470.7780283863895</v>
      </c>
      <c r="AE70" s="23">
        <v>3660.3364619272697</v>
      </c>
      <c r="AF70" s="23">
        <v>3403.2918640444059</v>
      </c>
      <c r="AG70" s="23">
        <v>3808.7275538664876</v>
      </c>
      <c r="AH70" s="23">
        <v>3673.7356119781948</v>
      </c>
      <c r="AI70" s="23">
        <v>3720.4760958205879</v>
      </c>
      <c r="AJ70" s="23">
        <v>3460.6780605784047</v>
      </c>
      <c r="AK70" s="23">
        <v>3660.5542973634165</v>
      </c>
      <c r="AL70" s="23">
        <v>3805.203935327881</v>
      </c>
      <c r="AM70" s="23">
        <v>3810.6248008176353</v>
      </c>
      <c r="AN70" s="23">
        <v>3576.7414744027537</v>
      </c>
      <c r="AO70" s="23">
        <v>3952.6689008760395</v>
      </c>
      <c r="AP70" s="23">
        <v>3871.3724907468654</v>
      </c>
      <c r="AQ70" s="23">
        <v>3940.9615880764968</v>
      </c>
      <c r="AR70" s="23">
        <v>3693.3756190188014</v>
      </c>
      <c r="AS70" s="23">
        <v>3770.3496876579848</v>
      </c>
      <c r="AT70" s="23">
        <v>3831.1088184161922</v>
      </c>
      <c r="AU70" s="23">
        <v>3947.6625461047538</v>
      </c>
      <c r="AV70" s="23">
        <v>3577.151178479417</v>
      </c>
      <c r="AW70" s="23">
        <v>3967.3736504306994</v>
      </c>
      <c r="AX70" s="36" t="s">
        <v>27</v>
      </c>
      <c r="AY70" s="36" t="s">
        <v>27</v>
      </c>
      <c r="AZ70" s="36" t="s">
        <v>27</v>
      </c>
      <c r="BA70" s="25">
        <v>3741.2513027984828</v>
      </c>
      <c r="BB70" s="23">
        <v>3928.6688555475293</v>
      </c>
      <c r="BC70" s="23">
        <v>3867.6317473292979</v>
      </c>
      <c r="BD70" s="23">
        <v>3575.7069156346784</v>
      </c>
      <c r="BE70" s="23">
        <v>3660.0657219999998</v>
      </c>
      <c r="BF70" s="23">
        <v>3880.5890487000001</v>
      </c>
      <c r="BG70" s="23">
        <v>3947.5132899999999</v>
      </c>
      <c r="BH70" s="23">
        <v>3672.2216299999995</v>
      </c>
      <c r="BI70" s="23">
        <v>3798.5358601000003</v>
      </c>
      <c r="BJ70" s="23">
        <v>3936.3130000000001</v>
      </c>
      <c r="BK70" s="23">
        <v>3848.06</v>
      </c>
      <c r="BL70" s="23">
        <v>2390.6660000000002</v>
      </c>
      <c r="BM70" s="23">
        <v>3845.8679999999999</v>
      </c>
      <c r="BN70" s="23">
        <v>3894.3565553709773</v>
      </c>
      <c r="BO70" s="23">
        <v>4002.4160000000002</v>
      </c>
      <c r="BP70" s="23">
        <v>3539.4920000000002</v>
      </c>
      <c r="BQ70" s="23">
        <v>2246.3110000000001</v>
      </c>
      <c r="BR70" s="23">
        <v>2969.2150000000001</v>
      </c>
      <c r="BS70" s="23">
        <v>3324.4929999999999</v>
      </c>
    </row>
    <row r="71" spans="1:81" ht="20.100000000000001" customHeight="1" x14ac:dyDescent="0.2">
      <c r="A71" s="22" t="s">
        <v>134</v>
      </c>
      <c r="B71" s="23">
        <v>2017.9905033414843</v>
      </c>
      <c r="C71" s="23">
        <v>2075.8347570510605</v>
      </c>
      <c r="D71" s="23">
        <v>2127.3529285597233</v>
      </c>
      <c r="E71" s="23">
        <v>2173.4151996805695</v>
      </c>
      <c r="F71" s="23">
        <v>2234.9040991973989</v>
      </c>
      <c r="G71" s="23">
        <v>2250.2188777784345</v>
      </c>
      <c r="H71" s="23">
        <v>2240.0637758615799</v>
      </c>
      <c r="I71" s="23">
        <v>2348.7415090401755</v>
      </c>
      <c r="J71" s="23">
        <v>2495.1240461254265</v>
      </c>
      <c r="K71" s="23">
        <v>2493.5382181372916</v>
      </c>
      <c r="L71" s="23">
        <v>2395.38307164855</v>
      </c>
      <c r="M71" s="23">
        <v>2538.7582754273162</v>
      </c>
      <c r="N71" s="23">
        <v>2565.7391898613646</v>
      </c>
      <c r="O71" s="23">
        <v>2548.529479637682</v>
      </c>
      <c r="P71" s="23">
        <v>2420.6301556846347</v>
      </c>
      <c r="Q71" s="23">
        <v>2627.7338959387744</v>
      </c>
      <c r="R71" s="24" t="s">
        <v>27</v>
      </c>
      <c r="S71" s="24">
        <v>2648.819053922402</v>
      </c>
      <c r="T71" s="23">
        <v>2540.3784626226097</v>
      </c>
      <c r="U71" s="23">
        <v>2758.8869820245786</v>
      </c>
      <c r="V71" s="23">
        <v>2782.2446431619301</v>
      </c>
      <c r="W71" s="23">
        <v>920.11609388478348</v>
      </c>
      <c r="X71" s="23">
        <v>2719.8910715744505</v>
      </c>
      <c r="Y71" s="23">
        <v>2519.7991353818779</v>
      </c>
      <c r="Z71" s="23">
        <v>2644.7265810701733</v>
      </c>
      <c r="AA71" s="23">
        <v>2640.5809846017805</v>
      </c>
      <c r="AB71" s="23">
        <v>2546.5753817182303</v>
      </c>
      <c r="AC71" s="23">
        <v>2604.8035412743561</v>
      </c>
      <c r="AD71" s="23">
        <v>2678.2863469357126</v>
      </c>
      <c r="AE71" s="23">
        <v>2676.9073820238682</v>
      </c>
      <c r="AF71" s="23">
        <v>2535.900462677952</v>
      </c>
      <c r="AG71" s="23">
        <v>2713.4538455306088</v>
      </c>
      <c r="AH71" s="23">
        <v>2816.4397979867153</v>
      </c>
      <c r="AI71" s="23">
        <v>2769.729609711077</v>
      </c>
      <c r="AJ71" s="23">
        <v>2558.7253246425007</v>
      </c>
      <c r="AK71" s="23">
        <v>2668.5588038115575</v>
      </c>
      <c r="AL71" s="23">
        <v>2649.9452055762963</v>
      </c>
      <c r="AM71" s="23">
        <v>2727.1990645973842</v>
      </c>
      <c r="AN71" s="23">
        <v>2601.7702617002178</v>
      </c>
      <c r="AO71" s="23">
        <v>2624.6515019477233</v>
      </c>
      <c r="AP71" s="23">
        <v>2633.5506834902753</v>
      </c>
      <c r="AQ71" s="23">
        <v>2702.3809159354232</v>
      </c>
      <c r="AR71" s="23">
        <v>2552.1341955454709</v>
      </c>
      <c r="AS71" s="23">
        <v>2485.0757214448849</v>
      </c>
      <c r="AT71" s="23">
        <v>2569.372416246918</v>
      </c>
      <c r="AU71" s="23">
        <v>2479.0823807208726</v>
      </c>
      <c r="AV71" s="23">
        <v>2561.3584514409272</v>
      </c>
      <c r="AW71" s="23">
        <v>2493.4962430451665</v>
      </c>
      <c r="AX71" s="36" t="s">
        <v>27</v>
      </c>
      <c r="AY71" s="36" t="s">
        <v>27</v>
      </c>
      <c r="AZ71" s="36" t="s">
        <v>27</v>
      </c>
      <c r="BA71" s="25">
        <v>2393.8473313804511</v>
      </c>
      <c r="BB71" s="23">
        <v>2539.3481613230597</v>
      </c>
      <c r="BC71" s="23">
        <v>2531.0066469590643</v>
      </c>
      <c r="BD71" s="23">
        <v>2430.5244929272167</v>
      </c>
      <c r="BE71" s="23">
        <v>2531.5864550000006</v>
      </c>
      <c r="BF71" s="23">
        <v>2600.6438640000001</v>
      </c>
      <c r="BG71" s="23">
        <v>2596.8827099999999</v>
      </c>
      <c r="BH71" s="23">
        <v>2463.8596499999999</v>
      </c>
      <c r="BI71" s="23">
        <v>2437.1442047</v>
      </c>
      <c r="BJ71" s="23">
        <v>2451.1109999999999</v>
      </c>
      <c r="BK71" s="23">
        <v>2545.297</v>
      </c>
      <c r="BL71" s="23">
        <v>3688.4740000000002</v>
      </c>
      <c r="BM71" s="23">
        <v>2367.5540000000001</v>
      </c>
      <c r="BN71" s="23">
        <v>2387.0348209820236</v>
      </c>
      <c r="BO71" s="23">
        <v>2530.2139999999999</v>
      </c>
      <c r="BP71" s="23">
        <v>2237.9169999999999</v>
      </c>
      <c r="BQ71" s="23">
        <v>1249.3620000000001</v>
      </c>
      <c r="BR71" s="23">
        <v>1746.5060000000001</v>
      </c>
      <c r="BS71" s="23">
        <v>2274.2460000000001</v>
      </c>
      <c r="BT71" s="38"/>
      <c r="BU71" s="38"/>
      <c r="BV71" s="38"/>
      <c r="BW71" s="38"/>
      <c r="BX71" s="38"/>
      <c r="BY71" s="38"/>
      <c r="BZ71" s="38"/>
      <c r="CA71" s="38"/>
      <c r="CB71" s="38"/>
      <c r="CC71" s="38"/>
    </row>
    <row r="72" spans="1:81" ht="20.100000000000001" customHeight="1" x14ac:dyDescent="0.2">
      <c r="A72" s="22" t="s">
        <v>135</v>
      </c>
      <c r="B72" s="23">
        <v>1004.2142573852185</v>
      </c>
      <c r="C72" s="23">
        <v>996.96788562612096</v>
      </c>
      <c r="D72" s="23">
        <v>1083.4866711582526</v>
      </c>
      <c r="E72" s="23">
        <v>993.32181793020743</v>
      </c>
      <c r="F72" s="23">
        <v>969.65469259174597</v>
      </c>
      <c r="G72" s="23">
        <v>1056.5249819902428</v>
      </c>
      <c r="H72" s="23">
        <v>1005.2265937933606</v>
      </c>
      <c r="I72" s="23">
        <v>1000.1550215106377</v>
      </c>
      <c r="J72" s="23">
        <v>1018.2930157972042</v>
      </c>
      <c r="K72" s="23">
        <v>1103.7792304683958</v>
      </c>
      <c r="L72" s="23">
        <v>1038.1163066601227</v>
      </c>
      <c r="M72" s="23">
        <v>1012.2385710025679</v>
      </c>
      <c r="N72" s="23">
        <v>977.35360825567648</v>
      </c>
      <c r="O72" s="23">
        <v>1027.4461672577347</v>
      </c>
      <c r="P72" s="23">
        <v>1004.3564796193516</v>
      </c>
      <c r="Q72" s="23">
        <v>965.46462970766834</v>
      </c>
      <c r="R72" s="24" t="s">
        <v>27</v>
      </c>
      <c r="S72" s="24">
        <v>1064.4697812482373</v>
      </c>
      <c r="T72" s="23">
        <v>1040.6628338388462</v>
      </c>
      <c r="U72" s="23">
        <v>958.48237611741558</v>
      </c>
      <c r="V72" s="23">
        <v>854.73757471535782</v>
      </c>
      <c r="W72" s="23">
        <v>304.54625779452033</v>
      </c>
      <c r="X72" s="23">
        <v>936.29334209299088</v>
      </c>
      <c r="Y72" s="23">
        <v>839.39912690351343</v>
      </c>
      <c r="Z72" s="23">
        <v>897.29007910899179</v>
      </c>
      <c r="AA72" s="23">
        <v>935.50513286437888</v>
      </c>
      <c r="AB72" s="23">
        <v>846.92275898378603</v>
      </c>
      <c r="AC72" s="23">
        <v>879.30438423301428</v>
      </c>
      <c r="AD72" s="23">
        <v>868.24950194287192</v>
      </c>
      <c r="AE72" s="23">
        <v>867.90871798965611</v>
      </c>
      <c r="AF72" s="23">
        <v>842.09281923410003</v>
      </c>
      <c r="AG72" s="23">
        <v>864.94635480328918</v>
      </c>
      <c r="AH72" s="23">
        <v>835.57818088249007</v>
      </c>
      <c r="AI72" s="23">
        <v>839.47958602779693</v>
      </c>
      <c r="AJ72" s="23">
        <v>798.36276347963008</v>
      </c>
      <c r="AK72" s="23">
        <v>832.21079048754893</v>
      </c>
      <c r="AL72" s="23">
        <v>786.45405878888403</v>
      </c>
      <c r="AM72" s="23">
        <v>839.25990676369281</v>
      </c>
      <c r="AN72" s="23">
        <v>768.22883939941869</v>
      </c>
      <c r="AO72" s="23">
        <v>739.18255645510612</v>
      </c>
      <c r="AP72" s="23">
        <v>739.65231969520687</v>
      </c>
      <c r="AQ72" s="23">
        <v>753.738273663271</v>
      </c>
      <c r="AR72" s="23">
        <v>701.53448933986806</v>
      </c>
      <c r="AS72" s="23">
        <v>690.95850105360819</v>
      </c>
      <c r="AT72" s="23">
        <v>651.62909887884666</v>
      </c>
      <c r="AU72" s="23">
        <v>714.77699339014146</v>
      </c>
      <c r="AV72" s="23">
        <v>691.80542508893836</v>
      </c>
      <c r="AW72" s="23">
        <v>643.95734571298772</v>
      </c>
      <c r="AX72" s="36" t="s">
        <v>27</v>
      </c>
      <c r="AY72" s="36" t="s">
        <v>27</v>
      </c>
      <c r="AZ72" s="36" t="s">
        <v>27</v>
      </c>
      <c r="BA72" s="25">
        <v>699.57847637539817</v>
      </c>
      <c r="BB72" s="23">
        <v>721.9254821356742</v>
      </c>
      <c r="BC72" s="23">
        <v>680.4185891024955</v>
      </c>
      <c r="BD72" s="23">
        <v>693.65873537801826</v>
      </c>
      <c r="BE72" s="23">
        <v>639.88896560000012</v>
      </c>
      <c r="BF72" s="23">
        <v>685.98618270000009</v>
      </c>
      <c r="BG72" s="23">
        <v>730.33605</v>
      </c>
      <c r="BH72" s="23">
        <v>730.07749000000001</v>
      </c>
      <c r="BI72" s="23">
        <v>683.8063196999999</v>
      </c>
      <c r="BJ72" s="23">
        <v>708.52499999999998</v>
      </c>
      <c r="BK72" s="23">
        <v>667.63499999999999</v>
      </c>
      <c r="BL72" s="23">
        <v>2330.36</v>
      </c>
      <c r="BM72" s="23">
        <v>632.428</v>
      </c>
      <c r="BN72" s="23">
        <v>662.05091370891546</v>
      </c>
      <c r="BO72" s="23">
        <v>720.822</v>
      </c>
      <c r="BP72" s="23">
        <v>633.23699999999997</v>
      </c>
      <c r="BQ72" s="23">
        <v>344.358</v>
      </c>
      <c r="BR72" s="23">
        <v>437.01400000000001</v>
      </c>
      <c r="BS72" s="23">
        <v>508.00200000000001</v>
      </c>
    </row>
    <row r="73" spans="1:81" ht="20.100000000000001" customHeight="1" x14ac:dyDescent="0.2">
      <c r="A73" s="22" t="s">
        <v>136</v>
      </c>
      <c r="B73" s="23">
        <v>270.37711303998844</v>
      </c>
      <c r="C73" s="23">
        <v>230.71440909539604</v>
      </c>
      <c r="D73" s="23">
        <v>702.10180935416486</v>
      </c>
      <c r="E73" s="23">
        <v>230.43454757791929</v>
      </c>
      <c r="F73" s="23">
        <v>308.96502210537579</v>
      </c>
      <c r="G73" s="23">
        <v>226.99119194565242</v>
      </c>
      <c r="H73" s="23">
        <v>914.9550797735991</v>
      </c>
      <c r="I73" s="23">
        <v>218.91970418688766</v>
      </c>
      <c r="J73" s="23">
        <v>300.91375719967817</v>
      </c>
      <c r="K73" s="23">
        <v>263.81619690644112</v>
      </c>
      <c r="L73" s="23">
        <v>918.54044353955396</v>
      </c>
      <c r="M73" s="23">
        <v>238.4086626402983</v>
      </c>
      <c r="N73" s="23">
        <v>321.43836087512466</v>
      </c>
      <c r="O73" s="23">
        <v>290.08049019170926</v>
      </c>
      <c r="P73" s="23">
        <v>1034.5590248302899</v>
      </c>
      <c r="Q73" s="23">
        <v>269.29940514332793</v>
      </c>
      <c r="R73" s="24" t="s">
        <v>27</v>
      </c>
      <c r="S73" s="24">
        <v>254.41056168843252</v>
      </c>
      <c r="T73" s="23">
        <v>927.89703631706698</v>
      </c>
      <c r="U73" s="23">
        <v>220.63139165609482</v>
      </c>
      <c r="V73" s="23">
        <v>271.15189535790091</v>
      </c>
      <c r="W73" s="23">
        <v>0</v>
      </c>
      <c r="X73" s="23">
        <v>289.61706489030274</v>
      </c>
      <c r="Y73" s="23">
        <v>241.88622977240016</v>
      </c>
      <c r="Z73" s="23">
        <v>0</v>
      </c>
      <c r="AA73" s="23">
        <v>282.97890642641977</v>
      </c>
      <c r="AB73" s="23">
        <v>954.04423566931439</v>
      </c>
      <c r="AC73" s="23">
        <v>256.5559644247241</v>
      </c>
      <c r="AD73" s="23">
        <v>312.72135477323224</v>
      </c>
      <c r="AE73" s="23">
        <v>264.72286407268808</v>
      </c>
      <c r="AF73" s="23">
        <v>945.89133455862918</v>
      </c>
      <c r="AG73" s="23">
        <v>238.20943095035281</v>
      </c>
      <c r="AH73" s="23">
        <v>344.51918142779095</v>
      </c>
      <c r="AI73" s="23">
        <v>263.20923949714336</v>
      </c>
      <c r="AJ73" s="23">
        <v>991.11322871652203</v>
      </c>
      <c r="AK73" s="23">
        <v>273.03657505592241</v>
      </c>
      <c r="AL73" s="23">
        <v>335.76742055242619</v>
      </c>
      <c r="AM73" s="23">
        <v>272.04322325874529</v>
      </c>
      <c r="AN73" s="23">
        <v>946.28584870632085</v>
      </c>
      <c r="AO73" s="23">
        <v>245.88581272618705</v>
      </c>
      <c r="AP73" s="23">
        <v>397.557583743907</v>
      </c>
      <c r="AQ73" s="23">
        <v>342.02070747062476</v>
      </c>
      <c r="AR73" s="23">
        <v>986.44157520364195</v>
      </c>
      <c r="AS73" s="23">
        <v>293.35745780426493</v>
      </c>
      <c r="AT73" s="23">
        <v>336.17863690248976</v>
      </c>
      <c r="AU73" s="23">
        <v>337.08572369158173</v>
      </c>
      <c r="AV73" s="23">
        <v>960.02470991267398</v>
      </c>
      <c r="AW73" s="23">
        <v>244.68312381588939</v>
      </c>
      <c r="AX73" s="36" t="s">
        <v>27</v>
      </c>
      <c r="AY73" s="36" t="s">
        <v>27</v>
      </c>
      <c r="AZ73" s="36" t="s">
        <v>27</v>
      </c>
      <c r="BA73" s="25">
        <v>373.44311816882509</v>
      </c>
      <c r="BB73" s="24">
        <v>361.59420171641466</v>
      </c>
      <c r="BC73" s="24">
        <v>349.44935209232426</v>
      </c>
      <c r="BD73" s="24">
        <v>1081.0837151350365</v>
      </c>
      <c r="BE73" s="24">
        <v>316.48252740000004</v>
      </c>
      <c r="BF73" s="24">
        <v>421.30866959999997</v>
      </c>
      <c r="BG73" s="24">
        <v>309.77305999999993</v>
      </c>
      <c r="BH73" s="24">
        <v>1153.69472</v>
      </c>
      <c r="BI73" s="24">
        <v>353.20747549999999</v>
      </c>
      <c r="BJ73" s="24">
        <v>425.55099999999999</v>
      </c>
      <c r="BK73" s="24">
        <v>330.52199999999999</v>
      </c>
      <c r="BL73" s="24">
        <v>721.43100000000004</v>
      </c>
      <c r="BM73" s="24">
        <v>345.178</v>
      </c>
      <c r="BN73" s="24">
        <v>429.84390272567077</v>
      </c>
      <c r="BO73" s="24">
        <v>336.23399999999998</v>
      </c>
      <c r="BP73" s="24">
        <v>1278.6759999999999</v>
      </c>
      <c r="BQ73" s="24">
        <v>2026.7670000000001</v>
      </c>
      <c r="BR73" s="24">
        <v>1152.6759999999999</v>
      </c>
      <c r="BS73" s="24">
        <v>752.86099999999999</v>
      </c>
      <c r="BT73" s="38"/>
      <c r="BU73" s="38"/>
      <c r="BV73" s="38"/>
      <c r="BW73" s="38"/>
      <c r="BX73" s="38"/>
      <c r="BY73" s="38"/>
      <c r="BZ73" s="38"/>
      <c r="CA73" s="38"/>
      <c r="CB73" s="38"/>
      <c r="CC73" s="38"/>
    </row>
    <row r="74" spans="1:81" ht="20.100000000000001" customHeight="1" thickBot="1" x14ac:dyDescent="0.25">
      <c r="A74" s="26" t="s">
        <v>28</v>
      </c>
      <c r="B74" s="26"/>
      <c r="C74" s="26"/>
      <c r="D74" s="26"/>
      <c r="E74" s="26"/>
      <c r="F74" s="26"/>
      <c r="G74" s="26"/>
      <c r="H74" s="26"/>
      <c r="I74" s="26"/>
      <c r="J74" s="26"/>
      <c r="K74" s="26"/>
      <c r="L74" s="26"/>
      <c r="M74" s="26"/>
      <c r="N74" s="26"/>
      <c r="O74" s="26"/>
      <c r="P74" s="26"/>
      <c r="Q74" s="26"/>
      <c r="R74" s="26"/>
      <c r="S74" s="26"/>
      <c r="T74" s="26"/>
      <c r="U74" s="26"/>
      <c r="V74" s="26"/>
      <c r="W74" s="26"/>
      <c r="X74" s="26"/>
      <c r="Y74" s="27"/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7"/>
      <c r="AM74" s="27"/>
      <c r="AN74" s="27"/>
      <c r="AO74" s="27"/>
      <c r="AP74" s="27"/>
      <c r="AQ74" s="27"/>
      <c r="AR74" s="27"/>
      <c r="AS74" s="27"/>
      <c r="AT74" s="27"/>
      <c r="AU74" s="27"/>
      <c r="AV74" s="27"/>
      <c r="AW74" s="27"/>
      <c r="AX74" s="26"/>
      <c r="AY74" s="26"/>
      <c r="AZ74" s="26"/>
      <c r="BA74" s="31"/>
      <c r="BB74" s="27"/>
      <c r="BC74" s="27"/>
      <c r="BD74" s="27"/>
      <c r="BE74" s="27"/>
      <c r="BF74" s="27"/>
      <c r="BG74" s="27"/>
      <c r="BH74" s="27"/>
      <c r="BI74" s="27"/>
      <c r="BJ74" s="27"/>
      <c r="BK74" s="27"/>
      <c r="BL74" s="27"/>
      <c r="BM74" s="27"/>
      <c r="BN74" s="27"/>
      <c r="BO74" s="27"/>
      <c r="BP74" s="27"/>
      <c r="BQ74" s="27"/>
      <c r="BR74" s="27"/>
      <c r="BS74" s="27"/>
      <c r="BT74" s="38"/>
      <c r="BU74" s="38"/>
      <c r="BV74" s="38"/>
      <c r="BW74" s="38"/>
      <c r="BX74" s="38"/>
      <c r="BY74" s="38"/>
      <c r="BZ74" s="38"/>
      <c r="CA74" s="38"/>
      <c r="CB74" s="38"/>
      <c r="CC74" s="38"/>
    </row>
    <row r="75" spans="1:81" ht="20.100000000000001" customHeight="1" x14ac:dyDescent="0.2">
      <c r="A75" s="22" t="s">
        <v>137</v>
      </c>
      <c r="B75" s="23">
        <v>1802.678581396963</v>
      </c>
      <c r="C75" s="23">
        <v>1889.4173656620417</v>
      </c>
      <c r="D75" s="23">
        <v>1857.8444427054114</v>
      </c>
      <c r="E75" s="23">
        <v>1773.3096462619101</v>
      </c>
      <c r="F75" s="23">
        <v>1869.5922204084525</v>
      </c>
      <c r="G75" s="23">
        <v>1968.3696887786605</v>
      </c>
      <c r="H75" s="23">
        <v>1840.1264638030191</v>
      </c>
      <c r="I75" s="23">
        <v>1840.2006843469283</v>
      </c>
      <c r="J75" s="23">
        <v>1933.0499966064845</v>
      </c>
      <c r="K75" s="23">
        <v>1942.4222735359613</v>
      </c>
      <c r="L75" s="23">
        <v>1878.3934175347022</v>
      </c>
      <c r="M75" s="23">
        <v>1852.7876069968561</v>
      </c>
      <c r="N75" s="23">
        <v>1914.5499927402825</v>
      </c>
      <c r="O75" s="23">
        <v>1957.7348244301224</v>
      </c>
      <c r="P75" s="23">
        <v>1908.1956174125644</v>
      </c>
      <c r="Q75" s="23">
        <v>1920.8567544186071</v>
      </c>
      <c r="R75" s="24" t="s">
        <v>27</v>
      </c>
      <c r="S75" s="24">
        <v>1926.6926650166349</v>
      </c>
      <c r="T75" s="23">
        <v>1911.3653367034315</v>
      </c>
      <c r="U75" s="23">
        <v>1868.6387456831158</v>
      </c>
      <c r="V75" s="23">
        <v>1972.8887435954034</v>
      </c>
      <c r="W75" s="23">
        <v>1954.4163786544314</v>
      </c>
      <c r="X75" s="23">
        <v>2009.1407934439092</v>
      </c>
      <c r="Y75" s="23">
        <v>1940.4348217869019</v>
      </c>
      <c r="Z75" s="23">
        <v>1971.8290658363126</v>
      </c>
      <c r="AA75" s="23">
        <v>1985.9493198070343</v>
      </c>
      <c r="AB75" s="23">
        <v>1936.5901507655137</v>
      </c>
      <c r="AC75" s="23">
        <v>1930.3537983575411</v>
      </c>
      <c r="AD75" s="23">
        <v>2013.3101972267355</v>
      </c>
      <c r="AE75" s="23">
        <v>1941.8294411139636</v>
      </c>
      <c r="AF75" s="23">
        <v>2041.5905322824995</v>
      </c>
      <c r="AG75" s="23">
        <v>2062.6250169355135</v>
      </c>
      <c r="AH75" s="23">
        <v>2037.6420074759194</v>
      </c>
      <c r="AI75" s="23">
        <v>1988.1948963754746</v>
      </c>
      <c r="AJ75" s="23">
        <v>2041.7209612628569</v>
      </c>
      <c r="AK75" s="23">
        <v>2092.6165214997663</v>
      </c>
      <c r="AL75" s="23">
        <v>2109.9837702669688</v>
      </c>
      <c r="AM75" s="23">
        <v>2099.7593291576763</v>
      </c>
      <c r="AN75" s="23">
        <v>2088.8366364581061</v>
      </c>
      <c r="AO75" s="23">
        <v>2118.5552501726943</v>
      </c>
      <c r="AP75" s="23">
        <v>2106.7758088029759</v>
      </c>
      <c r="AQ75" s="23">
        <v>2089.9532390726704</v>
      </c>
      <c r="AR75" s="23">
        <v>2069.8189846599998</v>
      </c>
      <c r="AS75" s="23">
        <v>1985.5711454899065</v>
      </c>
      <c r="AT75" s="23">
        <v>1984.7993834465219</v>
      </c>
      <c r="AU75" s="23">
        <v>2060.0127055933131</v>
      </c>
      <c r="AV75" s="23">
        <v>2040.2040693231479</v>
      </c>
      <c r="AW75" s="23">
        <v>2054.899030129217</v>
      </c>
      <c r="AX75" s="36" t="s">
        <v>27</v>
      </c>
      <c r="AY75" s="36" t="s">
        <v>27</v>
      </c>
      <c r="AZ75" s="36" t="s">
        <v>27</v>
      </c>
      <c r="BA75" s="25">
        <v>2224.8129139911216</v>
      </c>
      <c r="BB75" s="23">
        <v>2286.7017583361339</v>
      </c>
      <c r="BC75" s="23">
        <v>2343.4824953736916</v>
      </c>
      <c r="BD75" s="23">
        <v>2248.3357956931254</v>
      </c>
      <c r="BE75" s="23">
        <v>2205.4024295593936</v>
      </c>
      <c r="BF75" s="23">
        <v>2334.5579676022417</v>
      </c>
      <c r="BG75" s="23">
        <v>2459.2452474758011</v>
      </c>
      <c r="BH75" s="23">
        <v>2401.8745408366976</v>
      </c>
      <c r="BI75" s="23">
        <v>2327.6764223843224</v>
      </c>
      <c r="BJ75" s="23">
        <v>2316.4270000000001</v>
      </c>
      <c r="BK75" s="23">
        <v>2245.02</v>
      </c>
      <c r="BL75" s="23">
        <v>2407.817</v>
      </c>
      <c r="BM75" s="23">
        <v>2277.4679999999998</v>
      </c>
      <c r="BN75" s="23">
        <v>2267.0648318687799</v>
      </c>
      <c r="BO75" s="23">
        <v>2333.645</v>
      </c>
      <c r="BP75" s="23">
        <v>2386.2660000000001</v>
      </c>
      <c r="BQ75" s="23">
        <v>1552.7270000000001</v>
      </c>
      <c r="BR75" s="23">
        <v>1405.23</v>
      </c>
      <c r="BS75" s="23">
        <v>1467.4929999999999</v>
      </c>
      <c r="BT75" s="38"/>
      <c r="BU75" s="38"/>
      <c r="BV75" s="38"/>
      <c r="BW75" s="38"/>
      <c r="BX75" s="38"/>
      <c r="BY75" s="38"/>
      <c r="BZ75" s="38"/>
      <c r="CA75" s="38"/>
      <c r="CB75" s="38"/>
      <c r="CC75" s="38"/>
    </row>
    <row r="76" spans="1:81" ht="20.100000000000001" customHeight="1" x14ac:dyDescent="0.2">
      <c r="A76" s="22" t="s">
        <v>138</v>
      </c>
      <c r="B76" s="23">
        <v>1885.063907368085</v>
      </c>
      <c r="C76" s="23">
        <v>1820.7006923356314</v>
      </c>
      <c r="D76" s="23">
        <v>1902.3515632796189</v>
      </c>
      <c r="E76" s="23">
        <v>1867.3780475464137</v>
      </c>
      <c r="F76" s="23">
        <v>1951.9039793887598</v>
      </c>
      <c r="G76" s="23">
        <v>1936.3104868051287</v>
      </c>
      <c r="H76" s="23">
        <v>2004.1668281459517</v>
      </c>
      <c r="I76" s="23">
        <v>1939.4542800984066</v>
      </c>
      <c r="J76" s="23">
        <v>1963.0920159016771</v>
      </c>
      <c r="K76" s="23">
        <v>1992.8619396279837</v>
      </c>
      <c r="L76" s="23">
        <v>1964.9300449755467</v>
      </c>
      <c r="M76" s="23">
        <v>2075.4099855607828</v>
      </c>
      <c r="N76" s="23">
        <v>2037.9378306983331</v>
      </c>
      <c r="O76" s="23">
        <v>2108.9518367732981</v>
      </c>
      <c r="P76" s="23">
        <v>2095.1566429168079</v>
      </c>
      <c r="Q76" s="23">
        <v>2075.2402745603367</v>
      </c>
      <c r="R76" s="24" t="s">
        <v>27</v>
      </c>
      <c r="S76" s="24">
        <v>1990.5063032091668</v>
      </c>
      <c r="T76" s="23">
        <v>2057.2009378807761</v>
      </c>
      <c r="U76" s="23">
        <v>2019.0574731735733</v>
      </c>
      <c r="V76" s="23">
        <v>1991.1302671481378</v>
      </c>
      <c r="W76" s="23">
        <v>2041.423630933946</v>
      </c>
      <c r="X76" s="23">
        <v>1993.9724202546565</v>
      </c>
      <c r="Y76" s="23">
        <v>2084.4478516270956</v>
      </c>
      <c r="Z76" s="23">
        <v>1932.9082854077362</v>
      </c>
      <c r="AA76" s="23">
        <v>1991.1441174165991</v>
      </c>
      <c r="AB76" s="23">
        <v>2063.4313520314599</v>
      </c>
      <c r="AC76" s="23">
        <v>2053.7102698333274</v>
      </c>
      <c r="AD76" s="23">
        <v>1992.2229127385615</v>
      </c>
      <c r="AE76" s="23">
        <v>2081.3646478140786</v>
      </c>
      <c r="AF76" s="23">
        <v>2060.7825837448054</v>
      </c>
      <c r="AG76" s="23">
        <v>2149.9010138560734</v>
      </c>
      <c r="AH76" s="23">
        <v>2114.2385530045703</v>
      </c>
      <c r="AI76" s="23">
        <v>2254.4642549890764</v>
      </c>
      <c r="AJ76" s="23">
        <v>2085.5884449104346</v>
      </c>
      <c r="AK76" s="23">
        <v>2221.7722410229676</v>
      </c>
      <c r="AL76" s="23">
        <v>2208.2299435175628</v>
      </c>
      <c r="AM76" s="23">
        <v>2368.1929427087139</v>
      </c>
      <c r="AN76" s="23">
        <v>2151.8055807235037</v>
      </c>
      <c r="AO76" s="23">
        <v>2419.5061598524326</v>
      </c>
      <c r="AP76" s="23">
        <v>2270.783187002713</v>
      </c>
      <c r="AQ76" s="23">
        <v>2294.1779177880508</v>
      </c>
      <c r="AR76" s="23">
        <v>2283.2484080537861</v>
      </c>
      <c r="AS76" s="23">
        <v>2369.7647099756023</v>
      </c>
      <c r="AT76" s="23">
        <v>2304.5646081179357</v>
      </c>
      <c r="AU76" s="23">
        <v>2430.8923893973779</v>
      </c>
      <c r="AV76" s="23">
        <v>2286.4850661408973</v>
      </c>
      <c r="AW76" s="23">
        <v>2372.6890012783401</v>
      </c>
      <c r="AX76" s="36" t="s">
        <v>27</v>
      </c>
      <c r="AY76" s="36" t="s">
        <v>27</v>
      </c>
      <c r="AZ76" s="36" t="s">
        <v>27</v>
      </c>
      <c r="BA76" s="25">
        <v>2467.3938432708042</v>
      </c>
      <c r="BB76" s="23">
        <v>2307.4681162794641</v>
      </c>
      <c r="BC76" s="23">
        <v>2341.9482992889916</v>
      </c>
      <c r="BD76" s="23">
        <v>2347.3043899299082</v>
      </c>
      <c r="BE76" s="23">
        <v>2419.9811206590803</v>
      </c>
      <c r="BF76" s="23">
        <v>2382.9169858162418</v>
      </c>
      <c r="BG76" s="23">
        <v>2495.2125389393209</v>
      </c>
      <c r="BH76" s="23">
        <v>2286.6858449782703</v>
      </c>
      <c r="BI76" s="23">
        <v>2420.9127064943864</v>
      </c>
      <c r="BJ76" s="23">
        <v>2345.1770000000001</v>
      </c>
      <c r="BK76" s="23">
        <v>2329.1489999999999</v>
      </c>
      <c r="BL76" s="23">
        <v>2442.4389999999999</v>
      </c>
      <c r="BM76" s="23">
        <v>2397.9050000000002</v>
      </c>
      <c r="BN76" s="23">
        <v>2430.9554793700527</v>
      </c>
      <c r="BO76" s="23">
        <v>2442.6060000000002</v>
      </c>
      <c r="BP76" s="23">
        <v>2636.3389999999999</v>
      </c>
      <c r="BQ76" s="23">
        <v>1973.1559999999999</v>
      </c>
      <c r="BR76" s="23">
        <v>1751.191</v>
      </c>
      <c r="BS76" s="23">
        <v>1794.913</v>
      </c>
      <c r="BT76" s="38"/>
      <c r="BU76" s="38"/>
      <c r="BV76" s="38"/>
      <c r="BW76" s="38"/>
      <c r="BX76" s="38"/>
      <c r="BY76" s="38"/>
      <c r="BZ76" s="38"/>
      <c r="CA76" s="38"/>
      <c r="CB76" s="38"/>
      <c r="CC76" s="38"/>
    </row>
    <row r="77" spans="1:81" ht="20.100000000000001" customHeight="1" x14ac:dyDescent="0.2">
      <c r="A77" s="22" t="s">
        <v>139</v>
      </c>
      <c r="B77" s="23">
        <v>1662.0033221940048</v>
      </c>
      <c r="C77" s="23">
        <v>1767.6970168792427</v>
      </c>
      <c r="D77" s="23">
        <v>1796.582346083876</v>
      </c>
      <c r="E77" s="23">
        <v>1802.3595681312979</v>
      </c>
      <c r="F77" s="23">
        <v>1848.4874254560493</v>
      </c>
      <c r="G77" s="23">
        <v>1879.5989167884773</v>
      </c>
      <c r="H77" s="23">
        <v>1811.4112492800566</v>
      </c>
      <c r="I77" s="23">
        <v>1782.9467731700026</v>
      </c>
      <c r="J77" s="23">
        <v>1957.8896647934139</v>
      </c>
      <c r="K77" s="23">
        <v>1942.1754770781765</v>
      </c>
      <c r="L77" s="23">
        <v>1920.5801897637396</v>
      </c>
      <c r="M77" s="23">
        <v>1895.4262567604364</v>
      </c>
      <c r="N77" s="23">
        <v>1893.1732167017644</v>
      </c>
      <c r="O77" s="23">
        <v>1919.4868090011544</v>
      </c>
      <c r="P77" s="23">
        <v>1926.9924988503876</v>
      </c>
      <c r="Q77" s="23">
        <v>1888.2003957664188</v>
      </c>
      <c r="R77" s="24" t="s">
        <v>27</v>
      </c>
      <c r="S77" s="24">
        <v>1959.3283393919846</v>
      </c>
      <c r="T77" s="23">
        <v>1878.1060463471949</v>
      </c>
      <c r="U77" s="23">
        <v>1952.6740554147257</v>
      </c>
      <c r="V77" s="23">
        <v>2022.0851795955687</v>
      </c>
      <c r="W77" s="23">
        <v>2093.9467051053707</v>
      </c>
      <c r="X77" s="23">
        <v>2086.8634399627558</v>
      </c>
      <c r="Y77" s="23">
        <v>1906.3489638686106</v>
      </c>
      <c r="Z77" s="23">
        <v>2119.6475934883488</v>
      </c>
      <c r="AA77" s="23">
        <v>2057.3385559248295</v>
      </c>
      <c r="AB77" s="23">
        <v>2158.4298045404748</v>
      </c>
      <c r="AC77" s="23">
        <v>2129.1448329040277</v>
      </c>
      <c r="AD77" s="23">
        <v>2153.0651615076599</v>
      </c>
      <c r="AE77" s="23">
        <v>2091.6686760801585</v>
      </c>
      <c r="AF77" s="23">
        <v>2216.6809209749963</v>
      </c>
      <c r="AG77" s="23">
        <v>2192.2784740827283</v>
      </c>
      <c r="AH77" s="23">
        <v>2295.9274560503168</v>
      </c>
      <c r="AI77" s="23">
        <v>2165.8839659167775</v>
      </c>
      <c r="AJ77" s="23">
        <v>2173.7797655968639</v>
      </c>
      <c r="AK77" s="23">
        <v>2053.303564989189</v>
      </c>
      <c r="AL77" s="23">
        <v>2181.6384314228144</v>
      </c>
      <c r="AM77" s="23">
        <v>2031.6837354764418</v>
      </c>
      <c r="AN77" s="23">
        <v>2187.3998143427193</v>
      </c>
      <c r="AO77" s="23">
        <v>1993.2557871752924</v>
      </c>
      <c r="AP77" s="23">
        <v>2206.5463016208173</v>
      </c>
      <c r="AQ77" s="23">
        <v>2035.6373964426425</v>
      </c>
      <c r="AR77" s="23">
        <v>2139.0422037755225</v>
      </c>
      <c r="AS77" s="23">
        <v>2003.7376375938441</v>
      </c>
      <c r="AT77" s="23">
        <v>2155.8242015157794</v>
      </c>
      <c r="AU77" s="23">
        <v>2038.9759596484428</v>
      </c>
      <c r="AV77" s="23">
        <v>2126.8887300577303</v>
      </c>
      <c r="AW77" s="23">
        <v>2000.5322353409681</v>
      </c>
      <c r="AX77" s="36" t="s">
        <v>27</v>
      </c>
      <c r="AY77" s="36" t="s">
        <v>27</v>
      </c>
      <c r="AZ77" s="36" t="s">
        <v>27</v>
      </c>
      <c r="BA77" s="25">
        <v>2055.0828634192021</v>
      </c>
      <c r="BB77" s="23">
        <v>2149.9712650115866</v>
      </c>
      <c r="BC77" s="23">
        <v>2149.2316141930255</v>
      </c>
      <c r="BD77" s="23">
        <v>2197.8919104159445</v>
      </c>
      <c r="BE77" s="23">
        <v>2071.6324511307025</v>
      </c>
      <c r="BF77" s="23">
        <v>2377.388769033611</v>
      </c>
      <c r="BG77" s="23">
        <v>2293.0610290369868</v>
      </c>
      <c r="BH77" s="23">
        <v>2438.354479334278</v>
      </c>
      <c r="BI77" s="23">
        <v>2180.1628902781645</v>
      </c>
      <c r="BJ77" s="23">
        <v>2405.5410000000002</v>
      </c>
      <c r="BK77" s="23">
        <v>2337.33</v>
      </c>
      <c r="BL77" s="23">
        <v>2298.6109999999999</v>
      </c>
      <c r="BM77" s="23">
        <v>2440.3890000000001</v>
      </c>
      <c r="BN77" s="23">
        <v>2589.3291566180087</v>
      </c>
      <c r="BO77" s="23">
        <v>2503.665</v>
      </c>
      <c r="BP77" s="23">
        <v>2559.6970000000001</v>
      </c>
      <c r="BQ77" s="23">
        <v>1912.854</v>
      </c>
      <c r="BR77" s="23">
        <v>1477.546</v>
      </c>
      <c r="BS77" s="23">
        <v>1472.011</v>
      </c>
    </row>
    <row r="78" spans="1:81" ht="20.100000000000001" customHeight="1" x14ac:dyDescent="0.2">
      <c r="A78" s="22" t="s">
        <v>140</v>
      </c>
      <c r="B78" s="23">
        <v>1835.8039078754177</v>
      </c>
      <c r="C78" s="23">
        <v>1872.5336671358143</v>
      </c>
      <c r="D78" s="23">
        <v>1846.6805580462831</v>
      </c>
      <c r="E78" s="23">
        <v>1916.8458854141347</v>
      </c>
      <c r="F78" s="23">
        <v>1907.564538437791</v>
      </c>
      <c r="G78" s="23">
        <v>1925.1400260442733</v>
      </c>
      <c r="H78" s="23">
        <v>1923.1865709024867</v>
      </c>
      <c r="I78" s="23">
        <v>2052.8242151859504</v>
      </c>
      <c r="J78" s="23">
        <v>1953.5548831392691</v>
      </c>
      <c r="K78" s="23">
        <v>2052.3583188845137</v>
      </c>
      <c r="L78" s="23">
        <v>2001.6174883908402</v>
      </c>
      <c r="M78" s="23">
        <v>2098.3293617017912</v>
      </c>
      <c r="N78" s="23">
        <v>2084.0978109691582</v>
      </c>
      <c r="O78" s="23">
        <v>2130.6822845068336</v>
      </c>
      <c r="P78" s="23">
        <v>2131.6980961248364</v>
      </c>
      <c r="Q78" s="23">
        <v>2224.9630837304098</v>
      </c>
      <c r="R78" s="24" t="s">
        <v>27</v>
      </c>
      <c r="S78" s="24">
        <v>2220.5557521248766</v>
      </c>
      <c r="T78" s="23">
        <v>2245.2772797166376</v>
      </c>
      <c r="U78" s="23">
        <v>2356.7590386448774</v>
      </c>
      <c r="V78" s="23">
        <v>2204.0777531089952</v>
      </c>
      <c r="W78" s="23">
        <v>2242.6212193434262</v>
      </c>
      <c r="X78" s="23">
        <v>2340.5876598250206</v>
      </c>
      <c r="Y78" s="23">
        <v>2387.1621748179518</v>
      </c>
      <c r="Z78" s="23">
        <v>2289.6334019961228</v>
      </c>
      <c r="AA78" s="23">
        <v>2355.1060260443878</v>
      </c>
      <c r="AB78" s="23">
        <v>2259.0885776834966</v>
      </c>
      <c r="AC78" s="23">
        <v>2251.1723534731545</v>
      </c>
      <c r="AD78" s="23">
        <v>2306.8469948330253</v>
      </c>
      <c r="AE78" s="23">
        <v>2366.2468561474443</v>
      </c>
      <c r="AF78" s="23">
        <v>2192.4775775334847</v>
      </c>
      <c r="AG78" s="23">
        <v>2379.3487044692465</v>
      </c>
      <c r="AH78" s="23">
        <v>2401.0906450464722</v>
      </c>
      <c r="AI78" s="23">
        <v>2303.6036929138327</v>
      </c>
      <c r="AJ78" s="23">
        <v>2343.7693482000886</v>
      </c>
      <c r="AK78" s="23">
        <v>2427.9015243202521</v>
      </c>
      <c r="AL78" s="23">
        <v>2468.9147222221241</v>
      </c>
      <c r="AM78" s="23">
        <v>2425.1856976948011</v>
      </c>
      <c r="AN78" s="23">
        <v>2272.7418941620203</v>
      </c>
      <c r="AO78" s="23">
        <v>2445.7404607943013</v>
      </c>
      <c r="AP78" s="23">
        <v>2434.3374804871119</v>
      </c>
      <c r="AQ78" s="23">
        <v>2582.9531457795315</v>
      </c>
      <c r="AR78" s="23">
        <v>2283.5452823907222</v>
      </c>
      <c r="AS78" s="23">
        <v>2339.9709818569654</v>
      </c>
      <c r="AT78" s="23">
        <v>2261.9283765482087</v>
      </c>
      <c r="AU78" s="23">
        <v>2426.1412195443681</v>
      </c>
      <c r="AV78" s="23">
        <v>2266.1751027642235</v>
      </c>
      <c r="AW78" s="23">
        <v>2409.6484489315044</v>
      </c>
      <c r="AX78" s="36" t="s">
        <v>27</v>
      </c>
      <c r="AY78" s="36" t="s">
        <v>27</v>
      </c>
      <c r="AZ78" s="36" t="s">
        <v>27</v>
      </c>
      <c r="BA78" s="25">
        <v>2338.0249705447982</v>
      </c>
      <c r="BB78" s="23">
        <v>2457.6697736282599</v>
      </c>
      <c r="BC78" s="23">
        <v>2330.1878159774501</v>
      </c>
      <c r="BD78" s="23">
        <v>2308.5546317243652</v>
      </c>
      <c r="BE78" s="23">
        <v>2474.872897591822</v>
      </c>
      <c r="BF78" s="23">
        <v>2423.953869285624</v>
      </c>
      <c r="BG78" s="23">
        <v>2347.8841056324168</v>
      </c>
      <c r="BH78" s="23">
        <v>2384.2350124483082</v>
      </c>
      <c r="BI78" s="23">
        <v>2504.032790154607</v>
      </c>
      <c r="BJ78" s="23">
        <v>2535.3069999999998</v>
      </c>
      <c r="BK78" s="23">
        <v>2460.84</v>
      </c>
      <c r="BL78" s="23">
        <v>2392.8580000000002</v>
      </c>
      <c r="BM78" s="23">
        <v>2476.107</v>
      </c>
      <c r="BN78" s="23">
        <v>2473.1846040771106</v>
      </c>
      <c r="BO78" s="23">
        <v>2523.1950000000002</v>
      </c>
      <c r="BP78" s="23">
        <v>2247.587</v>
      </c>
      <c r="BQ78" s="23">
        <v>1971.32</v>
      </c>
      <c r="BR78" s="23">
        <v>1469.096</v>
      </c>
      <c r="BS78" s="23">
        <v>1672.184</v>
      </c>
      <c r="BT78" s="38"/>
      <c r="BU78" s="38"/>
      <c r="BV78" s="38"/>
      <c r="BW78" s="38"/>
      <c r="BX78" s="38"/>
      <c r="BY78" s="38"/>
      <c r="BZ78" s="38"/>
      <c r="CA78" s="38"/>
      <c r="CB78" s="38"/>
      <c r="CC78" s="38"/>
    </row>
    <row r="79" spans="1:81" ht="20.100000000000001" customHeight="1" thickBot="1" x14ac:dyDescent="0.25">
      <c r="A79" s="39" t="s">
        <v>141</v>
      </c>
      <c r="B79" s="32">
        <v>1837.7605796751905</v>
      </c>
      <c r="C79" s="32">
        <v>1900.0146455604108</v>
      </c>
      <c r="D79" s="32">
        <v>1855.0651620044412</v>
      </c>
      <c r="E79" s="32">
        <v>2005.417860268891</v>
      </c>
      <c r="F79" s="32">
        <v>1978.4868450309825</v>
      </c>
      <c r="G79" s="32">
        <v>1961.1159307768187</v>
      </c>
      <c r="H79" s="32">
        <v>1941.3328776313872</v>
      </c>
      <c r="I79" s="32">
        <v>2021.1482528740319</v>
      </c>
      <c r="J79" s="32">
        <v>2103.7537390215994</v>
      </c>
      <c r="K79" s="32">
        <v>2085.0859869108044</v>
      </c>
      <c r="L79" s="32">
        <v>2134.7458791041954</v>
      </c>
      <c r="M79" s="32">
        <v>2236.2443500916165</v>
      </c>
      <c r="N79" s="32">
        <v>2230.6156296335053</v>
      </c>
      <c r="O79" s="32">
        <v>2181.0522183014714</v>
      </c>
      <c r="P79" s="32">
        <v>2180.1438024477911</v>
      </c>
      <c r="Q79" s="32">
        <v>2278.5501244090919</v>
      </c>
      <c r="R79" s="33" t="s">
        <v>27</v>
      </c>
      <c r="S79" s="33">
        <v>2277.3587865126078</v>
      </c>
      <c r="T79" s="32">
        <v>2272.3790217819719</v>
      </c>
      <c r="U79" s="32">
        <v>2240.8705304758782</v>
      </c>
      <c r="V79" s="32">
        <v>2236.0405518973139</v>
      </c>
      <c r="W79" s="32">
        <v>2336.2564803430223</v>
      </c>
      <c r="X79" s="32">
        <v>2217.556317250594</v>
      </c>
      <c r="Y79" s="32">
        <v>2273.3620035294643</v>
      </c>
      <c r="Z79" s="32">
        <v>2212.0341732708716</v>
      </c>
      <c r="AA79" s="32">
        <v>2300.5005308891555</v>
      </c>
      <c r="AB79" s="32">
        <v>2267.0773367965226</v>
      </c>
      <c r="AC79" s="32">
        <v>2406.1560178559262</v>
      </c>
      <c r="AD79" s="32">
        <v>2343.8465131724006</v>
      </c>
      <c r="AE79" s="32">
        <v>2345.9515694446095</v>
      </c>
      <c r="AF79" s="32">
        <v>2327.0428887938206</v>
      </c>
      <c r="AG79" s="32">
        <v>2312.5355644864085</v>
      </c>
      <c r="AH79" s="32">
        <v>2322.3907125527171</v>
      </c>
      <c r="AI79" s="32">
        <v>2393.8402637614381</v>
      </c>
      <c r="AJ79" s="32">
        <v>2316.0232675752909</v>
      </c>
      <c r="AK79" s="32">
        <v>2342.1706123586764</v>
      </c>
      <c r="AL79" s="32">
        <v>2316.9645457020424</v>
      </c>
      <c r="AM79" s="32">
        <v>2345.0544189413563</v>
      </c>
      <c r="AN79" s="32">
        <v>2373.9222951068705</v>
      </c>
      <c r="AO79" s="32">
        <v>2359.7052457783029</v>
      </c>
      <c r="AP79" s="32">
        <v>2312.0768532001689</v>
      </c>
      <c r="AQ79" s="32">
        <v>2301.8586891055629</v>
      </c>
      <c r="AR79" s="32">
        <v>2320.0870800268945</v>
      </c>
      <c r="AS79" s="32">
        <v>2311.8618959104988</v>
      </c>
      <c r="AT79" s="32">
        <v>2315.2865328367648</v>
      </c>
      <c r="AU79" s="32">
        <v>2296.9342370240342</v>
      </c>
      <c r="AV79" s="32">
        <v>2382.4637089312614</v>
      </c>
      <c r="AW79" s="32">
        <v>2313.2657150876084</v>
      </c>
      <c r="AX79" s="40" t="s">
        <v>27</v>
      </c>
      <c r="AY79" s="40" t="s">
        <v>27</v>
      </c>
      <c r="AZ79" s="40" t="s">
        <v>27</v>
      </c>
      <c r="BA79" s="35">
        <v>2387.0843378951486</v>
      </c>
      <c r="BB79" s="32">
        <v>2412.4069863328427</v>
      </c>
      <c r="BC79" s="32">
        <v>2431.9001587801195</v>
      </c>
      <c r="BD79" s="32">
        <v>2358.7354775484246</v>
      </c>
      <c r="BE79" s="32">
        <v>2339.1592752590032</v>
      </c>
      <c r="BF79" s="32">
        <v>2291.9837287622822</v>
      </c>
      <c r="BG79" s="32">
        <v>2415.9251189154734</v>
      </c>
      <c r="BH79" s="32">
        <v>2355.2320524024453</v>
      </c>
      <c r="BI79" s="32">
        <v>2324.8143566885196</v>
      </c>
      <c r="BJ79" s="32">
        <v>2219.5990000000002</v>
      </c>
      <c r="BK79" s="32">
        <v>2420.9630000000002</v>
      </c>
      <c r="BL79" s="32">
        <v>2405.511</v>
      </c>
      <c r="BM79" s="32">
        <v>2481.4609999999998</v>
      </c>
      <c r="BN79" s="32">
        <v>2348.4982351682852</v>
      </c>
      <c r="BO79" s="32">
        <v>2436.92</v>
      </c>
      <c r="BP79" s="32">
        <v>2215.2489999999998</v>
      </c>
      <c r="BQ79" s="32">
        <v>2135.9870000000001</v>
      </c>
      <c r="BR79" s="32">
        <v>1514.231</v>
      </c>
      <c r="BS79" s="32">
        <v>1595.7190000000001</v>
      </c>
    </row>
    <row r="80" spans="1:81" ht="30" customHeight="1" x14ac:dyDescent="0.2">
      <c r="A80" s="74"/>
      <c r="B80" s="74"/>
      <c r="C80" s="74"/>
      <c r="D80" s="74"/>
      <c r="E80" s="74"/>
      <c r="F80" s="74"/>
      <c r="G80" s="74"/>
      <c r="H80" s="74"/>
      <c r="I80" s="74"/>
      <c r="J80" s="74"/>
      <c r="K80" s="74"/>
      <c r="L80" s="74"/>
      <c r="M80" s="74"/>
      <c r="N80" s="74"/>
      <c r="O80" s="74"/>
      <c r="P80" s="74"/>
      <c r="Q80" s="74"/>
      <c r="R80" s="74"/>
      <c r="S80" s="74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41"/>
      <c r="AK80" s="41"/>
      <c r="AL80" s="41"/>
      <c r="AM80" s="41"/>
      <c r="AN80" s="41"/>
      <c r="AO80" s="41"/>
      <c r="AP80" s="41"/>
      <c r="AQ80" s="41"/>
      <c r="AR80" s="41"/>
      <c r="AS80" s="41"/>
      <c r="AT80" s="41">
        <v>2315.2865328367648</v>
      </c>
      <c r="AU80" s="41"/>
      <c r="AV80" s="41"/>
      <c r="AW80" s="41"/>
      <c r="AX80" s="41"/>
      <c r="AY80" s="41"/>
      <c r="AZ80" s="41"/>
      <c r="BA80" s="41"/>
      <c r="BB80" s="41"/>
      <c r="BC80" s="41"/>
      <c r="BD80" s="41"/>
      <c r="BE80" s="41"/>
      <c r="BF80" s="41"/>
      <c r="BG80" s="41"/>
      <c r="BH80" s="41"/>
      <c r="BI80" s="41"/>
      <c r="BJ80" s="41"/>
      <c r="BK80" s="41"/>
      <c r="BL80" s="41"/>
      <c r="BM80" s="41"/>
      <c r="BN80" s="41"/>
      <c r="BO80" s="41"/>
      <c r="BP80" s="41"/>
      <c r="BQ80" s="41"/>
      <c r="BR80" s="41"/>
      <c r="BS80" s="41"/>
    </row>
    <row r="81" spans="1:71" ht="21" customHeight="1" x14ac:dyDescent="0.2">
      <c r="A81" s="75" t="s">
        <v>30</v>
      </c>
      <c r="B81" s="69"/>
      <c r="C81" s="69"/>
      <c r="D81" s="69"/>
      <c r="E81" s="69"/>
      <c r="F81" s="69"/>
      <c r="G81" s="69"/>
      <c r="H81" s="69"/>
      <c r="I81" s="69"/>
      <c r="J81" s="69"/>
      <c r="K81" s="69"/>
      <c r="L81" s="69"/>
      <c r="M81" s="69"/>
      <c r="N81" s="69"/>
      <c r="O81" s="69"/>
      <c r="P81" s="69"/>
      <c r="Q81" s="69"/>
      <c r="R81" s="69"/>
      <c r="S81" s="69"/>
      <c r="T81" s="69"/>
      <c r="U81" s="69"/>
      <c r="V81" s="69"/>
      <c r="W81" s="69"/>
      <c r="X81" s="69"/>
      <c r="Y81" s="69"/>
      <c r="Z81" s="69"/>
      <c r="AA81" s="69"/>
      <c r="AB81" s="69"/>
      <c r="AC81" s="69"/>
      <c r="AD81" s="69"/>
      <c r="AE81" s="69"/>
      <c r="AF81" s="69"/>
      <c r="AG81" s="69"/>
      <c r="AH81" s="69"/>
      <c r="AI81" s="69"/>
      <c r="AJ81" s="42"/>
      <c r="AK81" s="42"/>
      <c r="AL81" s="42"/>
      <c r="AM81" s="42"/>
      <c r="AN81" s="42"/>
      <c r="AO81" s="42"/>
    </row>
    <row r="82" spans="1:71" s="9" customFormat="1" ht="24.75" customHeight="1" x14ac:dyDescent="0.2">
      <c r="A82" s="69" t="s">
        <v>142</v>
      </c>
      <c r="B82" s="69"/>
      <c r="C82" s="69"/>
      <c r="D82" s="69"/>
      <c r="E82" s="69"/>
      <c r="F82" s="69"/>
      <c r="G82" s="69"/>
      <c r="H82" s="69"/>
      <c r="I82" s="69"/>
      <c r="J82" s="69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  <c r="AA82" s="69"/>
      <c r="AB82" s="69"/>
      <c r="AC82" s="69"/>
      <c r="AD82" s="69"/>
      <c r="AE82" s="69"/>
      <c r="AF82" s="69"/>
      <c r="AG82" s="69"/>
      <c r="AH82" s="69"/>
      <c r="AI82" s="69"/>
      <c r="AJ82" s="69"/>
      <c r="AK82" s="69"/>
      <c r="AL82" s="69"/>
      <c r="AM82" s="69"/>
      <c r="AN82" s="69"/>
      <c r="AO82" s="69"/>
      <c r="AP82" s="69"/>
      <c r="AQ82" s="69"/>
      <c r="AR82" s="69"/>
      <c r="AS82" s="7"/>
      <c r="AT82" s="7"/>
      <c r="BK82" s="7"/>
      <c r="BL82" s="7"/>
      <c r="BM82" s="7"/>
      <c r="BN82" s="7"/>
      <c r="BO82" s="7"/>
      <c r="BP82" s="7"/>
      <c r="BQ82" s="7"/>
      <c r="BR82" s="7"/>
      <c r="BS82" s="7"/>
    </row>
    <row r="83" spans="1:71" s="9" customFormat="1" ht="17.25" customHeight="1" x14ac:dyDescent="0.2">
      <c r="A83" s="69" t="s">
        <v>64</v>
      </c>
      <c r="B83" s="69"/>
      <c r="C83" s="69"/>
      <c r="D83" s="69"/>
      <c r="E83" s="69"/>
      <c r="F83" s="69"/>
      <c r="G83" s="69"/>
      <c r="H83" s="69"/>
      <c r="I83" s="69"/>
      <c r="J83" s="69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  <c r="AA83" s="69"/>
      <c r="AB83" s="69"/>
      <c r="AC83" s="69"/>
      <c r="AD83" s="69"/>
      <c r="AE83" s="69"/>
      <c r="AF83" s="69"/>
      <c r="AG83" s="69"/>
      <c r="AH83" s="69"/>
      <c r="AI83" s="7"/>
      <c r="AJ83" s="7"/>
      <c r="BK83" s="7"/>
      <c r="BL83" s="7"/>
      <c r="BM83" s="7"/>
      <c r="BN83" s="7"/>
      <c r="BO83" s="7"/>
      <c r="BP83" s="7"/>
      <c r="BQ83" s="7"/>
      <c r="BR83" s="7"/>
      <c r="BS83" s="7"/>
    </row>
    <row r="84" spans="1:71" ht="32.25" customHeight="1" x14ac:dyDescent="0.2">
      <c r="A84" s="69" t="s">
        <v>65</v>
      </c>
      <c r="B84" s="69"/>
      <c r="C84" s="69"/>
      <c r="D84" s="69"/>
      <c r="E84" s="69"/>
      <c r="F84" s="69"/>
      <c r="G84" s="69"/>
      <c r="H84" s="69"/>
      <c r="I84" s="69"/>
      <c r="J84" s="69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  <c r="AA84" s="69"/>
      <c r="AB84" s="69"/>
      <c r="AC84" s="69"/>
      <c r="AD84" s="69"/>
      <c r="AE84" s="69"/>
      <c r="AF84" s="69"/>
      <c r="AG84" s="69"/>
      <c r="AH84" s="69"/>
      <c r="BK84" s="9"/>
      <c r="BL84" s="9"/>
      <c r="BM84" s="9"/>
      <c r="BN84" s="9"/>
      <c r="BO84" s="9"/>
      <c r="BP84" s="9"/>
      <c r="BQ84" s="9"/>
      <c r="BR84" s="9"/>
      <c r="BS84" s="9"/>
    </row>
    <row r="85" spans="1:71" ht="20.100000000000001" customHeight="1" x14ac:dyDescent="0.2">
      <c r="A85" s="69" t="s">
        <v>77</v>
      </c>
      <c r="B85" s="69"/>
      <c r="C85" s="69"/>
      <c r="D85" s="69"/>
      <c r="E85" s="69"/>
      <c r="F85" s="69"/>
      <c r="G85" s="69"/>
      <c r="H85" s="69"/>
      <c r="I85" s="69"/>
      <c r="J85" s="69"/>
      <c r="K85" s="69"/>
      <c r="L85" s="69"/>
      <c r="M85" s="69"/>
      <c r="N85" s="69"/>
      <c r="O85" s="69"/>
      <c r="P85" s="69"/>
      <c r="Q85" s="69"/>
      <c r="R85" s="69"/>
      <c r="S85" s="69"/>
      <c r="T85" s="69"/>
      <c r="U85" s="69"/>
      <c r="V85" s="69"/>
      <c r="W85" s="69"/>
      <c r="X85" s="69"/>
      <c r="Y85" s="69"/>
      <c r="Z85" s="69"/>
      <c r="AA85" s="69"/>
      <c r="AB85" s="69"/>
      <c r="AC85" s="69"/>
      <c r="AD85" s="69"/>
      <c r="AE85" s="69"/>
      <c r="AF85" s="69"/>
      <c r="AG85" s="69"/>
      <c r="AH85" s="69"/>
      <c r="AI85" s="69"/>
      <c r="AJ85" s="69"/>
      <c r="AK85" s="69"/>
      <c r="AL85" s="69"/>
      <c r="AM85" s="69"/>
      <c r="AN85" s="69"/>
      <c r="AO85" s="69"/>
      <c r="AP85" s="69"/>
      <c r="AQ85" s="69"/>
      <c r="AR85" s="69"/>
      <c r="BK85" s="9"/>
      <c r="BL85" s="9"/>
      <c r="BM85" s="9"/>
      <c r="BN85" s="9"/>
      <c r="BO85" s="9"/>
      <c r="BP85" s="9"/>
      <c r="BQ85" s="9"/>
      <c r="BR85" s="9"/>
      <c r="BS85" s="9"/>
    </row>
    <row r="86" spans="1:71" s="9" customFormat="1" ht="21" customHeight="1" x14ac:dyDescent="0.2">
      <c r="A86" s="70" t="s">
        <v>143</v>
      </c>
      <c r="B86" s="70"/>
      <c r="C86" s="70"/>
      <c r="D86" s="70"/>
      <c r="E86" s="70"/>
      <c r="F86" s="70"/>
      <c r="G86" s="70"/>
      <c r="H86" s="70"/>
      <c r="I86" s="70"/>
      <c r="J86" s="70"/>
      <c r="K86" s="70"/>
      <c r="L86" s="70"/>
      <c r="M86" s="70"/>
      <c r="N86" s="70"/>
      <c r="O86" s="70"/>
      <c r="P86" s="70"/>
      <c r="Q86" s="70"/>
      <c r="R86" s="70"/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5"/>
      <c r="AK86" s="5"/>
      <c r="AL86" s="5"/>
      <c r="AM86" s="5"/>
      <c r="AN86" s="5"/>
      <c r="AO86" s="5"/>
    </row>
    <row r="87" spans="1:71" ht="30" customHeight="1" x14ac:dyDescent="0.2">
      <c r="A87" s="71" t="s">
        <v>144</v>
      </c>
      <c r="B87" s="71"/>
      <c r="C87" s="71"/>
      <c r="D87" s="71"/>
      <c r="E87" s="71"/>
      <c r="F87" s="71"/>
      <c r="G87" s="71"/>
      <c r="H87" s="71"/>
      <c r="I87" s="71"/>
      <c r="J87" s="71"/>
      <c r="K87" s="71"/>
      <c r="L87" s="71"/>
      <c r="M87" s="71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43"/>
      <c r="AK87" s="43"/>
      <c r="AL87" s="43"/>
      <c r="AM87" s="43"/>
      <c r="AN87" s="43"/>
      <c r="AO87" s="43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  <c r="BA87" s="44"/>
      <c r="BB87" s="44"/>
      <c r="BC87" s="44"/>
      <c r="BD87" s="44"/>
      <c r="BE87" s="44"/>
      <c r="BF87" s="44"/>
      <c r="BG87" s="44"/>
      <c r="BH87" s="44"/>
      <c r="BI87" s="44"/>
      <c r="BJ87" s="44"/>
      <c r="BK87" s="44"/>
      <c r="BL87" s="44"/>
      <c r="BM87" s="44"/>
      <c r="BN87" s="44"/>
      <c r="BO87" s="44"/>
      <c r="BP87" s="44"/>
      <c r="BQ87" s="44"/>
      <c r="BR87" s="44"/>
      <c r="BS87" s="44"/>
    </row>
    <row r="88" spans="1:71" x14ac:dyDescent="0.2"/>
    <row r="89" spans="1:71" x14ac:dyDescent="0.2"/>
    <row r="90" spans="1:71" x14ac:dyDescent="0.2"/>
    <row r="91" spans="1:71" x14ac:dyDescent="0.2"/>
    <row r="92" spans="1:71" x14ac:dyDescent="0.2"/>
    <row r="93" spans="1:71" x14ac:dyDescent="0.2"/>
    <row r="94" spans="1:71" x14ac:dyDescent="0.2"/>
    <row r="95" spans="1:71" x14ac:dyDescent="0.2"/>
    <row r="96" spans="1:71" x14ac:dyDescent="0.2"/>
    <row r="97" x14ac:dyDescent="0.2"/>
    <row r="98" x14ac:dyDescent="0.2"/>
    <row r="99" x14ac:dyDescent="0.2"/>
    <row r="100" x14ac:dyDescent="0.2"/>
    <row r="101" x14ac:dyDescent="0.2"/>
    <row r="102" x14ac:dyDescent="0.2"/>
    <row r="103" x14ac:dyDescent="0.2"/>
    <row r="104" x14ac:dyDescent="0.2"/>
    <row r="105" x14ac:dyDescent="0.2"/>
    <row r="106" x14ac:dyDescent="0.2"/>
    <row r="107" x14ac:dyDescent="0.2"/>
    <row r="108" x14ac:dyDescent="0.2"/>
    <row r="109" x14ac:dyDescent="0.2"/>
    <row r="110" x14ac:dyDescent="0.2"/>
    <row r="111" x14ac:dyDescent="0.2"/>
    <row r="112" x14ac:dyDescent="0.2"/>
    <row r="113" x14ac:dyDescent="0.2"/>
    <row r="114" x14ac:dyDescent="0.2"/>
    <row r="115" x14ac:dyDescent="0.2"/>
    <row r="116" x14ac:dyDescent="0.2"/>
    <row r="117" x14ac:dyDescent="0.2"/>
    <row r="118" x14ac:dyDescent="0.2"/>
    <row r="119" x14ac:dyDescent="0.2"/>
    <row r="120" x14ac:dyDescent="0.2"/>
    <row r="121" x14ac:dyDescent="0.2"/>
    <row r="122" x14ac:dyDescent="0.2"/>
    <row r="123" x14ac:dyDescent="0.2"/>
    <row r="124" x14ac:dyDescent="0.2"/>
    <row r="125" x14ac:dyDescent="0.2"/>
    <row r="126" x14ac:dyDescent="0.2"/>
    <row r="127" x14ac:dyDescent="0.2"/>
    <row r="128" x14ac:dyDescent="0.2"/>
    <row r="129" x14ac:dyDescent="0.2"/>
    <row r="130" x14ac:dyDescent="0.2"/>
    <row r="131" x14ac:dyDescent="0.2"/>
    <row r="132" x14ac:dyDescent="0.2"/>
    <row r="133" x14ac:dyDescent="0.2"/>
    <row r="134" x14ac:dyDescent="0.2"/>
    <row r="135" x14ac:dyDescent="0.2"/>
    <row r="136" x14ac:dyDescent="0.2"/>
    <row r="137" x14ac:dyDescent="0.2"/>
  </sheetData>
  <mergeCells count="10">
    <mergeCell ref="A84:AH84"/>
    <mergeCell ref="A85:AR85"/>
    <mergeCell ref="A86:AI86"/>
    <mergeCell ref="A87:AI87"/>
    <mergeCell ref="A1:AI1"/>
    <mergeCell ref="A2:AI2"/>
    <mergeCell ref="A80:AI80"/>
    <mergeCell ref="A81:AI81"/>
    <mergeCell ref="A82:AR82"/>
    <mergeCell ref="A83:AH83"/>
  </mergeCells>
  <printOptions horizontalCentered="1" verticalCentered="1"/>
  <pageMargins left="0.39370078740157483" right="0.39370078740157483" top="0.39370078740157483" bottom="0.39370078740157483" header="0" footer="0"/>
  <pageSetup paperSize="8" scale="21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68069-19EB-407A-A11D-684845C336D8}">
  <dimension ref="A1:BS23"/>
  <sheetViews>
    <sheetView zoomScale="80" zoomScaleNormal="80" workbookViewId="0">
      <pane xSplit="1" ySplit="1" topLeftCell="BP2" activePane="bottomRight" state="frozen"/>
      <selection pane="topRight" activeCell="B1" sqref="B1"/>
      <selection pane="bottomLeft" activeCell="A2" sqref="A2"/>
      <selection pane="bottomRight"/>
    </sheetView>
  </sheetViews>
  <sheetFormatPr baseColWidth="10" defaultRowHeight="12.75" x14ac:dyDescent="0.2"/>
  <cols>
    <col min="1" max="1" width="54.5703125" style="59" bestFit="1" customWidth="1"/>
    <col min="2" max="16" width="12.42578125" style="59" bestFit="1" customWidth="1"/>
    <col min="17" max="17" width="14.140625" style="59" bestFit="1" customWidth="1"/>
    <col min="18" max="18" width="15.5703125" style="59" bestFit="1" customWidth="1"/>
    <col min="19" max="43" width="14.140625" style="59" bestFit="1" customWidth="1"/>
    <col min="44" max="44" width="15" style="59" bestFit="1" customWidth="1"/>
    <col min="45" max="49" width="14.140625" style="59" bestFit="1" customWidth="1"/>
    <col min="50" max="51" width="15.5703125" style="59" bestFit="1" customWidth="1"/>
    <col min="52" max="52" width="14.140625" style="59" bestFit="1" customWidth="1"/>
    <col min="53" max="71" width="12.42578125" style="59" bestFit="1" customWidth="1"/>
    <col min="72" max="16384" width="11.42578125" style="59"/>
  </cols>
  <sheetData>
    <row r="1" spans="1:71" ht="19.5" thickBot="1" x14ac:dyDescent="0.25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22</v>
      </c>
      <c r="M1" s="1" t="s">
        <v>23</v>
      </c>
      <c r="N1" s="1" t="s">
        <v>24</v>
      </c>
      <c r="O1" s="1" t="s">
        <v>25</v>
      </c>
      <c r="P1" s="1" t="s">
        <v>26</v>
      </c>
      <c r="Q1" s="1" t="s">
        <v>33</v>
      </c>
      <c r="R1" s="1" t="s">
        <v>99</v>
      </c>
      <c r="S1" s="1" t="s">
        <v>34</v>
      </c>
      <c r="T1" s="1" t="s">
        <v>35</v>
      </c>
      <c r="U1" s="1" t="s">
        <v>36</v>
      </c>
      <c r="V1" s="1" t="s">
        <v>37</v>
      </c>
      <c r="W1" s="1" t="s">
        <v>38</v>
      </c>
      <c r="X1" s="1" t="s">
        <v>39</v>
      </c>
      <c r="Y1" s="1" t="s">
        <v>40</v>
      </c>
      <c r="Z1" s="1" t="s">
        <v>41</v>
      </c>
      <c r="AA1" s="1" t="s">
        <v>42</v>
      </c>
      <c r="AB1" s="1" t="s">
        <v>43</v>
      </c>
      <c r="AC1" s="1" t="s">
        <v>44</v>
      </c>
      <c r="AD1" s="1" t="s">
        <v>45</v>
      </c>
      <c r="AE1" s="1" t="s">
        <v>46</v>
      </c>
      <c r="AF1" s="1" t="s">
        <v>47</v>
      </c>
      <c r="AG1" s="1" t="s">
        <v>48</v>
      </c>
      <c r="AH1" s="1" t="s">
        <v>49</v>
      </c>
      <c r="AI1" s="1" t="s">
        <v>50</v>
      </c>
      <c r="AJ1" s="1" t="s">
        <v>51</v>
      </c>
      <c r="AK1" s="1" t="s">
        <v>52</v>
      </c>
      <c r="AL1" s="1" t="s">
        <v>53</v>
      </c>
      <c r="AM1" s="1" t="s">
        <v>54</v>
      </c>
      <c r="AN1" s="1" t="s">
        <v>55</v>
      </c>
      <c r="AO1" s="1" t="s">
        <v>56</v>
      </c>
      <c r="AP1" s="1" t="s">
        <v>57</v>
      </c>
      <c r="AQ1" s="1" t="s">
        <v>58</v>
      </c>
      <c r="AR1" s="1" t="s">
        <v>100</v>
      </c>
      <c r="AS1" s="1" t="s">
        <v>59</v>
      </c>
      <c r="AT1" s="1" t="s">
        <v>60</v>
      </c>
      <c r="AU1" s="1" t="s">
        <v>61</v>
      </c>
      <c r="AV1" s="1" t="s">
        <v>62</v>
      </c>
      <c r="AW1" s="1" t="s">
        <v>101</v>
      </c>
      <c r="AX1" s="1" t="s">
        <v>74</v>
      </c>
      <c r="AY1" s="1" t="s">
        <v>75</v>
      </c>
      <c r="AZ1" s="1" t="s">
        <v>76</v>
      </c>
      <c r="BA1" s="1" t="s">
        <v>31</v>
      </c>
      <c r="BB1" s="1" t="s">
        <v>32</v>
      </c>
      <c r="BC1" s="1" t="s">
        <v>66</v>
      </c>
      <c r="BD1" s="1" t="s">
        <v>67</v>
      </c>
      <c r="BE1" s="1" t="s">
        <v>68</v>
      </c>
      <c r="BF1" s="1" t="s">
        <v>69</v>
      </c>
      <c r="BG1" s="1" t="s">
        <v>70</v>
      </c>
      <c r="BH1" s="1" t="s">
        <v>71</v>
      </c>
      <c r="BI1" s="1" t="s">
        <v>72</v>
      </c>
      <c r="BJ1" s="1" t="s">
        <v>73</v>
      </c>
      <c r="BK1" s="1" t="s">
        <v>88</v>
      </c>
      <c r="BL1" s="1" t="s">
        <v>89</v>
      </c>
      <c r="BM1" s="1" t="s">
        <v>90</v>
      </c>
      <c r="BN1" s="1" t="s">
        <v>91</v>
      </c>
      <c r="BO1" s="1" t="s">
        <v>92</v>
      </c>
      <c r="BP1" s="1" t="s">
        <v>93</v>
      </c>
      <c r="BQ1" s="1" t="s">
        <v>94</v>
      </c>
      <c r="BR1" s="1" t="s">
        <v>95</v>
      </c>
      <c r="BS1" s="1" t="s">
        <v>96</v>
      </c>
    </row>
    <row r="2" spans="1:71" x14ac:dyDescent="0.2">
      <c r="A2" s="22" t="s">
        <v>108</v>
      </c>
      <c r="B2" s="65">
        <f>'Empleo Población'!B33-'Empleo Informales'!B28</f>
        <v>102.68926320479309</v>
      </c>
      <c r="C2" s="65">
        <f>'Empleo Población'!C33-'Empleo Informales'!C28</f>
        <v>115.38428553067325</v>
      </c>
      <c r="D2" s="65">
        <f>'Empleo Población'!D33-'Empleo Informales'!D28</f>
        <v>107.38707598577054</v>
      </c>
      <c r="E2" s="65">
        <f>'Empleo Población'!E33-'Empleo Informales'!E28</f>
        <v>110.41845843257059</v>
      </c>
      <c r="F2" s="65">
        <f>'Empleo Población'!F33-'Empleo Informales'!F28</f>
        <v>105.070074177664</v>
      </c>
      <c r="G2" s="65">
        <f>'Empleo Población'!G33-'Empleo Informales'!G28</f>
        <v>82.727101930572573</v>
      </c>
      <c r="H2" s="65">
        <f>'Empleo Población'!H33-'Empleo Informales'!H28</f>
        <v>87.743595371462973</v>
      </c>
      <c r="I2" s="65">
        <f>'Empleo Población'!I33-'Empleo Informales'!I28</f>
        <v>84.42848363338139</v>
      </c>
      <c r="J2" s="65">
        <f>'Empleo Población'!J33-'Empleo Informales'!J28</f>
        <v>101.96129091777493</v>
      </c>
      <c r="K2" s="65">
        <f>'Empleo Población'!K33-'Empleo Informales'!K28</f>
        <v>102.70289291279366</v>
      </c>
      <c r="L2" s="65">
        <f>'Empleo Población'!L33-'Empleo Informales'!L28</f>
        <v>97.256163279124763</v>
      </c>
      <c r="M2" s="65">
        <f>'Empleo Población'!M33-'Empleo Informales'!M28</f>
        <v>97.891870154651457</v>
      </c>
      <c r="N2" s="65">
        <f>'Empleo Población'!N33-'Empleo Informales'!N28</f>
        <v>95.185439439205311</v>
      </c>
      <c r="O2" s="65">
        <f>'Empleo Población'!O33-'Empleo Informales'!O28</f>
        <v>102.75657384110792</v>
      </c>
      <c r="P2" s="65">
        <f>'Empleo Población'!P33-'Empleo Informales'!P28</f>
        <v>111.0127803561675</v>
      </c>
      <c r="Q2" s="65">
        <f>'Empleo Población'!Q33-'Empleo Informales'!Q28</f>
        <v>90.632856801360504</v>
      </c>
      <c r="R2" s="65"/>
      <c r="S2" s="65">
        <f>'Empleo Población'!S33-'Empleo Informales'!S28</f>
        <v>106.26183010118099</v>
      </c>
      <c r="T2" s="65">
        <f>'Empleo Población'!T33-'Empleo Informales'!T28</f>
        <v>111.48324549106633</v>
      </c>
      <c r="U2" s="65">
        <f>'Empleo Población'!U33-'Empleo Informales'!U28</f>
        <v>128.38496952169268</v>
      </c>
      <c r="V2" s="65">
        <f>'Empleo Población'!V33-'Empleo Informales'!V28</f>
        <v>134.0104840511168</v>
      </c>
      <c r="W2" s="65">
        <f>'Empleo Población'!W33-'Empleo Informales'!W28</f>
        <v>152.08348934215417</v>
      </c>
      <c r="X2" s="65">
        <f>'Empleo Población'!X33-'Empleo Informales'!X28</f>
        <v>96.37352790067915</v>
      </c>
      <c r="Y2" s="65">
        <f>'Empleo Población'!Y33-'Empleo Informales'!Y28</f>
        <v>152.26537531163692</v>
      </c>
      <c r="Z2" s="65">
        <f>'Empleo Población'!Z33-'Empleo Informales'!Z28</f>
        <v>136.73095037851857</v>
      </c>
      <c r="AA2" s="65">
        <f>'Empleo Población'!AA33-'Empleo Informales'!AA28</f>
        <v>165.81310337398182</v>
      </c>
      <c r="AB2" s="65">
        <f>'Empleo Población'!AB33-'Empleo Informales'!AB28</f>
        <v>166.7802706115242</v>
      </c>
      <c r="AC2" s="65">
        <f>'Empleo Población'!AC33-'Empleo Informales'!AC28</f>
        <v>152.81337345651787</v>
      </c>
      <c r="AD2" s="65">
        <f>'Empleo Población'!AD33-'Empleo Informales'!AD28</f>
        <v>136.71665821456676</v>
      </c>
      <c r="AE2" s="65">
        <f>'Empleo Población'!AE33-'Empleo Informales'!AE28</f>
        <v>142.55859841068769</v>
      </c>
      <c r="AF2" s="65">
        <f>'Empleo Población'!AF33-'Empleo Informales'!AF28</f>
        <v>140.21695204112928</v>
      </c>
      <c r="AG2" s="65">
        <f>'Empleo Población'!AG33-'Empleo Informales'!AG28</f>
        <v>163.5264390535273</v>
      </c>
      <c r="AH2" s="65">
        <f>'Empleo Población'!AH33-'Empleo Informales'!AH28</f>
        <v>146.23005633361254</v>
      </c>
      <c r="AI2" s="65">
        <f>'Empleo Población'!AI33-'Empleo Informales'!AI28</f>
        <v>148.17171411813879</v>
      </c>
      <c r="AJ2" s="65">
        <f>'Empleo Población'!AJ33-'Empleo Informales'!AJ28</f>
        <v>104.32711323055567</v>
      </c>
      <c r="AK2" s="65">
        <f>'Empleo Población'!AK33-'Empleo Informales'!AK28</f>
        <v>108.79388247295933</v>
      </c>
      <c r="AL2" s="65">
        <f>'Empleo Población'!AL33-'Empleo Informales'!AL28</f>
        <v>86.054029692197076</v>
      </c>
      <c r="AM2" s="65">
        <f>'Empleo Población'!AM33-'Empleo Informales'!AM28</f>
        <v>96.519523853739386</v>
      </c>
      <c r="AN2" s="65">
        <f>'Empleo Población'!AN33-'Empleo Informales'!AN28</f>
        <v>94.85392771359048</v>
      </c>
      <c r="AO2" s="65">
        <f>'Empleo Población'!AO33-'Empleo Informales'!AO28</f>
        <v>94.190025871403407</v>
      </c>
      <c r="AP2" s="65">
        <f>'Empleo Población'!AP33-'Empleo Informales'!AP28</f>
        <v>85.495744075601877</v>
      </c>
      <c r="AQ2" s="65">
        <f>'Empleo Población'!AQ33-'Empleo Informales'!AQ28</f>
        <v>92.085955275643556</v>
      </c>
      <c r="AR2" s="65">
        <f>'Empleo Población'!AR33-'Empleo Informales'!AR28</f>
        <v>80.447023609136707</v>
      </c>
      <c r="AS2" s="65">
        <f>'Empleo Población'!AS33-'Empleo Informales'!AS28</f>
        <v>88.061574653096685</v>
      </c>
      <c r="AT2" s="65">
        <f>'Empleo Población'!AT33-'Empleo Informales'!AT28</f>
        <v>82.378084470728922</v>
      </c>
      <c r="AU2" s="65">
        <f>'Empleo Población'!AU33-'Empleo Informales'!AU28</f>
        <v>82.932150509729922</v>
      </c>
      <c r="AV2" s="65">
        <f>'Empleo Población'!AV33-'Empleo Informales'!AV28</f>
        <v>77.775796743915947</v>
      </c>
      <c r="AW2" s="65">
        <f>'Empleo Población'!AW33-'Empleo Informales'!AW28</f>
        <v>81.165197935985944</v>
      </c>
      <c r="AX2" s="65"/>
      <c r="AY2" s="65"/>
      <c r="AZ2" s="65"/>
      <c r="BA2" s="65">
        <f>'Empleo Población'!BA33-'Empleo Informales'!BA28</f>
        <v>85.301982322708795</v>
      </c>
      <c r="BB2" s="65">
        <f>'Empleo Población'!BB33-'Empleo Informales'!BB28</f>
        <v>98.38642643799345</v>
      </c>
      <c r="BC2" s="65">
        <f>'Empleo Población'!BC33-'Empleo Informales'!BC28</f>
        <v>82.141614966723139</v>
      </c>
      <c r="BD2" s="65">
        <f>'Empleo Población'!BD33-'Empleo Informales'!BD28</f>
        <v>76.932005744025162</v>
      </c>
      <c r="BE2" s="65">
        <f>'Empleo Población'!BE33-'Empleo Informales'!BE28</f>
        <v>81.152632912359479</v>
      </c>
      <c r="BF2" s="65">
        <f>'Empleo Población'!BF33-'Empleo Informales'!BF28</f>
        <v>96.741317399999986</v>
      </c>
      <c r="BG2" s="65">
        <f>'Empleo Población'!BG33-'Empleo Informales'!BG28</f>
        <v>75.361150000000009</v>
      </c>
      <c r="BH2" s="65">
        <f>'Empleo Población'!BH33-'Empleo Informales'!BH28</f>
        <v>98.054137534078549</v>
      </c>
      <c r="BI2" s="65">
        <f>'Empleo Población'!BI33-'Empleo Informales'!BI28</f>
        <v>92.125097799999978</v>
      </c>
      <c r="BJ2" s="65">
        <f>'Empleo Población'!BJ33-'Empleo Informales'!BJ28</f>
        <v>78.824352199999993</v>
      </c>
      <c r="BK2" s="65">
        <f>'Empleo Población'!BK33-'Empleo Informales'!BK28</f>
        <v>77.610148800000005</v>
      </c>
      <c r="BL2" s="65">
        <f>'Empleo Población'!BL33-'Empleo Informales'!BL28</f>
        <v>94.032000000000011</v>
      </c>
      <c r="BM2" s="65">
        <f>'Empleo Población'!BM33-'Empleo Informales'!BM28</f>
        <v>72.204000000000008</v>
      </c>
      <c r="BN2" s="65">
        <f>'Empleo Población'!BN33-'Empleo Informales'!BN28</f>
        <v>94.311108712279236</v>
      </c>
      <c r="BO2" s="65">
        <f>'Empleo Población'!BO33-'Empleo Informales'!BO28</f>
        <v>107.93900000000001</v>
      </c>
      <c r="BP2" s="65">
        <f>'Empleo Población'!BP33-'Empleo Informales'!BP28</f>
        <v>99.330999999999989</v>
      </c>
      <c r="BQ2" s="65">
        <f>'Empleo Población'!BQ33-'Empleo Informales'!BQ28</f>
        <v>76.108999999999995</v>
      </c>
      <c r="BR2" s="65">
        <f>'Empleo Población'!BR33-'Empleo Informales'!BR28</f>
        <v>88.77000000000001</v>
      </c>
      <c r="BS2" s="65">
        <f>'Empleo Población'!BS33-'Empleo Informales'!BS28</f>
        <v>79.188999999999993</v>
      </c>
    </row>
    <row r="3" spans="1:71" x14ac:dyDescent="0.2">
      <c r="A3" s="22"/>
      <c r="B3" s="65"/>
      <c r="C3" s="57">
        <f t="shared" ref="C3:Q3" si="0">C2/B2-1</f>
        <v>0.1236256053426199</v>
      </c>
      <c r="D3" s="57">
        <f t="shared" si="0"/>
        <v>-6.9309347526156584E-2</v>
      </c>
      <c r="E3" s="57">
        <f t="shared" si="0"/>
        <v>2.822855933987567E-2</v>
      </c>
      <c r="F3" s="57">
        <f t="shared" si="0"/>
        <v>-4.8437411016498677E-2</v>
      </c>
      <c r="G3" s="57">
        <f t="shared" si="0"/>
        <v>-0.21264829612008718</v>
      </c>
      <c r="H3" s="57">
        <f t="shared" si="0"/>
        <v>6.063905689698168E-2</v>
      </c>
      <c r="I3" s="57">
        <f t="shared" si="0"/>
        <v>-3.7781808735407263E-2</v>
      </c>
      <c r="J3" s="57">
        <f t="shared" si="0"/>
        <v>0.20766460002440934</v>
      </c>
      <c r="K3" s="57">
        <f t="shared" si="0"/>
        <v>7.2733680433370029E-3</v>
      </c>
      <c r="L3" s="57">
        <f t="shared" si="0"/>
        <v>-5.3033848211985424E-2</v>
      </c>
      <c r="M3" s="57">
        <f t="shared" si="0"/>
        <v>6.5364173754440813E-3</v>
      </c>
      <c r="N3" s="57">
        <f t="shared" si="0"/>
        <v>-2.7647144866784878E-2</v>
      </c>
      <c r="O3" s="57">
        <f t="shared" si="0"/>
        <v>7.9540888254639786E-2</v>
      </c>
      <c r="P3" s="57">
        <f t="shared" si="0"/>
        <v>8.0347234307618143E-2</v>
      </c>
      <c r="Q3" s="57">
        <f t="shared" si="0"/>
        <v>-0.18358177760633621</v>
      </c>
      <c r="R3" s="61"/>
      <c r="S3" s="58"/>
      <c r="T3" s="57">
        <f t="shared" ref="T3:AW3" si="1">T2/S2-1</f>
        <v>4.9137262033917439E-2</v>
      </c>
      <c r="U3" s="57">
        <f t="shared" si="1"/>
        <v>0.15160775017068162</v>
      </c>
      <c r="V3" s="57">
        <f t="shared" si="1"/>
        <v>4.3817547726827888E-2</v>
      </c>
      <c r="W3" s="57">
        <f t="shared" si="1"/>
        <v>0.13486262227172929</v>
      </c>
      <c r="X3" s="57">
        <f t="shared" si="1"/>
        <v>-0.36631169946489028</v>
      </c>
      <c r="Y3" s="57">
        <f t="shared" si="1"/>
        <v>0.57995020653969331</v>
      </c>
      <c r="Z3" s="57">
        <f t="shared" si="1"/>
        <v>-0.1020220447447393</v>
      </c>
      <c r="AA3" s="57">
        <f t="shared" si="1"/>
        <v>0.21269619581341148</v>
      </c>
      <c r="AB3" s="57">
        <f t="shared" si="1"/>
        <v>5.8328757972823109E-3</v>
      </c>
      <c r="AC3" s="57">
        <f t="shared" si="1"/>
        <v>-8.3744300832434559E-2</v>
      </c>
      <c r="AD3" s="57">
        <f t="shared" si="1"/>
        <v>-0.10533577577574604</v>
      </c>
      <c r="AE3" s="57">
        <f t="shared" si="1"/>
        <v>4.273027348980718E-2</v>
      </c>
      <c r="AF3" s="57">
        <f t="shared" si="1"/>
        <v>-1.6425851514143885E-2</v>
      </c>
      <c r="AG3" s="57">
        <f t="shared" si="1"/>
        <v>0.16623872272990736</v>
      </c>
      <c r="AH3" s="57">
        <f t="shared" si="1"/>
        <v>-0.10577116960428101</v>
      </c>
      <c r="AI3" s="57">
        <f t="shared" si="1"/>
        <v>1.3278103238205219E-2</v>
      </c>
      <c r="AJ3" s="62">
        <f t="shared" si="1"/>
        <v>-0.29590398645604776</v>
      </c>
      <c r="AK3" s="57">
        <f t="shared" si="1"/>
        <v>4.2815037281175528E-2</v>
      </c>
      <c r="AL3" s="57">
        <f t="shared" si="1"/>
        <v>-0.20901775232090125</v>
      </c>
      <c r="AM3" s="57">
        <f t="shared" si="1"/>
        <v>0.12161538743712397</v>
      </c>
      <c r="AN3" s="57">
        <f t="shared" si="1"/>
        <v>-1.7256572283477767E-2</v>
      </c>
      <c r="AO3" s="57">
        <f t="shared" si="1"/>
        <v>-6.9992024388458862E-3</v>
      </c>
      <c r="AP3" s="57">
        <f t="shared" si="1"/>
        <v>-9.2305758655080283E-2</v>
      </c>
      <c r="AQ3" s="57">
        <f t="shared" si="1"/>
        <v>7.7082330486697881E-2</v>
      </c>
      <c r="AR3" s="57">
        <f t="shared" si="1"/>
        <v>-0.12639203917326691</v>
      </c>
      <c r="AS3" s="57">
        <f t="shared" si="1"/>
        <v>9.4652986553689811E-2</v>
      </c>
      <c r="AT3" s="57">
        <f t="shared" si="1"/>
        <v>-6.4539956328931058E-2</v>
      </c>
      <c r="AU3" s="57">
        <f t="shared" si="1"/>
        <v>6.7258912678149763E-3</v>
      </c>
      <c r="AV3" s="57">
        <f t="shared" si="1"/>
        <v>-6.2175570440670236E-2</v>
      </c>
      <c r="AW3" s="57">
        <f t="shared" si="1"/>
        <v>4.3579125305908573E-2</v>
      </c>
      <c r="AX3" s="57"/>
      <c r="AY3" s="57"/>
      <c r="AZ3" s="57"/>
      <c r="BA3" s="57"/>
      <c r="BB3" s="57">
        <f t="shared" ref="BB3:BP3" si="2">BB2/BA2-1</f>
        <v>0.1533896840261515</v>
      </c>
      <c r="BC3" s="57">
        <f t="shared" si="2"/>
        <v>-0.16511232351251581</v>
      </c>
      <c r="BD3" s="57">
        <f t="shared" si="2"/>
        <v>-6.3422288748626099E-2</v>
      </c>
      <c r="BE3" s="57">
        <f t="shared" si="2"/>
        <v>5.4861785124614482E-2</v>
      </c>
      <c r="BF3" s="57">
        <f t="shared" si="2"/>
        <v>0.19209092703714803</v>
      </c>
      <c r="BG3" s="57">
        <f t="shared" si="2"/>
        <v>-0.2210034758116699</v>
      </c>
      <c r="BH3" s="57">
        <f t="shared" si="2"/>
        <v>0.30112315873734063</v>
      </c>
      <c r="BI3" s="57">
        <f t="shared" si="2"/>
        <v>-6.0467002037705386E-2</v>
      </c>
      <c r="BJ3" s="57">
        <f t="shared" si="2"/>
        <v>-0.14437700385268937</v>
      </c>
      <c r="BK3" s="57">
        <f t="shared" si="2"/>
        <v>-1.5403912193521219E-2</v>
      </c>
      <c r="BL3" s="57">
        <f t="shared" si="2"/>
        <v>0.21159412079364559</v>
      </c>
      <c r="BM3" s="57">
        <f t="shared" si="2"/>
        <v>-0.23213374170495149</v>
      </c>
      <c r="BN3" s="57">
        <f t="shared" si="2"/>
        <v>0.30617567880282559</v>
      </c>
      <c r="BO3" s="57">
        <f t="shared" si="2"/>
        <v>0.14449932223038786</v>
      </c>
      <c r="BP3" s="57">
        <f t="shared" si="2"/>
        <v>-7.9748746977459706E-2</v>
      </c>
      <c r="BQ3" s="63">
        <f>BQ2/$BP2-1</f>
        <v>-0.23378401506075641</v>
      </c>
      <c r="BR3" s="63">
        <f>BR2/$BP2-1</f>
        <v>-0.10632128942626151</v>
      </c>
      <c r="BS3" s="63">
        <f>BS2/$BP2-1</f>
        <v>-0.2027765752886812</v>
      </c>
    </row>
    <row r="4" spans="1:71" x14ac:dyDescent="0.2">
      <c r="A4" s="22" t="s">
        <v>109</v>
      </c>
      <c r="B4" s="65">
        <f>'Empleo Población'!B35-'Empleo Informales'!B30</f>
        <v>836.21995627826982</v>
      </c>
      <c r="C4" s="65">
        <f>'Empleo Población'!C35-'Empleo Informales'!C30</f>
        <v>858.38341868457883</v>
      </c>
      <c r="D4" s="65">
        <f>'Empleo Población'!D35-'Empleo Informales'!D30</f>
        <v>889.20150484848728</v>
      </c>
      <c r="E4" s="65">
        <f>'Empleo Población'!E35-'Empleo Informales'!E30</f>
        <v>910.28701605862784</v>
      </c>
      <c r="F4" s="65">
        <f>'Empleo Población'!F35-'Empleo Informales'!F30</f>
        <v>944.75456508106743</v>
      </c>
      <c r="G4" s="65">
        <f>'Empleo Población'!G35-'Empleo Informales'!G30</f>
        <v>980.92495276184377</v>
      </c>
      <c r="H4" s="65">
        <f>'Empleo Población'!H35-'Empleo Informales'!H30</f>
        <v>1006.7285283421409</v>
      </c>
      <c r="I4" s="65">
        <f>'Empleo Población'!I35-'Empleo Informales'!I30</f>
        <v>976.71498359158841</v>
      </c>
      <c r="J4" s="65">
        <f>'Empleo Población'!J35-'Empleo Informales'!J30</f>
        <v>986.82580848900648</v>
      </c>
      <c r="K4" s="65">
        <f>'Empleo Población'!K35-'Empleo Informales'!K30</f>
        <v>1001.1587606325827</v>
      </c>
      <c r="L4" s="65">
        <f>'Empleo Población'!L35-'Empleo Informales'!L30</f>
        <v>1005.6943978606505</v>
      </c>
      <c r="M4" s="65">
        <f>'Empleo Población'!M35-'Empleo Informales'!M30</f>
        <v>1045.1425080997619</v>
      </c>
      <c r="N4" s="65">
        <f>'Empleo Población'!N35-'Empleo Informales'!N30</f>
        <v>1068.964762057014</v>
      </c>
      <c r="O4" s="65">
        <f>'Empleo Población'!O35-'Empleo Informales'!O30</f>
        <v>1035.5814631408684</v>
      </c>
      <c r="P4" s="65">
        <f>'Empleo Población'!P35-'Empleo Informales'!P30</f>
        <v>1052.2481168952895</v>
      </c>
      <c r="Q4" s="65">
        <f>'Empleo Población'!Q35-'Empleo Informales'!Q30</f>
        <v>1087.8442639991606</v>
      </c>
      <c r="R4" s="65"/>
      <c r="S4" s="65">
        <f>'Empleo Población'!S35-'Empleo Informales'!S30</f>
        <v>1130.0490478771435</v>
      </c>
      <c r="T4" s="65">
        <f>'Empleo Población'!T35-'Empleo Informales'!T30</f>
        <v>1136.1469744073195</v>
      </c>
      <c r="U4" s="65">
        <f>'Empleo Población'!U35-'Empleo Informales'!U30</f>
        <v>1103.9191669318297</v>
      </c>
      <c r="V4" s="65">
        <f>'Empleo Población'!V35-'Empleo Informales'!V30</f>
        <v>1105.0728336336169</v>
      </c>
      <c r="W4" s="65">
        <f>'Empleo Población'!W35-'Empleo Informales'!W30</f>
        <v>1214.5043630768496</v>
      </c>
      <c r="X4" s="65">
        <f>'Empleo Población'!X35-'Empleo Informales'!X30</f>
        <v>1164.992296168693</v>
      </c>
      <c r="Y4" s="65">
        <f>'Empleo Población'!Y35-'Empleo Informales'!Y30</f>
        <v>1036.3836502996073</v>
      </c>
      <c r="Z4" s="65">
        <f>'Empleo Población'!Z35-'Empleo Informales'!Z30</f>
        <v>1035.3061549436445</v>
      </c>
      <c r="AA4" s="65">
        <f>'Empleo Población'!AA35-'Empleo Informales'!AA30</f>
        <v>1093.4674517988806</v>
      </c>
      <c r="AB4" s="65">
        <f>'Empleo Población'!AB35-'Empleo Informales'!AB30</f>
        <v>1123.4567152627972</v>
      </c>
      <c r="AC4" s="65">
        <f>'Empleo Población'!AC35-'Empleo Informales'!AC30</f>
        <v>1070.3796602693119</v>
      </c>
      <c r="AD4" s="65">
        <f>'Empleo Población'!AD35-'Empleo Informales'!AD30</f>
        <v>1131.1744092681888</v>
      </c>
      <c r="AE4" s="65">
        <f>'Empleo Población'!AE35-'Empleo Informales'!AE30</f>
        <v>1218.3382316877121</v>
      </c>
      <c r="AF4" s="65">
        <f>'Empleo Población'!AF35-'Empleo Informales'!AF30</f>
        <v>1142.564342044602</v>
      </c>
      <c r="AG4" s="65">
        <f>'Empleo Población'!AG35-'Empleo Informales'!AG30</f>
        <v>1138.2473806212831</v>
      </c>
      <c r="AH4" s="65">
        <f>'Empleo Población'!AH35-'Empleo Informales'!AH30</f>
        <v>1276.8997020904999</v>
      </c>
      <c r="AI4" s="65">
        <f>'Empleo Población'!AI35-'Empleo Informales'!AI30</f>
        <v>1220.570637037199</v>
      </c>
      <c r="AJ4" s="65">
        <f>'Empleo Población'!AJ35-'Empleo Informales'!AJ30</f>
        <v>1154.6799456844678</v>
      </c>
      <c r="AK4" s="65">
        <f>'Empleo Población'!AK35-'Empleo Informales'!AK30</f>
        <v>1136.6661618911835</v>
      </c>
      <c r="AL4" s="65">
        <f>'Empleo Población'!AL35-'Empleo Informales'!AL30</f>
        <v>1167.5922137458344</v>
      </c>
      <c r="AM4" s="65">
        <f>'Empleo Población'!AM35-'Empleo Informales'!AM30</f>
        <v>1086.3074138299155</v>
      </c>
      <c r="AN4" s="65">
        <f>'Empleo Población'!AN35-'Empleo Informales'!AN30</f>
        <v>1141.4331662253408</v>
      </c>
      <c r="AO4" s="65">
        <f>'Empleo Población'!AO35-'Empleo Informales'!AO30</f>
        <v>1212.2969436881808</v>
      </c>
      <c r="AP4" s="65">
        <f>'Empleo Población'!AP35-'Empleo Informales'!AP30</f>
        <v>1158.0742115682042</v>
      </c>
      <c r="AQ4" s="65">
        <f>'Empleo Población'!AQ35-'Empleo Informales'!AQ30</f>
        <v>1122.8331684428836</v>
      </c>
      <c r="AR4" s="65">
        <f>'Empleo Población'!AR35-'Empleo Informales'!AR30</f>
        <v>1099.2635739914845</v>
      </c>
      <c r="AS4" s="65">
        <f>'Empleo Población'!AS35-'Empleo Informales'!AS30</f>
        <v>1149.6905368359378</v>
      </c>
      <c r="AT4" s="65">
        <f>'Empleo Población'!AT35-'Empleo Informales'!AT30</f>
        <v>1157.7434525959084</v>
      </c>
      <c r="AU4" s="65">
        <f>'Empleo Población'!AU35-'Empleo Informales'!AU30</f>
        <v>1169.3876891400771</v>
      </c>
      <c r="AV4" s="65">
        <f>'Empleo Población'!AV35-'Empleo Informales'!AV30</f>
        <v>1161.5271164145711</v>
      </c>
      <c r="AW4" s="65">
        <f>'Empleo Población'!AW35-'Empleo Informales'!AW30</f>
        <v>1161.5701959805656</v>
      </c>
      <c r="AX4" s="65"/>
      <c r="AY4" s="65"/>
      <c r="AZ4" s="65"/>
      <c r="BA4" s="65">
        <f>'Empleo Población'!BA35-'Empleo Informales'!BA30</f>
        <v>1111.403192898928</v>
      </c>
      <c r="BB4" s="65">
        <f>'Empleo Población'!BB35-'Empleo Informales'!BB30</f>
        <v>1145.1882927051633</v>
      </c>
      <c r="BC4" s="65">
        <f>'Empleo Población'!BC35-'Empleo Informales'!BC30</f>
        <v>1128.4562534762536</v>
      </c>
      <c r="BD4" s="65">
        <f>'Empleo Población'!BD35-'Empleo Informales'!BD30</f>
        <v>1059.6500332222649</v>
      </c>
      <c r="BE4" s="65">
        <f>'Empleo Población'!BE35-'Empleo Informales'!BE30</f>
        <v>1120.5523759151765</v>
      </c>
      <c r="BF4" s="65">
        <f>'Empleo Población'!BF35-'Empleo Informales'!BF30</f>
        <v>1098.8049618</v>
      </c>
      <c r="BG4" s="65">
        <f>'Empleo Población'!BG35-'Empleo Informales'!BG30</f>
        <v>1085.1641999999999</v>
      </c>
      <c r="BH4" s="66">
        <f>'Empleo Población'!BH35-'Empleo Informales'!BH30</f>
        <v>1084.921107719701</v>
      </c>
      <c r="BI4" s="65">
        <f>'Empleo Población'!BI35-'Empleo Informales'!BI30</f>
        <v>1069.4265356999999</v>
      </c>
      <c r="BJ4" s="65">
        <f>'Empleo Población'!BJ35-'Empleo Informales'!BJ30</f>
        <v>1041.4666324</v>
      </c>
      <c r="BK4" s="65">
        <f>'Empleo Población'!BK35-'Empleo Informales'!BK30</f>
        <v>1024.4136068</v>
      </c>
      <c r="BL4" s="65">
        <f>'Empleo Población'!BL35-'Empleo Informales'!BL30</f>
        <v>1058.463</v>
      </c>
      <c r="BM4" s="65">
        <f>'Empleo Población'!BM35-'Empleo Informales'!BM30</f>
        <v>1114.21</v>
      </c>
      <c r="BN4" s="65">
        <f>'Empleo Población'!BN35-'Empleo Informales'!BN30</f>
        <v>1127.4674681186798</v>
      </c>
      <c r="BO4" s="65">
        <f>'Empleo Población'!BO35-'Empleo Informales'!BO30</f>
        <v>1041.934</v>
      </c>
      <c r="BP4" s="65">
        <f>'Empleo Población'!BP35-'Empleo Informales'!BP30</f>
        <v>1036.2890000000002</v>
      </c>
      <c r="BQ4" s="65">
        <f>'Empleo Población'!BQ35-'Empleo Informales'!BQ30</f>
        <v>996.673</v>
      </c>
      <c r="BR4" s="65">
        <f>'Empleo Población'!BR35-'Empleo Informales'!BR30</f>
        <v>1043.4549999999999</v>
      </c>
      <c r="BS4" s="65">
        <f>'Empleo Población'!BS35-'Empleo Informales'!BS30</f>
        <v>1210.635</v>
      </c>
    </row>
    <row r="5" spans="1:71" x14ac:dyDescent="0.2">
      <c r="A5" s="22"/>
      <c r="B5" s="65"/>
      <c r="C5" s="57">
        <f t="shared" ref="C5:Q5" si="3">C4/B4-1</f>
        <v>2.6504345226285864E-2</v>
      </c>
      <c r="D5" s="57">
        <f t="shared" si="3"/>
        <v>3.5902471428368665E-2</v>
      </c>
      <c r="E5" s="57">
        <f t="shared" si="3"/>
        <v>2.3712860465450181E-2</v>
      </c>
      <c r="F5" s="57">
        <f t="shared" si="3"/>
        <v>3.786448495297412E-2</v>
      </c>
      <c r="G5" s="57">
        <f t="shared" si="3"/>
        <v>3.8285486006275793E-2</v>
      </c>
      <c r="H5" s="57">
        <f t="shared" si="3"/>
        <v>2.6305351400885302E-2</v>
      </c>
      <c r="I5" s="57">
        <f t="shared" si="3"/>
        <v>-2.9812947488413899E-2</v>
      </c>
      <c r="J5" s="57">
        <f t="shared" si="3"/>
        <v>1.0351868321133439E-2</v>
      </c>
      <c r="K5" s="57">
        <f t="shared" si="3"/>
        <v>1.4524298027351223E-2</v>
      </c>
      <c r="L5" s="57">
        <f t="shared" si="3"/>
        <v>4.5303875932742876E-3</v>
      </c>
      <c r="M5" s="57">
        <f t="shared" si="3"/>
        <v>3.9224748912817686E-2</v>
      </c>
      <c r="N5" s="57">
        <f t="shared" si="3"/>
        <v>2.2793306915211753E-2</v>
      </c>
      <c r="O5" s="57">
        <f t="shared" si="3"/>
        <v>-3.122955975827113E-2</v>
      </c>
      <c r="P5" s="57">
        <f t="shared" si="3"/>
        <v>1.6094005491245289E-2</v>
      </c>
      <c r="Q5" s="57">
        <f t="shared" si="3"/>
        <v>3.3828663156841188E-2</v>
      </c>
      <c r="R5" s="61"/>
      <c r="S5" s="58"/>
      <c r="T5" s="57">
        <f t="shared" ref="T5:AW5" si="4">T4/S4-1</f>
        <v>5.3961609379975517E-3</v>
      </c>
      <c r="U5" s="57">
        <f t="shared" si="4"/>
        <v>-2.836587888842601E-2</v>
      </c>
      <c r="V5" s="57">
        <f t="shared" si="4"/>
        <v>1.0450644724229186E-3</v>
      </c>
      <c r="W5" s="57">
        <f t="shared" si="4"/>
        <v>9.9026531204652102E-2</v>
      </c>
      <c r="X5" s="57">
        <f t="shared" si="4"/>
        <v>-4.0767302624357571E-2</v>
      </c>
      <c r="Y5" s="57">
        <f t="shared" si="4"/>
        <v>-0.11039441744983258</v>
      </c>
      <c r="Z5" s="57">
        <f t="shared" si="4"/>
        <v>-1.0396684236105846E-3</v>
      </c>
      <c r="AA5" s="57">
        <f t="shared" si="4"/>
        <v>5.6177872195111167E-2</v>
      </c>
      <c r="AB5" s="57">
        <f t="shared" si="4"/>
        <v>2.7425840078349584E-2</v>
      </c>
      <c r="AC5" s="57">
        <f t="shared" si="4"/>
        <v>-4.7244414735702178E-2</v>
      </c>
      <c r="AD5" s="57">
        <f t="shared" si="4"/>
        <v>5.6797369433926548E-2</v>
      </c>
      <c r="AE5" s="57">
        <f t="shared" si="4"/>
        <v>7.7056041672577846E-2</v>
      </c>
      <c r="AF5" s="57">
        <f t="shared" si="4"/>
        <v>-6.2194461006237822E-2</v>
      </c>
      <c r="AG5" s="57">
        <f t="shared" si="4"/>
        <v>-3.7783092509203753E-3</v>
      </c>
      <c r="AH5" s="57">
        <f t="shared" si="4"/>
        <v>0.12181211556448912</v>
      </c>
      <c r="AI5" s="57">
        <f t="shared" si="4"/>
        <v>-4.4113930766121023E-2</v>
      </c>
      <c r="AJ5" s="57">
        <f t="shared" si="4"/>
        <v>-5.3983513410312378E-2</v>
      </c>
      <c r="AK5" s="57">
        <f t="shared" si="4"/>
        <v>-1.5600672602489984E-2</v>
      </c>
      <c r="AL5" s="57">
        <f t="shared" si="4"/>
        <v>2.7207682335855132E-2</v>
      </c>
      <c r="AM5" s="57">
        <f t="shared" si="4"/>
        <v>-6.9617456299356006E-2</v>
      </c>
      <c r="AN5" s="57">
        <f t="shared" si="4"/>
        <v>5.0745996661361703E-2</v>
      </c>
      <c r="AO5" s="57">
        <f t="shared" si="4"/>
        <v>6.2083159627455808E-2</v>
      </c>
      <c r="AP5" s="57">
        <f t="shared" si="4"/>
        <v>-4.4727269504626799E-2</v>
      </c>
      <c r="AQ5" s="57">
        <f t="shared" si="4"/>
        <v>-3.0430729545042778E-2</v>
      </c>
      <c r="AR5" s="57">
        <f t="shared" si="4"/>
        <v>-2.0991181160140426E-2</v>
      </c>
      <c r="AS5" s="57">
        <f t="shared" si="4"/>
        <v>4.5873404738911105E-2</v>
      </c>
      <c r="AT5" s="57">
        <f t="shared" si="4"/>
        <v>7.004420321778948E-3</v>
      </c>
      <c r="AU5" s="57">
        <f t="shared" si="4"/>
        <v>1.0057700190884145E-2</v>
      </c>
      <c r="AV5" s="57">
        <f t="shared" si="4"/>
        <v>-6.7219561130205108E-3</v>
      </c>
      <c r="AW5" s="57">
        <f t="shared" si="4"/>
        <v>3.7088730332479614E-5</v>
      </c>
      <c r="AX5" s="57"/>
      <c r="AY5" s="57"/>
      <c r="AZ5" s="57"/>
      <c r="BA5" s="57"/>
      <c r="BB5" s="57">
        <f t="shared" ref="BB5:BP5" si="5">BB4/BA4-1</f>
        <v>3.0398598836226087E-2</v>
      </c>
      <c r="BC5" s="57">
        <f t="shared" si="5"/>
        <v>-1.4610731995334469E-2</v>
      </c>
      <c r="BD5" s="57">
        <f t="shared" si="5"/>
        <v>-6.0973759542763295E-2</v>
      </c>
      <c r="BE5" s="57">
        <f t="shared" si="5"/>
        <v>5.747401574434452E-2</v>
      </c>
      <c r="BF5" s="57">
        <f t="shared" si="5"/>
        <v>-1.9407762263156103E-2</v>
      </c>
      <c r="BG5" s="57">
        <f t="shared" si="5"/>
        <v>-1.2414179289520599E-2</v>
      </c>
      <c r="BH5" s="57">
        <f t="shared" si="5"/>
        <v>-2.2401428309093419E-4</v>
      </c>
      <c r="BI5" s="57">
        <f t="shared" si="5"/>
        <v>-1.4281749990345149E-2</v>
      </c>
      <c r="BJ5" s="57">
        <f t="shared" si="5"/>
        <v>-2.6144762979626868E-2</v>
      </c>
      <c r="BK5" s="57">
        <f t="shared" si="5"/>
        <v>-1.6374048932035645E-2</v>
      </c>
      <c r="BL5" s="57">
        <f t="shared" si="5"/>
        <v>3.3237935316343004E-2</v>
      </c>
      <c r="BM5" s="57">
        <f t="shared" si="5"/>
        <v>5.2667877856854783E-2</v>
      </c>
      <c r="BN5" s="57">
        <f t="shared" si="5"/>
        <v>1.1898536289101536E-2</v>
      </c>
      <c r="BO5" s="62">
        <f t="shared" si="5"/>
        <v>-7.5863357956929001E-2</v>
      </c>
      <c r="BP5" s="57">
        <f t="shared" si="5"/>
        <v>-5.4178095733508069E-3</v>
      </c>
      <c r="BQ5" s="63">
        <f>BQ4/$BP4-1</f>
        <v>-3.822871805065986E-2</v>
      </c>
      <c r="BR5" s="62">
        <f>BR4/$BP4-1</f>
        <v>6.9150594091027529E-3</v>
      </c>
      <c r="BS5" s="62">
        <f>BS4/$BP4-1</f>
        <v>0.16824071277413899</v>
      </c>
    </row>
    <row r="6" spans="1:71" x14ac:dyDescent="0.2">
      <c r="A6" s="22" t="s">
        <v>110</v>
      </c>
      <c r="B6" s="65">
        <f>'Empleo Población'!B37-'Empleo Informales'!B32</f>
        <v>367.97705536761032</v>
      </c>
      <c r="C6" s="65">
        <f>'Empleo Población'!C37-'Empleo Informales'!C32</f>
        <v>402.88276065840159</v>
      </c>
      <c r="D6" s="65">
        <f>'Empleo Población'!D37-'Empleo Informales'!D32</f>
        <v>435.09196157637774</v>
      </c>
      <c r="E6" s="65">
        <f>'Empleo Población'!E37-'Empleo Informales'!E32</f>
        <v>415.08895564799957</v>
      </c>
      <c r="F6" s="65">
        <f>'Empleo Población'!F37-'Empleo Informales'!F32</f>
        <v>448.97650644524344</v>
      </c>
      <c r="G6" s="65">
        <f>'Empleo Población'!G37-'Empleo Informales'!G32</f>
        <v>420.05928737595849</v>
      </c>
      <c r="H6" s="65">
        <f>'Empleo Población'!H37-'Empleo Informales'!H32</f>
        <v>414.98218021941562</v>
      </c>
      <c r="I6" s="65">
        <f>'Empleo Población'!I37-'Empleo Informales'!I32</f>
        <v>468.26394172845289</v>
      </c>
      <c r="J6" s="65">
        <f>'Empleo Población'!J37-'Empleo Informales'!J32</f>
        <v>481.08907467682701</v>
      </c>
      <c r="K6" s="65">
        <f>'Empleo Población'!K37-'Empleo Informales'!K32</f>
        <v>519.86841421167696</v>
      </c>
      <c r="L6" s="65">
        <f>'Empleo Población'!L37-'Empleo Informales'!L32</f>
        <v>486.15246928301156</v>
      </c>
      <c r="M6" s="65">
        <f>'Empleo Población'!M37-'Empleo Informales'!M32</f>
        <v>469.55873365887982</v>
      </c>
      <c r="N6" s="65">
        <f>'Empleo Población'!N37-'Empleo Informales'!N32</f>
        <v>518.09793354985595</v>
      </c>
      <c r="O6" s="65">
        <f>'Empleo Población'!O37-'Empleo Informales'!O32</f>
        <v>558.19616099550399</v>
      </c>
      <c r="P6" s="65">
        <f>'Empleo Población'!P37-'Empleo Informales'!P32</f>
        <v>566.40885898371243</v>
      </c>
      <c r="Q6" s="65">
        <f>'Empleo Población'!Q37-'Empleo Informales'!Q32</f>
        <v>585.03773945636044</v>
      </c>
      <c r="R6" s="65"/>
      <c r="S6" s="65">
        <f>'Empleo Población'!S37-'Empleo Informales'!S32</f>
        <v>602.63706372014474</v>
      </c>
      <c r="T6" s="65">
        <f>'Empleo Población'!T37-'Empleo Informales'!T32</f>
        <v>588.78861376916416</v>
      </c>
      <c r="U6" s="65">
        <f>'Empleo Población'!U37-'Empleo Informales'!U32</f>
        <v>544.12740683979177</v>
      </c>
      <c r="V6" s="65">
        <f>'Empleo Población'!V37-'Empleo Informales'!V32</f>
        <v>628.93625782217805</v>
      </c>
      <c r="W6" s="65">
        <f>'Empleo Población'!W37-'Empleo Informales'!W32</f>
        <v>589.18524317986248</v>
      </c>
      <c r="X6" s="65">
        <f>'Empleo Población'!X37-'Empleo Informales'!X32</f>
        <v>645.88473735763114</v>
      </c>
      <c r="Y6" s="65">
        <f>'Empleo Población'!Y37-'Empleo Informales'!Y32</f>
        <v>582.22138710654826</v>
      </c>
      <c r="Z6" s="65">
        <f>'Empleo Población'!Z37-'Empleo Informales'!Z32</f>
        <v>609.70595963422329</v>
      </c>
      <c r="AA6" s="65">
        <f>'Empleo Población'!AA37-'Empleo Informales'!AA32</f>
        <v>632.16451236533157</v>
      </c>
      <c r="AB6" s="65">
        <f>'Empleo Población'!AB37-'Empleo Informales'!AB32</f>
        <v>620.17368024313441</v>
      </c>
      <c r="AC6" s="65">
        <f>'Empleo Población'!AC37-'Empleo Informales'!AC32</f>
        <v>596.54384379884004</v>
      </c>
      <c r="AD6" s="65">
        <f>'Empleo Población'!AD37-'Empleo Informales'!AD32</f>
        <v>607.9579099018539</v>
      </c>
      <c r="AE6" s="65">
        <f>'Empleo Población'!AE37-'Empleo Informales'!AE32</f>
        <v>592.15394221660313</v>
      </c>
      <c r="AF6" s="65">
        <f>'Empleo Población'!AF37-'Empleo Informales'!AF32</f>
        <v>608.81520333521803</v>
      </c>
      <c r="AG6" s="65">
        <f>'Empleo Población'!AG37-'Empleo Informales'!AG32</f>
        <v>619.80878047047008</v>
      </c>
      <c r="AH6" s="65">
        <f>'Empleo Población'!AH37-'Empleo Informales'!AH32</f>
        <v>683.09986542847196</v>
      </c>
      <c r="AI6" s="65">
        <f>'Empleo Población'!AI37-'Empleo Informales'!AI32</f>
        <v>645.35601316460861</v>
      </c>
      <c r="AJ6" s="65">
        <f>'Empleo Población'!AJ37-'Empleo Informales'!AJ32</f>
        <v>634.74645434238289</v>
      </c>
      <c r="AK6" s="65">
        <f>'Empleo Población'!AK37-'Empleo Informales'!AK32</f>
        <v>659.23285393082881</v>
      </c>
      <c r="AL6" s="65">
        <f>'Empleo Población'!AL37-'Empleo Informales'!AL32</f>
        <v>637.97022440097828</v>
      </c>
      <c r="AM6" s="65">
        <f>'Empleo Población'!AM37-'Empleo Informales'!AM32</f>
        <v>655.94629743957125</v>
      </c>
      <c r="AN6" s="65">
        <f>'Empleo Población'!AN37-'Empleo Informales'!AN32</f>
        <v>659.18822895474273</v>
      </c>
      <c r="AO6" s="65">
        <f>'Empleo Población'!AO37-'Empleo Informales'!AO32</f>
        <v>635.25068236632069</v>
      </c>
      <c r="AP6" s="65">
        <f>'Empleo Población'!AP37-'Empleo Informales'!AP32</f>
        <v>623.05650485902538</v>
      </c>
      <c r="AQ6" s="65">
        <f>'Empleo Población'!AQ37-'Empleo Informales'!AQ32</f>
        <v>623.76315476606669</v>
      </c>
      <c r="AR6" s="65">
        <f>'Empleo Población'!AR37-'Empleo Informales'!AR32</f>
        <v>646.12860505113645</v>
      </c>
      <c r="AS6" s="65">
        <f>'Empleo Población'!AS37-'Empleo Informales'!AS32</f>
        <v>606.11495497129863</v>
      </c>
      <c r="AT6" s="65">
        <f>'Empleo Población'!AT37-'Empleo Informales'!AT32</f>
        <v>609.19307292618896</v>
      </c>
      <c r="AU6" s="65">
        <f>'Empleo Población'!AU37-'Empleo Informales'!AU32</f>
        <v>637.47399356635549</v>
      </c>
      <c r="AV6" s="65">
        <f>'Empleo Población'!AV37-'Empleo Informales'!AV32</f>
        <v>575.68431226776818</v>
      </c>
      <c r="AW6" s="65">
        <f>'Empleo Población'!AW37-'Empleo Informales'!AW32</f>
        <v>642.40069862175551</v>
      </c>
      <c r="AX6" s="65"/>
      <c r="AY6" s="65"/>
      <c r="AZ6" s="65"/>
      <c r="BA6" s="65">
        <f>'Empleo Población'!BA37-'Empleo Informales'!BA32</f>
        <v>624.39411140404923</v>
      </c>
      <c r="BB6" s="65">
        <f>'Empleo Población'!BB37-'Empleo Informales'!BB32</f>
        <v>694.61177321619039</v>
      </c>
      <c r="BC6" s="65">
        <f>'Empleo Población'!BC37-'Empleo Informales'!BC32</f>
        <v>650.02126649697504</v>
      </c>
      <c r="BD6" s="65">
        <f>'Empleo Población'!BD37-'Empleo Informales'!BD32</f>
        <v>642.78990878233776</v>
      </c>
      <c r="BE6" s="65">
        <f>'Empleo Población'!BE37-'Empleo Informales'!BE32</f>
        <v>644.02007488780612</v>
      </c>
      <c r="BF6" s="65">
        <f>'Empleo Población'!BF37-'Empleo Informales'!BF32</f>
        <v>654.28419419999989</v>
      </c>
      <c r="BG6" s="65">
        <f>'Empleo Población'!BG37-'Empleo Informales'!BG32</f>
        <v>701.17432000000008</v>
      </c>
      <c r="BH6" s="66">
        <f>'Empleo Población'!BH37-'Empleo Informales'!BH32</f>
        <v>645.63181676687464</v>
      </c>
      <c r="BI6" s="65">
        <f>'Empleo Población'!BI37-'Empleo Informales'!BI32</f>
        <v>705.04855629999997</v>
      </c>
      <c r="BJ6" s="65">
        <f>'Empleo Población'!BJ37-'Empleo Informales'!BJ32</f>
        <v>670.96202679999988</v>
      </c>
      <c r="BK6" s="65">
        <f>'Empleo Población'!BK37-'Empleo Informales'!BK32</f>
        <v>654.48062279999999</v>
      </c>
      <c r="BL6" s="65">
        <f>'Empleo Población'!BL37-'Empleo Informales'!BL32</f>
        <v>644.86</v>
      </c>
      <c r="BM6" s="65">
        <f>'Empleo Población'!BM37-'Empleo Informales'!BM32</f>
        <v>693.33900000000006</v>
      </c>
      <c r="BN6" s="65">
        <f>'Empleo Población'!BN37-'Empleo Informales'!BN32</f>
        <v>688.20909574857205</v>
      </c>
      <c r="BO6" s="65">
        <f>'Empleo Población'!BO37-'Empleo Informales'!BO32</f>
        <v>658.40699999999993</v>
      </c>
      <c r="BP6" s="65">
        <f>'Empleo Población'!BP37-'Empleo Informales'!BP32</f>
        <v>613.87300000000005</v>
      </c>
      <c r="BQ6" s="65">
        <f>'Empleo Población'!BQ37-'Empleo Informales'!BQ32</f>
        <v>455.08900000000006</v>
      </c>
      <c r="BR6" s="65">
        <f>'Empleo Población'!BR37-'Empleo Informales'!BR32</f>
        <v>616.01900000000001</v>
      </c>
      <c r="BS6" s="65">
        <f>'Empleo Población'!BS37-'Empleo Informales'!BS32</f>
        <v>691.24099999999999</v>
      </c>
    </row>
    <row r="7" spans="1:71" x14ac:dyDescent="0.2">
      <c r="A7" s="22"/>
      <c r="B7" s="65"/>
      <c r="C7" s="57">
        <f t="shared" ref="C7:Q7" si="6">C6/B6-1</f>
        <v>9.4858374405763835E-2</v>
      </c>
      <c r="D7" s="57">
        <f t="shared" si="6"/>
        <v>7.9946833330220013E-2</v>
      </c>
      <c r="E7" s="57">
        <f t="shared" si="6"/>
        <v>-4.5974202455741686E-2</v>
      </c>
      <c r="F7" s="57">
        <f t="shared" si="6"/>
        <v>8.1639249457605256E-2</v>
      </c>
      <c r="G7" s="57">
        <f t="shared" si="6"/>
        <v>-6.4406975986864179E-2</v>
      </c>
      <c r="H7" s="57">
        <f t="shared" si="6"/>
        <v>-1.2086644216959708E-2</v>
      </c>
      <c r="I7" s="57">
        <f t="shared" si="6"/>
        <v>0.12839529996412224</v>
      </c>
      <c r="J7" s="57">
        <f t="shared" si="6"/>
        <v>2.7388683615129583E-2</v>
      </c>
      <c r="K7" s="57">
        <f t="shared" si="6"/>
        <v>8.0607400117951311E-2</v>
      </c>
      <c r="L7" s="57">
        <f t="shared" si="6"/>
        <v>-6.4854767104464139E-2</v>
      </c>
      <c r="M7" s="57">
        <f t="shared" si="6"/>
        <v>-3.4132780706852217E-2</v>
      </c>
      <c r="N7" s="57">
        <f t="shared" si="6"/>
        <v>0.10337194564085861</v>
      </c>
      <c r="O7" s="57">
        <f t="shared" si="6"/>
        <v>7.7395073110804846E-2</v>
      </c>
      <c r="P7" s="57">
        <f t="shared" si="6"/>
        <v>1.4712924527394922E-2</v>
      </c>
      <c r="Q7" s="57">
        <f t="shared" si="6"/>
        <v>3.2889458166443841E-2</v>
      </c>
      <c r="R7" s="61"/>
      <c r="S7" s="58"/>
      <c r="T7" s="57">
        <f t="shared" ref="T7:AW7" si="7">T6/S6-1</f>
        <v>-2.2979751470134535E-2</v>
      </c>
      <c r="U7" s="57">
        <f t="shared" si="7"/>
        <v>-7.5852701436379899E-2</v>
      </c>
      <c r="V7" s="57">
        <f t="shared" si="7"/>
        <v>0.15586211963654439</v>
      </c>
      <c r="W7" s="57">
        <f t="shared" si="7"/>
        <v>-6.3203566574396075E-2</v>
      </c>
      <c r="X7" s="57">
        <f t="shared" si="7"/>
        <v>9.6233730959992547E-2</v>
      </c>
      <c r="Y7" s="57">
        <f t="shared" si="7"/>
        <v>-9.85676647377286E-2</v>
      </c>
      <c r="Z7" s="57">
        <f t="shared" si="7"/>
        <v>4.7206394571426502E-2</v>
      </c>
      <c r="AA7" s="57">
        <f t="shared" si="7"/>
        <v>3.6835055285635798E-2</v>
      </c>
      <c r="AB7" s="57">
        <f t="shared" si="7"/>
        <v>-1.896789820948952E-2</v>
      </c>
      <c r="AC7" s="57">
        <f t="shared" si="7"/>
        <v>-3.8101965944492333E-2</v>
      </c>
      <c r="AD7" s="57">
        <f t="shared" si="7"/>
        <v>1.9133658358333028E-2</v>
      </c>
      <c r="AE7" s="57">
        <f t="shared" si="7"/>
        <v>-2.5995167474343939E-2</v>
      </c>
      <c r="AF7" s="57">
        <f t="shared" si="7"/>
        <v>2.8136705560461106E-2</v>
      </c>
      <c r="AG7" s="57">
        <f t="shared" si="7"/>
        <v>1.8057330163614438E-2</v>
      </c>
      <c r="AH7" s="57">
        <f t="shared" si="7"/>
        <v>0.10211388891580464</v>
      </c>
      <c r="AI7" s="57">
        <f t="shared" si="7"/>
        <v>-5.5253783779021348E-2</v>
      </c>
      <c r="AJ7" s="57">
        <f t="shared" si="7"/>
        <v>-1.6439854290967282E-2</v>
      </c>
      <c r="AK7" s="57">
        <f t="shared" si="7"/>
        <v>3.8576662257711281E-2</v>
      </c>
      <c r="AL7" s="57">
        <f t="shared" si="7"/>
        <v>-3.2253595073526986E-2</v>
      </c>
      <c r="AM7" s="57">
        <f t="shared" si="7"/>
        <v>2.817697809560249E-2</v>
      </c>
      <c r="AN7" s="57">
        <f t="shared" si="7"/>
        <v>4.9423733738966913E-3</v>
      </c>
      <c r="AO7" s="57">
        <f t="shared" si="7"/>
        <v>-3.6313674208623525E-2</v>
      </c>
      <c r="AP7" s="57">
        <f t="shared" si="7"/>
        <v>-1.9195851095935468E-2</v>
      </c>
      <c r="AQ7" s="57">
        <f t="shared" si="7"/>
        <v>1.1341666470543466E-3</v>
      </c>
      <c r="AR7" s="57">
        <f t="shared" si="7"/>
        <v>3.5855677133506791E-2</v>
      </c>
      <c r="AS7" s="57">
        <f t="shared" si="7"/>
        <v>-6.1928306171603498E-2</v>
      </c>
      <c r="AT7" s="57">
        <f t="shared" si="7"/>
        <v>5.0784392129643585E-3</v>
      </c>
      <c r="AU7" s="57">
        <f t="shared" si="7"/>
        <v>4.6423575541203022E-2</v>
      </c>
      <c r="AV7" s="62">
        <f t="shared" si="7"/>
        <v>-9.6928944430978659E-2</v>
      </c>
      <c r="AW7" s="57">
        <f t="shared" si="7"/>
        <v>0.11589057567188932</v>
      </c>
      <c r="AX7" s="57"/>
      <c r="AY7" s="57"/>
      <c r="AZ7" s="57"/>
      <c r="BA7" s="57"/>
      <c r="BB7" s="57">
        <f t="shared" ref="BB7:BP7" si="8">BB6/BA6-1</f>
        <v>0.11245727743050882</v>
      </c>
      <c r="BC7" s="57">
        <f t="shared" si="8"/>
        <v>-6.4194861703469885E-2</v>
      </c>
      <c r="BD7" s="57">
        <f t="shared" si="8"/>
        <v>-1.1124801737038115E-2</v>
      </c>
      <c r="BE7" s="57">
        <f t="shared" si="8"/>
        <v>1.9137918761025219E-3</v>
      </c>
      <c r="BF7" s="57">
        <f t="shared" si="8"/>
        <v>1.593757665703488E-2</v>
      </c>
      <c r="BG7" s="57">
        <f t="shared" si="8"/>
        <v>7.1666297635897047E-2</v>
      </c>
      <c r="BH7" s="57">
        <f t="shared" si="8"/>
        <v>-7.9213544547845682E-2</v>
      </c>
      <c r="BI7" s="57">
        <f t="shared" si="8"/>
        <v>9.2028828180535038E-2</v>
      </c>
      <c r="BJ7" s="57">
        <f t="shared" si="8"/>
        <v>-4.8346357418107E-2</v>
      </c>
      <c r="BK7" s="57">
        <f t="shared" si="8"/>
        <v>-2.4563840190188091E-2</v>
      </c>
      <c r="BL7" s="57">
        <f t="shared" si="8"/>
        <v>-1.4699629698494365E-2</v>
      </c>
      <c r="BM7" s="57">
        <f t="shared" si="8"/>
        <v>7.5177557919548388E-2</v>
      </c>
      <c r="BN7" s="57">
        <f t="shared" si="8"/>
        <v>-7.3988398913489295E-3</v>
      </c>
      <c r="BO7" s="57">
        <f t="shared" si="8"/>
        <v>-4.3303838808111172E-2</v>
      </c>
      <c r="BP7" s="57">
        <f t="shared" si="8"/>
        <v>-6.7639013558482675E-2</v>
      </c>
      <c r="BQ7" s="63">
        <f>BQ6/$BP6-1</f>
        <v>-0.25865936439621873</v>
      </c>
      <c r="BR7" s="62">
        <f>BR6/$BP6-1</f>
        <v>3.4958370868241051E-3</v>
      </c>
      <c r="BS7" s="62">
        <f>BS6/$BP6-1</f>
        <v>0.12603258328677103</v>
      </c>
    </row>
    <row r="8" spans="1:71" x14ac:dyDescent="0.2">
      <c r="A8" s="22" t="s">
        <v>111</v>
      </c>
      <c r="B8" s="65">
        <f>'Empleo Población'!B39-'Empleo Informales'!B34</f>
        <v>1326.143005335236</v>
      </c>
      <c r="C8" s="65">
        <f>'Empleo Población'!C39-'Empleo Informales'!C34</f>
        <v>1401.27454143962</v>
      </c>
      <c r="D8" s="65">
        <f>'Empleo Población'!D39-'Empleo Informales'!D34</f>
        <v>1424.6741352908405</v>
      </c>
      <c r="E8" s="65">
        <f>'Empleo Población'!E39-'Empleo Informales'!E34</f>
        <v>1377.982350244451</v>
      </c>
      <c r="F8" s="65">
        <f>'Empleo Población'!F39-'Empleo Informales'!F34</f>
        <v>1411.2833438994667</v>
      </c>
      <c r="G8" s="65">
        <f>'Empleo Población'!G39-'Empleo Informales'!G34</f>
        <v>1472.1893306143143</v>
      </c>
      <c r="H8" s="65">
        <f>'Empleo Población'!H39-'Empleo Informales'!H34</f>
        <v>1399.3199067532623</v>
      </c>
      <c r="I8" s="65">
        <f>'Empleo Población'!I39-'Empleo Informales'!I34</f>
        <v>1354.5604024817835</v>
      </c>
      <c r="J8" s="65">
        <f>'Empleo Población'!J39-'Empleo Informales'!J34</f>
        <v>1525.9087083926174</v>
      </c>
      <c r="K8" s="65">
        <f>'Empleo Población'!K39-'Empleo Informales'!K34</f>
        <v>1494.8865139393251</v>
      </c>
      <c r="L8" s="65">
        <f>'Empleo Población'!L39-'Empleo Informales'!L34</f>
        <v>1451.4638627628785</v>
      </c>
      <c r="M8" s="65">
        <f>'Empleo Población'!M39-'Empleo Informales'!M34</f>
        <v>1554.0873501145884</v>
      </c>
      <c r="N8" s="65">
        <f>'Empleo Población'!N39-'Empleo Informales'!N34</f>
        <v>1555.5291377851568</v>
      </c>
      <c r="O8" s="65">
        <f>'Empleo Población'!O39-'Empleo Informales'!O34</f>
        <v>1574.5970118933596</v>
      </c>
      <c r="P8" s="65">
        <f>'Empleo Población'!P39-'Empleo Informales'!P34</f>
        <v>1533.4423524996862</v>
      </c>
      <c r="Q8" s="65">
        <f>'Empleo Población'!Q39-'Empleo Informales'!Q34</f>
        <v>1496.8850107957878</v>
      </c>
      <c r="R8" s="65"/>
      <c r="S8" s="65">
        <f>'Empleo Población'!S39-'Empleo Informales'!S34</f>
        <v>1492.5517664800952</v>
      </c>
      <c r="T8" s="65">
        <f>'Empleo Población'!T39-'Empleo Informales'!T34</f>
        <v>1512.1142187751298</v>
      </c>
      <c r="U8" s="65">
        <f>'Empleo Población'!U39-'Empleo Informales'!U34</f>
        <v>1612.1019195124002</v>
      </c>
      <c r="V8" s="65">
        <f>'Empleo Población'!V39-'Empleo Informales'!V34</f>
        <v>1633.1313835295832</v>
      </c>
      <c r="W8" s="65">
        <f>'Empleo Población'!W39-'Empleo Informales'!W34</f>
        <v>1624.5813198305495</v>
      </c>
      <c r="X8" s="65">
        <f>'Empleo Población'!X39-'Empleo Informales'!X34</f>
        <v>1570.5782911814954</v>
      </c>
      <c r="Y8" s="65">
        <f>'Empleo Población'!Y39-'Empleo Informales'!Y34</f>
        <v>1580.5629402956845</v>
      </c>
      <c r="Z8" s="65">
        <f>'Empleo Población'!Z39-'Empleo Informales'!Z34</f>
        <v>1591.2627374577032</v>
      </c>
      <c r="AA8" s="65">
        <f>'Empleo Población'!AA39-'Empleo Informales'!AA34</f>
        <v>1583.1931637059188</v>
      </c>
      <c r="AB8" s="65">
        <f>'Empleo Población'!AB39-'Empleo Informales'!AB34</f>
        <v>1596.9526409251221</v>
      </c>
      <c r="AC8" s="65">
        <f>'Empleo Población'!AC39-'Empleo Informales'!AC34</f>
        <v>1575.448287812032</v>
      </c>
      <c r="AD8" s="65">
        <f>'Empleo Población'!AD39-'Empleo Informales'!AD34</f>
        <v>1644.1023627440588</v>
      </c>
      <c r="AE8" s="65">
        <f>'Empleo Población'!AE39-'Empleo Informales'!AE34</f>
        <v>1607.5327559699708</v>
      </c>
      <c r="AF8" s="65">
        <f>'Empleo Población'!AF39-'Empleo Informales'!AF34</f>
        <v>1672.030508817483</v>
      </c>
      <c r="AG8" s="65">
        <f>'Empleo Población'!AG39-'Empleo Informales'!AG34</f>
        <v>1677.02013550165</v>
      </c>
      <c r="AH8" s="65">
        <f>'Empleo Población'!AH39-'Empleo Informales'!AH34</f>
        <v>1640.8134491914207</v>
      </c>
      <c r="AI8" s="65">
        <f>'Empleo Población'!AI39-'Empleo Informales'!AI34</f>
        <v>1669.3542283319418</v>
      </c>
      <c r="AJ8" s="65">
        <f>'Empleo Población'!AJ39-'Empleo Informales'!AJ34</f>
        <v>1627.0827923733523</v>
      </c>
      <c r="AK8" s="65">
        <f>'Empleo Población'!AK39-'Empleo Informales'!AK34</f>
        <v>1613.5113281158042</v>
      </c>
      <c r="AL8" s="65">
        <f>'Empleo Población'!AL39-'Empleo Informales'!AL34</f>
        <v>1579.2150104028401</v>
      </c>
      <c r="AM8" s="65">
        <f>'Empleo Población'!AM39-'Empleo Informales'!AM34</f>
        <v>1657.7158292119025</v>
      </c>
      <c r="AN8" s="65">
        <f>'Empleo Población'!AN39-'Empleo Informales'!AN34</f>
        <v>1625.7230794387247</v>
      </c>
      <c r="AO8" s="65">
        <f>'Empleo Población'!AO39-'Empleo Informales'!AO34</f>
        <v>1609.6236411173745</v>
      </c>
      <c r="AP8" s="65">
        <f>'Empleo Población'!AP39-'Empleo Informales'!AP34</f>
        <v>1568.5957978391352</v>
      </c>
      <c r="AQ8" s="65">
        <f>'Empleo Población'!AQ39-'Empleo Informales'!AQ34</f>
        <v>1591.7688383484397</v>
      </c>
      <c r="AR8" s="65">
        <f>'Empleo Población'!AR39-'Empleo Informales'!AR34</f>
        <v>1561.2253593118</v>
      </c>
      <c r="AS8" s="65">
        <f>'Empleo Población'!AS39-'Empleo Informales'!AS34</f>
        <v>1480.0363449927374</v>
      </c>
      <c r="AT8" s="65">
        <f>'Empleo Población'!AT39-'Empleo Informales'!AT34</f>
        <v>1437.0635174000884</v>
      </c>
      <c r="AU8" s="65">
        <f>'Empleo Población'!AU39-'Empleo Informales'!AU34</f>
        <v>1482.066543756127</v>
      </c>
      <c r="AV8" s="65">
        <f>'Empleo Población'!AV39-'Empleo Informales'!AV34</f>
        <v>1503.4578010087325</v>
      </c>
      <c r="AW8" s="65">
        <f>'Empleo Población'!AW39-'Empleo Informales'!AW34</f>
        <v>1502.4297833501296</v>
      </c>
      <c r="AX8" s="65"/>
      <c r="AY8" s="65"/>
      <c r="AZ8" s="65"/>
      <c r="BA8" s="65">
        <f>'Empleo Población'!BA39-'Empleo Informales'!BA34</f>
        <v>1617.3676130365129</v>
      </c>
      <c r="BB8" s="65">
        <f>'Empleo Población'!BB39-'Empleo Informales'!BB34</f>
        <v>1630.5649728414678</v>
      </c>
      <c r="BC8" s="65">
        <f>'Empleo Población'!BC39-'Empleo Informales'!BC34</f>
        <v>1582.8964367248334</v>
      </c>
      <c r="BD8" s="65">
        <f>'Empleo Población'!BD39-'Empleo Informales'!BD34</f>
        <v>1589.5099531670132</v>
      </c>
      <c r="BE8" s="65">
        <f>'Empleo Población'!BE39-'Empleo Informales'!BE34</f>
        <v>1644.3351153584126</v>
      </c>
      <c r="BF8" s="65">
        <f>'Empleo Población'!BF39-'Empleo Informales'!BF34</f>
        <v>1642.9993671000002</v>
      </c>
      <c r="BG8" s="65">
        <f>'Empleo Población'!BG39-'Empleo Informales'!BG34</f>
        <v>1633.5790499999998</v>
      </c>
      <c r="BH8" s="66">
        <f>'Empleo Población'!BH39-'Empleo Informales'!BH34</f>
        <v>1671.9522943744039</v>
      </c>
      <c r="BI8" s="65">
        <f>'Empleo Población'!BI39-'Empleo Informales'!BI34</f>
        <v>1703.9436759999999</v>
      </c>
      <c r="BJ8" s="65">
        <f>'Empleo Población'!BJ39-'Empleo Informales'!BJ34</f>
        <v>1731.0624720000001</v>
      </c>
      <c r="BK8" s="65">
        <f>'Empleo Población'!BK39-'Empleo Informales'!BK34</f>
        <v>1677.6838695999998</v>
      </c>
      <c r="BL8" s="65">
        <f>'Empleo Población'!BL39-'Empleo Informales'!BL34</f>
        <v>1713.7089999999998</v>
      </c>
      <c r="BM8" s="65">
        <f>'Empleo Población'!BM39-'Empleo Informales'!BM34</f>
        <v>1738.3220000000001</v>
      </c>
      <c r="BN8" s="65">
        <f>'Empleo Población'!BN39-'Empleo Informales'!BN34</f>
        <v>1732.8793576183725</v>
      </c>
      <c r="BO8" s="65">
        <f>'Empleo Población'!BO39-'Empleo Informales'!BO34</f>
        <v>1731.9859999999999</v>
      </c>
      <c r="BP8" s="65">
        <f>'Empleo Población'!BP39-'Empleo Informales'!BP34</f>
        <v>1700.7279999999998</v>
      </c>
      <c r="BQ8" s="65">
        <f>'Empleo Población'!BQ39-'Empleo Informales'!BQ34</f>
        <v>1319.5319999999999</v>
      </c>
      <c r="BR8" s="65">
        <f>'Empleo Población'!BR39-'Empleo Informales'!BR34</f>
        <v>1544.7670000000001</v>
      </c>
      <c r="BS8" s="65">
        <f>'Empleo Población'!BS39-'Empleo Informales'!BS34</f>
        <v>1544.3330000000001</v>
      </c>
    </row>
    <row r="9" spans="1:71" x14ac:dyDescent="0.2">
      <c r="A9" s="22"/>
      <c r="B9" s="65"/>
      <c r="C9" s="57">
        <f t="shared" ref="C9:Q9" si="9">C8/B8-1</f>
        <v>5.6654173646522699E-2</v>
      </c>
      <c r="D9" s="57">
        <f t="shared" si="9"/>
        <v>1.6698793248024479E-2</v>
      </c>
      <c r="E9" s="57">
        <f t="shared" si="9"/>
        <v>-3.2773659526609933E-2</v>
      </c>
      <c r="F9" s="57">
        <f t="shared" si="9"/>
        <v>2.4166487799432312E-2</v>
      </c>
      <c r="G9" s="57">
        <f t="shared" si="9"/>
        <v>4.315645541919344E-2</v>
      </c>
      <c r="H9" s="57">
        <f t="shared" si="9"/>
        <v>-4.9497318276749747E-2</v>
      </c>
      <c r="I9" s="57">
        <f t="shared" si="9"/>
        <v>-3.1986612964958749E-2</v>
      </c>
      <c r="J9" s="57">
        <f t="shared" si="9"/>
        <v>0.12649735338261392</v>
      </c>
      <c r="K9" s="57">
        <f t="shared" si="9"/>
        <v>-2.0330308282971221E-2</v>
      </c>
      <c r="L9" s="57">
        <f t="shared" si="9"/>
        <v>-2.9047456627339097E-2</v>
      </c>
      <c r="M9" s="57">
        <f t="shared" si="9"/>
        <v>7.0703439461706541E-2</v>
      </c>
      <c r="N9" s="57">
        <f t="shared" si="9"/>
        <v>9.2773914571919747E-4</v>
      </c>
      <c r="O9" s="57">
        <f t="shared" si="9"/>
        <v>1.2258127247524842E-2</v>
      </c>
      <c r="P9" s="57">
        <f t="shared" si="9"/>
        <v>-2.6136629933132816E-2</v>
      </c>
      <c r="Q9" s="57">
        <f t="shared" si="9"/>
        <v>-2.3840049574935573E-2</v>
      </c>
      <c r="R9" s="61"/>
      <c r="S9" s="58"/>
      <c r="T9" s="57">
        <f t="shared" ref="T9:AW9" si="10">T8/S8-1</f>
        <v>1.3106716118241435E-2</v>
      </c>
      <c r="U9" s="57">
        <f t="shared" si="10"/>
        <v>6.6124436564232836E-2</v>
      </c>
      <c r="V9" s="57">
        <f t="shared" si="10"/>
        <v>1.3044748450857124E-2</v>
      </c>
      <c r="W9" s="57">
        <f t="shared" si="10"/>
        <v>-5.2353801936957378E-3</v>
      </c>
      <c r="X9" s="57">
        <f t="shared" si="10"/>
        <v>-3.3241197587257076E-2</v>
      </c>
      <c r="Y9" s="57">
        <f t="shared" si="10"/>
        <v>6.3573074772846905E-3</v>
      </c>
      <c r="Z9" s="57">
        <f t="shared" si="10"/>
        <v>6.7696115663808953E-3</v>
      </c>
      <c r="AA9" s="57">
        <f t="shared" si="10"/>
        <v>-5.0711762186280707E-3</v>
      </c>
      <c r="AB9" s="57">
        <f t="shared" si="10"/>
        <v>8.6909655338551772E-3</v>
      </c>
      <c r="AC9" s="57">
        <f t="shared" si="10"/>
        <v>-1.3465867779668406E-2</v>
      </c>
      <c r="AD9" s="57">
        <f t="shared" si="10"/>
        <v>4.3577485508821789E-2</v>
      </c>
      <c r="AE9" s="57">
        <f t="shared" si="10"/>
        <v>-2.2242901417070082E-2</v>
      </c>
      <c r="AF9" s="57">
        <f t="shared" si="10"/>
        <v>4.0122201310041072E-2</v>
      </c>
      <c r="AG9" s="57">
        <f t="shared" si="10"/>
        <v>2.9841720338559252E-3</v>
      </c>
      <c r="AH9" s="57">
        <f t="shared" si="10"/>
        <v>-2.1589893611741684E-2</v>
      </c>
      <c r="AI9" s="57">
        <f t="shared" si="10"/>
        <v>1.7394286446509755E-2</v>
      </c>
      <c r="AJ9" s="57">
        <f t="shared" si="10"/>
        <v>-2.5322028866712198E-2</v>
      </c>
      <c r="AK9" s="57">
        <f t="shared" si="10"/>
        <v>-8.340979525542136E-3</v>
      </c>
      <c r="AL9" s="57">
        <f t="shared" si="10"/>
        <v>-2.1255703083915778E-2</v>
      </c>
      <c r="AM9" s="57">
        <f t="shared" si="10"/>
        <v>4.9708759283536574E-2</v>
      </c>
      <c r="AN9" s="57">
        <f t="shared" si="10"/>
        <v>-1.9299296785015074E-2</v>
      </c>
      <c r="AO9" s="57">
        <f t="shared" si="10"/>
        <v>-9.9029401285909424E-3</v>
      </c>
      <c r="AP9" s="57">
        <f t="shared" si="10"/>
        <v>-2.5489090884474375E-2</v>
      </c>
      <c r="AQ9" s="57">
        <f t="shared" si="10"/>
        <v>1.4773111429488228E-2</v>
      </c>
      <c r="AR9" s="57">
        <f t="shared" si="10"/>
        <v>-1.918838860316574E-2</v>
      </c>
      <c r="AS9" s="62">
        <f t="shared" si="10"/>
        <v>-5.2003391973373669E-2</v>
      </c>
      <c r="AT9" s="57">
        <f t="shared" si="10"/>
        <v>-2.9034981294908668E-2</v>
      </c>
      <c r="AU9" s="57">
        <f t="shared" si="10"/>
        <v>3.1315961898091604E-2</v>
      </c>
      <c r="AV9" s="57">
        <f t="shared" si="10"/>
        <v>1.4433398650503193E-2</v>
      </c>
      <c r="AW9" s="57">
        <f t="shared" si="10"/>
        <v>-6.83768881250435E-4</v>
      </c>
      <c r="AX9" s="57"/>
      <c r="AY9" s="57"/>
      <c r="AZ9" s="57"/>
      <c r="BA9" s="57"/>
      <c r="BB9" s="57">
        <f t="shared" ref="BB9:BP9" si="11">BB8/BA8-1</f>
        <v>8.1597774671509082E-3</v>
      </c>
      <c r="BC9" s="57">
        <f t="shared" si="11"/>
        <v>-2.9234367786992177E-2</v>
      </c>
      <c r="BD9" s="57">
        <f t="shared" si="11"/>
        <v>4.1781106386618028E-3</v>
      </c>
      <c r="BE9" s="57">
        <f t="shared" si="11"/>
        <v>3.4491864666945427E-2</v>
      </c>
      <c r="BF9" s="57">
        <f t="shared" si="11"/>
        <v>-8.1233335342434376E-4</v>
      </c>
      <c r="BG9" s="57">
        <f t="shared" si="11"/>
        <v>-5.7336096949494042E-3</v>
      </c>
      <c r="BH9" s="57">
        <f t="shared" si="11"/>
        <v>2.3490289236020701E-2</v>
      </c>
      <c r="BI9" s="57">
        <f t="shared" si="11"/>
        <v>1.9134147387600109E-2</v>
      </c>
      <c r="BJ9" s="57">
        <f t="shared" si="11"/>
        <v>1.5915312449565011E-2</v>
      </c>
      <c r="BK9" s="57">
        <f t="shared" si="11"/>
        <v>-3.0835745828588612E-2</v>
      </c>
      <c r="BL9" s="57">
        <f t="shared" si="11"/>
        <v>2.1473133915622222E-2</v>
      </c>
      <c r="BM9" s="57">
        <f t="shared" si="11"/>
        <v>1.4362415089143044E-2</v>
      </c>
      <c r="BN9" s="57">
        <f t="shared" si="11"/>
        <v>-3.1309748030731166E-3</v>
      </c>
      <c r="BO9" s="57">
        <f t="shared" si="11"/>
        <v>-5.1553364892087394E-4</v>
      </c>
      <c r="BP9" s="57">
        <f t="shared" si="11"/>
        <v>-1.8047489991258603E-2</v>
      </c>
      <c r="BQ9" s="63">
        <f>BQ8/$BP8-1</f>
        <v>-0.22413695782041565</v>
      </c>
      <c r="BR9" s="63">
        <f>BR8/$BP8-1</f>
        <v>-9.1702494461195272E-2</v>
      </c>
      <c r="BS9" s="63">
        <f>BS8/$BP8-1</f>
        <v>-9.1957679299688011E-2</v>
      </c>
    </row>
    <row r="10" spans="1:71" x14ac:dyDescent="0.2">
      <c r="A10" s="22" t="s">
        <v>112</v>
      </c>
      <c r="B10" s="65">
        <f>'Empleo Población'!B41-'Empleo Informales'!B36</f>
        <v>140.09215166295655</v>
      </c>
      <c r="C10" s="65">
        <f>'Empleo Población'!C41-'Empleo Informales'!C36</f>
        <v>146.0269977099411</v>
      </c>
      <c r="D10" s="65">
        <f>'Empleo Población'!D41-'Empleo Informales'!D36</f>
        <v>198.45703015684452</v>
      </c>
      <c r="E10" s="65">
        <f>'Empleo Población'!E41-'Empleo Informales'!E36</f>
        <v>179.53188269655519</v>
      </c>
      <c r="F10" s="65">
        <f>'Empleo Población'!F41-'Empleo Informales'!F36</f>
        <v>208.70855561886822</v>
      </c>
      <c r="G10" s="65">
        <f>'Empleo Población'!G41-'Empleo Informales'!G36</f>
        <v>177.2035105271994</v>
      </c>
      <c r="H10" s="65">
        <f>'Empleo Población'!H41-'Empleo Informales'!H36</f>
        <v>197.03357350703055</v>
      </c>
      <c r="I10" s="65">
        <f>'Empleo Población'!I41-'Empleo Informales'!I36</f>
        <v>188.615412603393</v>
      </c>
      <c r="J10" s="65">
        <f>'Empleo Población'!J41-'Empleo Informales'!J36</f>
        <v>195.46923486583339</v>
      </c>
      <c r="K10" s="65">
        <f>'Empleo Población'!K41-'Empleo Informales'!K36</f>
        <v>198.09728726744532</v>
      </c>
      <c r="L10" s="65">
        <f>'Empleo Población'!L41-'Empleo Informales'!L36</f>
        <v>211.90122877477029</v>
      </c>
      <c r="M10" s="65">
        <f>'Empleo Población'!M41-'Empleo Informales'!M36</f>
        <v>218.18560808798031</v>
      </c>
      <c r="N10" s="65">
        <f>'Empleo Población'!N41-'Empleo Informales'!N36</f>
        <v>233.43676818168709</v>
      </c>
      <c r="O10" s="65">
        <f>'Empleo Población'!O41-'Empleo Informales'!O36</f>
        <v>265.03562653258098</v>
      </c>
      <c r="P10" s="65">
        <f>'Empleo Población'!P41-'Empleo Informales'!P36</f>
        <v>278.19208150948373</v>
      </c>
      <c r="Q10" s="65">
        <f>'Empleo Población'!Q41-'Empleo Informales'!Q36</f>
        <v>227.64601907882695</v>
      </c>
      <c r="R10" s="65"/>
      <c r="S10" s="65">
        <f>'Empleo Población'!S41-'Empleo Informales'!S36</f>
        <v>226.13159145854277</v>
      </c>
      <c r="T10" s="65">
        <f>'Empleo Población'!T41-'Empleo Informales'!T36</f>
        <v>258.73782971948907</v>
      </c>
      <c r="U10" s="65">
        <f>'Empleo Población'!U41-'Empleo Informales'!U36</f>
        <v>236.03896662988313</v>
      </c>
      <c r="V10" s="65">
        <f>'Empleo Población'!V41-'Empleo Informales'!V36</f>
        <v>220.48158042246865</v>
      </c>
      <c r="W10" s="65">
        <f>'Empleo Población'!W41-'Empleo Informales'!W36</f>
        <v>277.37774508726454</v>
      </c>
      <c r="X10" s="65">
        <f>'Empleo Población'!X41-'Empleo Informales'!X36</f>
        <v>261.80601110589811</v>
      </c>
      <c r="Y10" s="65">
        <f>'Empleo Población'!Y41-'Empleo Informales'!Y36</f>
        <v>259.61593855027786</v>
      </c>
      <c r="Z10" s="65">
        <f>'Empleo Población'!Z41-'Empleo Informales'!Z36</f>
        <v>225.30126641703799</v>
      </c>
      <c r="AA10" s="65">
        <f>'Empleo Población'!AA41-'Empleo Informales'!AA36</f>
        <v>242.05040851400983</v>
      </c>
      <c r="AB10" s="65">
        <f>'Empleo Población'!AB41-'Empleo Informales'!AB36</f>
        <v>317.35026630050913</v>
      </c>
      <c r="AC10" s="65">
        <f>'Empleo Población'!AC41-'Empleo Informales'!AC36</f>
        <v>286.41758585571904</v>
      </c>
      <c r="AD10" s="65">
        <f>'Empleo Población'!AD41-'Empleo Informales'!AD36</f>
        <v>242.4933946505127</v>
      </c>
      <c r="AE10" s="65">
        <f>'Empleo Población'!AE41-'Empleo Informales'!AE36</f>
        <v>234.9184875713479</v>
      </c>
      <c r="AF10" s="65">
        <f>'Empleo Población'!AF41-'Empleo Informales'!AF36</f>
        <v>249.93959397977378</v>
      </c>
      <c r="AG10" s="65">
        <f>'Empleo Población'!AG41-'Empleo Informales'!AG36</f>
        <v>270.16157577206633</v>
      </c>
      <c r="AH10" s="65">
        <f>'Empleo Población'!AH41-'Empleo Informales'!AH36</f>
        <v>296.63149029362535</v>
      </c>
      <c r="AI10" s="65">
        <f>'Empleo Población'!AI41-'Empleo Informales'!AI36</f>
        <v>251.15792130134801</v>
      </c>
      <c r="AJ10" s="65">
        <f>'Empleo Población'!AJ41-'Empleo Informales'!AJ36</f>
        <v>265.21121229034355</v>
      </c>
      <c r="AK10" s="65">
        <f>'Empleo Población'!AK41-'Empleo Informales'!AK36</f>
        <v>249.8934033987569</v>
      </c>
      <c r="AL10" s="65">
        <f>'Empleo Población'!AL41-'Empleo Informales'!AL36</f>
        <v>271.47942413911284</v>
      </c>
      <c r="AM10" s="65">
        <f>'Empleo Población'!AM41-'Empleo Informales'!AM36</f>
        <v>274.86098126419245</v>
      </c>
      <c r="AN10" s="65">
        <f>'Empleo Población'!AN41-'Empleo Informales'!AN36</f>
        <v>284.60565295462538</v>
      </c>
      <c r="AO10" s="65">
        <f>'Empleo Población'!AO41-'Empleo Informales'!AO36</f>
        <v>237.75886588137908</v>
      </c>
      <c r="AP10" s="65">
        <f>'Empleo Población'!AP41-'Empleo Informales'!AP36</f>
        <v>271.55152494907668</v>
      </c>
      <c r="AQ10" s="65">
        <f>'Empleo Población'!AQ41-'Empleo Informales'!AQ36</f>
        <v>262.10195734644321</v>
      </c>
      <c r="AR10" s="65">
        <f>'Empleo Población'!AR41-'Empleo Informales'!AR36</f>
        <v>268.91358854193197</v>
      </c>
      <c r="AS10" s="65">
        <f>'Empleo Población'!AS41-'Empleo Informales'!AS36</f>
        <v>265.13508976529806</v>
      </c>
      <c r="AT10" s="65">
        <f>'Empleo Población'!AT41-'Empleo Informales'!AT36</f>
        <v>297.04600519384979</v>
      </c>
      <c r="AU10" s="65">
        <f>'Empleo Población'!AU41-'Empleo Informales'!AU36</f>
        <v>269.47866245551756</v>
      </c>
      <c r="AV10" s="65">
        <f>'Empleo Población'!AV41-'Empleo Informales'!AV36</f>
        <v>290.49535884550278</v>
      </c>
      <c r="AW10" s="65">
        <f>'Empleo Población'!AW41-'Empleo Informales'!AW36</f>
        <v>241.1155383497987</v>
      </c>
      <c r="AX10" s="65"/>
      <c r="AY10" s="65"/>
      <c r="AZ10" s="65"/>
      <c r="BA10" s="65">
        <f>'Empleo Población'!BA41-'Empleo Informales'!BA36</f>
        <v>265.28041013693269</v>
      </c>
      <c r="BB10" s="65">
        <f>'Empleo Población'!BB41-'Empleo Informales'!BB36</f>
        <v>280.51728552508752</v>
      </c>
      <c r="BC10" s="65">
        <f>'Empleo Población'!BC41-'Empleo Informales'!BC36</f>
        <v>282.24770970611917</v>
      </c>
      <c r="BD10" s="65">
        <f>'Empleo Población'!BD41-'Empleo Informales'!BD36</f>
        <v>298.5793028053655</v>
      </c>
      <c r="BE10" s="65">
        <f>'Empleo Población'!BE41-'Empleo Informales'!BE36</f>
        <v>307.16565618125981</v>
      </c>
      <c r="BF10" s="65">
        <f>'Empleo Población'!BF41-'Empleo Informales'!BF36</f>
        <v>334.09966589999999</v>
      </c>
      <c r="BG10" s="65">
        <f>'Empleo Población'!BG41-'Empleo Informales'!BG36</f>
        <v>293.70698999999996</v>
      </c>
      <c r="BH10" s="66">
        <f>'Empleo Población'!BH41-'Empleo Informales'!BH36</f>
        <v>334.88252296751739</v>
      </c>
      <c r="BI10" s="65">
        <f>'Empleo Población'!BI41-'Empleo Informales'!BI36</f>
        <v>303.63956369999994</v>
      </c>
      <c r="BJ10" s="65">
        <f>'Empleo Población'!BJ41-'Empleo Informales'!BJ36</f>
        <v>295.13350019999996</v>
      </c>
      <c r="BK10" s="65">
        <f>'Empleo Población'!BK41-'Empleo Informales'!BK36</f>
        <v>288.11356999999998</v>
      </c>
      <c r="BL10" s="65">
        <f>'Empleo Población'!BL41-'Empleo Informales'!BL36</f>
        <v>278.678</v>
      </c>
      <c r="BM10" s="65">
        <f>'Empleo Población'!BM41-'Empleo Informales'!BM36</f>
        <v>290.875</v>
      </c>
      <c r="BN10" s="65">
        <f>'Empleo Población'!BN41-'Empleo Informales'!BN36</f>
        <v>281.47417466575553</v>
      </c>
      <c r="BO10" s="65">
        <f>'Empleo Población'!BO41-'Empleo Informales'!BO36</f>
        <v>310.66800000000001</v>
      </c>
      <c r="BP10" s="65">
        <f>'Empleo Población'!BP41-'Empleo Informales'!BP36</f>
        <v>289.803</v>
      </c>
      <c r="BQ10" s="65">
        <f>'Empleo Población'!BQ41-'Empleo Informales'!BQ36</f>
        <v>204.37</v>
      </c>
      <c r="BR10" s="65">
        <f>'Empleo Población'!BR41-'Empleo Informales'!BR36</f>
        <v>300.97699999999998</v>
      </c>
      <c r="BS10" s="65">
        <f>'Empleo Población'!BS41-'Empleo Informales'!BS36</f>
        <v>214.04900000000004</v>
      </c>
    </row>
    <row r="11" spans="1:71" x14ac:dyDescent="0.2">
      <c r="A11" s="22"/>
      <c r="B11" s="65"/>
      <c r="C11" s="57">
        <f t="shared" ref="C11:Q11" si="12">C10/B10-1</f>
        <v>4.2363872469194597E-2</v>
      </c>
      <c r="D11" s="57">
        <f t="shared" si="12"/>
        <v>0.35904341847147436</v>
      </c>
      <c r="E11" s="57">
        <f t="shared" si="12"/>
        <v>-9.5361436404305833E-2</v>
      </c>
      <c r="F11" s="57">
        <f t="shared" si="12"/>
        <v>0.16251527296478829</v>
      </c>
      <c r="G11" s="57">
        <f t="shared" si="12"/>
        <v>-0.15095234116420964</v>
      </c>
      <c r="H11" s="57">
        <f t="shared" si="12"/>
        <v>0.11190558765362257</v>
      </c>
      <c r="I11" s="57">
        <f t="shared" si="12"/>
        <v>-4.2724499961105278E-2</v>
      </c>
      <c r="J11" s="57">
        <f t="shared" si="12"/>
        <v>3.6337551464323381E-2</v>
      </c>
      <c r="K11" s="57">
        <f t="shared" si="12"/>
        <v>1.344483904802618E-2</v>
      </c>
      <c r="L11" s="57">
        <f t="shared" si="12"/>
        <v>6.9682637747020992E-2</v>
      </c>
      <c r="M11" s="57">
        <f t="shared" si="12"/>
        <v>2.9657115957027802E-2</v>
      </c>
      <c r="N11" s="57">
        <f t="shared" si="12"/>
        <v>6.9899936239410154E-2</v>
      </c>
      <c r="O11" s="57">
        <f t="shared" si="12"/>
        <v>0.1353636729853116</v>
      </c>
      <c r="P11" s="57">
        <f t="shared" si="12"/>
        <v>4.9640326280004476E-2</v>
      </c>
      <c r="Q11" s="57">
        <f t="shared" si="12"/>
        <v>-0.18169482810722504</v>
      </c>
      <c r="R11" s="61"/>
      <c r="S11" s="58"/>
      <c r="T11" s="57">
        <f t="shared" ref="T11:AW11" si="13">T10/S10-1</f>
        <v>0.14419143318559313</v>
      </c>
      <c r="U11" s="57">
        <f t="shared" si="13"/>
        <v>-8.7729201076684249E-2</v>
      </c>
      <c r="V11" s="57">
        <f t="shared" si="13"/>
        <v>-6.5910245369820597E-2</v>
      </c>
      <c r="W11" s="57">
        <f t="shared" si="13"/>
        <v>0.2580540494846606</v>
      </c>
      <c r="X11" s="57">
        <f t="shared" si="13"/>
        <v>-5.6139089228184003E-2</v>
      </c>
      <c r="Y11" s="57">
        <f t="shared" si="13"/>
        <v>-8.365249317115131E-3</v>
      </c>
      <c r="Z11" s="57">
        <f t="shared" si="13"/>
        <v>-0.13217475138412738</v>
      </c>
      <c r="AA11" s="57">
        <f t="shared" si="13"/>
        <v>7.4341091656221714E-2</v>
      </c>
      <c r="AB11" s="57">
        <f t="shared" si="13"/>
        <v>0.31109163685687791</v>
      </c>
      <c r="AC11" s="57">
        <f t="shared" si="13"/>
        <v>-9.7471733064496413E-2</v>
      </c>
      <c r="AD11" s="57">
        <f t="shared" si="13"/>
        <v>-0.15335717279361771</v>
      </c>
      <c r="AE11" s="57">
        <f t="shared" si="13"/>
        <v>-3.1237581089917699E-2</v>
      </c>
      <c r="AF11" s="57">
        <f t="shared" si="13"/>
        <v>6.3941780673450799E-2</v>
      </c>
      <c r="AG11" s="57">
        <f t="shared" si="13"/>
        <v>8.0907476363784925E-2</v>
      </c>
      <c r="AH11" s="57">
        <f t="shared" si="13"/>
        <v>9.7978087542291759E-2</v>
      </c>
      <c r="AI11" s="57">
        <f t="shared" si="13"/>
        <v>-0.15329987031135706</v>
      </c>
      <c r="AJ11" s="57">
        <f t="shared" si="13"/>
        <v>5.5954002629819088E-2</v>
      </c>
      <c r="AK11" s="57">
        <f t="shared" si="13"/>
        <v>-5.775701848840864E-2</v>
      </c>
      <c r="AL11" s="57">
        <f t="shared" si="13"/>
        <v>8.6380914609062165E-2</v>
      </c>
      <c r="AM11" s="57">
        <f t="shared" si="13"/>
        <v>1.2456034691405549E-2</v>
      </c>
      <c r="AN11" s="57">
        <f t="shared" si="13"/>
        <v>3.5453092125384389E-2</v>
      </c>
      <c r="AO11" s="57">
        <f t="shared" si="13"/>
        <v>-0.16460244758636289</v>
      </c>
      <c r="AP11" s="57">
        <f t="shared" si="13"/>
        <v>0.1421299640811593</v>
      </c>
      <c r="AQ11" s="57">
        <f t="shared" si="13"/>
        <v>-3.4798433204915824E-2</v>
      </c>
      <c r="AR11" s="57">
        <f t="shared" si="13"/>
        <v>2.5988478928012038E-2</v>
      </c>
      <c r="AS11" s="57">
        <f t="shared" si="13"/>
        <v>-1.4050977479870719E-2</v>
      </c>
      <c r="AT11" s="57">
        <f t="shared" si="13"/>
        <v>0.12035719397534206</v>
      </c>
      <c r="AU11" s="57">
        <f t="shared" si="13"/>
        <v>-9.2804960364109235E-2</v>
      </c>
      <c r="AV11" s="57">
        <f t="shared" si="13"/>
        <v>7.7990205972075399E-2</v>
      </c>
      <c r="AW11" s="62">
        <f t="shared" si="13"/>
        <v>-0.16998488613364138</v>
      </c>
      <c r="AX11" s="57"/>
      <c r="AY11" s="57"/>
      <c r="AZ11" s="57"/>
      <c r="BA11" s="57"/>
      <c r="BB11" s="57">
        <f t="shared" ref="BB11:BP11" si="14">BB10/BA10-1</f>
        <v>5.7436866070471826E-2</v>
      </c>
      <c r="BC11" s="57">
        <f t="shared" si="14"/>
        <v>6.1686900249036114E-3</v>
      </c>
      <c r="BD11" s="57">
        <f t="shared" si="14"/>
        <v>5.7862623991709494E-2</v>
      </c>
      <c r="BE11" s="57">
        <f t="shared" si="14"/>
        <v>2.8757362935807551E-2</v>
      </c>
      <c r="BF11" s="57">
        <f t="shared" si="14"/>
        <v>8.7685615812616469E-2</v>
      </c>
      <c r="BG11" s="57">
        <f t="shared" si="14"/>
        <v>-0.12090007869714559</v>
      </c>
      <c r="BH11" s="57">
        <f t="shared" si="14"/>
        <v>0.14019255369958139</v>
      </c>
      <c r="BI11" s="57">
        <f t="shared" si="14"/>
        <v>-9.329528155325062E-2</v>
      </c>
      <c r="BJ11" s="57">
        <f t="shared" si="14"/>
        <v>-2.8013686346895494E-2</v>
      </c>
      <c r="BK11" s="57">
        <f t="shared" si="14"/>
        <v>-2.3785609547011255E-2</v>
      </c>
      <c r="BL11" s="57">
        <f t="shared" si="14"/>
        <v>-3.274948139374334E-2</v>
      </c>
      <c r="BM11" s="57">
        <f t="shared" si="14"/>
        <v>4.3767358743783236E-2</v>
      </c>
      <c r="BN11" s="57">
        <f t="shared" si="14"/>
        <v>-3.2319124483865869E-2</v>
      </c>
      <c r="BO11" s="57">
        <f t="shared" si="14"/>
        <v>0.10371759813812931</v>
      </c>
      <c r="BP11" s="57">
        <f t="shared" si="14"/>
        <v>-6.7161728919618358E-2</v>
      </c>
      <c r="BQ11" s="63">
        <f>BQ10/$BP10-1</f>
        <v>-0.29479681024696081</v>
      </c>
      <c r="BR11" s="62">
        <f>BR10/$BP10-1</f>
        <v>3.8557226805795652E-2</v>
      </c>
      <c r="BS11" s="63">
        <f>BS10/$BP10-1</f>
        <v>-0.26139826019744439</v>
      </c>
    </row>
    <row r="12" spans="1:71" x14ac:dyDescent="0.2">
      <c r="A12" s="22" t="s">
        <v>113</v>
      </c>
      <c r="B12" s="65">
        <f>'Empleo Población'!B43-'Empleo Informales'!B38</f>
        <v>394.57192125181217</v>
      </c>
      <c r="C12" s="65">
        <f>'Empleo Población'!C43-'Empleo Informales'!C38</f>
        <v>403.51506865508367</v>
      </c>
      <c r="D12" s="65">
        <f>'Empleo Población'!D43-'Empleo Informales'!D38</f>
        <v>373.1408430692037</v>
      </c>
      <c r="E12" s="65">
        <f>'Empleo Población'!E43-'Empleo Informales'!E38</f>
        <v>368.81198090027965</v>
      </c>
      <c r="F12" s="65">
        <f>'Empleo Población'!F43-'Empleo Informales'!F38</f>
        <v>400.2514191318366</v>
      </c>
      <c r="G12" s="65">
        <f>'Empleo Población'!G43-'Empleo Informales'!G38</f>
        <v>410.23363390693532</v>
      </c>
      <c r="H12" s="65">
        <f>'Empleo Población'!H43-'Empleo Informales'!H38</f>
        <v>397.99860035167205</v>
      </c>
      <c r="I12" s="65">
        <f>'Empleo Población'!I43-'Empleo Informales'!I38</f>
        <v>403.7523620275025</v>
      </c>
      <c r="J12" s="65">
        <f>'Empleo Población'!J43-'Empleo Informales'!J38</f>
        <v>420.78128509921976</v>
      </c>
      <c r="K12" s="65">
        <f>'Empleo Población'!K43-'Empleo Informales'!K38</f>
        <v>416.54714391449806</v>
      </c>
      <c r="L12" s="65">
        <f>'Empleo Población'!L43-'Empleo Informales'!L38</f>
        <v>439.11385689621238</v>
      </c>
      <c r="M12" s="65">
        <f>'Empleo Población'!M43-'Empleo Informales'!M38</f>
        <v>440.31759028021082</v>
      </c>
      <c r="N12" s="65">
        <f>'Empleo Población'!N43-'Empleo Informales'!N38</f>
        <v>427.60205959916254</v>
      </c>
      <c r="O12" s="65">
        <f>'Empleo Población'!O43-'Empleo Informales'!O38</f>
        <v>453.86591454432141</v>
      </c>
      <c r="P12" s="65">
        <f>'Empleo Población'!P43-'Empleo Informales'!P38</f>
        <v>470.07285428814964</v>
      </c>
      <c r="Q12" s="65">
        <f>'Empleo Población'!Q43-'Empleo Informales'!Q38</f>
        <v>490.87739530579688</v>
      </c>
      <c r="R12" s="65"/>
      <c r="S12" s="65">
        <f>'Empleo Población'!S43-'Empleo Informales'!S38</f>
        <v>486.85383222881364</v>
      </c>
      <c r="T12" s="65">
        <f>'Empleo Población'!T43-'Empleo Informales'!T38</f>
        <v>496.64020669148624</v>
      </c>
      <c r="U12" s="65">
        <f>'Empleo Población'!U43-'Empleo Informales'!U38</f>
        <v>557.83084013249629</v>
      </c>
      <c r="V12" s="65">
        <f>'Empleo Población'!V43-'Empleo Informales'!V38</f>
        <v>527.1528880250595</v>
      </c>
      <c r="W12" s="65">
        <f>'Empleo Población'!W43-'Empleo Informales'!W38</f>
        <v>491.02900636680579</v>
      </c>
      <c r="X12" s="65">
        <f>'Empleo Población'!X43-'Empleo Informales'!X38</f>
        <v>514.70769765454361</v>
      </c>
      <c r="Y12" s="65">
        <f>'Empleo Población'!Y43-'Empleo Informales'!Y38</f>
        <v>516.61382113924833</v>
      </c>
      <c r="Z12" s="65">
        <f>'Empleo Población'!Z43-'Empleo Informales'!Z38</f>
        <v>533.67952472780303</v>
      </c>
      <c r="AA12" s="65">
        <f>'Empleo Población'!AA43-'Empleo Informales'!AA38</f>
        <v>500.53714827493855</v>
      </c>
      <c r="AB12" s="65">
        <f>'Empleo Población'!AB43-'Empleo Informales'!AB38</f>
        <v>471.62607445733101</v>
      </c>
      <c r="AC12" s="65">
        <f>'Empleo Población'!AC43-'Empleo Informales'!AC38</f>
        <v>500.84502129446685</v>
      </c>
      <c r="AD12" s="65">
        <f>'Empleo Población'!AD43-'Empleo Informales'!AD38</f>
        <v>549.88680355520398</v>
      </c>
      <c r="AE12" s="65">
        <f>'Empleo Población'!AE43-'Empleo Informales'!AE38</f>
        <v>535.22980015054577</v>
      </c>
      <c r="AF12" s="65">
        <f>'Empleo Población'!AF43-'Empleo Informales'!AF38</f>
        <v>513.21910604503637</v>
      </c>
      <c r="AG12" s="65">
        <f>'Empleo Población'!AG43-'Empleo Informales'!AG38</f>
        <v>524.31604608247073</v>
      </c>
      <c r="AH12" s="65">
        <f>'Empleo Población'!AH43-'Empleo Informales'!AH38</f>
        <v>533.08625885215383</v>
      </c>
      <c r="AI12" s="65">
        <f>'Empleo Población'!AI43-'Empleo Informales'!AI38</f>
        <v>600.14670382574491</v>
      </c>
      <c r="AJ12" s="65">
        <f>'Empleo Población'!AJ43-'Empleo Informales'!AJ38</f>
        <v>638.74365780783342</v>
      </c>
      <c r="AK12" s="65">
        <f>'Empleo Población'!AK43-'Empleo Informales'!AK38</f>
        <v>666.96506696005758</v>
      </c>
      <c r="AL12" s="65">
        <f>'Empleo Población'!AL43-'Empleo Informales'!AL38</f>
        <v>672.28188605781952</v>
      </c>
      <c r="AM12" s="65">
        <f>'Empleo Población'!AM43-'Empleo Informales'!AM38</f>
        <v>669.03961675539347</v>
      </c>
      <c r="AN12" s="65">
        <f>'Empleo Población'!AN43-'Empleo Informales'!AN38</f>
        <v>670.56946405547353</v>
      </c>
      <c r="AO12" s="65">
        <f>'Empleo Población'!AO43-'Empleo Informales'!AO38</f>
        <v>649.72129180169156</v>
      </c>
      <c r="AP12" s="65">
        <f>'Empleo Población'!AP43-'Empleo Informales'!AP38</f>
        <v>678.44533724639996</v>
      </c>
      <c r="AQ12" s="65">
        <f>'Empleo Población'!AQ43-'Empleo Informales'!AQ38</f>
        <v>699.19939518813339</v>
      </c>
      <c r="AR12" s="65">
        <f>'Empleo Población'!AR43-'Empleo Informales'!AR38</f>
        <v>672.88615724813474</v>
      </c>
      <c r="AS12" s="65">
        <f>'Empleo Población'!AS43-'Empleo Informales'!AS38</f>
        <v>703.59113252473924</v>
      </c>
      <c r="AT12" s="65">
        <f>'Empleo Población'!AT43-'Empleo Informales'!AT38</f>
        <v>703.38711517433103</v>
      </c>
      <c r="AU12" s="65">
        <f>'Empleo Población'!AU43-'Empleo Informales'!AU38</f>
        <v>662.86130482350927</v>
      </c>
      <c r="AV12" s="65">
        <f>'Empleo Población'!AV43-'Empleo Informales'!AV38</f>
        <v>686.92225547668431</v>
      </c>
      <c r="AW12" s="65">
        <f>'Empleo Población'!AW43-'Empleo Informales'!AW38</f>
        <v>735.87169444616211</v>
      </c>
      <c r="AX12" s="65"/>
      <c r="AY12" s="65"/>
      <c r="AZ12" s="65"/>
      <c r="BA12" s="65">
        <f>'Empleo Población'!BA43-'Empleo Informales'!BA38</f>
        <v>621.3102767526151</v>
      </c>
      <c r="BB12" s="65">
        <f>'Empleo Población'!BB43-'Empleo Informales'!BB38</f>
        <v>595.10106347600208</v>
      </c>
      <c r="BC12" s="65">
        <f>'Empleo Población'!BC43-'Empleo Informales'!BC38</f>
        <v>622.33122888224148</v>
      </c>
      <c r="BD12" s="65">
        <f>'Empleo Población'!BD43-'Empleo Informales'!BD38</f>
        <v>625.15209086167022</v>
      </c>
      <c r="BE12" s="65">
        <f>'Empleo Población'!BE43-'Empleo Informales'!BE38</f>
        <v>614.79427265432309</v>
      </c>
      <c r="BF12" s="65">
        <f>'Empleo Población'!BF43-'Empleo Informales'!BF38</f>
        <v>607.00747379999984</v>
      </c>
      <c r="BG12" s="65">
        <f>'Empleo Población'!BG43-'Empleo Informales'!BG38</f>
        <v>653.29426000000012</v>
      </c>
      <c r="BH12" s="66">
        <f>'Empleo Población'!BH43-'Empleo Informales'!BH38</f>
        <v>646.02065477519568</v>
      </c>
      <c r="BI12" s="65">
        <f>'Empleo Población'!BI43-'Empleo Informales'!BI38</f>
        <v>646.66219769999998</v>
      </c>
      <c r="BJ12" s="65">
        <f>'Empleo Población'!BJ43-'Empleo Informales'!BJ38</f>
        <v>639.45321360000003</v>
      </c>
      <c r="BK12" s="65">
        <f>'Empleo Población'!BK43-'Empleo Informales'!BK38</f>
        <v>636.60513919999994</v>
      </c>
      <c r="BL12" s="65">
        <f>'Empleo Población'!BL43-'Empleo Informales'!BL38</f>
        <v>648.63599999999997</v>
      </c>
      <c r="BM12" s="65">
        <f>'Empleo Población'!BM43-'Empleo Informales'!BM38</f>
        <v>680.26800000000003</v>
      </c>
      <c r="BN12" s="65">
        <f>'Empleo Población'!BN43-'Empleo Informales'!BN38</f>
        <v>702.12177017138652</v>
      </c>
      <c r="BO12" s="65">
        <f>'Empleo Población'!BO43-'Empleo Informales'!BO38</f>
        <v>722.83999999999992</v>
      </c>
      <c r="BP12" s="65">
        <f>'Empleo Población'!BP43-'Empleo Informales'!BP38</f>
        <v>696.30600000000004</v>
      </c>
      <c r="BQ12" s="65">
        <f>'Empleo Población'!BQ43-'Empleo Informales'!BQ38</f>
        <v>583.97400000000005</v>
      </c>
      <c r="BR12" s="65">
        <f>'Empleo Población'!BR43-'Empleo Informales'!BR38</f>
        <v>643.93499999999995</v>
      </c>
      <c r="BS12" s="65">
        <f>'Empleo Población'!BS43-'Empleo Informales'!BS38</f>
        <v>642.82500000000005</v>
      </c>
    </row>
    <row r="13" spans="1:71" x14ac:dyDescent="0.2">
      <c r="A13" s="22"/>
      <c r="B13" s="65"/>
      <c r="C13" s="57">
        <f t="shared" ref="C13:Q13" si="15">C12/B12-1</f>
        <v>2.2665443032283239E-2</v>
      </c>
      <c r="D13" s="57">
        <f t="shared" si="15"/>
        <v>-7.527408006624714E-2</v>
      </c>
      <c r="E13" s="57">
        <f t="shared" si="15"/>
        <v>-1.1601148063336564E-2</v>
      </c>
      <c r="F13" s="57">
        <f t="shared" si="15"/>
        <v>8.5245165178236437E-2</v>
      </c>
      <c r="G13" s="57">
        <f t="shared" si="15"/>
        <v>2.4939861042218459E-2</v>
      </c>
      <c r="H13" s="57">
        <f t="shared" si="15"/>
        <v>-2.982455007099416E-2</v>
      </c>
      <c r="I13" s="57">
        <f t="shared" si="15"/>
        <v>1.4456738467789609E-2</v>
      </c>
      <c r="J13" s="57">
        <f t="shared" si="15"/>
        <v>4.2176652506016321E-2</v>
      </c>
      <c r="K13" s="57">
        <f t="shared" si="15"/>
        <v>-1.0062570115786595E-2</v>
      </c>
      <c r="L13" s="57">
        <f t="shared" si="15"/>
        <v>5.4175651691291904E-2</v>
      </c>
      <c r="M13" s="57">
        <f t="shared" si="15"/>
        <v>2.7412785205795931E-3</v>
      </c>
      <c r="N13" s="57">
        <f t="shared" si="15"/>
        <v>-2.8878089274053997E-2</v>
      </c>
      <c r="O13" s="57">
        <f t="shared" si="15"/>
        <v>6.1421254541614623E-2</v>
      </c>
      <c r="P13" s="57">
        <f t="shared" si="15"/>
        <v>3.5708651441912931E-2</v>
      </c>
      <c r="Q13" s="57">
        <f t="shared" si="15"/>
        <v>4.4258120476138529E-2</v>
      </c>
      <c r="R13" s="61"/>
      <c r="S13" s="58"/>
      <c r="T13" s="57">
        <f t="shared" ref="T13:AW13" si="16">T12/S12-1</f>
        <v>2.0101257944033613E-2</v>
      </c>
      <c r="U13" s="57">
        <f t="shared" si="16"/>
        <v>0.12320918165013128</v>
      </c>
      <c r="V13" s="57">
        <f t="shared" si="16"/>
        <v>-5.4995080767047844E-2</v>
      </c>
      <c r="W13" s="57">
        <f t="shared" si="16"/>
        <v>-6.8526384809517449E-2</v>
      </c>
      <c r="X13" s="57">
        <f t="shared" si="16"/>
        <v>4.822259170174048E-2</v>
      </c>
      <c r="Y13" s="57">
        <f t="shared" si="16"/>
        <v>3.7033125663181732E-3</v>
      </c>
      <c r="Z13" s="57">
        <f t="shared" si="16"/>
        <v>3.3033772791678295E-2</v>
      </c>
      <c r="AA13" s="62">
        <f t="shared" si="16"/>
        <v>-6.2101645120764881E-2</v>
      </c>
      <c r="AB13" s="57">
        <f t="shared" si="16"/>
        <v>-5.7760096163186336E-2</v>
      </c>
      <c r="AC13" s="57">
        <f t="shared" si="16"/>
        <v>6.1953628986175513E-2</v>
      </c>
      <c r="AD13" s="57">
        <f t="shared" si="16"/>
        <v>9.79180787980789E-2</v>
      </c>
      <c r="AE13" s="57">
        <f t="shared" si="16"/>
        <v>-2.6654582924877879E-2</v>
      </c>
      <c r="AF13" s="57">
        <f t="shared" si="16"/>
        <v>-4.1123820271812939E-2</v>
      </c>
      <c r="AG13" s="57">
        <f t="shared" si="16"/>
        <v>2.1622227050254406E-2</v>
      </c>
      <c r="AH13" s="57">
        <f t="shared" si="16"/>
        <v>1.6726958549545534E-2</v>
      </c>
      <c r="AI13" s="57">
        <f t="shared" si="16"/>
        <v>0.1257966114489355</v>
      </c>
      <c r="AJ13" s="57">
        <f t="shared" si="16"/>
        <v>6.4312531812713791E-2</v>
      </c>
      <c r="AK13" s="57">
        <f t="shared" si="16"/>
        <v>4.4182683940972467E-2</v>
      </c>
      <c r="AL13" s="57">
        <f t="shared" si="16"/>
        <v>7.9716605278823405E-3</v>
      </c>
      <c r="AM13" s="57">
        <f t="shared" si="16"/>
        <v>-4.8227824810784803E-3</v>
      </c>
      <c r="AN13" s="57">
        <f t="shared" si="16"/>
        <v>2.2866318552243747E-3</v>
      </c>
      <c r="AO13" s="57">
        <f t="shared" si="16"/>
        <v>-3.1090249961124528E-2</v>
      </c>
      <c r="AP13" s="57">
        <f t="shared" si="16"/>
        <v>4.4209795503324267E-2</v>
      </c>
      <c r="AQ13" s="57">
        <f t="shared" si="16"/>
        <v>3.059061180369782E-2</v>
      </c>
      <c r="AR13" s="57">
        <f t="shared" si="16"/>
        <v>-3.7633382009603422E-2</v>
      </c>
      <c r="AS13" s="57">
        <f t="shared" si="16"/>
        <v>4.5631753523028173E-2</v>
      </c>
      <c r="AT13" s="57">
        <f t="shared" si="16"/>
        <v>-2.8996577838624749E-4</v>
      </c>
      <c r="AU13" s="57">
        <f t="shared" si="16"/>
        <v>-5.7615229901926246E-2</v>
      </c>
      <c r="AV13" s="57">
        <f t="shared" si="16"/>
        <v>3.6298620055339237E-2</v>
      </c>
      <c r="AW13" s="57">
        <f t="shared" si="16"/>
        <v>7.1259066916546043E-2</v>
      </c>
      <c r="AX13" s="57"/>
      <c r="AY13" s="57"/>
      <c r="AZ13" s="57"/>
      <c r="BA13" s="57"/>
      <c r="BB13" s="57">
        <f t="shared" ref="BB13:BP13" si="17">BB12/BA12-1</f>
        <v>-4.2183775574419879E-2</v>
      </c>
      <c r="BC13" s="57">
        <f t="shared" si="17"/>
        <v>4.5757211803970188E-2</v>
      </c>
      <c r="BD13" s="57">
        <f t="shared" si="17"/>
        <v>4.5327340948246864E-3</v>
      </c>
      <c r="BE13" s="57">
        <f t="shared" si="17"/>
        <v>-1.6568477269380266E-2</v>
      </c>
      <c r="BF13" s="57">
        <f t="shared" si="17"/>
        <v>-1.266569843063825E-2</v>
      </c>
      <c r="BG13" s="57">
        <f t="shared" si="17"/>
        <v>7.6254063084651769E-2</v>
      </c>
      <c r="BH13" s="57">
        <f t="shared" si="17"/>
        <v>-1.1133735087163421E-2</v>
      </c>
      <c r="BI13" s="57">
        <f t="shared" si="17"/>
        <v>9.9306875107196824E-4</v>
      </c>
      <c r="BJ13" s="57">
        <f t="shared" si="17"/>
        <v>-1.1147990597935586E-2</v>
      </c>
      <c r="BK13" s="57">
        <f t="shared" si="17"/>
        <v>-4.4539214745140665E-3</v>
      </c>
      <c r="BL13" s="57">
        <f t="shared" si="17"/>
        <v>1.8898466347787801E-2</v>
      </c>
      <c r="BM13" s="57">
        <f t="shared" si="17"/>
        <v>4.8766950955543731E-2</v>
      </c>
      <c r="BN13" s="57">
        <f t="shared" si="17"/>
        <v>3.2125236188364603E-2</v>
      </c>
      <c r="BO13" s="57">
        <f t="shared" si="17"/>
        <v>2.9508029388628954E-2</v>
      </c>
      <c r="BP13" s="57">
        <f t="shared" si="17"/>
        <v>-3.6707985169608603E-2</v>
      </c>
      <c r="BQ13" s="63">
        <f>BQ12/$BP12-1</f>
        <v>-0.1613256240790687</v>
      </c>
      <c r="BR13" s="63">
        <f>BR12/$BP12-1</f>
        <v>-7.5212622036863186E-2</v>
      </c>
      <c r="BS13" s="63">
        <f>BS12/$BP12-1</f>
        <v>-7.6806748757011989E-2</v>
      </c>
    </row>
    <row r="14" spans="1:71" x14ac:dyDescent="0.2">
      <c r="A14" s="22" t="s">
        <v>114</v>
      </c>
      <c r="B14" s="65">
        <f>'Empleo Población'!B45-'Empleo Informales'!B40</f>
        <v>624.3634995498744</v>
      </c>
      <c r="C14" s="65">
        <f>'Empleo Población'!C45-'Empleo Informales'!C40</f>
        <v>673.90435418167681</v>
      </c>
      <c r="D14" s="65">
        <f>'Empleo Población'!D45-'Empleo Informales'!D40</f>
        <v>668.11704711210814</v>
      </c>
      <c r="E14" s="65">
        <f>'Empleo Población'!E45-'Empleo Informales'!E40</f>
        <v>642.18656776392095</v>
      </c>
      <c r="F14" s="65">
        <f>'Empleo Población'!F45-'Empleo Informales'!F40</f>
        <v>616.11366622045341</v>
      </c>
      <c r="G14" s="65">
        <f>'Empleo Población'!G45-'Empleo Informales'!G40</f>
        <v>673.50443712455728</v>
      </c>
      <c r="H14" s="65">
        <f>'Empleo Población'!H45-'Empleo Informales'!H40</f>
        <v>727.19532271443222</v>
      </c>
      <c r="I14" s="65">
        <f>'Empleo Población'!I45-'Empleo Informales'!I40</f>
        <v>740.08787854403897</v>
      </c>
      <c r="J14" s="65">
        <f>'Empleo Población'!J45-'Empleo Informales'!J40</f>
        <v>736.36897108435915</v>
      </c>
      <c r="K14" s="65">
        <f>'Empleo Población'!K45-'Empleo Informales'!K40</f>
        <v>740.41229330677265</v>
      </c>
      <c r="L14" s="65">
        <f>'Empleo Población'!L45-'Empleo Informales'!L40</f>
        <v>786.22592401829797</v>
      </c>
      <c r="M14" s="65">
        <f>'Empleo Población'!M45-'Empleo Informales'!M40</f>
        <v>833.3308966910414</v>
      </c>
      <c r="N14" s="65">
        <f>'Empleo Población'!N45-'Empleo Informales'!N40</f>
        <v>806.17289341684341</v>
      </c>
      <c r="O14" s="65">
        <f>'Empleo Población'!O45-'Empleo Informales'!O40</f>
        <v>786.56886537770276</v>
      </c>
      <c r="P14" s="65">
        <f>'Empleo Población'!P45-'Empleo Informales'!P40</f>
        <v>832.67307999697664</v>
      </c>
      <c r="Q14" s="65">
        <f>'Empleo Población'!Q45-'Empleo Informales'!Q40</f>
        <v>852.56737790921943</v>
      </c>
      <c r="R14" s="65"/>
      <c r="S14" s="65">
        <f>'Empleo Población'!S45-'Empleo Informales'!S40</f>
        <v>887.08030288598195</v>
      </c>
      <c r="T14" s="65">
        <f>'Empleo Población'!T45-'Empleo Informales'!T40</f>
        <v>852.8235861943391</v>
      </c>
      <c r="U14" s="65">
        <f>'Empleo Población'!U45-'Empleo Informales'!U40</f>
        <v>942.57318327193025</v>
      </c>
      <c r="V14" s="65">
        <f>'Empleo Población'!V45-'Empleo Informales'!V40</f>
        <v>845.90472249972368</v>
      </c>
      <c r="W14" s="65">
        <f>'Empleo Población'!W45-'Empleo Informales'!W40</f>
        <v>813.69805840759886</v>
      </c>
      <c r="X14" s="65">
        <f>'Empleo Población'!X45-'Empleo Informales'!X40</f>
        <v>927.97195736723802</v>
      </c>
      <c r="Y14" s="65">
        <f>'Empleo Población'!Y45-'Empleo Informales'!Y40</f>
        <v>1004.7543678807876</v>
      </c>
      <c r="Z14" s="65">
        <f>'Empleo Población'!Z45-'Empleo Informales'!Z40</f>
        <v>904.38610750862222</v>
      </c>
      <c r="AA14" s="65">
        <f>'Empleo Población'!AA45-'Empleo Informales'!AA40</f>
        <v>884.18478460423137</v>
      </c>
      <c r="AB14" s="65">
        <f>'Empleo Población'!AB45-'Empleo Informales'!AB40</f>
        <v>901.79839913367425</v>
      </c>
      <c r="AC14" s="65">
        <f>'Empleo Población'!AC45-'Empleo Informales'!AC40</f>
        <v>991.34593950802741</v>
      </c>
      <c r="AD14" s="65">
        <f>'Empleo Población'!AD45-'Empleo Informales'!AD40</f>
        <v>952.69548047046248</v>
      </c>
      <c r="AE14" s="65">
        <f>'Empleo Población'!AE45-'Empleo Informales'!AE40</f>
        <v>952.47968866230588</v>
      </c>
      <c r="AF14" s="65">
        <f>'Empleo Población'!AF45-'Empleo Informales'!AF40</f>
        <v>982.84027874741355</v>
      </c>
      <c r="AG14" s="65">
        <f>'Empleo Población'!AG45-'Empleo Informales'!AG40</f>
        <v>1027.2575604260931</v>
      </c>
      <c r="AH14" s="65">
        <f>'Empleo Población'!AH45-'Empleo Informales'!AH40</f>
        <v>929.22799737631669</v>
      </c>
      <c r="AI14" s="65">
        <f>'Empleo Población'!AI45-'Empleo Informales'!AI40</f>
        <v>916.72025994395256</v>
      </c>
      <c r="AJ14" s="65">
        <f>'Empleo Población'!AJ45-'Empleo Informales'!AJ40</f>
        <v>909.82579480752452</v>
      </c>
      <c r="AK14" s="65">
        <f>'Empleo Población'!AK45-'Empleo Informales'!AK40</f>
        <v>920.15391487459669</v>
      </c>
      <c r="AL14" s="65">
        <f>'Empleo Población'!AL45-'Empleo Informales'!AL40</f>
        <v>961.44068903571986</v>
      </c>
      <c r="AM14" s="65">
        <f>'Empleo Población'!AM45-'Empleo Informales'!AM40</f>
        <v>952.44539775216276</v>
      </c>
      <c r="AN14" s="65">
        <f>'Empleo Población'!AN45-'Empleo Informales'!AN40</f>
        <v>997.91143325212511</v>
      </c>
      <c r="AO14" s="65">
        <f>'Empleo Población'!AO45-'Empleo Informales'!AO40</f>
        <v>986.4080644353503</v>
      </c>
      <c r="AP14" s="65">
        <f>'Empleo Población'!AP45-'Empleo Informales'!AP40</f>
        <v>850.9550204232587</v>
      </c>
      <c r="AQ14" s="65">
        <f>'Empleo Población'!AQ45-'Empleo Informales'!AQ40</f>
        <v>890.37065796380705</v>
      </c>
      <c r="AR14" s="65">
        <f>'Empleo Población'!AR45-'Empleo Informales'!AR40</f>
        <v>932.48955839471455</v>
      </c>
      <c r="AS14" s="65">
        <f>'Empleo Población'!AS45-'Empleo Informales'!AS40</f>
        <v>887.31166886431345</v>
      </c>
      <c r="AT14" s="65">
        <f>'Empleo Población'!AT45-'Empleo Informales'!AT40</f>
        <v>899.25710340825401</v>
      </c>
      <c r="AU14" s="65">
        <f>'Empleo Población'!AU45-'Empleo Informales'!AU40</f>
        <v>935.68801972814379</v>
      </c>
      <c r="AV14" s="65">
        <f>'Empleo Población'!AV45-'Empleo Informales'!AV40</f>
        <v>953.6054835408745</v>
      </c>
      <c r="AW14" s="65">
        <f>'Empleo Población'!AW45-'Empleo Informales'!AW40</f>
        <v>866.9099181774568</v>
      </c>
      <c r="AX14" s="65"/>
      <c r="AY14" s="65"/>
      <c r="AZ14" s="65"/>
      <c r="BA14" s="65">
        <f>'Empleo Población'!BA45-'Empleo Informales'!BA40</f>
        <v>951.81651580778669</v>
      </c>
      <c r="BB14" s="65">
        <f>'Empleo Población'!BB45-'Empleo Informales'!BB40</f>
        <v>978.31975653769655</v>
      </c>
      <c r="BC14" s="65">
        <f>'Empleo Población'!BC45-'Empleo Informales'!BC40</f>
        <v>1060.7607291024042</v>
      </c>
      <c r="BD14" s="65">
        <f>'Empleo Población'!BD45-'Empleo Informales'!BD40</f>
        <v>1028.9168892051691</v>
      </c>
      <c r="BE14" s="65">
        <f>'Empleo Población'!BE45-'Empleo Informales'!BE40</f>
        <v>981.09014256464468</v>
      </c>
      <c r="BF14" s="65">
        <f>'Empleo Población'!BF45-'Empleo Informales'!BF40</f>
        <v>1016.7616095000001</v>
      </c>
      <c r="BG14" s="65">
        <f>'Empleo Población'!BG45-'Empleo Informales'!BG40</f>
        <v>1082.4210399999999</v>
      </c>
      <c r="BH14" s="66">
        <f>'Empleo Población'!BH45-'Empleo Informales'!BH40</f>
        <v>1054.3203339216086</v>
      </c>
      <c r="BI14" s="65">
        <f>'Empleo Población'!BI45-'Empleo Informales'!BI40</f>
        <v>989.19301040000005</v>
      </c>
      <c r="BJ14" s="65">
        <f>'Empleo Población'!BJ45-'Empleo Informales'!BJ40</f>
        <v>1008.6233976</v>
      </c>
      <c r="BK14" s="65">
        <f>'Empleo Población'!BK45-'Empleo Informales'!BK40</f>
        <v>989.05367679999995</v>
      </c>
      <c r="BL14" s="65">
        <f>'Empleo Población'!BL45-'Empleo Informales'!BL40</f>
        <v>1104.5509999999999</v>
      </c>
      <c r="BM14" s="65">
        <f>'Empleo Población'!BM45-'Empleo Informales'!BM40</f>
        <v>1047.7049999999999</v>
      </c>
      <c r="BN14" s="65">
        <f>'Empleo Población'!BN45-'Empleo Informales'!BN40</f>
        <v>1075.8837239017594</v>
      </c>
      <c r="BO14" s="65">
        <f>'Empleo Población'!BO45-'Empleo Informales'!BO40</f>
        <v>1065.5709999999999</v>
      </c>
      <c r="BP14" s="65">
        <f>'Empleo Población'!BP45-'Empleo Informales'!BP40</f>
        <v>1039.7090000000001</v>
      </c>
      <c r="BQ14" s="65">
        <f>'Empleo Población'!BQ45-'Empleo Informales'!BQ40</f>
        <v>927.47400000000005</v>
      </c>
      <c r="BR14" s="65">
        <f>'Empleo Población'!BR45-'Empleo Informales'!BR40</f>
        <v>964.24400000000014</v>
      </c>
      <c r="BS14" s="65">
        <f>'Empleo Población'!BS45-'Empleo Informales'!BS40</f>
        <v>1084.1199999999999</v>
      </c>
    </row>
    <row r="15" spans="1:71" x14ac:dyDescent="0.2">
      <c r="A15" s="22"/>
      <c r="B15" s="65"/>
      <c r="C15" s="57">
        <f t="shared" ref="C15:Q15" si="18">C14/B14-1</f>
        <v>7.9346173611234638E-2</v>
      </c>
      <c r="D15" s="57">
        <f t="shared" si="18"/>
        <v>-8.5877276703401062E-3</v>
      </c>
      <c r="E15" s="57">
        <f t="shared" si="18"/>
        <v>-3.8811282334839325E-2</v>
      </c>
      <c r="F15" s="57">
        <f t="shared" si="18"/>
        <v>-4.0600197594061749E-2</v>
      </c>
      <c r="G15" s="57">
        <f t="shared" si="18"/>
        <v>9.3149647622925436E-2</v>
      </c>
      <c r="H15" s="57">
        <f t="shared" si="18"/>
        <v>7.9718681318717621E-2</v>
      </c>
      <c r="I15" s="57">
        <f t="shared" si="18"/>
        <v>1.7729151201746118E-2</v>
      </c>
      <c r="J15" s="57">
        <f t="shared" si="18"/>
        <v>-5.0249538838494923E-3</v>
      </c>
      <c r="K15" s="57">
        <f t="shared" si="18"/>
        <v>5.4908916333877844E-3</v>
      </c>
      <c r="L15" s="57">
        <f t="shared" si="18"/>
        <v>6.1875837456609517E-2</v>
      </c>
      <c r="M15" s="57">
        <f t="shared" si="18"/>
        <v>5.99127696425934E-2</v>
      </c>
      <c r="N15" s="57">
        <f t="shared" si="18"/>
        <v>-3.2589699220364921E-2</v>
      </c>
      <c r="O15" s="57">
        <f t="shared" si="18"/>
        <v>-2.4317399157458564E-2</v>
      </c>
      <c r="P15" s="57">
        <f t="shared" si="18"/>
        <v>5.8614339632086843E-2</v>
      </c>
      <c r="Q15" s="57">
        <f t="shared" si="18"/>
        <v>2.3892087291107034E-2</v>
      </c>
      <c r="R15" s="61"/>
      <c r="S15" s="58"/>
      <c r="T15" s="57">
        <f t="shared" ref="T15:AW15" si="19">T14/S14-1</f>
        <v>-3.8617379486607706E-2</v>
      </c>
      <c r="U15" s="57">
        <f t="shared" si="19"/>
        <v>0.10523817414348491</v>
      </c>
      <c r="V15" s="57">
        <f t="shared" si="19"/>
        <v>-0.1025580426939835</v>
      </c>
      <c r="W15" s="57">
        <f t="shared" si="19"/>
        <v>-3.8073630794909441E-2</v>
      </c>
      <c r="X15" s="57">
        <f t="shared" si="19"/>
        <v>0.1404377186093726</v>
      </c>
      <c r="Y15" s="57">
        <f t="shared" si="19"/>
        <v>8.2742166833780217E-2</v>
      </c>
      <c r="Z15" s="62">
        <f t="shared" si="19"/>
        <v>-9.9893330729042384E-2</v>
      </c>
      <c r="AA15" s="57">
        <f t="shared" si="19"/>
        <v>-2.2337055751598056E-2</v>
      </c>
      <c r="AB15" s="57">
        <f t="shared" si="19"/>
        <v>1.9920739234759566E-2</v>
      </c>
      <c r="AC15" s="57">
        <f t="shared" si="19"/>
        <v>9.9298846017445097E-2</v>
      </c>
      <c r="AD15" s="57">
        <f t="shared" si="19"/>
        <v>-3.8987862356853809E-2</v>
      </c>
      <c r="AE15" s="57">
        <f t="shared" si="19"/>
        <v>-2.2650659374390258E-4</v>
      </c>
      <c r="AF15" s="57">
        <f t="shared" si="19"/>
        <v>3.1875314976791858E-2</v>
      </c>
      <c r="AG15" s="57">
        <f t="shared" si="19"/>
        <v>4.5192777136980444E-2</v>
      </c>
      <c r="AH15" s="57">
        <f t="shared" si="19"/>
        <v>-9.542841720153894E-2</v>
      </c>
      <c r="AI15" s="57">
        <f t="shared" si="19"/>
        <v>-1.3460353613623188E-2</v>
      </c>
      <c r="AJ15" s="57">
        <f t="shared" si="19"/>
        <v>-7.5207949880474745E-3</v>
      </c>
      <c r="AK15" s="57">
        <f t="shared" si="19"/>
        <v>1.1351755606420433E-2</v>
      </c>
      <c r="AL15" s="57">
        <f t="shared" si="19"/>
        <v>4.486942183661724E-2</v>
      </c>
      <c r="AM15" s="57">
        <f t="shared" si="19"/>
        <v>-9.3560542903369237E-3</v>
      </c>
      <c r="AN15" s="57">
        <f t="shared" si="19"/>
        <v>4.7736107085262214E-2</v>
      </c>
      <c r="AO15" s="57">
        <f t="shared" si="19"/>
        <v>-1.1527444654367835E-2</v>
      </c>
      <c r="AP15" s="57">
        <f t="shared" si="19"/>
        <v>-0.13731948155718798</v>
      </c>
      <c r="AQ15" s="57">
        <f t="shared" si="19"/>
        <v>4.6319296078590977E-2</v>
      </c>
      <c r="AR15" s="57">
        <f t="shared" si="19"/>
        <v>4.7304906169335581E-2</v>
      </c>
      <c r="AS15" s="57">
        <f t="shared" si="19"/>
        <v>-4.84486814074091E-2</v>
      </c>
      <c r="AT15" s="57">
        <f t="shared" si="19"/>
        <v>1.3462501354490009E-2</v>
      </c>
      <c r="AU15" s="57">
        <f t="shared" si="19"/>
        <v>4.0512236358004605E-2</v>
      </c>
      <c r="AV15" s="57">
        <f t="shared" si="19"/>
        <v>1.91489721306215E-2</v>
      </c>
      <c r="AW15" s="57">
        <f t="shared" si="19"/>
        <v>-9.0913450960353748E-2</v>
      </c>
      <c r="AX15" s="57"/>
      <c r="AY15" s="57"/>
      <c r="AZ15" s="57"/>
      <c r="BA15" s="57"/>
      <c r="BB15" s="57">
        <f t="shared" ref="BB15:BP15" si="20">BB14/BA14-1</f>
        <v>2.7844905283469501E-2</v>
      </c>
      <c r="BC15" s="57">
        <f t="shared" si="20"/>
        <v>8.4267921621524522E-2</v>
      </c>
      <c r="BD15" s="57">
        <f t="shared" si="20"/>
        <v>-3.0019814104713993E-2</v>
      </c>
      <c r="BE15" s="57">
        <f t="shared" si="20"/>
        <v>-4.6482614040352921E-2</v>
      </c>
      <c r="BF15" s="57">
        <f t="shared" si="20"/>
        <v>3.6359010643107093E-2</v>
      </c>
      <c r="BG15" s="57">
        <f t="shared" si="20"/>
        <v>6.4577015778839675E-2</v>
      </c>
      <c r="BH15" s="57">
        <f t="shared" si="20"/>
        <v>-2.5960975479921711E-2</v>
      </c>
      <c r="BI15" s="57">
        <f t="shared" si="20"/>
        <v>-6.177185569338639E-2</v>
      </c>
      <c r="BJ15" s="57">
        <f t="shared" si="20"/>
        <v>1.9642665279390625E-2</v>
      </c>
      <c r="BK15" s="57">
        <f t="shared" si="20"/>
        <v>-1.94024061374799E-2</v>
      </c>
      <c r="BL15" s="57">
        <f t="shared" si="20"/>
        <v>0.11677558651182807</v>
      </c>
      <c r="BM15" s="57">
        <f t="shared" si="20"/>
        <v>-5.1465256018056182E-2</v>
      </c>
      <c r="BN15" s="57">
        <f t="shared" si="20"/>
        <v>2.6895666148161412E-2</v>
      </c>
      <c r="BO15" s="57">
        <f t="shared" si="20"/>
        <v>-9.5853517184549819E-3</v>
      </c>
      <c r="BP15" s="57">
        <f t="shared" si="20"/>
        <v>-2.4270555411136208E-2</v>
      </c>
      <c r="BQ15" s="63">
        <f>BQ14/$BP14-1</f>
        <v>-0.10794847404417962</v>
      </c>
      <c r="BR15" s="63">
        <f>BR14/$BP14-1</f>
        <v>-7.2582809228351364E-2</v>
      </c>
      <c r="BS15" s="62">
        <f>BS14/$BP14-1</f>
        <v>4.2714836555228342E-2</v>
      </c>
    </row>
    <row r="16" spans="1:71" x14ac:dyDescent="0.2">
      <c r="A16" s="22" t="s">
        <v>115</v>
      </c>
      <c r="B16" s="65">
        <f>'Empleo Población'!B47-'Empleo Informales'!B42</f>
        <v>654.17505108398836</v>
      </c>
      <c r="C16" s="65">
        <f>'Empleo Población'!C47-'Empleo Informales'!C42</f>
        <v>610.41892975083704</v>
      </c>
      <c r="D16" s="65">
        <f>'Empleo Población'!D47-'Empleo Informales'!D42</f>
        <v>569.07795452075027</v>
      </c>
      <c r="E16" s="65">
        <f>'Empleo Población'!E47-'Empleo Informales'!E42</f>
        <v>636.89138152791395</v>
      </c>
      <c r="F16" s="65">
        <f>'Empleo Población'!F47-'Empleo Informales'!F42</f>
        <v>642.11808815538313</v>
      </c>
      <c r="G16" s="65">
        <f>'Empleo Población'!G47-'Empleo Informales'!G42</f>
        <v>594.21057101364806</v>
      </c>
      <c r="H16" s="65">
        <f>'Empleo Población'!H47-'Empleo Informales'!H42</f>
        <v>588.73091117349043</v>
      </c>
      <c r="I16" s="65">
        <f>'Empleo Población'!I47-'Empleo Informales'!I42</f>
        <v>643.94564964358972</v>
      </c>
      <c r="J16" s="65">
        <f>'Empleo Población'!J47-'Empleo Informales'!J42</f>
        <v>638.36440000636219</v>
      </c>
      <c r="K16" s="65">
        <f>'Empleo Población'!K47-'Empleo Informales'!K42</f>
        <v>706.88469867047081</v>
      </c>
      <c r="L16" s="65">
        <f>'Empleo Población'!L47-'Empleo Informales'!L42</f>
        <v>661.8146377988902</v>
      </c>
      <c r="M16" s="65">
        <f>'Empleo Población'!M47-'Empleo Informales'!M42</f>
        <v>696.34277539147945</v>
      </c>
      <c r="N16" s="65">
        <f>'Empleo Población'!N47-'Empleo Informales'!N42</f>
        <v>752.04680632248937</v>
      </c>
      <c r="O16" s="65">
        <f>'Empleo Población'!O47-'Empleo Informales'!O42</f>
        <v>735.44381388079967</v>
      </c>
      <c r="P16" s="65">
        <f>'Empleo Población'!P47-'Empleo Informales'!P42</f>
        <v>650.4339253449657</v>
      </c>
      <c r="Q16" s="65">
        <f>'Empleo Población'!Q47-'Empleo Informales'!Q42</f>
        <v>736.69092779845255</v>
      </c>
      <c r="R16" s="65"/>
      <c r="S16" s="65">
        <f>'Empleo Población'!S47-'Empleo Informales'!S42</f>
        <v>702.89137068519801</v>
      </c>
      <c r="T16" s="65">
        <f>'Empleo Población'!T47-'Empleo Informales'!T42</f>
        <v>734.2900577257642</v>
      </c>
      <c r="U16" s="65">
        <f>'Empleo Población'!U47-'Empleo Informales'!U42</f>
        <v>724.27886912404881</v>
      </c>
      <c r="V16" s="65">
        <f>'Empleo Población'!V47-'Empleo Informales'!V42</f>
        <v>713.76666370791429</v>
      </c>
      <c r="W16" s="65">
        <f>'Empleo Población'!W47-'Empleo Informales'!W42</f>
        <v>760.21406387835771</v>
      </c>
      <c r="X16" s="65">
        <f>'Empleo Población'!X47-'Empleo Informales'!X42</f>
        <v>776.83374240522107</v>
      </c>
      <c r="Y16" s="65">
        <f>'Empleo Población'!Y47-'Empleo Informales'!Y42</f>
        <v>798.69555139515796</v>
      </c>
      <c r="Z16" s="65">
        <f>'Empleo Población'!Z47-'Empleo Informales'!Z42</f>
        <v>765.21426761390387</v>
      </c>
      <c r="AA16" s="65">
        <f>'Empleo Población'!AA47-'Empleo Informales'!AA42</f>
        <v>778.89614133162388</v>
      </c>
      <c r="AB16" s="65">
        <f>'Empleo Población'!AB47-'Empleo Informales'!AB42</f>
        <v>787.43151000186742</v>
      </c>
      <c r="AC16" s="65">
        <f>'Empleo Población'!AC47-'Empleo Informales'!AC42</f>
        <v>784.43378167284754</v>
      </c>
      <c r="AD16" s="65">
        <f>'Empleo Población'!AD47-'Empleo Informales'!AD42</f>
        <v>784.19421925667939</v>
      </c>
      <c r="AE16" s="65">
        <f>'Empleo Población'!AE47-'Empleo Informales'!AE42</f>
        <v>797.95620253620427</v>
      </c>
      <c r="AF16" s="65">
        <f>'Empleo Población'!AF47-'Empleo Informales'!AF42</f>
        <v>790.28248408698471</v>
      </c>
      <c r="AG16" s="65">
        <f>'Empleo Población'!AG47-'Empleo Informales'!AG42</f>
        <v>807.65234434772321</v>
      </c>
      <c r="AH16" s="65">
        <f>'Empleo Población'!AH47-'Empleo Informales'!AH42</f>
        <v>825.46925826164556</v>
      </c>
      <c r="AI16" s="65">
        <f>'Empleo Población'!AI47-'Empleo Informales'!AI42</f>
        <v>770.80816618129688</v>
      </c>
      <c r="AJ16" s="65">
        <f>'Empleo Población'!AJ47-'Empleo Informales'!AJ42</f>
        <v>790.0484469427048</v>
      </c>
      <c r="AK16" s="65">
        <f>'Empleo Población'!AK47-'Empleo Informales'!AK42</f>
        <v>796.15677417687948</v>
      </c>
      <c r="AL16" s="65">
        <f>'Empleo Población'!AL47-'Empleo Informales'!AL42</f>
        <v>808.64173791983205</v>
      </c>
      <c r="AM16" s="65">
        <f>'Empleo Población'!AM47-'Empleo Informales'!AM42</f>
        <v>850.56390665740082</v>
      </c>
      <c r="AN16" s="65">
        <f>'Empleo Población'!AN47-'Empleo Informales'!AN42</f>
        <v>833.43796787382303</v>
      </c>
      <c r="AO16" s="65">
        <f>'Empleo Población'!AO47-'Empleo Informales'!AO42</f>
        <v>834.52961461127438</v>
      </c>
      <c r="AP16" s="65">
        <f>'Empleo Población'!AP47-'Empleo Informales'!AP42</f>
        <v>845.84827060208863</v>
      </c>
      <c r="AQ16" s="65">
        <f>'Empleo Población'!AQ47-'Empleo Informales'!AQ42</f>
        <v>810.24250748314876</v>
      </c>
      <c r="AR16" s="65">
        <f>'Empleo Población'!AR47-'Empleo Informales'!AR42</f>
        <v>818.07591954455881</v>
      </c>
      <c r="AS16" s="65">
        <f>'Empleo Población'!AS47-'Empleo Informales'!AS42</f>
        <v>837.44044475255384</v>
      </c>
      <c r="AT16" s="65">
        <f>'Empleo Población'!AT47-'Empleo Informales'!AT42</f>
        <v>823.46225266275655</v>
      </c>
      <c r="AU16" s="65">
        <f>'Empleo Población'!AU47-'Empleo Informales'!AU42</f>
        <v>792.28761832989062</v>
      </c>
      <c r="AV16" s="65">
        <f>'Empleo Población'!AV47-'Empleo Informales'!AV42</f>
        <v>827.84237122503225</v>
      </c>
      <c r="AW16" s="65">
        <f>'Empleo Población'!AW47-'Empleo Informales'!AW42</f>
        <v>849.89006850232477</v>
      </c>
      <c r="AX16" s="65"/>
      <c r="AY16" s="65"/>
      <c r="AZ16" s="65"/>
      <c r="BA16" s="65">
        <f>'Empleo Población'!BA47-'Empleo Informales'!BA42</f>
        <v>837.56399171444934</v>
      </c>
      <c r="BB16" s="65">
        <f>'Empleo Población'!BB47-'Empleo Informales'!BB42</f>
        <v>864.86631472042131</v>
      </c>
      <c r="BC16" s="65">
        <f>'Empleo Población'!BC47-'Empleo Informales'!BC42</f>
        <v>871.89695209451611</v>
      </c>
      <c r="BD16" s="65">
        <f>'Empleo Población'!BD47-'Empleo Informales'!BD42</f>
        <v>857.78331525837177</v>
      </c>
      <c r="BE16" s="65">
        <f>'Empleo Población'!BE47-'Empleo Informales'!BE42</f>
        <v>887.96814848159465</v>
      </c>
      <c r="BF16" s="65">
        <f>'Empleo Población'!BF47-'Empleo Informales'!BF42</f>
        <v>895.04859989999989</v>
      </c>
      <c r="BG16" s="65">
        <f>'Empleo Población'!BG47-'Empleo Informales'!BG42</f>
        <v>917.6435799999997</v>
      </c>
      <c r="BH16" s="66">
        <f>'Empleo Población'!BH47-'Empleo Informales'!BH42</f>
        <v>892.22309303039742</v>
      </c>
      <c r="BI16" s="65">
        <f>'Empleo Población'!BI47-'Empleo Informales'!BI42</f>
        <v>904.9986573000001</v>
      </c>
      <c r="BJ16" s="65">
        <f>'Empleo Población'!BJ47-'Empleo Informales'!BJ42</f>
        <v>921.91325959999995</v>
      </c>
      <c r="BK16" s="65">
        <f>'Empleo Población'!BK47-'Empleo Informales'!BK42</f>
        <v>890.32031200000006</v>
      </c>
      <c r="BL16" s="65">
        <f>'Empleo Población'!BL47-'Empleo Informales'!BL42</f>
        <v>841.37399999999991</v>
      </c>
      <c r="BM16" s="65">
        <f>'Empleo Población'!BM47-'Empleo Informales'!BM42</f>
        <v>975.00799999999992</v>
      </c>
      <c r="BN16" s="65">
        <f>'Empleo Población'!BN47-'Empleo Informales'!BN42</f>
        <v>948.30842636819057</v>
      </c>
      <c r="BO16" s="65">
        <f>'Empleo Población'!BO47-'Empleo Informales'!BO42</f>
        <v>913.90200000000004</v>
      </c>
      <c r="BP16" s="65">
        <f>'Empleo Población'!BP47-'Empleo Informales'!BP42</f>
        <v>874.91399999999999</v>
      </c>
      <c r="BQ16" s="65">
        <f>'Empleo Población'!BQ47-'Empleo Informales'!BQ42</f>
        <v>925.97</v>
      </c>
      <c r="BR16" s="65">
        <f>'Empleo Población'!BR47-'Empleo Informales'!BR42</f>
        <v>964.74299999999994</v>
      </c>
      <c r="BS16" s="65">
        <f>'Empleo Población'!BS47-'Empleo Informales'!BS42</f>
        <v>938.78499999999997</v>
      </c>
    </row>
    <row r="17" spans="1:71" x14ac:dyDescent="0.2">
      <c r="A17" s="22"/>
      <c r="B17" s="65"/>
      <c r="C17" s="57">
        <f t="shared" ref="C17:Q17" si="21">C16/B16-1</f>
        <v>-6.68874810505935E-2</v>
      </c>
      <c r="D17" s="57">
        <f t="shared" si="21"/>
        <v>-6.772557863983919E-2</v>
      </c>
      <c r="E17" s="57">
        <f t="shared" si="21"/>
        <v>0.11916368657132903</v>
      </c>
      <c r="F17" s="57">
        <f t="shared" si="21"/>
        <v>8.2065902900589904E-3</v>
      </c>
      <c r="G17" s="57">
        <f t="shared" si="21"/>
        <v>-7.4608577496016792E-2</v>
      </c>
      <c r="H17" s="57">
        <f t="shared" si="21"/>
        <v>-9.2217474872754446E-3</v>
      </c>
      <c r="I17" s="57">
        <f t="shared" si="21"/>
        <v>9.3786036068740364E-2</v>
      </c>
      <c r="J17" s="57">
        <f t="shared" si="21"/>
        <v>-8.6672681775498139E-3</v>
      </c>
      <c r="K17" s="57">
        <f t="shared" si="21"/>
        <v>0.1073372804990782</v>
      </c>
      <c r="L17" s="57">
        <f t="shared" si="21"/>
        <v>-6.3758716175848273E-2</v>
      </c>
      <c r="M17" s="57">
        <f t="shared" si="21"/>
        <v>5.217191585158254E-2</v>
      </c>
      <c r="N17" s="57">
        <f t="shared" si="21"/>
        <v>7.9995130127821668E-2</v>
      </c>
      <c r="O17" s="57">
        <f t="shared" si="21"/>
        <v>-2.2077073264732516E-2</v>
      </c>
      <c r="P17" s="57">
        <f t="shared" si="21"/>
        <v>-0.11558991581865741</v>
      </c>
      <c r="Q17" s="57">
        <f t="shared" si="21"/>
        <v>0.13261455021390423</v>
      </c>
      <c r="R17" s="61"/>
      <c r="S17" s="58"/>
      <c r="T17" s="57">
        <f t="shared" ref="T17:AW17" si="22">T16/S16-1</f>
        <v>4.4670753334128843E-2</v>
      </c>
      <c r="U17" s="57">
        <f t="shared" si="22"/>
        <v>-1.3633833791406591E-2</v>
      </c>
      <c r="V17" s="57">
        <f t="shared" si="22"/>
        <v>-1.451403025032072E-2</v>
      </c>
      <c r="W17" s="57">
        <f t="shared" si="22"/>
        <v>6.5073647358586229E-2</v>
      </c>
      <c r="X17" s="57">
        <f t="shared" si="22"/>
        <v>2.1861840390159815E-2</v>
      </c>
      <c r="Y17" s="57">
        <f t="shared" si="22"/>
        <v>2.814219799753892E-2</v>
      </c>
      <c r="Z17" s="57">
        <f t="shared" si="22"/>
        <v>-4.1919957764593896E-2</v>
      </c>
      <c r="AA17" s="57">
        <f t="shared" si="22"/>
        <v>1.7879794322684273E-2</v>
      </c>
      <c r="AB17" s="57">
        <f t="shared" si="22"/>
        <v>1.0958288553915896E-2</v>
      </c>
      <c r="AC17" s="57">
        <f t="shared" si="22"/>
        <v>-3.8069702455935106E-3</v>
      </c>
      <c r="AD17" s="57">
        <f t="shared" si="22"/>
        <v>-3.0539533325202317E-4</v>
      </c>
      <c r="AE17" s="57">
        <f t="shared" si="22"/>
        <v>1.7549202661261143E-2</v>
      </c>
      <c r="AF17" s="57">
        <f t="shared" si="22"/>
        <v>-9.6167163370992625E-3</v>
      </c>
      <c r="AG17" s="57">
        <f t="shared" si="22"/>
        <v>2.1979305641331548E-2</v>
      </c>
      <c r="AH17" s="57">
        <f t="shared" si="22"/>
        <v>2.2060127774793603E-2</v>
      </c>
      <c r="AI17" s="62">
        <f t="shared" si="22"/>
        <v>-6.6218204413159398E-2</v>
      </c>
      <c r="AJ17" s="57">
        <f t="shared" si="22"/>
        <v>2.4961179195502448E-2</v>
      </c>
      <c r="AK17" s="57">
        <f t="shared" si="22"/>
        <v>7.7315856487185641E-3</v>
      </c>
      <c r="AL17" s="57">
        <f t="shared" si="22"/>
        <v>1.56815392996692E-2</v>
      </c>
      <c r="AM17" s="57">
        <f t="shared" si="22"/>
        <v>5.1842697169466323E-2</v>
      </c>
      <c r="AN17" s="57">
        <f t="shared" si="22"/>
        <v>-2.0134805450281124E-2</v>
      </c>
      <c r="AO17" s="57">
        <f t="shared" si="22"/>
        <v>1.309811623096957E-3</v>
      </c>
      <c r="AP17" s="57">
        <f t="shared" si="22"/>
        <v>1.3562917112398098E-2</v>
      </c>
      <c r="AQ17" s="57">
        <f t="shared" si="22"/>
        <v>-4.2094740104623107E-2</v>
      </c>
      <c r="AR17" s="57">
        <f t="shared" si="22"/>
        <v>9.6679845713636414E-3</v>
      </c>
      <c r="AS17" s="57">
        <f t="shared" si="22"/>
        <v>2.3670816785287707E-2</v>
      </c>
      <c r="AT17" s="57">
        <f t="shared" si="22"/>
        <v>-1.6691565564316058E-2</v>
      </c>
      <c r="AU17" s="57">
        <f t="shared" si="22"/>
        <v>-3.7858000451215901E-2</v>
      </c>
      <c r="AV17" s="57">
        <f t="shared" si="22"/>
        <v>4.4876067822553711E-2</v>
      </c>
      <c r="AW17" s="57">
        <f t="shared" si="22"/>
        <v>2.6632723865857022E-2</v>
      </c>
      <c r="AX17" s="57"/>
      <c r="AY17" s="57"/>
      <c r="AZ17" s="57"/>
      <c r="BA17" s="57"/>
      <c r="BB17" s="57">
        <f t="shared" ref="BB17:BP17" si="23">BB16/BA16-1</f>
        <v>3.2597297968941508E-2</v>
      </c>
      <c r="BC17" s="57">
        <f t="shared" si="23"/>
        <v>8.1291608361084844E-3</v>
      </c>
      <c r="BD17" s="57">
        <f t="shared" si="23"/>
        <v>-1.6187276262682015E-2</v>
      </c>
      <c r="BE17" s="57">
        <f t="shared" si="23"/>
        <v>3.5189345241730452E-2</v>
      </c>
      <c r="BF17" s="57">
        <f t="shared" si="23"/>
        <v>7.9737673367143991E-3</v>
      </c>
      <c r="BG17" s="57">
        <f t="shared" si="23"/>
        <v>2.5244417009896658E-2</v>
      </c>
      <c r="BH17" s="57">
        <f t="shared" si="23"/>
        <v>-2.7701917741965065E-2</v>
      </c>
      <c r="BI17" s="57">
        <f t="shared" si="23"/>
        <v>1.4318800274728316E-2</v>
      </c>
      <c r="BJ17" s="57">
        <f t="shared" si="23"/>
        <v>1.8690196016934779E-2</v>
      </c>
      <c r="BK17" s="57">
        <f t="shared" si="23"/>
        <v>-3.4268893815137758E-2</v>
      </c>
      <c r="BL17" s="57">
        <f t="shared" si="23"/>
        <v>-5.4976070230328689E-2</v>
      </c>
      <c r="BM17" s="57">
        <f t="shared" si="23"/>
        <v>0.15882829752286143</v>
      </c>
      <c r="BN17" s="57">
        <f t="shared" si="23"/>
        <v>-2.7383953395058613E-2</v>
      </c>
      <c r="BO17" s="57">
        <f t="shared" si="23"/>
        <v>-3.6281894594103137E-2</v>
      </c>
      <c r="BP17" s="57">
        <f t="shared" si="23"/>
        <v>-4.2661029300734676E-2</v>
      </c>
      <c r="BQ17" s="62">
        <f>BQ16/$BP16-1</f>
        <v>5.8355449792779623E-2</v>
      </c>
      <c r="BR17" s="62">
        <f>BR16/$BP16-1</f>
        <v>0.10267180545745069</v>
      </c>
      <c r="BS17" s="62">
        <f>BS16/$BP16-1</f>
        <v>7.3002603684476419E-2</v>
      </c>
    </row>
    <row r="18" spans="1:71" x14ac:dyDescent="0.2">
      <c r="A18" s="22" t="s">
        <v>116</v>
      </c>
      <c r="B18" s="65">
        <f>'Empleo Población'!B49-'Empleo Informales'!B44</f>
        <v>343.07802518892436</v>
      </c>
      <c r="C18" s="65">
        <f>'Empleo Población'!C49-'Empleo Informales'!C44</f>
        <v>355.32241876146878</v>
      </c>
      <c r="D18" s="65">
        <f>'Empleo Población'!D49-'Empleo Informales'!D44</f>
        <v>348.56408910036311</v>
      </c>
      <c r="E18" s="65">
        <f>'Empleo Población'!E49-'Empleo Informales'!E44</f>
        <v>368.27759669909631</v>
      </c>
      <c r="F18" s="65">
        <f>'Empleo Población'!F49-'Empleo Informales'!F44</f>
        <v>401.39943575209293</v>
      </c>
      <c r="G18" s="65">
        <f>'Empleo Población'!G49-'Empleo Informales'!G44</f>
        <v>380.41683305904303</v>
      </c>
      <c r="H18" s="65">
        <f>'Empleo Población'!H49-'Empleo Informales'!H44</f>
        <v>404.48975273392762</v>
      </c>
      <c r="I18" s="65">
        <f>'Empleo Población'!I49-'Empleo Informales'!I44</f>
        <v>389.9506718840409</v>
      </c>
      <c r="J18" s="65">
        <f>'Empleo Población'!J49-'Empleo Informales'!J44</f>
        <v>402.67224109038852</v>
      </c>
      <c r="K18" s="65">
        <f>'Empleo Población'!K49-'Empleo Informales'!K44</f>
        <v>404.176249597729</v>
      </c>
      <c r="L18" s="65">
        <f>'Empleo Población'!L49-'Empleo Informales'!L44</f>
        <v>408.95191047372703</v>
      </c>
      <c r="M18" s="65">
        <f>'Empleo Población'!M49-'Empleo Informales'!M44</f>
        <v>410.49908527852403</v>
      </c>
      <c r="N18" s="65">
        <f>'Empleo Población'!N49-'Empleo Informales'!N44</f>
        <v>385.38875991995775</v>
      </c>
      <c r="O18" s="65">
        <f>'Empleo Población'!O49-'Empleo Informales'!O44</f>
        <v>394.56740884732443</v>
      </c>
      <c r="P18" s="65">
        <f>'Empleo Población'!P49-'Empleo Informales'!P44</f>
        <v>419.17866960115799</v>
      </c>
      <c r="Q18" s="65">
        <f>'Empleo Población'!Q49-'Empleo Informales'!Q44</f>
        <v>463.88841995239653</v>
      </c>
      <c r="R18" s="65"/>
      <c r="S18" s="65">
        <f>'Empleo Población'!S49-'Empleo Informales'!S44</f>
        <v>409.71625431232309</v>
      </c>
      <c r="T18" s="65">
        <f>'Empleo Población'!T49-'Empleo Informales'!T44</f>
        <v>446.92519317704159</v>
      </c>
      <c r="U18" s="65">
        <f>'Empleo Población'!U49-'Empleo Informales'!U44</f>
        <v>472.58483102038281</v>
      </c>
      <c r="V18" s="65">
        <f>'Empleo Población'!V49-'Empleo Informales'!V44</f>
        <v>441.26881853675252</v>
      </c>
      <c r="W18" s="65">
        <f>'Empleo Población'!W49-'Empleo Informales'!W44</f>
        <v>474.94236127418071</v>
      </c>
      <c r="X18" s="65">
        <f>'Empleo Población'!X49-'Empleo Informales'!X44</f>
        <v>504.67789390179496</v>
      </c>
      <c r="Y18" s="65">
        <f>'Empleo Población'!Y49-'Empleo Informales'!Y44</f>
        <v>489.97405977824212</v>
      </c>
      <c r="Z18" s="65">
        <f>'Empleo Población'!Z49-'Empleo Informales'!Z44</f>
        <v>465.74402171619874</v>
      </c>
      <c r="AA18" s="65">
        <f>'Empleo Población'!AA49-'Empleo Informales'!AA44</f>
        <v>486.04647661642417</v>
      </c>
      <c r="AB18" s="65">
        <f>'Empleo Población'!AB49-'Empleo Informales'!AB44</f>
        <v>520.8841640007289</v>
      </c>
      <c r="AC18" s="65">
        <f>'Empleo Población'!AC49-'Empleo Informales'!AC44</f>
        <v>490.8731105836215</v>
      </c>
      <c r="AD18" s="65">
        <f>'Empleo Población'!AD49-'Empleo Informales'!AD44</f>
        <v>460.10610477668399</v>
      </c>
      <c r="AE18" s="65">
        <f>'Empleo Población'!AE49-'Empleo Informales'!AE44</f>
        <v>445.49649159673504</v>
      </c>
      <c r="AF18" s="65">
        <f>'Empleo Población'!AF49-'Empleo Informales'!AF44</f>
        <v>451.82847772660921</v>
      </c>
      <c r="AG18" s="65">
        <f>'Empleo Población'!AG49-'Empleo Informales'!AG44</f>
        <v>482.14974164866186</v>
      </c>
      <c r="AH18" s="65">
        <f>'Empleo Población'!AH49-'Empleo Informales'!AH44</f>
        <v>479.88658229573775</v>
      </c>
      <c r="AI18" s="65">
        <f>'Empleo Población'!AI49-'Empleo Informales'!AI44</f>
        <v>494.49790893472289</v>
      </c>
      <c r="AJ18" s="65">
        <f>'Empleo Población'!AJ49-'Empleo Informales'!AJ44</f>
        <v>494.05085373165144</v>
      </c>
      <c r="AK18" s="65">
        <f>'Empleo Población'!AK49-'Empleo Informales'!AK44</f>
        <v>507.99302916271017</v>
      </c>
      <c r="AL18" s="65">
        <f>'Empleo Población'!AL49-'Empleo Informales'!AL44</f>
        <v>511.55007794481253</v>
      </c>
      <c r="AM18" s="65">
        <f>'Empleo Población'!AM49-'Empleo Informales'!AM44</f>
        <v>491.65146652415558</v>
      </c>
      <c r="AN18" s="65">
        <f>'Empleo Población'!AN49-'Empleo Informales'!AN44</f>
        <v>528.06460198299578</v>
      </c>
      <c r="AO18" s="65">
        <f>'Empleo Población'!AO49-'Empleo Informales'!AO44</f>
        <v>528.34753108479606</v>
      </c>
      <c r="AP18" s="65">
        <f>'Empleo Población'!AP49-'Empleo Informales'!AP44</f>
        <v>548.42344103156711</v>
      </c>
      <c r="AQ18" s="65">
        <f>'Empleo Población'!AQ49-'Empleo Informales'!AQ44</f>
        <v>546.22963527607021</v>
      </c>
      <c r="AR18" s="65">
        <f>'Empleo Población'!AR49-'Empleo Informales'!AR44</f>
        <v>515.28234813976349</v>
      </c>
      <c r="AS18" s="65">
        <f>'Empleo Población'!AS49-'Empleo Informales'!AS44</f>
        <v>475.80002829276322</v>
      </c>
      <c r="AT18" s="65">
        <f>'Empleo Población'!AT49-'Empleo Informales'!AT44</f>
        <v>538.10997810973799</v>
      </c>
      <c r="AU18" s="65">
        <f>'Empleo Población'!AU49-'Empleo Informales'!AU44</f>
        <v>515.26757539520725</v>
      </c>
      <c r="AV18" s="65">
        <f>'Empleo Población'!AV49-'Empleo Informales'!AV44</f>
        <v>533.84885662140198</v>
      </c>
      <c r="AW18" s="65">
        <f>'Empleo Población'!AW49-'Empleo Informales'!AW44</f>
        <v>538.93487167267722</v>
      </c>
      <c r="AX18" s="65"/>
      <c r="AY18" s="65"/>
      <c r="AZ18" s="65"/>
      <c r="BA18" s="65">
        <f>'Empleo Población'!BA49-'Empleo Informales'!BA44</f>
        <v>572.60994570028492</v>
      </c>
      <c r="BB18" s="65">
        <f>'Empleo Población'!BB49-'Empleo Informales'!BB44</f>
        <v>591.08258553449298</v>
      </c>
      <c r="BC18" s="65">
        <f>'Empleo Población'!BC49-'Empleo Informales'!BC44</f>
        <v>626.26677385570588</v>
      </c>
      <c r="BD18" s="65">
        <f>'Empleo Población'!BD49-'Empleo Informales'!BD44</f>
        <v>636.66614419166444</v>
      </c>
      <c r="BE18" s="65">
        <f>'Empleo Población'!BE49-'Empleo Informales'!BE44</f>
        <v>568.58521861466693</v>
      </c>
      <c r="BF18" s="65">
        <f>'Empleo Población'!BF49-'Empleo Informales'!BF44</f>
        <v>586.21860570000001</v>
      </c>
      <c r="BG18" s="65">
        <f>'Empleo Población'!BG49-'Empleo Informales'!BG44</f>
        <v>604.33249000000001</v>
      </c>
      <c r="BH18" s="66">
        <f>'Empleo Población'!BH49-'Empleo Informales'!BH44</f>
        <v>611.74224511200123</v>
      </c>
      <c r="BI18" s="65">
        <f>'Empleo Población'!BI49-'Empleo Informales'!BI44</f>
        <v>585.31380239999987</v>
      </c>
      <c r="BJ18" s="65">
        <f>'Empleo Población'!BJ49-'Empleo Informales'!BJ44</f>
        <v>601.12153260000002</v>
      </c>
      <c r="BK18" s="65">
        <f>'Empleo Población'!BK49-'Empleo Informales'!BK44</f>
        <v>558.83067259999996</v>
      </c>
      <c r="BL18" s="65">
        <f>'Empleo Población'!BL49-'Empleo Informales'!BL44</f>
        <v>593.84699999999998</v>
      </c>
      <c r="BM18" s="65">
        <f>'Empleo Población'!BM49-'Empleo Informales'!BM44</f>
        <v>629.95400000000006</v>
      </c>
      <c r="BN18" s="65">
        <f>'Empleo Población'!BN49-'Empleo Informales'!BN44</f>
        <v>654.57859699608605</v>
      </c>
      <c r="BO18" s="65">
        <f>'Empleo Población'!BO49-'Empleo Informales'!BO44</f>
        <v>628.74800000000005</v>
      </c>
      <c r="BP18" s="65">
        <f>'Empleo Población'!BP49-'Empleo Informales'!BP44</f>
        <v>599.05899999999997</v>
      </c>
      <c r="BQ18" s="65">
        <f>'Empleo Población'!BQ49-'Empleo Informales'!BQ44</f>
        <v>610.23</v>
      </c>
      <c r="BR18" s="65">
        <f>'Empleo Población'!BR49-'Empleo Informales'!BR44</f>
        <v>639.80400000000009</v>
      </c>
      <c r="BS18" s="65">
        <f>'Empleo Población'!BS49-'Empleo Informales'!BS44</f>
        <v>670.80799999999999</v>
      </c>
    </row>
    <row r="19" spans="1:71" x14ac:dyDescent="0.2">
      <c r="A19" s="22"/>
      <c r="B19" s="65"/>
      <c r="C19" s="57">
        <f t="shared" ref="C19:Q19" si="24">C18/B18-1</f>
        <v>3.5689821771014874E-2</v>
      </c>
      <c r="D19" s="57">
        <f t="shared" si="24"/>
        <v>-1.9020273712711089E-2</v>
      </c>
      <c r="E19" s="57">
        <f t="shared" si="24"/>
        <v>5.6556335592726548E-2</v>
      </c>
      <c r="F19" s="57">
        <f t="shared" si="24"/>
        <v>8.9937154336485525E-2</v>
      </c>
      <c r="G19" s="57">
        <f t="shared" si="24"/>
        <v>-5.2273622791061625E-2</v>
      </c>
      <c r="H19" s="57">
        <f t="shared" si="24"/>
        <v>6.3280374533658756E-2</v>
      </c>
      <c r="I19" s="57">
        <f t="shared" si="24"/>
        <v>-3.5944250136419331E-2</v>
      </c>
      <c r="J19" s="57">
        <f t="shared" si="24"/>
        <v>3.2623534522670639E-2</v>
      </c>
      <c r="K19" s="57">
        <f t="shared" si="24"/>
        <v>3.7350687578259212E-3</v>
      </c>
      <c r="L19" s="57">
        <f t="shared" si="24"/>
        <v>1.1815787990390847E-2</v>
      </c>
      <c r="M19" s="57">
        <f t="shared" si="24"/>
        <v>3.7832683138825374E-3</v>
      </c>
      <c r="N19" s="57">
        <f t="shared" si="24"/>
        <v>-6.1170234621908848E-2</v>
      </c>
      <c r="O19" s="57">
        <f t="shared" si="24"/>
        <v>2.3816597373709225E-2</v>
      </c>
      <c r="P19" s="57">
        <f t="shared" si="24"/>
        <v>6.2375300650735488E-2</v>
      </c>
      <c r="Q19" s="57">
        <f t="shared" si="24"/>
        <v>0.10666036607678331</v>
      </c>
      <c r="R19" s="61"/>
      <c r="S19" s="58"/>
      <c r="T19" s="57">
        <f t="shared" ref="T19:AW19" si="25">T18/S18-1</f>
        <v>9.0816360037194066E-2</v>
      </c>
      <c r="U19" s="57">
        <f t="shared" si="25"/>
        <v>5.7413719868722124E-2</v>
      </c>
      <c r="V19" s="57">
        <f t="shared" si="25"/>
        <v>-6.6265378040201273E-2</v>
      </c>
      <c r="W19" s="57">
        <f t="shared" si="25"/>
        <v>7.6310723356999732E-2</v>
      </c>
      <c r="X19" s="57">
        <f t="shared" si="25"/>
        <v>6.2608718556583121E-2</v>
      </c>
      <c r="Y19" s="57">
        <f t="shared" si="25"/>
        <v>-2.913508655961472E-2</v>
      </c>
      <c r="Z19" s="57">
        <f t="shared" si="25"/>
        <v>-4.9451675202988654E-2</v>
      </c>
      <c r="AA19" s="57">
        <f t="shared" si="25"/>
        <v>4.3591444986054384E-2</v>
      </c>
      <c r="AB19" s="57">
        <f t="shared" si="25"/>
        <v>7.1675629924991213E-2</v>
      </c>
      <c r="AC19" s="57">
        <f t="shared" si="25"/>
        <v>-5.761559957323914E-2</v>
      </c>
      <c r="AD19" s="57">
        <f t="shared" si="25"/>
        <v>-6.2678124231244192E-2</v>
      </c>
      <c r="AE19" s="57">
        <f t="shared" si="25"/>
        <v>-3.1752704492021167E-2</v>
      </c>
      <c r="AF19" s="57">
        <f t="shared" si="25"/>
        <v>1.4213324345561551E-2</v>
      </c>
      <c r="AG19" s="57">
        <f t="shared" si="25"/>
        <v>6.7107908015482165E-2</v>
      </c>
      <c r="AH19" s="57">
        <f t="shared" si="25"/>
        <v>-4.6938931154156815E-3</v>
      </c>
      <c r="AI19" s="57">
        <f t="shared" si="25"/>
        <v>3.0447458166231289E-2</v>
      </c>
      <c r="AJ19" s="57">
        <f t="shared" si="25"/>
        <v>-9.0405883421129651E-4</v>
      </c>
      <c r="AK19" s="57">
        <f t="shared" si="25"/>
        <v>2.8220122130649283E-2</v>
      </c>
      <c r="AL19" s="57">
        <f t="shared" si="25"/>
        <v>7.0021606161903005E-3</v>
      </c>
      <c r="AM19" s="57">
        <f t="shared" si="25"/>
        <v>-3.8898657782637791E-2</v>
      </c>
      <c r="AN19" s="57">
        <f t="shared" si="25"/>
        <v>7.4062904187536249E-2</v>
      </c>
      <c r="AO19" s="57">
        <f t="shared" si="25"/>
        <v>5.3578501709417026E-4</v>
      </c>
      <c r="AP19" s="57">
        <f t="shared" si="25"/>
        <v>3.7997546625327283E-2</v>
      </c>
      <c r="AQ19" s="57">
        <f t="shared" si="25"/>
        <v>-4.000204206024538E-3</v>
      </c>
      <c r="AR19" s="57">
        <f t="shared" si="25"/>
        <v>-5.6656184757653549E-2</v>
      </c>
      <c r="AS19" s="57">
        <f t="shared" si="25"/>
        <v>-7.6622690432801788E-2</v>
      </c>
      <c r="AT19" s="57">
        <f t="shared" si="25"/>
        <v>0.13095827261833404</v>
      </c>
      <c r="AU19" s="57">
        <f t="shared" si="25"/>
        <v>-4.2449320108820632E-2</v>
      </c>
      <c r="AV19" s="57">
        <f t="shared" si="25"/>
        <v>3.6061421508898572E-2</v>
      </c>
      <c r="AW19" s="57">
        <f t="shared" si="25"/>
        <v>9.52706929722269E-3</v>
      </c>
      <c r="AX19" s="57"/>
      <c r="AY19" s="57"/>
      <c r="AZ19" s="57"/>
      <c r="BA19" s="57"/>
      <c r="BB19" s="57">
        <f t="shared" ref="BB19:BP19" si="26">BB18/BA18-1</f>
        <v>3.2260424348055317E-2</v>
      </c>
      <c r="BC19" s="57">
        <f t="shared" si="26"/>
        <v>5.9524995630512834E-2</v>
      </c>
      <c r="BD19" s="57">
        <f t="shared" si="26"/>
        <v>1.6605336208295407E-2</v>
      </c>
      <c r="BE19" s="62">
        <f t="shared" si="26"/>
        <v>-0.10693347871267078</v>
      </c>
      <c r="BF19" s="57">
        <f t="shared" si="26"/>
        <v>3.1012742695450513E-2</v>
      </c>
      <c r="BG19" s="57">
        <f t="shared" si="26"/>
        <v>3.0899538369940194E-2</v>
      </c>
      <c r="BH19" s="57">
        <f t="shared" si="26"/>
        <v>1.226105700853708E-2</v>
      </c>
      <c r="BI19" s="57">
        <f t="shared" si="26"/>
        <v>-4.3201925195083923E-2</v>
      </c>
      <c r="BJ19" s="57">
        <f t="shared" si="26"/>
        <v>2.7007273936105136E-2</v>
      </c>
      <c r="BK19" s="57">
        <f t="shared" si="26"/>
        <v>-7.0353260874022605E-2</v>
      </c>
      <c r="BL19" s="57">
        <f t="shared" si="26"/>
        <v>6.265999544564016E-2</v>
      </c>
      <c r="BM19" s="57">
        <f t="shared" si="26"/>
        <v>6.0801856370412022E-2</v>
      </c>
      <c r="BN19" s="57">
        <f t="shared" si="26"/>
        <v>3.908951605368971E-2</v>
      </c>
      <c r="BO19" s="57">
        <f t="shared" si="26"/>
        <v>-3.9461413976296655E-2</v>
      </c>
      <c r="BP19" s="57">
        <f t="shared" si="26"/>
        <v>-4.7219235687429695E-2</v>
      </c>
      <c r="BQ19" s="62">
        <f>BQ18/$BP18-1</f>
        <v>1.8647578952991406E-2</v>
      </c>
      <c r="BR19" s="62">
        <f>BR18/$BP18-1</f>
        <v>6.8015003530537355E-2</v>
      </c>
      <c r="BS19" s="62">
        <f>BS18/$BP18-1</f>
        <v>0.1197695051739478</v>
      </c>
    </row>
    <row r="20" spans="1:71" x14ac:dyDescent="0.2">
      <c r="A20" s="22" t="s">
        <v>117</v>
      </c>
      <c r="B20" s="65">
        <f>'Empleo Población'!B51-'Empleo Informales'!B46</f>
        <v>55.75685274021464</v>
      </c>
      <c r="C20" s="65">
        <f>'Empleo Población'!C51-'Empleo Informales'!C46</f>
        <v>57.852159205341536</v>
      </c>
      <c r="D20" s="65">
        <f>'Empleo Población'!D51-'Empleo Informales'!D46</f>
        <v>68.742004318620047</v>
      </c>
      <c r="E20" s="65">
        <f>'Empleo Población'!E51-'Empleo Informales'!E46</f>
        <v>92.74170636820395</v>
      </c>
      <c r="F20" s="65">
        <f>'Empleo Población'!F51-'Empleo Informales'!F46</f>
        <v>73.760060240874168</v>
      </c>
      <c r="G20" s="65">
        <f>'Empleo Población'!G51-'Empleo Informales'!G46</f>
        <v>81.263836443014497</v>
      </c>
      <c r="H20" s="65">
        <f>'Empleo Población'!H51-'Empleo Informales'!H46</f>
        <v>62.416758149086945</v>
      </c>
      <c r="I20" s="65">
        <f>'Empleo Población'!I51-'Empleo Informales'!I46</f>
        <v>53.712786735904274</v>
      </c>
      <c r="J20" s="65">
        <f>'Empleo Población'!J51-'Empleo Informales'!J46</f>
        <v>90.793366708953045</v>
      </c>
      <c r="K20" s="65">
        <f>'Empleo Población'!K51-'Empleo Informales'!K46</f>
        <v>61.542117306379282</v>
      </c>
      <c r="L20" s="65">
        <f>'Empleo Población'!L51-'Empleo Informales'!L46</f>
        <v>85.210752551002884</v>
      </c>
      <c r="M20" s="65">
        <f>'Empleo Población'!M51-'Empleo Informales'!M46</f>
        <v>86.678074149197414</v>
      </c>
      <c r="N20" s="65">
        <f>'Empleo Población'!N51-'Empleo Informales'!N46</f>
        <v>80.565252467128289</v>
      </c>
      <c r="O20" s="65">
        <f>'Empleo Población'!O51-'Empleo Informales'!O46</f>
        <v>99.562908269305922</v>
      </c>
      <c r="P20" s="65">
        <f>'Empleo Población'!P51-'Empleo Informales'!P46</f>
        <v>103.00815346245429</v>
      </c>
      <c r="Q20" s="65">
        <f>'Empleo Población'!Q51-'Empleo Informales'!Q46</f>
        <v>99.160939064359468</v>
      </c>
      <c r="R20" s="65"/>
      <c r="S20" s="65">
        <f>'Empleo Población'!S51-'Empleo Informales'!S46</f>
        <v>101.18355239790844</v>
      </c>
      <c r="T20" s="65">
        <f>'Empleo Población'!T51-'Empleo Informales'!T46</f>
        <v>134.35720321093049</v>
      </c>
      <c r="U20" s="65">
        <f>'Empleo Población'!U51-'Empleo Informales'!U46</f>
        <v>134.13896311076007</v>
      </c>
      <c r="V20" s="65">
        <f>'Empleo Población'!V51-'Empleo Informales'!V46</f>
        <v>124.91780400064431</v>
      </c>
      <c r="W20" s="65">
        <f>'Empleo Población'!W51-'Empleo Informales'!W46</f>
        <v>100.50451409801258</v>
      </c>
      <c r="X20" s="65">
        <f>'Empleo Población'!X51-'Empleo Informales'!X46</f>
        <v>130.75421483074808</v>
      </c>
      <c r="Y20" s="65">
        <f>'Empleo Población'!Y51-'Empleo Informales'!Y46</f>
        <v>136.56260697018126</v>
      </c>
      <c r="Z20" s="65">
        <f>'Empleo Población'!Z51-'Empleo Informales'!Z46</f>
        <v>152.18467171502436</v>
      </c>
      <c r="AA20" s="65">
        <f>'Empleo Población'!AA51-'Empleo Informales'!AA46</f>
        <v>126.68918705529711</v>
      </c>
      <c r="AB20" s="65">
        <f>'Empleo Población'!AB51-'Empleo Informales'!AB46</f>
        <v>122.97666449380029</v>
      </c>
      <c r="AC20" s="65">
        <f>'Empleo Población'!AC51-'Empleo Informales'!AC46</f>
        <v>141.50870285551514</v>
      </c>
      <c r="AD20" s="65">
        <f>'Empleo Población'!AD51-'Empleo Informales'!AD46</f>
        <v>150.19001065138764</v>
      </c>
      <c r="AE20" s="65">
        <f>'Empleo Población'!AE51-'Empleo Informales'!AE46</f>
        <v>149.19886545653389</v>
      </c>
      <c r="AF20" s="65">
        <f>'Empleo Población'!AF51-'Empleo Informales'!AF46</f>
        <v>123.25793801311625</v>
      </c>
      <c r="AG20" s="65">
        <f>'Empleo Población'!AG51-'Empleo Informales'!AG46</f>
        <v>147.35849170225288</v>
      </c>
      <c r="AH20" s="65">
        <f>'Empleo Población'!AH51-'Empleo Informales'!AH46</f>
        <v>160.06958656354425</v>
      </c>
      <c r="AI20" s="65">
        <f>'Empleo Población'!AI51-'Empleo Informales'!AI46</f>
        <v>148.64967334885625</v>
      </c>
      <c r="AJ20" s="65">
        <f>'Empleo Población'!AJ51-'Empleo Informales'!AJ46</f>
        <v>143.95791066456013</v>
      </c>
      <c r="AK20" s="65">
        <f>'Empleo Población'!AK51-'Empleo Informales'!AK46</f>
        <v>153.64894380102874</v>
      </c>
      <c r="AL20" s="65">
        <f>'Empleo Población'!AL51-'Empleo Informales'!AL46</f>
        <v>167.64736868173952</v>
      </c>
      <c r="AM20" s="65">
        <f>'Empleo Población'!AM51-'Empleo Informales'!AM46</f>
        <v>143.46707438829151</v>
      </c>
      <c r="AN20" s="65">
        <f>'Empleo Población'!AN51-'Empleo Informales'!AN46</f>
        <v>153.47720687127537</v>
      </c>
      <c r="AO20" s="65">
        <f>'Empleo Población'!AO51-'Empleo Informales'!AO46</f>
        <v>175.70717507154666</v>
      </c>
      <c r="AP20" s="65">
        <f>'Empleo Población'!AP51-'Empleo Informales'!AP46</f>
        <v>175.56258656631326</v>
      </c>
      <c r="AQ20" s="65">
        <f>'Empleo Población'!AQ51-'Empleo Informales'!AQ46</f>
        <v>200.64946583974586</v>
      </c>
      <c r="AR20" s="65">
        <f>'Empleo Población'!AR51-'Empleo Informales'!AR46</f>
        <v>180.58138357334394</v>
      </c>
      <c r="AS20" s="65">
        <f>'Empleo Población'!AS51-'Empleo Informales'!AS46</f>
        <v>178.3186952623962</v>
      </c>
      <c r="AT20" s="65">
        <f>'Empleo Población'!AT51-'Empleo Informales'!AT46</f>
        <v>202.54839882780414</v>
      </c>
      <c r="AU20" s="65">
        <f>'Empleo Población'!AU51-'Empleo Informales'!AU46</f>
        <v>194.54057555597342</v>
      </c>
      <c r="AV20" s="65">
        <f>'Empleo Población'!AV51-'Empleo Informales'!AV46</f>
        <v>201.3565733574402</v>
      </c>
      <c r="AW20" s="65">
        <f>'Empleo Población'!AW51-'Empleo Informales'!AW46</f>
        <v>173.05816792864687</v>
      </c>
      <c r="AX20" s="65"/>
      <c r="AY20" s="65"/>
      <c r="AZ20" s="65"/>
      <c r="BA20" s="65">
        <f>'Empleo Población'!BA51-'Empleo Informales'!BA46</f>
        <v>244.54879847047141</v>
      </c>
      <c r="BB20" s="65">
        <f>'Empleo Población'!BB51-'Empleo Informales'!BB46</f>
        <v>229.01074050697468</v>
      </c>
      <c r="BC20" s="65">
        <f>'Empleo Población'!BC51-'Empleo Informales'!BC46</f>
        <v>227.68019915481534</v>
      </c>
      <c r="BD20" s="65">
        <f>'Empleo Población'!BD51-'Empleo Informales'!BD46</f>
        <v>236.92180520440809</v>
      </c>
      <c r="BE20" s="65">
        <f>'Empleo Población'!BE51-'Empleo Informales'!BE46</f>
        <v>217.45779044662606</v>
      </c>
      <c r="BF20" s="65">
        <f>'Empleo Población'!BF51-'Empleo Informales'!BF46</f>
        <v>256.98964199999978</v>
      </c>
      <c r="BG20" s="65">
        <f>'Empleo Población'!BG51-'Empleo Informales'!BG46</f>
        <v>230.15778999999998</v>
      </c>
      <c r="BH20" s="66">
        <f>'Empleo Población'!BH51-'Empleo Informales'!BH46</f>
        <v>230.14514347857789</v>
      </c>
      <c r="BI20" s="65">
        <f>'Empleo Población'!BI51-'Empleo Informales'!BI46</f>
        <v>229.25638909999986</v>
      </c>
      <c r="BJ20" s="65">
        <f>'Empleo Población'!BJ51-'Empleo Informales'!BJ46</f>
        <v>225.61003759999983</v>
      </c>
      <c r="BK20" s="65">
        <f>'Empleo Población'!BK51-'Empleo Informales'!BK46</f>
        <v>229.73268939999991</v>
      </c>
      <c r="BL20" s="65">
        <f>'Empleo Población'!BL51-'Empleo Informales'!BL46</f>
        <v>251.58899999999994</v>
      </c>
      <c r="BM20" s="65">
        <f>'Empleo Población'!BM51-'Empleo Informales'!BM46</f>
        <v>266.48599999999999</v>
      </c>
      <c r="BN20" s="65">
        <f>'Empleo Población'!BN51-'Empleo Informales'!BN46</f>
        <v>249.17091522076282</v>
      </c>
      <c r="BO20" s="65">
        <f>'Empleo Población'!BO51-'Empleo Informales'!BO46</f>
        <v>261.45699999999999</v>
      </c>
      <c r="BP20" s="65">
        <f>'Empleo Población'!BP51-'Empleo Informales'!BP46</f>
        <v>252.84800000000007</v>
      </c>
      <c r="BQ20" s="65">
        <f>'Empleo Población'!BQ51-'Empleo Informales'!BQ46</f>
        <v>246.53899999999999</v>
      </c>
      <c r="BR20" s="65">
        <f>'Empleo Población'!BR51-'Empleo Informales'!BR46</f>
        <v>232.96700000000004</v>
      </c>
      <c r="BS20" s="65">
        <f>'Empleo Población'!BS51-'Empleo Informales'!BS46</f>
        <v>227.40199999999999</v>
      </c>
    </row>
    <row r="21" spans="1:71" x14ac:dyDescent="0.2">
      <c r="A21" s="22"/>
      <c r="B21" s="65"/>
      <c r="C21" s="57">
        <f t="shared" ref="C21:Q21" si="27">C20/B20-1</f>
        <v>3.7579353248101466E-2</v>
      </c>
      <c r="D21" s="57">
        <f t="shared" si="27"/>
        <v>0.18823575926744396</v>
      </c>
      <c r="E21" s="57">
        <f t="shared" si="27"/>
        <v>0.34912717904390722</v>
      </c>
      <c r="F21" s="57">
        <f t="shared" si="27"/>
        <v>-0.20467216822568135</v>
      </c>
      <c r="G21" s="57">
        <f t="shared" si="27"/>
        <v>0.10173224069551545</v>
      </c>
      <c r="H21" s="57">
        <f t="shared" si="27"/>
        <v>-0.23192454502371285</v>
      </c>
      <c r="I21" s="57">
        <f t="shared" si="27"/>
        <v>-0.13944927085755732</v>
      </c>
      <c r="J21" s="57">
        <f t="shared" si="27"/>
        <v>0.69034921154560536</v>
      </c>
      <c r="K21" s="57">
        <f t="shared" si="27"/>
        <v>-0.32217385986292901</v>
      </c>
      <c r="L21" s="57">
        <f t="shared" si="27"/>
        <v>0.38459247553658971</v>
      </c>
      <c r="M21" s="57">
        <f t="shared" si="27"/>
        <v>1.7219911270191623E-2</v>
      </c>
      <c r="N21" s="57">
        <f t="shared" si="27"/>
        <v>-7.052327525813773E-2</v>
      </c>
      <c r="O21" s="57">
        <f t="shared" si="27"/>
        <v>0.23580458349496181</v>
      </c>
      <c r="P21" s="57">
        <f t="shared" si="27"/>
        <v>3.4603701850787427E-2</v>
      </c>
      <c r="Q21" s="57">
        <f t="shared" si="27"/>
        <v>-3.7348639586060495E-2</v>
      </c>
      <c r="R21" s="61"/>
      <c r="S21" s="58"/>
      <c r="T21" s="57">
        <f t="shared" ref="T21:AW21" si="28">T20/S20-1</f>
        <v>0.32785615870220997</v>
      </c>
      <c r="U21" s="57">
        <f t="shared" si="28"/>
        <v>-1.6243275012788327E-3</v>
      </c>
      <c r="V21" s="57">
        <f t="shared" si="28"/>
        <v>-6.8743330768866517E-2</v>
      </c>
      <c r="W21" s="57">
        <f t="shared" si="28"/>
        <v>-0.19543483091093894</v>
      </c>
      <c r="X21" s="57">
        <f t="shared" si="28"/>
        <v>0.30097852822049198</v>
      </c>
      <c r="Y21" s="57">
        <f t="shared" si="28"/>
        <v>4.4422217264290298E-2</v>
      </c>
      <c r="Z21" s="57">
        <f t="shared" si="28"/>
        <v>0.114394892507099</v>
      </c>
      <c r="AA21" s="57">
        <f t="shared" si="28"/>
        <v>-0.16752991199711098</v>
      </c>
      <c r="AB21" s="57">
        <f t="shared" si="28"/>
        <v>-2.9304178579000473E-2</v>
      </c>
      <c r="AC21" s="57">
        <f t="shared" si="28"/>
        <v>0.15069556844785881</v>
      </c>
      <c r="AD21" s="57">
        <f t="shared" si="28"/>
        <v>6.1348225379016963E-2</v>
      </c>
      <c r="AE21" s="57">
        <f t="shared" si="28"/>
        <v>-6.5992750819782175E-3</v>
      </c>
      <c r="AF21" s="62">
        <f t="shared" si="28"/>
        <v>-0.17386812804535046</v>
      </c>
      <c r="AG21" s="57">
        <f t="shared" si="28"/>
        <v>0.19552942453549749</v>
      </c>
      <c r="AH21" s="57">
        <f t="shared" si="28"/>
        <v>8.6259669968493879E-2</v>
      </c>
      <c r="AI21" s="57">
        <f t="shared" si="28"/>
        <v>-7.1343429191369379E-2</v>
      </c>
      <c r="AJ21" s="57">
        <f t="shared" si="28"/>
        <v>-3.1562549574430165E-2</v>
      </c>
      <c r="AK21" s="57">
        <f t="shared" si="28"/>
        <v>6.7318517556495427E-2</v>
      </c>
      <c r="AL21" s="57">
        <f t="shared" si="28"/>
        <v>9.1106548046554492E-2</v>
      </c>
      <c r="AM21" s="57">
        <f t="shared" si="28"/>
        <v>-0.14423306779930256</v>
      </c>
      <c r="AN21" s="57">
        <f t="shared" si="28"/>
        <v>6.977302998381063E-2</v>
      </c>
      <c r="AO21" s="57">
        <f t="shared" si="28"/>
        <v>0.14484214727021993</v>
      </c>
      <c r="AP21" s="57">
        <f t="shared" si="28"/>
        <v>-8.2289471203733644E-4</v>
      </c>
      <c r="AQ21" s="57">
        <f t="shared" si="28"/>
        <v>0.14289422230605386</v>
      </c>
      <c r="AR21" s="57">
        <f t="shared" si="28"/>
        <v>-0.1000156276639671</v>
      </c>
      <c r="AS21" s="57">
        <f t="shared" si="28"/>
        <v>-1.2530019795915059E-2</v>
      </c>
      <c r="AT21" s="57">
        <f t="shared" si="28"/>
        <v>0.13587864990686427</v>
      </c>
      <c r="AU21" s="57">
        <f t="shared" si="28"/>
        <v>-3.9535357071069921E-2</v>
      </c>
      <c r="AV21" s="57">
        <f t="shared" si="28"/>
        <v>3.5036381392352212E-2</v>
      </c>
      <c r="AW21" s="57">
        <f t="shared" si="28"/>
        <v>-0.14053877137926418</v>
      </c>
      <c r="AX21" s="57"/>
      <c r="AY21" s="57"/>
      <c r="AZ21" s="57"/>
      <c r="BA21" s="57"/>
      <c r="BB21" s="57">
        <f t="shared" ref="BB21:BP21" si="29">BB20/BA20-1</f>
        <v>-6.353765817161805E-2</v>
      </c>
      <c r="BC21" s="57">
        <f t="shared" si="29"/>
        <v>-5.8099517481750018E-3</v>
      </c>
      <c r="BD21" s="57">
        <f t="shared" si="29"/>
        <v>4.0590293244204156E-2</v>
      </c>
      <c r="BE21" s="57">
        <f t="shared" si="29"/>
        <v>-8.2153750014647753E-2</v>
      </c>
      <c r="BF21" s="57">
        <f t="shared" si="29"/>
        <v>0.18179091892813393</v>
      </c>
      <c r="BG21" s="57">
        <f t="shared" si="29"/>
        <v>-0.10440830140539215</v>
      </c>
      <c r="BH21" s="57">
        <f t="shared" si="29"/>
        <v>-5.4947179593978213E-5</v>
      </c>
      <c r="BI21" s="57">
        <f t="shared" si="29"/>
        <v>-3.8617125051815249E-3</v>
      </c>
      <c r="BJ21" s="57">
        <f t="shared" si="29"/>
        <v>-1.5905124887967803E-2</v>
      </c>
      <c r="BK21" s="57">
        <f t="shared" si="29"/>
        <v>1.8273352745543203E-2</v>
      </c>
      <c r="BL21" s="57">
        <f t="shared" si="29"/>
        <v>9.5138008687761566E-2</v>
      </c>
      <c r="BM21" s="57">
        <f t="shared" si="29"/>
        <v>5.9211650747846845E-2</v>
      </c>
      <c r="BN21" s="57">
        <f t="shared" si="29"/>
        <v>-6.4975588883607993E-2</v>
      </c>
      <c r="BO21" s="57">
        <f t="shared" si="29"/>
        <v>4.9307860704175033E-2</v>
      </c>
      <c r="BP21" s="57">
        <f t="shared" si="29"/>
        <v>-3.2927020504327387E-2</v>
      </c>
      <c r="BQ21" s="63">
        <f>BQ20/$BP20-1</f>
        <v>-2.4951749667784906E-2</v>
      </c>
      <c r="BR21" s="63">
        <f>BR20/$BP20-1</f>
        <v>-7.8628266784787737E-2</v>
      </c>
      <c r="BS21" s="63">
        <f>BS20/$BP20-1</f>
        <v>-0.10063753717648583</v>
      </c>
    </row>
    <row r="22" spans="1:71" x14ac:dyDescent="0.2">
      <c r="A22" s="37" t="s">
        <v>199</v>
      </c>
      <c r="B22" s="65">
        <f>'Empleo Población'!B53-'Empleo Informales'!B48</f>
        <v>909.15760566393669</v>
      </c>
      <c r="C22" s="65">
        <f>'Empleo Población'!C53-'Empleo Informales'!C48</f>
        <v>890.90783390876459</v>
      </c>
      <c r="D22" s="65">
        <f>'Empleo Población'!D53-'Empleo Informales'!D48</f>
        <v>914.68471160912759</v>
      </c>
      <c r="E22" s="65">
        <f>'Empleo Población'!E53-'Empleo Informales'!E48</f>
        <v>970.8739781208584</v>
      </c>
      <c r="F22" s="65">
        <f>'Empleo Población'!F53-'Empleo Informales'!F48</f>
        <v>978.22406193984443</v>
      </c>
      <c r="G22" s="65">
        <f>'Empleo Población'!G53-'Empleo Informales'!G48</f>
        <v>926.58437055076638</v>
      </c>
      <c r="H22" s="65">
        <f>'Empleo Población'!H53-'Empleo Informales'!H48</f>
        <v>921.06380810942983</v>
      </c>
      <c r="I22" s="65">
        <f>'Empleo Población'!I53-'Empleo Informales'!I48</f>
        <v>995.73990134447718</v>
      </c>
      <c r="J22" s="65">
        <f>'Empleo Población'!J53-'Empleo Informales'!J48</f>
        <v>977.56119439217287</v>
      </c>
      <c r="K22" s="65">
        <f>'Empleo Población'!K53-'Empleo Informales'!K48</f>
        <v>991.44979746684874</v>
      </c>
      <c r="L22" s="65">
        <f>'Empleo Población'!L53-'Empleo Informales'!L48</f>
        <v>1020.6447285594418</v>
      </c>
      <c r="M22" s="65">
        <f>'Empleo Población'!M53-'Empleo Informales'!M48</f>
        <v>1031.6254277634591</v>
      </c>
      <c r="N22" s="65">
        <f>'Empleo Población'!N53-'Empleo Informales'!N48</f>
        <v>1003.5238772959084</v>
      </c>
      <c r="O22" s="65">
        <f>'Empleo Población'!O53-'Empleo Informales'!O48</f>
        <v>1037.5228463936194</v>
      </c>
      <c r="P22" s="65">
        <f>'Empleo Población'!P53-'Empleo Informales'!P48</f>
        <v>1083.9246066889543</v>
      </c>
      <c r="Q22" s="65">
        <f>'Empleo Población'!Q53-'Empleo Informales'!Q48</f>
        <v>1081.2499203006425</v>
      </c>
      <c r="R22" s="65"/>
      <c r="S22" s="65">
        <f>'Empleo Población'!S53-'Empleo Informales'!S48</f>
        <v>1098.2043496029862</v>
      </c>
      <c r="T22" s="65">
        <f>'Empleo Población'!T53-'Empleo Informales'!T48</f>
        <v>1127.2491629572253</v>
      </c>
      <c r="U22" s="65">
        <f>'Empleo Población'!U53-'Empleo Informales'!U48</f>
        <v>1101.5766521183841</v>
      </c>
      <c r="V22" s="65">
        <f>'Empleo Población'!V53-'Empleo Informales'!V48</f>
        <v>1131.7440397176083</v>
      </c>
      <c r="W22" s="65">
        <f>'Empleo Población'!W53-'Empleo Informales'!W48</f>
        <v>1108.6520989403712</v>
      </c>
      <c r="X22" s="65">
        <f>'Empleo Población'!X53-'Empleo Informales'!X48</f>
        <v>1161.4748978846751</v>
      </c>
      <c r="Y22" s="65">
        <f>'Empleo Población'!Y53-'Empleo Informales'!Y48</f>
        <v>1162.8208730256476</v>
      </c>
      <c r="Z22" s="65">
        <f>'Empleo Población'!Z53-'Empleo Informales'!Z48</f>
        <v>1187.8102913597613</v>
      </c>
      <c r="AA22" s="65">
        <f>'Empleo Población'!AA53-'Empleo Informales'!AA48</f>
        <v>1244.4859019497471</v>
      </c>
      <c r="AB22" s="65">
        <f>'Empleo Población'!AB53-'Empleo Informales'!AB48</f>
        <v>1217.9128559735984</v>
      </c>
      <c r="AC22" s="65">
        <f>'Empleo Población'!AC53-'Empleo Informales'!AC48</f>
        <v>1170.1198314414607</v>
      </c>
      <c r="AD22" s="65">
        <f>'Empleo Población'!AD53-'Empleo Informales'!AD48</f>
        <v>1146.2740848660001</v>
      </c>
      <c r="AE22" s="65">
        <f>'Empleo Población'!AE53-'Empleo Informales'!AE48</f>
        <v>1263.1999636930232</v>
      </c>
      <c r="AF22" s="65">
        <f>'Empleo Población'!AF53-'Empleo Informales'!AF48</f>
        <v>1293.2693072849124</v>
      </c>
      <c r="AG22" s="65">
        <f>'Empleo Población'!AG53-'Empleo Informales'!AG48</f>
        <v>1240.0623206808889</v>
      </c>
      <c r="AH22" s="65">
        <f>'Empleo Población'!AH53-'Empleo Informales'!AH48</f>
        <v>1211.5048107636676</v>
      </c>
      <c r="AI22" s="65">
        <f>'Empleo Población'!AI53-'Empleo Informales'!AI48</f>
        <v>1243.7745291886613</v>
      </c>
      <c r="AJ22" s="65">
        <f>'Empleo Población'!AJ53-'Empleo Informales'!AJ48</f>
        <v>1303.4059270294665</v>
      </c>
      <c r="AK22" s="65">
        <f>'Empleo Población'!AK53-'Empleo Informales'!AK48</f>
        <v>1351.8612593212756</v>
      </c>
      <c r="AL22" s="65">
        <f>'Empleo Población'!AL53-'Empleo Informales'!AL48</f>
        <v>1298.2572607531795</v>
      </c>
      <c r="AM22" s="65">
        <f>'Empleo Población'!AM53-'Empleo Informales'!AM48</f>
        <v>1298.5545214008032</v>
      </c>
      <c r="AN22" s="65">
        <f>'Empleo Población'!AN53-'Empleo Informales'!AN48</f>
        <v>1272.9170251304795</v>
      </c>
      <c r="AO22" s="65">
        <f>'Empleo Población'!AO53-'Empleo Informales'!AO48</f>
        <v>1315.6820295298635</v>
      </c>
      <c r="AP22" s="65">
        <f>'Empleo Población'!AP53-'Empleo Informales'!AP48</f>
        <v>1376.0451146567229</v>
      </c>
      <c r="AQ22" s="65">
        <f>'Empleo Población'!AQ53-'Empleo Informales'!AQ48</f>
        <v>1403.0373185348453</v>
      </c>
      <c r="AR22" s="65">
        <f>'Empleo Población'!AR53-'Empleo Informales'!AR48</f>
        <v>1371.3596508491764</v>
      </c>
      <c r="AS22" s="65">
        <f>'Empleo Población'!AS53-'Empleo Informales'!AS48</f>
        <v>1406.0510510809656</v>
      </c>
      <c r="AT22" s="65">
        <f>'Empleo Población'!AT53-'Empleo Informales'!AT48</f>
        <v>1338.9000987983677</v>
      </c>
      <c r="AU22" s="65">
        <f>'Empleo Población'!AU53-'Empleo Informales'!AU48</f>
        <v>1428.3334567085581</v>
      </c>
      <c r="AV22" s="65">
        <f>'Empleo Población'!AV53-'Empleo Informales'!AV48</f>
        <v>1391.8217018835387</v>
      </c>
      <c r="AW22" s="65">
        <f>'Empleo Población'!AW53-'Empleo Informales'!AW48</f>
        <v>1398.5404126657543</v>
      </c>
      <c r="AX22" s="65"/>
      <c r="AY22" s="65"/>
      <c r="AZ22" s="65"/>
      <c r="BA22" s="65">
        <f>'Empleo Población'!BA53-'Empleo Informales'!BA48</f>
        <v>1347.2454256206913</v>
      </c>
      <c r="BB22" s="65">
        <f>'Empleo Población'!BB53-'Empleo Informales'!BB48</f>
        <v>1365.2067907069131</v>
      </c>
      <c r="BC22" s="65">
        <f>'Empleo Población'!BC53-'Empleo Informales'!BC48</f>
        <v>1367.2867692438463</v>
      </c>
      <c r="BD22" s="65">
        <f>'Empleo Población'!BD53-'Empleo Informales'!BD48</f>
        <v>1334.9149208629069</v>
      </c>
      <c r="BE22" s="65">
        <f>'Empleo Población'!BE53-'Empleo Informales'!BE48</f>
        <v>1355.8413724989252</v>
      </c>
      <c r="BF22" s="65">
        <f>'Empleo Población'!BF53-'Empleo Informales'!BF48</f>
        <v>1394.1379998</v>
      </c>
      <c r="BG22" s="65">
        <f>'Empleo Población'!BG53-'Empleo Informales'!BG48</f>
        <v>1483.0425899999998</v>
      </c>
      <c r="BH22" s="66">
        <f>'Empleo Población'!BH53-'Empleo Informales'!BH48</f>
        <v>1426.8698180727654</v>
      </c>
      <c r="BI22" s="65">
        <f>'Empleo Población'!BI53-'Empleo Informales'!BI48</f>
        <v>1301.1299125</v>
      </c>
      <c r="BJ22" s="65">
        <f>'Empleo Población'!BJ53-'Empleo Informales'!BJ48</f>
        <v>1312.051786</v>
      </c>
      <c r="BK22" s="65">
        <f>'Empleo Población'!BK53-'Empleo Informales'!BK48</f>
        <v>1420.2585615999999</v>
      </c>
      <c r="BL22" s="65">
        <f>'Empleo Población'!BL53-'Empleo Informales'!BL48</f>
        <v>1425.1100000000001</v>
      </c>
      <c r="BM22" s="65">
        <f>'Empleo Población'!BM53-'Empleo Informales'!BM48</f>
        <v>1329.06</v>
      </c>
      <c r="BN22" s="65">
        <f>'Empleo Población'!BN53-'Empleo Informales'!BN48</f>
        <v>1341.2889676244993</v>
      </c>
      <c r="BO22" s="65">
        <f>'Empleo Población'!BO53-'Empleo Informales'!BO48</f>
        <v>1443.47</v>
      </c>
      <c r="BP22" s="65">
        <f>'Empleo Población'!BP53-'Empleo Informales'!BP48</f>
        <v>1516.771</v>
      </c>
      <c r="BQ22" s="65">
        <f>'Empleo Población'!BQ53-'Empleo Informales'!BQ48</f>
        <v>1242.9789999999998</v>
      </c>
      <c r="BR22" s="65">
        <f>'Empleo Población'!BR53-'Empleo Informales'!BR48</f>
        <v>1277.425</v>
      </c>
      <c r="BS22" s="65">
        <f>'Empleo Población'!BS53-'Empleo Informales'!BS48</f>
        <v>1411.6759999999999</v>
      </c>
    </row>
    <row r="23" spans="1:71" x14ac:dyDescent="0.2">
      <c r="A23" s="37"/>
      <c r="B23" s="65"/>
      <c r="C23" s="57">
        <f t="shared" ref="C23:Q23" si="30">C22/B22-1</f>
        <v>-2.0073276230081927E-2</v>
      </c>
      <c r="D23" s="57">
        <f t="shared" si="30"/>
        <v>2.6688369767773334E-2</v>
      </c>
      <c r="E23" s="57">
        <f t="shared" si="30"/>
        <v>6.1430201902994197E-2</v>
      </c>
      <c r="F23" s="57">
        <f t="shared" si="30"/>
        <v>7.5705848386340424E-3</v>
      </c>
      <c r="G23" s="57">
        <f t="shared" si="30"/>
        <v>-5.2789226311480419E-2</v>
      </c>
      <c r="H23" s="57">
        <f t="shared" si="30"/>
        <v>-5.9579706034271762E-3</v>
      </c>
      <c r="I23" s="57">
        <f t="shared" si="30"/>
        <v>8.1075917409378029E-2</v>
      </c>
      <c r="J23" s="57">
        <f t="shared" si="30"/>
        <v>-1.8256481364017696E-2</v>
      </c>
      <c r="K23" s="57">
        <f t="shared" si="30"/>
        <v>1.4207400165174855E-2</v>
      </c>
      <c r="L23" s="57">
        <f t="shared" si="30"/>
        <v>2.9446706396214939E-2</v>
      </c>
      <c r="M23" s="57">
        <f t="shared" si="30"/>
        <v>1.0758591012874463E-2</v>
      </c>
      <c r="N23" s="57">
        <f t="shared" si="30"/>
        <v>-2.7240071552398937E-2</v>
      </c>
      <c r="O23" s="57">
        <f t="shared" si="30"/>
        <v>3.3879581609283171E-2</v>
      </c>
      <c r="P23" s="57">
        <f t="shared" si="30"/>
        <v>4.4723603394976053E-2</v>
      </c>
      <c r="Q23" s="57">
        <f t="shared" si="30"/>
        <v>-2.4675944911722869E-3</v>
      </c>
      <c r="R23" s="61"/>
      <c r="S23" s="58"/>
      <c r="T23" s="57">
        <f t="shared" ref="T23:AW23" si="31">T22/S22-1</f>
        <v>2.6447549005555349E-2</v>
      </c>
      <c r="U23" s="57">
        <f t="shared" si="31"/>
        <v>-2.2774477624354028E-2</v>
      </c>
      <c r="V23" s="57">
        <f t="shared" si="31"/>
        <v>2.7385645421234006E-2</v>
      </c>
      <c r="W23" s="57">
        <f t="shared" si="31"/>
        <v>-2.0403854552659251E-2</v>
      </c>
      <c r="X23" s="57">
        <f t="shared" si="31"/>
        <v>4.7645964856595668E-2</v>
      </c>
      <c r="Y23" s="57">
        <f t="shared" si="31"/>
        <v>1.1588499617374293E-3</v>
      </c>
      <c r="Z23" s="57">
        <f t="shared" si="31"/>
        <v>2.1490342075724422E-2</v>
      </c>
      <c r="AA23" s="57">
        <f t="shared" si="31"/>
        <v>4.7714362303685531E-2</v>
      </c>
      <c r="AB23" s="57">
        <f t="shared" si="31"/>
        <v>-2.135262917363423E-2</v>
      </c>
      <c r="AC23" s="57">
        <f t="shared" si="31"/>
        <v>-3.9241744019470115E-2</v>
      </c>
      <c r="AD23" s="57">
        <f t="shared" si="31"/>
        <v>-2.0378892772106361E-2</v>
      </c>
      <c r="AE23" s="57">
        <f t="shared" si="31"/>
        <v>0.10200516645256941</v>
      </c>
      <c r="AF23" s="57">
        <f t="shared" si="31"/>
        <v>2.3804104224306677E-2</v>
      </c>
      <c r="AG23" s="57">
        <f t="shared" si="31"/>
        <v>-4.1141459326616392E-2</v>
      </c>
      <c r="AH23" s="57">
        <f t="shared" si="31"/>
        <v>-2.3029092522979799E-2</v>
      </c>
      <c r="AI23" s="57">
        <f t="shared" si="31"/>
        <v>2.6636062967552387E-2</v>
      </c>
      <c r="AJ23" s="57">
        <f t="shared" si="31"/>
        <v>4.7943896937416852E-2</v>
      </c>
      <c r="AK23" s="57">
        <f t="shared" si="31"/>
        <v>3.7175933672667361E-2</v>
      </c>
      <c r="AL23" s="57">
        <f t="shared" si="31"/>
        <v>-3.9651996977122406E-2</v>
      </c>
      <c r="AM23" s="57">
        <f t="shared" si="31"/>
        <v>2.2896898527746679E-4</v>
      </c>
      <c r="AN23" s="57">
        <f t="shared" si="31"/>
        <v>-1.9743103464510248E-2</v>
      </c>
      <c r="AO23" s="57">
        <f t="shared" si="31"/>
        <v>3.3596066008309E-2</v>
      </c>
      <c r="AP23" s="57">
        <f t="shared" si="31"/>
        <v>4.5879691119919963E-2</v>
      </c>
      <c r="AQ23" s="57">
        <f t="shared" si="31"/>
        <v>1.9615784097933409E-2</v>
      </c>
      <c r="AR23" s="57">
        <f t="shared" si="31"/>
        <v>-2.2577922388229199E-2</v>
      </c>
      <c r="AS23" s="57">
        <f t="shared" si="31"/>
        <v>2.5297083963573996E-2</v>
      </c>
      <c r="AT23" s="57">
        <f t="shared" si="31"/>
        <v>-4.775854491981113E-2</v>
      </c>
      <c r="AU23" s="57">
        <f t="shared" si="31"/>
        <v>6.6796139600299398E-2</v>
      </c>
      <c r="AV23" s="57">
        <f t="shared" si="31"/>
        <v>-2.5562486584300048E-2</v>
      </c>
      <c r="AW23" s="57">
        <f t="shared" si="31"/>
        <v>4.8272783598095614E-3</v>
      </c>
      <c r="AX23" s="57"/>
      <c r="AY23" s="57"/>
      <c r="AZ23" s="57"/>
      <c r="BA23" s="57"/>
      <c r="BB23" s="57">
        <f t="shared" ref="BB23:BP23" si="32">BB22/BA22-1</f>
        <v>1.333191766299513E-2</v>
      </c>
      <c r="BC23" s="57">
        <f t="shared" si="32"/>
        <v>1.5235629877405898E-3</v>
      </c>
      <c r="BD23" s="57">
        <f t="shared" si="32"/>
        <v>-2.3675975741973998E-2</v>
      </c>
      <c r="BE23" s="57">
        <f t="shared" si="32"/>
        <v>1.5676243713337978E-2</v>
      </c>
      <c r="BF23" s="57">
        <f t="shared" si="32"/>
        <v>2.8245654748306537E-2</v>
      </c>
      <c r="BG23" s="57">
        <f t="shared" si="32"/>
        <v>6.3770294054644516E-2</v>
      </c>
      <c r="BH23" s="57">
        <f t="shared" si="32"/>
        <v>-3.7876708535548143E-2</v>
      </c>
      <c r="BI23" s="57">
        <f t="shared" si="32"/>
        <v>-8.8122899496605012E-2</v>
      </c>
      <c r="BJ23" s="57">
        <f t="shared" si="32"/>
        <v>8.3941452694871188E-3</v>
      </c>
      <c r="BK23" s="57">
        <f t="shared" si="32"/>
        <v>8.2471421291903102E-2</v>
      </c>
      <c r="BL23" s="57">
        <f t="shared" si="32"/>
        <v>3.4158839321023482E-3</v>
      </c>
      <c r="BM23" s="62">
        <f t="shared" si="32"/>
        <v>-6.739830609566988E-2</v>
      </c>
      <c r="BN23" s="57">
        <f t="shared" si="32"/>
        <v>9.2012156144187784E-3</v>
      </c>
      <c r="BO23" s="57">
        <f t="shared" si="32"/>
        <v>7.6181221826098655E-2</v>
      </c>
      <c r="BP23" s="57">
        <f t="shared" si="32"/>
        <v>5.0781103867763022E-2</v>
      </c>
      <c r="BQ23" s="63">
        <f>BQ22/$BP22-1</f>
        <v>-0.18050978031621134</v>
      </c>
      <c r="BR23" s="63">
        <f>BR22/$BP22-1</f>
        <v>-0.15779969421883722</v>
      </c>
      <c r="BS23" s="63">
        <f>BS22/$BP22-1</f>
        <v>-6.9288640144095637E-2</v>
      </c>
    </row>
  </sheetData>
  <pageMargins left="0.7" right="0.7" top="0.75" bottom="0.75" header="0.3" footer="0.3"/>
  <ignoredErrors>
    <ignoredError sqref="C4:BQ4 C6:BQ6 C5:BP5 C8:BQ8 C7:BP7 C10:BQ10 C9:BP9 C12:BQ12 C11:BP11 C14:BQ14 C13:BP13 C16:BQ16 C15:BP15 C18:BQ18 C17:BP17 C20:BQ20 C19:BP19 C22:BQ22 C21:BP21 BR4:BS22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8B7D60-C56B-41EB-A13D-49E18D783A69}">
  <sheetPr>
    <pageSetUpPr fitToPage="1"/>
  </sheetPr>
  <dimension ref="A1:BS130"/>
  <sheetViews>
    <sheetView showGridLines="0" zoomScale="80" zoomScaleNormal="80" workbookViewId="0">
      <pane xSplit="1" ySplit="4" topLeftCell="BP27" activePane="bottomRight" state="frozen"/>
      <selection pane="topRight" activeCell="B1" sqref="B1"/>
      <selection pane="bottomLeft" activeCell="A5" sqref="A5"/>
      <selection pane="bottomRight" sqref="A1:AI1"/>
    </sheetView>
  </sheetViews>
  <sheetFormatPr baseColWidth="10" defaultColWidth="18.7109375" defaultRowHeight="0" customHeight="1" zeroHeight="1" x14ac:dyDescent="0.2"/>
  <cols>
    <col min="1" max="1" width="58.140625" style="7" customWidth="1"/>
    <col min="2" max="71" width="19.5703125" style="7" customWidth="1"/>
    <col min="72" max="16384" width="18.7109375" style="7"/>
  </cols>
  <sheetData>
    <row r="1" spans="1:71" s="9" customFormat="1" ht="22.5" customHeight="1" x14ac:dyDescent="0.2">
      <c r="A1" s="72" t="s">
        <v>0</v>
      </c>
      <c r="B1" s="72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2"/>
      <c r="AB1" s="72"/>
      <c r="AC1" s="72"/>
      <c r="AD1" s="72"/>
      <c r="AE1" s="72"/>
      <c r="AF1" s="72"/>
      <c r="AG1" s="72"/>
      <c r="AH1" s="72"/>
      <c r="AI1" s="72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  <c r="AX1" s="8"/>
      <c r="AY1" s="8"/>
      <c r="AZ1" s="8"/>
      <c r="BA1" s="8"/>
      <c r="BB1" s="8"/>
      <c r="BC1" s="8"/>
      <c r="BD1" s="8"/>
      <c r="BE1" s="8"/>
      <c r="BF1" s="8"/>
      <c r="BG1" s="8"/>
      <c r="BH1" s="8"/>
      <c r="BI1" s="8"/>
      <c r="BJ1" s="8"/>
      <c r="BK1" s="8"/>
      <c r="BL1" s="8"/>
      <c r="BM1" s="8"/>
      <c r="BN1" s="8"/>
      <c r="BO1" s="8"/>
      <c r="BP1" s="8"/>
      <c r="BQ1" s="8"/>
      <c r="BR1" s="8"/>
      <c r="BS1" s="8"/>
    </row>
    <row r="2" spans="1:71" ht="50.1" customHeight="1" x14ac:dyDescent="0.2">
      <c r="A2" s="73" t="s">
        <v>146</v>
      </c>
      <c r="B2" s="73"/>
      <c r="C2" s="73"/>
      <c r="D2" s="73"/>
      <c r="E2" s="73"/>
      <c r="F2" s="73"/>
      <c r="G2" s="73"/>
      <c r="H2" s="73"/>
      <c r="I2" s="73"/>
      <c r="J2" s="73"/>
      <c r="K2" s="73"/>
      <c r="L2" s="73"/>
      <c r="M2" s="73"/>
      <c r="N2" s="73"/>
      <c r="O2" s="73"/>
      <c r="P2" s="73"/>
      <c r="Q2" s="73"/>
      <c r="R2" s="73"/>
      <c r="S2" s="73"/>
      <c r="T2" s="73"/>
      <c r="U2" s="73"/>
      <c r="V2" s="73"/>
      <c r="W2" s="73"/>
      <c r="X2" s="73"/>
      <c r="Y2" s="73"/>
      <c r="Z2" s="73"/>
      <c r="AA2" s="73"/>
      <c r="AB2" s="73"/>
      <c r="AC2" s="73"/>
      <c r="AD2" s="73"/>
      <c r="AE2" s="73"/>
      <c r="AF2" s="73"/>
      <c r="AG2" s="73"/>
      <c r="AH2" s="73"/>
      <c r="AI2" s="73"/>
      <c r="AJ2" s="10"/>
      <c r="AK2" s="10"/>
      <c r="AL2" s="10"/>
      <c r="AM2" s="10"/>
      <c r="AN2" s="10"/>
      <c r="AO2" s="10"/>
      <c r="AP2" s="10"/>
      <c r="AQ2" s="10"/>
      <c r="AR2" s="10"/>
      <c r="AS2" s="10"/>
      <c r="AT2" s="10"/>
      <c r="AU2" s="10"/>
      <c r="AV2" s="10"/>
      <c r="AW2" s="10"/>
      <c r="AX2" s="10"/>
      <c r="AY2" s="10"/>
      <c r="AZ2" s="10"/>
      <c r="BA2" s="10"/>
      <c r="BB2" s="10"/>
      <c r="BC2" s="10"/>
      <c r="BD2" s="10"/>
      <c r="BE2" s="10"/>
      <c r="BF2" s="10"/>
      <c r="BG2" s="10"/>
      <c r="BH2" s="10"/>
      <c r="BI2" s="10"/>
      <c r="BJ2" s="10"/>
      <c r="BK2" s="10"/>
      <c r="BL2" s="10"/>
      <c r="BM2" s="10"/>
      <c r="BN2" s="10"/>
      <c r="BO2" s="10"/>
      <c r="BP2" s="10"/>
      <c r="BQ2" s="10"/>
      <c r="BR2" s="10"/>
      <c r="BS2" s="10"/>
    </row>
    <row r="3" spans="1:71" s="9" customFormat="1" ht="24" customHeight="1" x14ac:dyDescent="0.2">
      <c r="A3" s="76" t="s">
        <v>147</v>
      </c>
      <c r="B3" s="76"/>
      <c r="C3" s="76"/>
      <c r="D3" s="76"/>
      <c r="E3" s="76"/>
      <c r="F3" s="76"/>
      <c r="G3" s="76"/>
      <c r="H3" s="76"/>
      <c r="I3" s="76"/>
      <c r="J3" s="76"/>
      <c r="K3" s="76"/>
      <c r="L3" s="76"/>
      <c r="M3" s="76"/>
      <c r="N3" s="76"/>
      <c r="O3" s="76"/>
      <c r="P3" s="76"/>
      <c r="Q3" s="76"/>
      <c r="R3" s="76"/>
      <c r="S3" s="76"/>
      <c r="T3" s="76"/>
      <c r="U3" s="76"/>
      <c r="V3" s="76"/>
      <c r="W3" s="76"/>
      <c r="X3" s="76"/>
      <c r="Y3" s="76"/>
      <c r="Z3" s="76"/>
      <c r="AA3" s="76"/>
      <c r="AB3" s="76"/>
      <c r="AC3" s="76"/>
      <c r="AD3" s="76"/>
      <c r="AE3" s="76"/>
      <c r="AF3" s="76"/>
      <c r="AG3" s="76"/>
      <c r="AH3" s="76"/>
      <c r="AI3" s="76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</row>
    <row r="4" spans="1:71" s="8" customFormat="1" ht="30" customHeight="1" thickBot="1" x14ac:dyDescent="0.25">
      <c r="A4" s="1"/>
      <c r="B4" s="1" t="s">
        <v>78</v>
      </c>
      <c r="C4" s="1" t="s">
        <v>79</v>
      </c>
      <c r="D4" s="1" t="s">
        <v>80</v>
      </c>
      <c r="E4" s="1" t="s">
        <v>81</v>
      </c>
      <c r="F4" s="1" t="s">
        <v>82</v>
      </c>
      <c r="G4" s="1" t="s">
        <v>83</v>
      </c>
      <c r="H4" s="1" t="s">
        <v>84</v>
      </c>
      <c r="I4" s="1" t="s">
        <v>85</v>
      </c>
      <c r="J4" s="1" t="s">
        <v>86</v>
      </c>
      <c r="K4" s="1" t="s">
        <v>87</v>
      </c>
      <c r="L4" s="1" t="s">
        <v>22</v>
      </c>
      <c r="M4" s="1" t="s">
        <v>23</v>
      </c>
      <c r="N4" s="1" t="s">
        <v>24</v>
      </c>
      <c r="O4" s="1" t="s">
        <v>25</v>
      </c>
      <c r="P4" s="1" t="s">
        <v>26</v>
      </c>
      <c r="Q4" s="1" t="s">
        <v>148</v>
      </c>
      <c r="R4" s="1" t="s">
        <v>63</v>
      </c>
      <c r="S4" s="1" t="s">
        <v>149</v>
      </c>
      <c r="T4" s="1" t="s">
        <v>150</v>
      </c>
      <c r="U4" s="1" t="s">
        <v>151</v>
      </c>
      <c r="V4" s="1" t="s">
        <v>152</v>
      </c>
      <c r="W4" s="1" t="s">
        <v>153</v>
      </c>
      <c r="X4" s="1" t="s">
        <v>154</v>
      </c>
      <c r="Y4" s="1" t="s">
        <v>155</v>
      </c>
      <c r="Z4" s="1" t="s">
        <v>156</v>
      </c>
      <c r="AA4" s="1" t="s">
        <v>157</v>
      </c>
      <c r="AB4" s="1" t="s">
        <v>158</v>
      </c>
      <c r="AC4" s="1" t="s">
        <v>159</v>
      </c>
      <c r="AD4" s="1" t="s">
        <v>160</v>
      </c>
      <c r="AE4" s="1" t="s">
        <v>161</v>
      </c>
      <c r="AF4" s="1" t="s">
        <v>162</v>
      </c>
      <c r="AG4" s="1" t="s">
        <v>163</v>
      </c>
      <c r="AH4" s="1" t="s">
        <v>164</v>
      </c>
      <c r="AI4" s="1" t="s">
        <v>165</v>
      </c>
      <c r="AJ4" s="1" t="s">
        <v>166</v>
      </c>
      <c r="AK4" s="1" t="s">
        <v>167</v>
      </c>
      <c r="AL4" s="1" t="s">
        <v>168</v>
      </c>
      <c r="AM4" s="1" t="s">
        <v>169</v>
      </c>
      <c r="AN4" s="1" t="s">
        <v>170</v>
      </c>
      <c r="AO4" s="1" t="s">
        <v>171</v>
      </c>
      <c r="AP4" s="1" t="s">
        <v>172</v>
      </c>
      <c r="AQ4" s="1" t="s">
        <v>173</v>
      </c>
      <c r="AR4" s="1" t="s">
        <v>174</v>
      </c>
      <c r="AS4" s="1" t="s">
        <v>175</v>
      </c>
      <c r="AT4" s="1" t="s">
        <v>176</v>
      </c>
      <c r="AU4" s="1" t="s">
        <v>177</v>
      </c>
      <c r="AV4" s="1" t="s">
        <v>178</v>
      </c>
      <c r="AW4" s="1" t="s">
        <v>179</v>
      </c>
      <c r="AX4" s="1" t="s">
        <v>180</v>
      </c>
      <c r="AY4" s="1" t="s">
        <v>181</v>
      </c>
      <c r="AZ4" s="1" t="s">
        <v>76</v>
      </c>
      <c r="BA4" s="1" t="s">
        <v>31</v>
      </c>
      <c r="BB4" s="1" t="s">
        <v>32</v>
      </c>
      <c r="BC4" s="1" t="s">
        <v>66</v>
      </c>
      <c r="BD4" s="1" t="s">
        <v>67</v>
      </c>
      <c r="BE4" s="1" t="s">
        <v>68</v>
      </c>
      <c r="BF4" s="1" t="s">
        <v>69</v>
      </c>
      <c r="BG4" s="1" t="s">
        <v>70</v>
      </c>
      <c r="BH4" s="1" t="s">
        <v>71</v>
      </c>
      <c r="BI4" s="1" t="s">
        <v>72</v>
      </c>
      <c r="BJ4" s="1" t="s">
        <v>73</v>
      </c>
      <c r="BK4" s="1" t="s">
        <v>88</v>
      </c>
      <c r="BL4" s="1" t="s">
        <v>89</v>
      </c>
      <c r="BM4" s="1" t="s">
        <v>90</v>
      </c>
      <c r="BN4" s="1" t="s">
        <v>91</v>
      </c>
      <c r="BO4" s="1" t="s">
        <v>92</v>
      </c>
      <c r="BP4" s="1" t="s">
        <v>93</v>
      </c>
      <c r="BQ4" s="1" t="s">
        <v>94</v>
      </c>
      <c r="BR4" s="1" t="s">
        <v>95</v>
      </c>
      <c r="BS4" s="1" t="s">
        <v>96</v>
      </c>
    </row>
    <row r="5" spans="1:71" s="17" customFormat="1" ht="30" customHeight="1" thickBot="1" x14ac:dyDescent="0.25">
      <c r="A5" s="11" t="s">
        <v>1</v>
      </c>
      <c r="B5" s="12">
        <v>3184.3910785695311</v>
      </c>
      <c r="C5" s="12">
        <v>3270.0167443114501</v>
      </c>
      <c r="D5" s="12">
        <v>3202.6691791334201</v>
      </c>
      <c r="E5" s="12">
        <v>3235.8963856481687</v>
      </c>
      <c r="F5" s="12">
        <v>3280.1189941269004</v>
      </c>
      <c r="G5" s="12">
        <v>3409.9258072742673</v>
      </c>
      <c r="H5" s="12">
        <v>3262.8417415807216</v>
      </c>
      <c r="I5" s="12">
        <v>3290.3253444823044</v>
      </c>
      <c r="J5" s="12">
        <v>3298.4111384765911</v>
      </c>
      <c r="K5" s="12">
        <v>3309.9019515986065</v>
      </c>
      <c r="L5" s="12">
        <v>3189.2435595092097</v>
      </c>
      <c r="M5" s="12">
        <v>3225.7445817953994</v>
      </c>
      <c r="N5" s="12">
        <v>3186.5693552200728</v>
      </c>
      <c r="O5" s="12">
        <v>3201.525150425125</v>
      </c>
      <c r="P5" s="12">
        <v>3074.5975982642067</v>
      </c>
      <c r="Q5" s="12">
        <v>3105.6597012569337</v>
      </c>
      <c r="R5" s="46" t="s">
        <v>27</v>
      </c>
      <c r="S5" s="13">
        <v>3032.2212808738545</v>
      </c>
      <c r="T5" s="12">
        <v>2856.0491989102347</v>
      </c>
      <c r="U5" s="12">
        <v>2784.0059305432501</v>
      </c>
      <c r="V5" s="12">
        <v>2790.3874524315802</v>
      </c>
      <c r="W5" s="12">
        <v>2973.4290809361728</v>
      </c>
      <c r="X5" s="12">
        <v>2816.385514200696</v>
      </c>
      <c r="Y5" s="12">
        <v>2793.4632728546403</v>
      </c>
      <c r="Z5" s="12">
        <v>2814.0839605873894</v>
      </c>
      <c r="AA5" s="12">
        <v>2834.0478999119141</v>
      </c>
      <c r="AB5" s="12">
        <v>2744.469620379311</v>
      </c>
      <c r="AC5" s="12">
        <v>2926.3987592796689</v>
      </c>
      <c r="AD5" s="12">
        <v>2895.2860840624139</v>
      </c>
      <c r="AE5" s="12">
        <v>2771.5545984390615</v>
      </c>
      <c r="AF5" s="12">
        <v>2766.4745819733835</v>
      </c>
      <c r="AG5" s="12">
        <v>2878.0926735425146</v>
      </c>
      <c r="AH5" s="12">
        <v>2878.2713702793703</v>
      </c>
      <c r="AI5" s="12">
        <v>2880.2712926612667</v>
      </c>
      <c r="AJ5" s="12">
        <v>2732.6862476828301</v>
      </c>
      <c r="AK5" s="12">
        <v>2829.2218884939525</v>
      </c>
      <c r="AL5" s="12">
        <v>2979.8194848568078</v>
      </c>
      <c r="AM5" s="12">
        <v>2929.1561142726978</v>
      </c>
      <c r="AN5" s="12">
        <v>2657.6864158226463</v>
      </c>
      <c r="AO5" s="12">
        <v>2902.5450549866255</v>
      </c>
      <c r="AP5" s="12">
        <v>2957.8938984404108</v>
      </c>
      <c r="AQ5" s="14">
        <v>2841.6542186028619</v>
      </c>
      <c r="AR5" s="14">
        <v>2737.7485257603335</v>
      </c>
      <c r="AS5" s="12">
        <v>2733.9318069014257</v>
      </c>
      <c r="AT5" s="12">
        <v>2772.2487127357931</v>
      </c>
      <c r="AU5" s="12">
        <v>2898.6592828873604</v>
      </c>
      <c r="AV5" s="12">
        <v>2674.4544090139693</v>
      </c>
      <c r="AW5" s="12">
        <v>2767.5198756927912</v>
      </c>
      <c r="AX5" s="46" t="s">
        <v>27</v>
      </c>
      <c r="AY5" s="46" t="s">
        <v>27</v>
      </c>
      <c r="AZ5" s="46" t="s">
        <v>27</v>
      </c>
      <c r="BA5" s="16">
        <v>2810.5259999999998</v>
      </c>
      <c r="BB5" s="12">
        <v>2899.7411710685424</v>
      </c>
      <c r="BC5" s="12">
        <v>2888.2604334898119</v>
      </c>
      <c r="BD5" s="12">
        <v>2794.7857994530991</v>
      </c>
      <c r="BE5" s="12">
        <v>2884.1480531559996</v>
      </c>
      <c r="BF5" s="12">
        <v>2988.2465067000012</v>
      </c>
      <c r="BG5" s="12">
        <v>3034.1096899999993</v>
      </c>
      <c r="BH5" s="12">
        <v>2912.8975671606327</v>
      </c>
      <c r="BI5" s="12">
        <v>2948.4707133000006</v>
      </c>
      <c r="BJ5" s="12">
        <v>3012.8089860000009</v>
      </c>
      <c r="BK5" s="12">
        <v>3109.6760706000005</v>
      </c>
      <c r="BL5" s="12">
        <v>3084.0790000000002</v>
      </c>
      <c r="BM5" s="12">
        <v>3050.989</v>
      </c>
      <c r="BN5" s="12">
        <v>3054.5326923382054</v>
      </c>
      <c r="BO5" s="12">
        <v>3157.15</v>
      </c>
      <c r="BP5" s="12">
        <v>3136.1950000000002</v>
      </c>
      <c r="BQ5" s="12">
        <v>1732.672</v>
      </c>
      <c r="BR5" s="12">
        <v>2170.1640000000002</v>
      </c>
      <c r="BS5" s="12">
        <v>2639.0010000000002</v>
      </c>
    </row>
    <row r="6" spans="1:71" ht="20.100000000000001" customHeight="1" thickBot="1" x14ac:dyDescent="0.25">
      <c r="A6" s="18" t="s">
        <v>2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47"/>
      <c r="S6" s="18"/>
      <c r="T6" s="18"/>
      <c r="U6" s="18"/>
      <c r="V6" s="18"/>
      <c r="W6" s="18"/>
      <c r="X6" s="18"/>
      <c r="Y6" s="19"/>
      <c r="Z6" s="19"/>
      <c r="AA6" s="19"/>
      <c r="AB6" s="19"/>
      <c r="AC6" s="19"/>
      <c r="AD6" s="19"/>
      <c r="AE6" s="19"/>
      <c r="AF6" s="19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47"/>
      <c r="AY6" s="47"/>
      <c r="AZ6" s="47"/>
      <c r="BA6" s="48"/>
      <c r="BB6" s="20"/>
      <c r="BC6" s="20"/>
      <c r="BD6" s="20"/>
      <c r="BE6" s="20"/>
      <c r="BF6" s="20"/>
      <c r="BG6" s="20"/>
      <c r="BH6" s="20"/>
      <c r="BI6" s="20"/>
      <c r="BJ6" s="20"/>
      <c r="BK6" s="20"/>
      <c r="BL6" s="20"/>
      <c r="BM6" s="20"/>
      <c r="BN6" s="20"/>
      <c r="BO6" s="20"/>
      <c r="BP6" s="20"/>
      <c r="BQ6" s="20"/>
      <c r="BR6" s="20"/>
      <c r="BS6" s="20"/>
    </row>
    <row r="7" spans="1:71" ht="20.100000000000001" customHeight="1" x14ac:dyDescent="0.2">
      <c r="A7" s="22" t="s">
        <v>3</v>
      </c>
      <c r="B7" s="23">
        <v>1545.0011486162884</v>
      </c>
      <c r="C7" s="23">
        <v>1621.4387570690642</v>
      </c>
      <c r="D7" s="23">
        <v>1624.3859205023493</v>
      </c>
      <c r="E7" s="23">
        <v>1585.2715458575124</v>
      </c>
      <c r="F7" s="23">
        <v>1627.2814568418328</v>
      </c>
      <c r="G7" s="23">
        <v>1713.2834396711653</v>
      </c>
      <c r="H7" s="23">
        <v>1620.0311964958853</v>
      </c>
      <c r="I7" s="23">
        <v>1604.3607893809165</v>
      </c>
      <c r="J7" s="23">
        <v>1679.2011713431011</v>
      </c>
      <c r="K7" s="23">
        <v>1653.981020665854</v>
      </c>
      <c r="L7" s="23">
        <v>1547.5342612301872</v>
      </c>
      <c r="M7" s="23">
        <v>1595.704197778703</v>
      </c>
      <c r="N7" s="23">
        <v>1599.9483783415083</v>
      </c>
      <c r="O7" s="23">
        <v>1590.3060072775384</v>
      </c>
      <c r="P7" s="23">
        <v>1515.5009244492589</v>
      </c>
      <c r="Q7" s="23">
        <v>1558.8266385383374</v>
      </c>
      <c r="R7" s="36" t="s">
        <v>27</v>
      </c>
      <c r="S7" s="24">
        <v>1473.0391770123597</v>
      </c>
      <c r="T7" s="23">
        <v>1397.6635532306304</v>
      </c>
      <c r="U7" s="23">
        <v>1415.5145819064546</v>
      </c>
      <c r="V7" s="23">
        <v>1359.1896288225062</v>
      </c>
      <c r="W7" s="23">
        <v>1485.3820462138569</v>
      </c>
      <c r="X7" s="23">
        <v>1409.2089219942657</v>
      </c>
      <c r="Y7" s="23">
        <v>1402.6205085476477</v>
      </c>
      <c r="Z7" s="23">
        <v>1409.2522762419924</v>
      </c>
      <c r="AA7" s="23">
        <v>1447.9785683335649</v>
      </c>
      <c r="AB7" s="23">
        <v>1392.2448559028589</v>
      </c>
      <c r="AC7" s="23">
        <v>1469.6272872138686</v>
      </c>
      <c r="AD7" s="23">
        <v>1444.4259756862054</v>
      </c>
      <c r="AE7" s="23">
        <v>1458.0647041263321</v>
      </c>
      <c r="AF7" s="23">
        <v>1454.6218614640964</v>
      </c>
      <c r="AG7" s="23">
        <v>1437.0750790863772</v>
      </c>
      <c r="AH7" s="23">
        <v>1430.3303033734119</v>
      </c>
      <c r="AI7" s="23">
        <v>1472.649664221288</v>
      </c>
      <c r="AJ7" s="23">
        <v>1413.7745835796202</v>
      </c>
      <c r="AK7" s="23">
        <v>1412.6362480870514</v>
      </c>
      <c r="AL7" s="23">
        <v>1527.8672300730402</v>
      </c>
      <c r="AM7" s="23">
        <v>1538.0732072733163</v>
      </c>
      <c r="AN7" s="23">
        <v>1371.4054919764953</v>
      </c>
      <c r="AO7" s="23">
        <v>1548.7463558155318</v>
      </c>
      <c r="AP7" s="23">
        <v>1549.6312610638734</v>
      </c>
      <c r="AQ7" s="23">
        <v>1522.4291842485043</v>
      </c>
      <c r="AR7" s="23">
        <v>1446.5061424096327</v>
      </c>
      <c r="AS7" s="23">
        <v>1397.7038432453962</v>
      </c>
      <c r="AT7" s="23">
        <v>1440.2163764068307</v>
      </c>
      <c r="AU7" s="23">
        <v>1526.7069092405695</v>
      </c>
      <c r="AV7" s="23">
        <v>1408.3486825997613</v>
      </c>
      <c r="AW7" s="23">
        <v>1477.2504587366136</v>
      </c>
      <c r="AX7" s="36" t="s">
        <v>27</v>
      </c>
      <c r="AY7" s="36" t="s">
        <v>27</v>
      </c>
      <c r="AZ7" s="36" t="s">
        <v>27</v>
      </c>
      <c r="BA7" s="49">
        <v>1500.8069999999998</v>
      </c>
      <c r="BB7" s="23">
        <v>1475.7630020163715</v>
      </c>
      <c r="BC7" s="23">
        <v>1466.6591174972009</v>
      </c>
      <c r="BD7" s="23">
        <v>1476.4120236517347</v>
      </c>
      <c r="BE7" s="23">
        <v>1492.9155475202899</v>
      </c>
      <c r="BF7" s="23">
        <v>1557.9883410000007</v>
      </c>
      <c r="BG7" s="23">
        <v>1563.6739199999993</v>
      </c>
      <c r="BH7" s="23">
        <v>1513.6695850102799</v>
      </c>
      <c r="BI7" s="23">
        <v>1493.3835656000001</v>
      </c>
      <c r="BJ7" s="23">
        <v>1539.5976288000006</v>
      </c>
      <c r="BK7" s="23">
        <v>1562.3585208000002</v>
      </c>
      <c r="BL7" s="23">
        <v>1574.453</v>
      </c>
      <c r="BM7" s="23">
        <v>1587.086</v>
      </c>
      <c r="BN7" s="23">
        <v>1631.9350964954783</v>
      </c>
      <c r="BO7" s="23">
        <v>1617.2439999999999</v>
      </c>
      <c r="BP7" s="23">
        <v>1624.989</v>
      </c>
      <c r="BQ7" s="23">
        <v>896.42899999999997</v>
      </c>
      <c r="BR7" s="23">
        <v>1163.4749999999999</v>
      </c>
      <c r="BS7" s="23">
        <v>1448.6790000000001</v>
      </c>
    </row>
    <row r="8" spans="1:71" ht="20.100000000000001" customHeight="1" x14ac:dyDescent="0.2">
      <c r="A8" s="22" t="s">
        <v>4</v>
      </c>
      <c r="B8" s="23">
        <v>1639.3899299532429</v>
      </c>
      <c r="C8" s="23">
        <v>1648.5779872423859</v>
      </c>
      <c r="D8" s="23">
        <v>1578.2832586310708</v>
      </c>
      <c r="E8" s="23">
        <v>1650.6248397906561</v>
      </c>
      <c r="F8" s="23">
        <v>1652.8375372850674</v>
      </c>
      <c r="G8" s="23">
        <v>1696.6423676031018</v>
      </c>
      <c r="H8" s="23">
        <v>1642.8105450848361</v>
      </c>
      <c r="I8" s="23">
        <v>1685.964555101388</v>
      </c>
      <c r="J8" s="23">
        <v>1619.20996713349</v>
      </c>
      <c r="K8" s="23">
        <v>1655.9209309327528</v>
      </c>
      <c r="L8" s="23">
        <v>1641.7092982790227</v>
      </c>
      <c r="M8" s="23">
        <v>1630.0403840166964</v>
      </c>
      <c r="N8" s="23">
        <v>1586.6209768785648</v>
      </c>
      <c r="O8" s="23">
        <v>1611.2191431475869</v>
      </c>
      <c r="P8" s="23">
        <v>1559.0966738149475</v>
      </c>
      <c r="Q8" s="23">
        <v>1546.8330627185962</v>
      </c>
      <c r="R8" s="36" t="s">
        <v>27</v>
      </c>
      <c r="S8" s="24">
        <v>1559.1821038614946</v>
      </c>
      <c r="T8" s="23">
        <v>1458.3856456796043</v>
      </c>
      <c r="U8" s="23">
        <v>1368.4913486367957</v>
      </c>
      <c r="V8" s="23">
        <v>1431.197823609074</v>
      </c>
      <c r="W8" s="23">
        <v>1488.0470347223161</v>
      </c>
      <c r="X8" s="23">
        <v>1407.1765922064303</v>
      </c>
      <c r="Y8" s="23">
        <v>1390.8427643069926</v>
      </c>
      <c r="Z8" s="23">
        <v>1404.831684345397</v>
      </c>
      <c r="AA8" s="23">
        <v>1386.0693315783492</v>
      </c>
      <c r="AB8" s="23">
        <v>1352.224764476452</v>
      </c>
      <c r="AC8" s="23">
        <v>1456.7714720657998</v>
      </c>
      <c r="AD8" s="23">
        <v>1450.8601083762082</v>
      </c>
      <c r="AE8" s="23">
        <v>1313.4898943127293</v>
      </c>
      <c r="AF8" s="23">
        <v>1311.8527205092873</v>
      </c>
      <c r="AG8" s="23">
        <v>1441.0175944561372</v>
      </c>
      <c r="AH8" s="23">
        <v>1447.9410669059587</v>
      </c>
      <c r="AI8" s="23">
        <v>1407.6216284399786</v>
      </c>
      <c r="AJ8" s="23">
        <v>1318.9116641032097</v>
      </c>
      <c r="AK8" s="23">
        <v>1416.5856404069011</v>
      </c>
      <c r="AL8" s="23">
        <v>1451.9522547837676</v>
      </c>
      <c r="AM8" s="23">
        <v>1391.0829069993817</v>
      </c>
      <c r="AN8" s="23">
        <v>1286.2809238461514</v>
      </c>
      <c r="AO8" s="23">
        <v>1353.7986991710939</v>
      </c>
      <c r="AP8" s="23">
        <v>1408.2626373765377</v>
      </c>
      <c r="AQ8" s="23">
        <v>1319.2250343543576</v>
      </c>
      <c r="AR8" s="23">
        <v>1291.2423833507005</v>
      </c>
      <c r="AS8" s="23">
        <v>1336.2279636560293</v>
      </c>
      <c r="AT8" s="23">
        <v>1332.0323363289624</v>
      </c>
      <c r="AU8" s="23">
        <v>1371.9523736467911</v>
      </c>
      <c r="AV8" s="23">
        <v>1266.1057264142082</v>
      </c>
      <c r="AW8" s="23">
        <v>1290.2694169561773</v>
      </c>
      <c r="AX8" s="36" t="s">
        <v>27</v>
      </c>
      <c r="AY8" s="36" t="s">
        <v>27</v>
      </c>
      <c r="AZ8" s="36" t="s">
        <v>27</v>
      </c>
      <c r="BA8" s="49">
        <v>1309.7190000000001</v>
      </c>
      <c r="BB8" s="23">
        <v>1423.9781690521706</v>
      </c>
      <c r="BC8" s="23">
        <v>1421.601315992611</v>
      </c>
      <c r="BD8" s="23">
        <v>1318.3737758013647</v>
      </c>
      <c r="BE8" s="23">
        <v>1391.2325056357099</v>
      </c>
      <c r="BF8" s="23">
        <v>1430.2581657000005</v>
      </c>
      <c r="BG8" s="23">
        <v>1470.4357699999996</v>
      </c>
      <c r="BH8" s="23">
        <v>1399.2279821503525</v>
      </c>
      <c r="BI8" s="23">
        <v>1455.0871477000005</v>
      </c>
      <c r="BJ8" s="23">
        <v>1473.2113572000005</v>
      </c>
      <c r="BK8" s="23">
        <v>1547.3175498000003</v>
      </c>
      <c r="BL8" s="23">
        <v>1509.626</v>
      </c>
      <c r="BM8" s="23">
        <v>1463.903</v>
      </c>
      <c r="BN8" s="23">
        <v>1422.5975958427268</v>
      </c>
      <c r="BO8" s="23">
        <v>1539.9059999999999</v>
      </c>
      <c r="BP8" s="23">
        <v>1511.2059999999999</v>
      </c>
      <c r="BQ8" s="23">
        <v>836.24300000000005</v>
      </c>
      <c r="BR8" s="23">
        <v>1006.689</v>
      </c>
      <c r="BS8" s="23">
        <v>1190.3219999999999</v>
      </c>
    </row>
    <row r="9" spans="1:71" ht="20.100000000000001" customHeight="1" thickBot="1" x14ac:dyDescent="0.25">
      <c r="A9" s="26" t="s">
        <v>29</v>
      </c>
      <c r="B9" s="26"/>
      <c r="C9" s="26"/>
      <c r="D9" s="26"/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26"/>
      <c r="Q9" s="26"/>
      <c r="R9" s="50"/>
      <c r="S9" s="26"/>
      <c r="T9" s="26"/>
      <c r="U9" s="26"/>
      <c r="V9" s="26"/>
      <c r="W9" s="26"/>
      <c r="X9" s="26"/>
      <c r="Y9" s="27"/>
      <c r="Z9" s="27"/>
      <c r="AA9" s="27"/>
      <c r="AB9" s="27"/>
      <c r="AC9" s="27"/>
      <c r="AD9" s="27"/>
      <c r="AE9" s="27"/>
      <c r="AF9" s="27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50"/>
      <c r="AY9" s="50"/>
      <c r="AZ9" s="50"/>
      <c r="BA9" s="51"/>
      <c r="BB9" s="11"/>
      <c r="BC9" s="11"/>
      <c r="BD9" s="11"/>
      <c r="BE9" s="11"/>
      <c r="BF9" s="11"/>
      <c r="BG9" s="11"/>
      <c r="BH9" s="11"/>
      <c r="BI9" s="11"/>
      <c r="BJ9" s="11"/>
      <c r="BK9" s="11"/>
      <c r="BL9" s="11"/>
      <c r="BM9" s="11"/>
      <c r="BN9" s="11"/>
      <c r="BO9" s="11"/>
      <c r="BP9" s="11"/>
      <c r="BQ9" s="11"/>
      <c r="BR9" s="11"/>
      <c r="BS9" s="11"/>
    </row>
    <row r="10" spans="1:71" ht="20.100000000000001" customHeight="1" x14ac:dyDescent="0.2">
      <c r="A10" s="22" t="s">
        <v>5</v>
      </c>
      <c r="B10" s="23">
        <v>761.92565918948912</v>
      </c>
      <c r="C10" s="23">
        <v>768.28432879831746</v>
      </c>
      <c r="D10" s="23">
        <v>742.92198659356177</v>
      </c>
      <c r="E10" s="23">
        <v>737.717638211593</v>
      </c>
      <c r="F10" s="23">
        <v>757.24552098203185</v>
      </c>
      <c r="G10" s="23">
        <v>798.00812608713818</v>
      </c>
      <c r="H10" s="23">
        <v>700.80278975711417</v>
      </c>
      <c r="I10" s="23">
        <v>751.29516165164023</v>
      </c>
      <c r="J10" s="23">
        <v>766.87420727181495</v>
      </c>
      <c r="K10" s="23">
        <v>738.50733963563925</v>
      </c>
      <c r="L10" s="23">
        <v>730.21447887596059</v>
      </c>
      <c r="M10" s="23">
        <v>749.4992594464311</v>
      </c>
      <c r="N10" s="23">
        <v>750.50801501837179</v>
      </c>
      <c r="O10" s="23">
        <v>728.40500861156249</v>
      </c>
      <c r="P10" s="23">
        <v>677.63013342454724</v>
      </c>
      <c r="Q10" s="23">
        <v>700.34523524712972</v>
      </c>
      <c r="R10" s="36" t="s">
        <v>27</v>
      </c>
      <c r="S10" s="24">
        <v>735.20411938711868</v>
      </c>
      <c r="T10" s="23">
        <v>645.3351428475994</v>
      </c>
      <c r="U10" s="23">
        <v>650.33827236920672</v>
      </c>
      <c r="V10" s="23">
        <v>667.08268008365576</v>
      </c>
      <c r="W10" s="23">
        <v>704.54958527993483</v>
      </c>
      <c r="X10" s="23">
        <v>653.92450966460501</v>
      </c>
      <c r="Y10" s="23">
        <v>661.36548135795999</v>
      </c>
      <c r="Z10" s="23">
        <v>614.82521890239423</v>
      </c>
      <c r="AA10" s="23">
        <v>677.76061949725931</v>
      </c>
      <c r="AB10" s="23">
        <v>666.60657634098345</v>
      </c>
      <c r="AC10" s="23">
        <v>687.84747469447427</v>
      </c>
      <c r="AD10" s="23">
        <v>657.88393201622637</v>
      </c>
      <c r="AE10" s="23">
        <v>694.26833256310795</v>
      </c>
      <c r="AF10" s="23">
        <v>662.7845368365131</v>
      </c>
      <c r="AG10" s="23">
        <v>708.71871579230981</v>
      </c>
      <c r="AH10" s="23">
        <v>679.5479117723055</v>
      </c>
      <c r="AI10" s="23">
        <v>706.08500412311298</v>
      </c>
      <c r="AJ10" s="23">
        <v>653.09617752795464</v>
      </c>
      <c r="AK10" s="23">
        <v>674.21298845514229</v>
      </c>
      <c r="AL10" s="23">
        <v>736.3129894336613</v>
      </c>
      <c r="AM10" s="23">
        <v>711.80372219280707</v>
      </c>
      <c r="AN10" s="23">
        <v>622.26480492818973</v>
      </c>
      <c r="AO10" s="23">
        <v>712.23325115470686</v>
      </c>
      <c r="AP10" s="23">
        <v>750.48064656701013</v>
      </c>
      <c r="AQ10" s="23">
        <v>706.82089388177656</v>
      </c>
      <c r="AR10" s="23">
        <v>635.1937071933105</v>
      </c>
      <c r="AS10" s="23">
        <v>647.37979508662238</v>
      </c>
      <c r="AT10" s="23">
        <v>689.54439102556762</v>
      </c>
      <c r="AU10" s="23">
        <v>752.52561464013866</v>
      </c>
      <c r="AV10" s="23">
        <v>624.88314508620238</v>
      </c>
      <c r="AW10" s="23">
        <v>634.56764273232397</v>
      </c>
      <c r="AX10" s="36" t="s">
        <v>27</v>
      </c>
      <c r="AY10" s="36" t="s">
        <v>27</v>
      </c>
      <c r="AZ10" s="36" t="s">
        <v>27</v>
      </c>
      <c r="BA10" s="49">
        <v>636.59</v>
      </c>
      <c r="BB10" s="23">
        <v>636.52245332788993</v>
      </c>
      <c r="BC10" s="23">
        <v>630.31738332799944</v>
      </c>
      <c r="BD10" s="23">
        <v>631.33858028376937</v>
      </c>
      <c r="BE10" s="23">
        <v>683.47620611540765</v>
      </c>
      <c r="BF10" s="23">
        <v>733.84876110000039</v>
      </c>
      <c r="BG10" s="23">
        <v>737.79388999999981</v>
      </c>
      <c r="BH10" s="23">
        <v>665.69125529705639</v>
      </c>
      <c r="BI10" s="23">
        <v>642.99929040000018</v>
      </c>
      <c r="BJ10" s="23">
        <v>683.38719900000024</v>
      </c>
      <c r="BK10" s="23">
        <v>734.01554160000012</v>
      </c>
      <c r="BL10" s="23">
        <v>632.00199999999995</v>
      </c>
      <c r="BM10" s="23">
        <v>626.78200000000004</v>
      </c>
      <c r="BN10" s="23">
        <v>663.69169808216986</v>
      </c>
      <c r="BO10" s="23">
        <v>680.99099999999999</v>
      </c>
      <c r="BP10" s="23">
        <v>676.505</v>
      </c>
      <c r="BQ10" s="23">
        <v>320.58800000000002</v>
      </c>
      <c r="BR10" s="23">
        <v>431.10300000000001</v>
      </c>
      <c r="BS10" s="23">
        <v>552.04600000000005</v>
      </c>
    </row>
    <row r="11" spans="1:71" ht="20.100000000000001" customHeight="1" x14ac:dyDescent="0.2">
      <c r="A11" s="22" t="s">
        <v>6</v>
      </c>
      <c r="B11" s="23">
        <v>945.55124889034562</v>
      </c>
      <c r="C11" s="23">
        <v>964.18934542828401</v>
      </c>
      <c r="D11" s="23">
        <v>965.19170626272069</v>
      </c>
      <c r="E11" s="23">
        <v>929.54269670278097</v>
      </c>
      <c r="F11" s="23">
        <v>963.19398004351251</v>
      </c>
      <c r="G11" s="23">
        <v>986.6689360038813</v>
      </c>
      <c r="H11" s="23">
        <v>975.79493851028167</v>
      </c>
      <c r="I11" s="23">
        <v>959.62104885441704</v>
      </c>
      <c r="J11" s="23">
        <v>943.83746456822382</v>
      </c>
      <c r="K11" s="23">
        <v>968.03366923886051</v>
      </c>
      <c r="L11" s="23">
        <v>875.71293449960785</v>
      </c>
      <c r="M11" s="23">
        <v>949.80820508274587</v>
      </c>
      <c r="N11" s="23">
        <v>939.46553465259103</v>
      </c>
      <c r="O11" s="23">
        <v>976.43597515326439</v>
      </c>
      <c r="P11" s="23">
        <v>870.69456176943334</v>
      </c>
      <c r="Q11" s="23">
        <v>902.20165287051577</v>
      </c>
      <c r="R11" s="36" t="s">
        <v>27</v>
      </c>
      <c r="S11" s="24">
        <v>858.72118854562837</v>
      </c>
      <c r="T11" s="23">
        <v>811.17633282400243</v>
      </c>
      <c r="U11" s="23">
        <v>786.14254804465281</v>
      </c>
      <c r="V11" s="23">
        <v>794.91072374401449</v>
      </c>
      <c r="W11" s="23">
        <v>839.95138383094297</v>
      </c>
      <c r="X11" s="23">
        <v>787.76096088316876</v>
      </c>
      <c r="Y11" s="23">
        <v>776.06856363524332</v>
      </c>
      <c r="Z11" s="23">
        <v>800.41871291531106</v>
      </c>
      <c r="AA11" s="23">
        <v>810.72362805265482</v>
      </c>
      <c r="AB11" s="23">
        <v>759.02223270703996</v>
      </c>
      <c r="AC11" s="23">
        <v>823.76524795762282</v>
      </c>
      <c r="AD11" s="23">
        <v>831.85195869879999</v>
      </c>
      <c r="AE11" s="23">
        <v>740.61626530762214</v>
      </c>
      <c r="AF11" s="23">
        <v>762.05292198245024</v>
      </c>
      <c r="AG11" s="23">
        <v>799.61827804968698</v>
      </c>
      <c r="AH11" s="23">
        <v>792.43502333662911</v>
      </c>
      <c r="AI11" s="23">
        <v>806.24819292108634</v>
      </c>
      <c r="AJ11" s="23">
        <v>764.81539343876761</v>
      </c>
      <c r="AK11" s="23">
        <v>784.15025136540248</v>
      </c>
      <c r="AL11" s="23">
        <v>830.31528970522606</v>
      </c>
      <c r="AM11" s="23">
        <v>816.6798524524819</v>
      </c>
      <c r="AN11" s="23">
        <v>738.26905392322772</v>
      </c>
      <c r="AO11" s="23">
        <v>760.4097929702973</v>
      </c>
      <c r="AP11" s="23">
        <v>789.99190432849969</v>
      </c>
      <c r="AQ11" s="23">
        <v>834.28198435780155</v>
      </c>
      <c r="AR11" s="23">
        <v>797.43235536863187</v>
      </c>
      <c r="AS11" s="23">
        <v>756.95181626426881</v>
      </c>
      <c r="AT11" s="23">
        <v>797.80958190723186</v>
      </c>
      <c r="AU11" s="23">
        <v>860.07090813206958</v>
      </c>
      <c r="AV11" s="23">
        <v>754.94774537412275</v>
      </c>
      <c r="AW11" s="23">
        <v>752.73534359480198</v>
      </c>
      <c r="AX11" s="36" t="s">
        <v>27</v>
      </c>
      <c r="AY11" s="36" t="s">
        <v>27</v>
      </c>
      <c r="AZ11" s="36" t="s">
        <v>27</v>
      </c>
      <c r="BA11" s="49">
        <v>745.03</v>
      </c>
      <c r="BB11" s="23">
        <v>820.43941505078442</v>
      </c>
      <c r="BC11" s="23">
        <v>784.80705712546626</v>
      </c>
      <c r="BD11" s="23">
        <v>763.12850956400462</v>
      </c>
      <c r="BE11" s="23">
        <v>779.10561716685072</v>
      </c>
      <c r="BF11" s="23">
        <v>774.7517505000003</v>
      </c>
      <c r="BG11" s="23">
        <v>826.34260999999981</v>
      </c>
      <c r="BH11" s="23">
        <v>825.16621776720217</v>
      </c>
      <c r="BI11" s="23">
        <v>828.31594040000016</v>
      </c>
      <c r="BJ11" s="23">
        <v>837.09491580000031</v>
      </c>
      <c r="BK11" s="23">
        <v>811.04510520000008</v>
      </c>
      <c r="BL11" s="23">
        <v>895.70600000000002</v>
      </c>
      <c r="BM11" s="23">
        <v>842.68</v>
      </c>
      <c r="BN11" s="23">
        <v>856.37985427211515</v>
      </c>
      <c r="BO11" s="23">
        <v>904.64700000000005</v>
      </c>
      <c r="BP11" s="23">
        <v>881.07799999999997</v>
      </c>
      <c r="BQ11" s="23">
        <v>506.80900000000003</v>
      </c>
      <c r="BR11" s="23">
        <v>667.649</v>
      </c>
      <c r="BS11" s="23">
        <v>746.25400000000002</v>
      </c>
    </row>
    <row r="12" spans="1:71" ht="20.100000000000001" customHeight="1" x14ac:dyDescent="0.2">
      <c r="A12" s="22" t="s">
        <v>7</v>
      </c>
      <c r="B12" s="23">
        <v>914.64856198093878</v>
      </c>
      <c r="C12" s="23">
        <v>928.3172503921005</v>
      </c>
      <c r="D12" s="23">
        <v>882.04070036395319</v>
      </c>
      <c r="E12" s="23">
        <v>936.635057260184</v>
      </c>
      <c r="F12" s="23">
        <v>930.50943674802852</v>
      </c>
      <c r="G12" s="23">
        <v>974.71720257384925</v>
      </c>
      <c r="H12" s="23">
        <v>974.79990315038322</v>
      </c>
      <c r="I12" s="23">
        <v>947.57436510253115</v>
      </c>
      <c r="J12" s="23">
        <v>925.72724056123229</v>
      </c>
      <c r="K12" s="23">
        <v>961.83476950063005</v>
      </c>
      <c r="L12" s="23">
        <v>982.13582665063552</v>
      </c>
      <c r="M12" s="23">
        <v>892.17689491185331</v>
      </c>
      <c r="N12" s="23">
        <v>880.52853413060473</v>
      </c>
      <c r="O12" s="23">
        <v>879.66966768170198</v>
      </c>
      <c r="P12" s="23">
        <v>920.1978195008877</v>
      </c>
      <c r="Q12" s="23">
        <v>886.03402102840278</v>
      </c>
      <c r="R12" s="36" t="s">
        <v>27</v>
      </c>
      <c r="S12" s="24">
        <v>849.85598230652352</v>
      </c>
      <c r="T12" s="23">
        <v>854.68348807752045</v>
      </c>
      <c r="U12" s="23">
        <v>769.94108678595205</v>
      </c>
      <c r="V12" s="23">
        <v>806.569261162261</v>
      </c>
      <c r="W12" s="23">
        <v>878.12033779167598</v>
      </c>
      <c r="X12" s="23">
        <v>828.58676006806536</v>
      </c>
      <c r="Y12" s="23">
        <v>778.38172157141628</v>
      </c>
      <c r="Z12" s="23">
        <v>834.55391999137316</v>
      </c>
      <c r="AA12" s="23">
        <v>788.86916862959913</v>
      </c>
      <c r="AB12" s="23">
        <v>785.84563233821018</v>
      </c>
      <c r="AC12" s="23">
        <v>809.27612041564248</v>
      </c>
      <c r="AD12" s="23">
        <v>828.01929351727881</v>
      </c>
      <c r="AE12" s="23">
        <v>797.30273829142391</v>
      </c>
      <c r="AF12" s="23">
        <v>757.31168125503382</v>
      </c>
      <c r="AG12" s="23">
        <v>789.26879029303745</v>
      </c>
      <c r="AH12" s="23">
        <v>820.59949995147917</v>
      </c>
      <c r="AI12" s="23">
        <v>807.36006485199334</v>
      </c>
      <c r="AJ12" s="23">
        <v>772.00193152836141</v>
      </c>
      <c r="AK12" s="23">
        <v>810.32564326501426</v>
      </c>
      <c r="AL12" s="23">
        <v>807.40659619566907</v>
      </c>
      <c r="AM12" s="23">
        <v>812.80594938440913</v>
      </c>
      <c r="AN12" s="23">
        <v>785.36607668938291</v>
      </c>
      <c r="AO12" s="23">
        <v>846.62560671191352</v>
      </c>
      <c r="AP12" s="23">
        <v>827.98806331523622</v>
      </c>
      <c r="AQ12" s="23">
        <v>753.70257253911393</v>
      </c>
      <c r="AR12" s="23">
        <v>759.70835697027348</v>
      </c>
      <c r="AS12" s="23">
        <v>810.1222019544731</v>
      </c>
      <c r="AT12" s="23">
        <v>771.20013315633435</v>
      </c>
      <c r="AU12" s="23">
        <v>767.47016703191946</v>
      </c>
      <c r="AV12" s="23">
        <v>784.62590626704286</v>
      </c>
      <c r="AW12" s="23">
        <v>847.54405674865779</v>
      </c>
      <c r="AX12" s="36" t="s">
        <v>27</v>
      </c>
      <c r="AY12" s="36" t="s">
        <v>27</v>
      </c>
      <c r="AZ12" s="36" t="s">
        <v>27</v>
      </c>
      <c r="BA12" s="49">
        <v>832.06299999999987</v>
      </c>
      <c r="BB12" s="23">
        <v>828.05944499275427</v>
      </c>
      <c r="BC12" s="23">
        <v>856.4696369188988</v>
      </c>
      <c r="BD12" s="23">
        <v>804.79094961167107</v>
      </c>
      <c r="BE12" s="23">
        <v>833.8959696199413</v>
      </c>
      <c r="BF12" s="23">
        <v>836.2405779000004</v>
      </c>
      <c r="BG12" s="23">
        <v>811.12796999999989</v>
      </c>
      <c r="BH12" s="23">
        <v>810.60641131842249</v>
      </c>
      <c r="BI12" s="23">
        <v>862.48489700000005</v>
      </c>
      <c r="BJ12" s="23">
        <v>832.28018940000027</v>
      </c>
      <c r="BK12" s="23">
        <v>874.14144840000006</v>
      </c>
      <c r="BL12" s="23">
        <v>874.87199999999996</v>
      </c>
      <c r="BM12" s="23">
        <v>868.44100000000003</v>
      </c>
      <c r="BN12" s="23">
        <v>858.09877123457215</v>
      </c>
      <c r="BO12" s="23">
        <v>903.54700000000003</v>
      </c>
      <c r="BP12" s="23">
        <v>891.97400000000005</v>
      </c>
      <c r="BQ12" s="23">
        <v>548.28800000000001</v>
      </c>
      <c r="BR12" s="23">
        <v>593.89499999999998</v>
      </c>
      <c r="BS12" s="23">
        <v>856.68499999999995</v>
      </c>
    </row>
    <row r="13" spans="1:71" ht="20.100000000000001" customHeight="1" x14ac:dyDescent="0.2">
      <c r="A13" s="22" t="s">
        <v>8</v>
      </c>
      <c r="B13" s="23">
        <v>395.2133678232442</v>
      </c>
      <c r="C13" s="23">
        <v>390.05363427907633</v>
      </c>
      <c r="D13" s="23">
        <v>394.32312042173095</v>
      </c>
      <c r="E13" s="23">
        <v>418.63787238413994</v>
      </c>
      <c r="F13" s="23">
        <v>423.79742843602713</v>
      </c>
      <c r="G13" s="23">
        <v>442.35719801585219</v>
      </c>
      <c r="H13" s="23">
        <v>401.41589550355604</v>
      </c>
      <c r="I13" s="23">
        <v>383.33385550975231</v>
      </c>
      <c r="J13" s="23">
        <v>409.89640797427631</v>
      </c>
      <c r="K13" s="23">
        <v>403.4275512892425</v>
      </c>
      <c r="L13" s="23">
        <v>365.65772209685048</v>
      </c>
      <c r="M13" s="23">
        <v>413.77734461805943</v>
      </c>
      <c r="N13" s="23">
        <v>376.96669284359842</v>
      </c>
      <c r="O13" s="23">
        <v>363.78563957944317</v>
      </c>
      <c r="P13" s="23">
        <v>379.3273156578075</v>
      </c>
      <c r="Q13" s="23">
        <v>374.76076447150854</v>
      </c>
      <c r="R13" s="36" t="s">
        <v>27</v>
      </c>
      <c r="S13" s="24">
        <v>376.59871134232344</v>
      </c>
      <c r="T13" s="23">
        <v>342.81769248815669</v>
      </c>
      <c r="U13" s="23">
        <v>374.57221930130822</v>
      </c>
      <c r="V13" s="23">
        <v>325.96522262482517</v>
      </c>
      <c r="W13" s="23">
        <v>328.99410526435037</v>
      </c>
      <c r="X13" s="23">
        <v>347.01420206513762</v>
      </c>
      <c r="Y13" s="23">
        <v>356.21001797372367</v>
      </c>
      <c r="Z13" s="23">
        <v>354.17443798466991</v>
      </c>
      <c r="AA13" s="23">
        <v>337.62553753697125</v>
      </c>
      <c r="AB13" s="23">
        <v>339.47876793782939</v>
      </c>
      <c r="AC13" s="23">
        <v>366.80800877489179</v>
      </c>
      <c r="AD13" s="23">
        <v>352.35773005802298</v>
      </c>
      <c r="AE13" s="23">
        <v>348.20097101276821</v>
      </c>
      <c r="AF13" s="23">
        <v>362.12747651239329</v>
      </c>
      <c r="AG13" s="23">
        <v>360.96648401829646</v>
      </c>
      <c r="AH13" s="23">
        <v>357.20022472661981</v>
      </c>
      <c r="AI13" s="23">
        <v>316.42124984835192</v>
      </c>
      <c r="AJ13" s="23">
        <v>338.40351261901452</v>
      </c>
      <c r="AK13" s="23">
        <v>354.56206796303718</v>
      </c>
      <c r="AL13" s="23">
        <v>372.11881292679078</v>
      </c>
      <c r="AM13" s="23">
        <v>352.23106284806641</v>
      </c>
      <c r="AN13" s="23">
        <v>336.20605249055973</v>
      </c>
      <c r="AO13" s="23">
        <v>342.32455152267698</v>
      </c>
      <c r="AP13" s="23">
        <v>347.83901884188168</v>
      </c>
      <c r="AQ13" s="23">
        <v>329.14879149036437</v>
      </c>
      <c r="AR13" s="23">
        <v>316.73976548438071</v>
      </c>
      <c r="AS13" s="23">
        <v>321.39116279915061</v>
      </c>
      <c r="AT13" s="23">
        <v>316.8317733934536</v>
      </c>
      <c r="AU13" s="23">
        <v>310.28724550791617</v>
      </c>
      <c r="AV13" s="23">
        <v>310.68697865008397</v>
      </c>
      <c r="AW13" s="23">
        <v>346.42973819570574</v>
      </c>
      <c r="AX13" s="36" t="s">
        <v>27</v>
      </c>
      <c r="AY13" s="36" t="s">
        <v>27</v>
      </c>
      <c r="AZ13" s="36" t="s">
        <v>27</v>
      </c>
      <c r="BA13" s="49">
        <v>376.47899999999993</v>
      </c>
      <c r="BB13" s="23">
        <v>376.476029117027</v>
      </c>
      <c r="BC13" s="23">
        <v>372.08536759407332</v>
      </c>
      <c r="BD13" s="23">
        <v>376.90036005822827</v>
      </c>
      <c r="BE13" s="23">
        <v>377.64830975625517</v>
      </c>
      <c r="BF13" s="23">
        <v>354.99964500000016</v>
      </c>
      <c r="BG13" s="23">
        <v>386.09774999999996</v>
      </c>
      <c r="BH13" s="23">
        <v>322.26549503093213</v>
      </c>
      <c r="BI13" s="23">
        <v>347.1733230000001</v>
      </c>
      <c r="BJ13" s="23">
        <v>398.70135360000017</v>
      </c>
      <c r="BK13" s="23">
        <v>383.82901920000006</v>
      </c>
      <c r="BL13" s="23">
        <v>358.73700000000002</v>
      </c>
      <c r="BM13" s="23">
        <v>391.52699999999999</v>
      </c>
      <c r="BN13" s="23">
        <v>393.63908736530198</v>
      </c>
      <c r="BO13" s="23">
        <v>387.2</v>
      </c>
      <c r="BP13" s="23">
        <v>399.733</v>
      </c>
      <c r="BQ13" s="23">
        <v>247.78899999999999</v>
      </c>
      <c r="BR13" s="23">
        <v>338.76600000000002</v>
      </c>
      <c r="BS13" s="23">
        <v>318.178</v>
      </c>
    </row>
    <row r="14" spans="1:71" ht="20.100000000000001" customHeight="1" x14ac:dyDescent="0.2">
      <c r="A14" s="22" t="s">
        <v>9</v>
      </c>
      <c r="B14" s="23">
        <v>167.0522406855132</v>
      </c>
      <c r="C14" s="23">
        <v>219.17218541367185</v>
      </c>
      <c r="D14" s="23">
        <v>218.19166549145359</v>
      </c>
      <c r="E14" s="23">
        <v>213.36312108947087</v>
      </c>
      <c r="F14" s="23">
        <v>205.37262791730024</v>
      </c>
      <c r="G14" s="23">
        <v>208.17434459354618</v>
      </c>
      <c r="H14" s="23">
        <v>210.02821465938644</v>
      </c>
      <c r="I14" s="23">
        <v>248.50091336396378</v>
      </c>
      <c r="J14" s="23">
        <v>252.07581810104347</v>
      </c>
      <c r="K14" s="23">
        <v>238.09862193423433</v>
      </c>
      <c r="L14" s="23">
        <v>235.52259738615513</v>
      </c>
      <c r="M14" s="23">
        <v>220.4828777363096</v>
      </c>
      <c r="N14" s="23">
        <v>239.10057857490676</v>
      </c>
      <c r="O14" s="23">
        <v>253.2288593991529</v>
      </c>
      <c r="P14" s="23">
        <v>226.7477679115309</v>
      </c>
      <c r="Q14" s="23">
        <v>242.31802763937696</v>
      </c>
      <c r="R14" s="36" t="s">
        <v>27</v>
      </c>
      <c r="S14" s="24">
        <v>211.84127929226051</v>
      </c>
      <c r="T14" s="23">
        <v>202.03654267295579</v>
      </c>
      <c r="U14" s="23">
        <v>203.01180404213036</v>
      </c>
      <c r="V14" s="23">
        <v>195.85956481682362</v>
      </c>
      <c r="W14" s="23">
        <v>221.81366876926873</v>
      </c>
      <c r="X14" s="23">
        <v>199.09908151971922</v>
      </c>
      <c r="Y14" s="23">
        <v>221.43748831629688</v>
      </c>
      <c r="Z14" s="23">
        <v>210.11167079364128</v>
      </c>
      <c r="AA14" s="23">
        <v>219.06894619542948</v>
      </c>
      <c r="AB14" s="23">
        <v>193.51641105524786</v>
      </c>
      <c r="AC14" s="23">
        <v>238.70190743703759</v>
      </c>
      <c r="AD14" s="23">
        <v>225.17316977208557</v>
      </c>
      <c r="AE14" s="23">
        <v>191.16629126413957</v>
      </c>
      <c r="AF14" s="23">
        <v>222.19796538699302</v>
      </c>
      <c r="AG14" s="23">
        <v>219.52040538918376</v>
      </c>
      <c r="AH14" s="23">
        <v>228.48871049233665</v>
      </c>
      <c r="AI14" s="23">
        <v>244.15678091672208</v>
      </c>
      <c r="AJ14" s="23">
        <v>204.36923256873189</v>
      </c>
      <c r="AK14" s="23">
        <v>205.97093744535638</v>
      </c>
      <c r="AL14" s="23">
        <v>233.66579659546056</v>
      </c>
      <c r="AM14" s="23">
        <v>235.63552739493335</v>
      </c>
      <c r="AN14" s="23">
        <v>175.58042779128616</v>
      </c>
      <c r="AO14" s="23">
        <v>240.95185262703092</v>
      </c>
      <c r="AP14" s="23">
        <v>241.59426538778328</v>
      </c>
      <c r="AQ14" s="23">
        <v>217.69997633380561</v>
      </c>
      <c r="AR14" s="23">
        <v>228.67434074373671</v>
      </c>
      <c r="AS14" s="23">
        <v>198.08683079691093</v>
      </c>
      <c r="AT14" s="23">
        <v>196.86283325320545</v>
      </c>
      <c r="AU14" s="23">
        <v>208.30534757531652</v>
      </c>
      <c r="AV14" s="23">
        <v>199.31063363651728</v>
      </c>
      <c r="AW14" s="23">
        <v>186.24309442130163</v>
      </c>
      <c r="AX14" s="36" t="s">
        <v>27</v>
      </c>
      <c r="AY14" s="36" t="s">
        <v>27</v>
      </c>
      <c r="AZ14" s="36" t="s">
        <v>27</v>
      </c>
      <c r="BA14" s="49">
        <v>220.36399999999998</v>
      </c>
      <c r="BB14" s="23">
        <v>238.24382858008684</v>
      </c>
      <c r="BC14" s="23">
        <v>244.58098852337412</v>
      </c>
      <c r="BD14" s="23">
        <v>218.6273999354257</v>
      </c>
      <c r="BE14" s="23">
        <v>210.02195049754468</v>
      </c>
      <c r="BF14" s="23">
        <v>288.40577220000011</v>
      </c>
      <c r="BG14" s="23">
        <v>272.74746999999996</v>
      </c>
      <c r="BH14" s="23">
        <v>289.16818774701937</v>
      </c>
      <c r="BI14" s="23">
        <v>267.49726250000009</v>
      </c>
      <c r="BJ14" s="23">
        <v>261.3453282000001</v>
      </c>
      <c r="BK14" s="23">
        <v>306.64495620000008</v>
      </c>
      <c r="BL14" s="23">
        <v>322.762</v>
      </c>
      <c r="BM14" s="23">
        <v>321.55900000000003</v>
      </c>
      <c r="BN14" s="23">
        <v>282.72328138404635</v>
      </c>
      <c r="BO14" s="23">
        <v>280.76499999999999</v>
      </c>
      <c r="BP14" s="23">
        <v>286.90499999999997</v>
      </c>
      <c r="BQ14" s="23">
        <v>109.19799999999999</v>
      </c>
      <c r="BR14" s="23">
        <v>138.751</v>
      </c>
      <c r="BS14" s="23">
        <v>165.83799999999999</v>
      </c>
    </row>
    <row r="15" spans="1:71" ht="20.100000000000001" customHeight="1" thickBot="1" x14ac:dyDescent="0.25">
      <c r="A15" s="26" t="s">
        <v>10</v>
      </c>
      <c r="B15" s="26"/>
      <c r="C15" s="26"/>
      <c r="D15" s="26"/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26"/>
      <c r="Q15" s="26"/>
      <c r="R15" s="50"/>
      <c r="S15" s="26"/>
      <c r="T15" s="26"/>
      <c r="U15" s="26"/>
      <c r="V15" s="26"/>
      <c r="W15" s="26"/>
      <c r="X15" s="26"/>
      <c r="Y15" s="27"/>
      <c r="Z15" s="27"/>
      <c r="AA15" s="27"/>
      <c r="AB15" s="27"/>
      <c r="AC15" s="27"/>
      <c r="AD15" s="27"/>
      <c r="AE15" s="27"/>
      <c r="AF15" s="27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50"/>
      <c r="AY15" s="50"/>
      <c r="AZ15" s="50"/>
      <c r="BA15" s="51"/>
      <c r="BB15" s="11"/>
      <c r="BC15" s="11"/>
      <c r="BD15" s="11"/>
      <c r="BE15" s="11"/>
      <c r="BF15" s="11"/>
      <c r="BG15" s="11"/>
      <c r="BH15" s="11"/>
      <c r="BI15" s="11"/>
      <c r="BJ15" s="11"/>
      <c r="BK15" s="11"/>
      <c r="BL15" s="11"/>
      <c r="BM15" s="11"/>
      <c r="BN15" s="11"/>
      <c r="BO15" s="11"/>
      <c r="BP15" s="11"/>
      <c r="BQ15" s="11"/>
      <c r="BR15" s="11"/>
      <c r="BS15" s="11"/>
    </row>
    <row r="16" spans="1:71" ht="20.100000000000001" customHeight="1" x14ac:dyDescent="0.2">
      <c r="A16" s="22" t="s">
        <v>11</v>
      </c>
      <c r="B16" s="23">
        <v>1314.6692177885111</v>
      </c>
      <c r="C16" s="23">
        <v>1401.6401636272547</v>
      </c>
      <c r="D16" s="23">
        <v>1321.7686664519476</v>
      </c>
      <c r="E16" s="23">
        <v>1377.2167360261124</v>
      </c>
      <c r="F16" s="23">
        <v>1351.5941287477297</v>
      </c>
      <c r="G16" s="23">
        <v>1399.6914545074278</v>
      </c>
      <c r="H16" s="23">
        <v>1371.4228402639756</v>
      </c>
      <c r="I16" s="23">
        <v>1339.4492069975263</v>
      </c>
      <c r="J16" s="23">
        <v>1361.1185545391359</v>
      </c>
      <c r="K16" s="23">
        <v>1376.0430159867951</v>
      </c>
      <c r="L16" s="23">
        <v>1273.8629595458826</v>
      </c>
      <c r="M16" s="23">
        <v>1306.3366983188987</v>
      </c>
      <c r="N16" s="23">
        <v>1324.5022713800627</v>
      </c>
      <c r="O16" s="23">
        <v>1318.9012379878402</v>
      </c>
      <c r="P16" s="23">
        <v>1261.3128409972937</v>
      </c>
      <c r="Q16" s="23">
        <v>1255.495698851422</v>
      </c>
      <c r="R16" s="36" t="s">
        <v>27</v>
      </c>
      <c r="S16" s="24">
        <v>1180.8527792105299</v>
      </c>
      <c r="T16" s="23">
        <v>1144.2127879099614</v>
      </c>
      <c r="U16" s="23">
        <v>1138.9868956466278</v>
      </c>
      <c r="V16" s="23">
        <v>1104.5818540849225</v>
      </c>
      <c r="W16" s="23">
        <v>1140.2094734268344</v>
      </c>
      <c r="X16" s="23">
        <v>1089.9101592201516</v>
      </c>
      <c r="Y16" s="23">
        <v>1118.6696722532008</v>
      </c>
      <c r="Z16" s="23">
        <v>1143.4794810972166</v>
      </c>
      <c r="AA16" s="23">
        <v>1102.6458730249844</v>
      </c>
      <c r="AB16" s="23">
        <v>1075.6120945737034</v>
      </c>
      <c r="AC16" s="23">
        <v>1161.714661980481</v>
      </c>
      <c r="AD16" s="23">
        <v>1129.5461482169633</v>
      </c>
      <c r="AE16" s="23">
        <v>1085.2775935719296</v>
      </c>
      <c r="AF16" s="23">
        <v>1082.5014657141337</v>
      </c>
      <c r="AG16" s="23">
        <v>1111.617920560622</v>
      </c>
      <c r="AH16" s="23">
        <v>1154.9295776393051</v>
      </c>
      <c r="AI16" s="23">
        <v>1165.237665546425</v>
      </c>
      <c r="AJ16" s="23">
        <v>1158.8714076880951</v>
      </c>
      <c r="AK16" s="23">
        <v>1136.7381372784239</v>
      </c>
      <c r="AL16" s="23">
        <v>1140.4612262723965</v>
      </c>
      <c r="AM16" s="23">
        <v>1121.4687145467919</v>
      </c>
      <c r="AN16" s="23">
        <v>1068.3539557748311</v>
      </c>
      <c r="AO16" s="23">
        <v>1148.8479317621695</v>
      </c>
      <c r="AP16" s="23">
        <v>1142.5258716215742</v>
      </c>
      <c r="AQ16" s="23">
        <v>1106.6392564239281</v>
      </c>
      <c r="AR16" s="23">
        <v>1069.4398993280058</v>
      </c>
      <c r="AS16" s="23">
        <v>1080.7508911875857</v>
      </c>
      <c r="AT16" s="23">
        <v>1094.9116913604964</v>
      </c>
      <c r="AU16" s="23">
        <v>1111.3080428256321</v>
      </c>
      <c r="AV16" s="23">
        <v>1068.2673670474535</v>
      </c>
      <c r="AW16" s="23">
        <v>1111.2185557515172</v>
      </c>
      <c r="AX16" s="36" t="s">
        <v>27</v>
      </c>
      <c r="AY16" s="36" t="s">
        <v>27</v>
      </c>
      <c r="AZ16" s="36" t="s">
        <v>27</v>
      </c>
      <c r="BA16" s="49">
        <v>1101.713</v>
      </c>
      <c r="BB16" s="23">
        <v>1095.9090632119214</v>
      </c>
      <c r="BC16" s="23">
        <v>1122.9890173075223</v>
      </c>
      <c r="BD16" s="23">
        <v>1122.2757189470076</v>
      </c>
      <c r="BE16" s="23">
        <v>1108.2512400229136</v>
      </c>
      <c r="BF16" s="23">
        <v>1138.7029017000004</v>
      </c>
      <c r="BG16" s="23">
        <v>1120.3515899999998</v>
      </c>
      <c r="BH16" s="23">
        <v>1140.3591564197116</v>
      </c>
      <c r="BI16" s="23">
        <v>1172.2888903000003</v>
      </c>
      <c r="BJ16" s="23">
        <v>1168.6475988000004</v>
      </c>
      <c r="BK16" s="23">
        <v>1235.4630354000001</v>
      </c>
      <c r="BL16" s="23">
        <v>1288.31</v>
      </c>
      <c r="BM16" s="23">
        <v>1231.867</v>
      </c>
      <c r="BN16" s="23">
        <v>1204.5234511245949</v>
      </c>
      <c r="BO16" s="23">
        <v>1235.6120000000001</v>
      </c>
      <c r="BP16" s="23">
        <v>1237.548</v>
      </c>
      <c r="BQ16" s="23">
        <v>715.19</v>
      </c>
      <c r="BR16" s="23">
        <v>913.65200000000004</v>
      </c>
      <c r="BS16" s="23">
        <v>1057.7339999999999</v>
      </c>
    </row>
    <row r="17" spans="1:71" ht="20.100000000000001" customHeight="1" x14ac:dyDescent="0.2">
      <c r="A17" s="22" t="s">
        <v>12</v>
      </c>
      <c r="B17" s="23">
        <v>717.83038310989343</v>
      </c>
      <c r="C17" s="23">
        <v>693.23819052534225</v>
      </c>
      <c r="D17" s="23">
        <v>736.05877094452774</v>
      </c>
      <c r="E17" s="23">
        <v>726.7584782299798</v>
      </c>
      <c r="F17" s="23">
        <v>747.41351048831018</v>
      </c>
      <c r="G17" s="23">
        <v>750.73256218435108</v>
      </c>
      <c r="H17" s="23">
        <v>724.87097529885523</v>
      </c>
      <c r="I17" s="23">
        <v>766.66362393426243</v>
      </c>
      <c r="J17" s="23">
        <v>728.94905090167344</v>
      </c>
      <c r="K17" s="23">
        <v>725.98964079244456</v>
      </c>
      <c r="L17" s="23">
        <v>703.69299248693324</v>
      </c>
      <c r="M17" s="23">
        <v>688.10078147196134</v>
      </c>
      <c r="N17" s="23">
        <v>683.72845243083748</v>
      </c>
      <c r="O17" s="23">
        <v>626.31519169429646</v>
      </c>
      <c r="P17" s="23">
        <v>645.55949904148747</v>
      </c>
      <c r="Q17" s="23">
        <v>639.03461032463326</v>
      </c>
      <c r="R17" s="36" t="s">
        <v>27</v>
      </c>
      <c r="S17" s="24">
        <v>614.34945416325218</v>
      </c>
      <c r="T17" s="23">
        <v>595.06472260043392</v>
      </c>
      <c r="U17" s="23">
        <v>592.03982132623958</v>
      </c>
      <c r="V17" s="23">
        <v>588.59650327269867</v>
      </c>
      <c r="W17" s="23">
        <v>640.67750505845765</v>
      </c>
      <c r="X17" s="23">
        <v>587.39218234670068</v>
      </c>
      <c r="Y17" s="23">
        <v>587.27921061279881</v>
      </c>
      <c r="Z17" s="23">
        <v>604.38238615404862</v>
      </c>
      <c r="AA17" s="23">
        <v>577.07484084176008</v>
      </c>
      <c r="AB17" s="23">
        <v>533.07689225496722</v>
      </c>
      <c r="AC17" s="23">
        <v>646.58306946144808</v>
      </c>
      <c r="AD17" s="23">
        <v>599.63621552619793</v>
      </c>
      <c r="AE17" s="23">
        <v>547.53944700925979</v>
      </c>
      <c r="AF17" s="23">
        <v>585.57442893890629</v>
      </c>
      <c r="AG17" s="23">
        <v>640.18197112435303</v>
      </c>
      <c r="AH17" s="23">
        <v>619.08709970048835</v>
      </c>
      <c r="AI17" s="23">
        <v>603.9420655814971</v>
      </c>
      <c r="AJ17" s="23">
        <v>543.91157302002193</v>
      </c>
      <c r="AK17" s="23">
        <v>588.2209086598665</v>
      </c>
      <c r="AL17" s="23">
        <v>683.30054222104638</v>
      </c>
      <c r="AM17" s="23">
        <v>606.34038761885824</v>
      </c>
      <c r="AN17" s="23">
        <v>515.90569336324302</v>
      </c>
      <c r="AO17" s="23">
        <v>554.20928171160574</v>
      </c>
      <c r="AP17" s="23">
        <v>617.01365518179205</v>
      </c>
      <c r="AQ17" s="23">
        <v>557.3254958568773</v>
      </c>
      <c r="AR17" s="23">
        <v>587.56142677573985</v>
      </c>
      <c r="AS17" s="23">
        <v>537.50928896180369</v>
      </c>
      <c r="AT17" s="23">
        <v>570.81976321019204</v>
      </c>
      <c r="AU17" s="23">
        <v>540.14611888563945</v>
      </c>
      <c r="AV17" s="23">
        <v>528.47325029583942</v>
      </c>
      <c r="AW17" s="23">
        <v>579.55602012958036</v>
      </c>
      <c r="AX17" s="36" t="s">
        <v>27</v>
      </c>
      <c r="AY17" s="36" t="s">
        <v>27</v>
      </c>
      <c r="AZ17" s="36" t="s">
        <v>27</v>
      </c>
      <c r="BA17" s="49">
        <v>572.99199999999996</v>
      </c>
      <c r="BB17" s="23">
        <v>595.77705019595362</v>
      </c>
      <c r="BC17" s="23">
        <v>599.46822753741026</v>
      </c>
      <c r="BD17" s="23">
        <v>540.84587066176846</v>
      </c>
      <c r="BE17" s="23">
        <v>572.22094243852041</v>
      </c>
      <c r="BF17" s="23">
        <v>573.88932510000018</v>
      </c>
      <c r="BG17" s="23">
        <v>636.99790999999982</v>
      </c>
      <c r="BH17" s="23">
        <v>560.66785093937801</v>
      </c>
      <c r="BI17" s="23">
        <v>595.41785190000019</v>
      </c>
      <c r="BJ17" s="23">
        <v>607.61483640000006</v>
      </c>
      <c r="BK17" s="23">
        <v>632.4044166000001</v>
      </c>
      <c r="BL17" s="23">
        <v>608.11599999999999</v>
      </c>
      <c r="BM17" s="23">
        <v>626.625</v>
      </c>
      <c r="BN17" s="23">
        <v>626.15862870535693</v>
      </c>
      <c r="BO17" s="23">
        <v>642.02300000000002</v>
      </c>
      <c r="BP17" s="23">
        <v>636.74699999999996</v>
      </c>
      <c r="BQ17" s="23">
        <v>383.40800000000002</v>
      </c>
      <c r="BR17" s="23">
        <v>394.61599999999999</v>
      </c>
      <c r="BS17" s="23">
        <v>571.93600000000004</v>
      </c>
    </row>
    <row r="18" spans="1:71" ht="20.100000000000001" customHeight="1" x14ac:dyDescent="0.2">
      <c r="A18" s="22" t="s">
        <v>13</v>
      </c>
      <c r="B18" s="23">
        <v>924.47055900475596</v>
      </c>
      <c r="C18" s="23">
        <v>913.9989139450106</v>
      </c>
      <c r="D18" s="23">
        <v>900.00082123238997</v>
      </c>
      <c r="E18" s="23">
        <v>893.58951576589209</v>
      </c>
      <c r="F18" s="23">
        <v>915.30708615077867</v>
      </c>
      <c r="G18" s="23">
        <v>983.81588883077518</v>
      </c>
      <c r="H18" s="23">
        <v>919.05744901747164</v>
      </c>
      <c r="I18" s="23">
        <v>945.08226487599586</v>
      </c>
      <c r="J18" s="23">
        <v>937.4657845359319</v>
      </c>
      <c r="K18" s="23">
        <v>915.4091198327427</v>
      </c>
      <c r="L18" s="23">
        <v>930.74993469500293</v>
      </c>
      <c r="M18" s="23">
        <v>960.75698510631617</v>
      </c>
      <c r="N18" s="23">
        <v>916.75273888070342</v>
      </c>
      <c r="O18" s="23">
        <v>975.70152332678776</v>
      </c>
      <c r="P18" s="23">
        <v>898.80793591571341</v>
      </c>
      <c r="Q18" s="23">
        <v>916.91616234676189</v>
      </c>
      <c r="R18" s="36" t="s">
        <v>27</v>
      </c>
      <c r="S18" s="24">
        <v>986.83224939616775</v>
      </c>
      <c r="T18" s="23">
        <v>862.28987562219334</v>
      </c>
      <c r="U18" s="23">
        <v>812.38741232758275</v>
      </c>
      <c r="V18" s="23">
        <v>844.21191891220838</v>
      </c>
      <c r="W18" s="23">
        <v>949.24342881150324</v>
      </c>
      <c r="X18" s="23">
        <v>891.40876186148444</v>
      </c>
      <c r="Y18" s="23">
        <v>833.78338266121796</v>
      </c>
      <c r="Z18" s="23">
        <v>821.3808416020953</v>
      </c>
      <c r="AA18" s="23">
        <v>886.28539855472002</v>
      </c>
      <c r="AB18" s="23">
        <v>862.12291948098948</v>
      </c>
      <c r="AC18" s="23">
        <v>868.09377587828737</v>
      </c>
      <c r="AD18" s="23">
        <v>874.98887119007236</v>
      </c>
      <c r="AE18" s="23">
        <v>873.33291375401996</v>
      </c>
      <c r="AF18" s="23">
        <v>831.5348586404383</v>
      </c>
      <c r="AG18" s="23">
        <v>865.14758454180492</v>
      </c>
      <c r="AH18" s="23">
        <v>836.67366423801445</v>
      </c>
      <c r="AI18" s="23">
        <v>868.35447635062349</v>
      </c>
      <c r="AJ18" s="23">
        <v>819.30953860069212</v>
      </c>
      <c r="AK18" s="23">
        <v>855.52824289147202</v>
      </c>
      <c r="AL18" s="23">
        <v>915.11465380241236</v>
      </c>
      <c r="AM18" s="23">
        <v>896.81524472126364</v>
      </c>
      <c r="AN18" s="23">
        <v>816.42906253619947</v>
      </c>
      <c r="AO18" s="23">
        <v>927.28929666183092</v>
      </c>
      <c r="AP18" s="23">
        <v>909.34102368385004</v>
      </c>
      <c r="AQ18" s="23">
        <v>915.95751392383954</v>
      </c>
      <c r="AR18" s="23">
        <v>811.05788459252358</v>
      </c>
      <c r="AS18" s="23">
        <v>828.68736469217049</v>
      </c>
      <c r="AT18" s="23">
        <v>828.44851871822425</v>
      </c>
      <c r="AU18" s="23">
        <v>969.78948125743875</v>
      </c>
      <c r="AV18" s="23">
        <v>811.04259854602105</v>
      </c>
      <c r="AW18" s="23">
        <v>813.35116072817937</v>
      </c>
      <c r="AX18" s="36" t="s">
        <v>27</v>
      </c>
      <c r="AY18" s="36" t="s">
        <v>27</v>
      </c>
      <c r="AZ18" s="36" t="s">
        <v>27</v>
      </c>
      <c r="BA18" s="49">
        <v>872.80200000000002</v>
      </c>
      <c r="BB18" s="23">
        <v>920.08572691743018</v>
      </c>
      <c r="BC18" s="23">
        <v>908.93334079777981</v>
      </c>
      <c r="BD18" s="23">
        <v>896.59582223947132</v>
      </c>
      <c r="BE18" s="23">
        <v>928.7688029135353</v>
      </c>
      <c r="BF18" s="23">
        <v>972.14145210000049</v>
      </c>
      <c r="BG18" s="23">
        <v>976.48819999999989</v>
      </c>
      <c r="BH18" s="23">
        <v>925.47458453926515</v>
      </c>
      <c r="BI18" s="23">
        <v>888.73320790000014</v>
      </c>
      <c r="BJ18" s="23">
        <v>940.68322920000037</v>
      </c>
      <c r="BK18" s="23">
        <v>937.0499688000001</v>
      </c>
      <c r="BL18" s="23">
        <v>909.43399999999997</v>
      </c>
      <c r="BM18" s="23">
        <v>909.60900000000004</v>
      </c>
      <c r="BN18" s="23">
        <v>956.3682595634657</v>
      </c>
      <c r="BO18" s="23">
        <v>987.08600000000001</v>
      </c>
      <c r="BP18" s="23">
        <v>956.46199999999999</v>
      </c>
      <c r="BQ18" s="23">
        <v>506.40600000000001</v>
      </c>
      <c r="BR18" s="23">
        <v>705.83199999999999</v>
      </c>
      <c r="BS18" s="23">
        <v>758.73800000000006</v>
      </c>
    </row>
    <row r="19" spans="1:71" ht="20.100000000000001" customHeight="1" x14ac:dyDescent="0.2">
      <c r="A19" s="22" t="s">
        <v>14</v>
      </c>
      <c r="B19" s="23">
        <v>227.42091866637094</v>
      </c>
      <c r="C19" s="23">
        <v>261.13947621384267</v>
      </c>
      <c r="D19" s="23">
        <v>244.84092050455453</v>
      </c>
      <c r="E19" s="23">
        <v>238.33165562618444</v>
      </c>
      <c r="F19" s="23">
        <v>265.80426874008191</v>
      </c>
      <c r="G19" s="23">
        <v>275.68590175171335</v>
      </c>
      <c r="H19" s="23">
        <v>247.49047700041879</v>
      </c>
      <c r="I19" s="23">
        <v>239.13024867451983</v>
      </c>
      <c r="J19" s="23">
        <v>270.87774849984953</v>
      </c>
      <c r="K19" s="23">
        <v>292.46017498662422</v>
      </c>
      <c r="L19" s="23">
        <v>280.93767278139131</v>
      </c>
      <c r="M19" s="23">
        <v>270.55011689822311</v>
      </c>
      <c r="N19" s="23">
        <v>261.58589252846934</v>
      </c>
      <c r="O19" s="23">
        <v>280.60719741620096</v>
      </c>
      <c r="P19" s="23">
        <v>268.91732230971195</v>
      </c>
      <c r="Q19" s="23">
        <v>294.21322973411651</v>
      </c>
      <c r="R19" s="36" t="s">
        <v>27</v>
      </c>
      <c r="S19" s="24">
        <v>250.18679810390472</v>
      </c>
      <c r="T19" s="23">
        <v>254.48181277764593</v>
      </c>
      <c r="U19" s="23">
        <v>240.59180124280002</v>
      </c>
      <c r="V19" s="23">
        <v>252.99717616175073</v>
      </c>
      <c r="W19" s="23">
        <v>243.29867363937726</v>
      </c>
      <c r="X19" s="23">
        <v>247.67441077235929</v>
      </c>
      <c r="Y19" s="23">
        <v>253.73100732742293</v>
      </c>
      <c r="Z19" s="23">
        <v>244.8412517340287</v>
      </c>
      <c r="AA19" s="23">
        <v>268.04178749044951</v>
      </c>
      <c r="AB19" s="23">
        <v>273.65771406965092</v>
      </c>
      <c r="AC19" s="23">
        <v>250.00725195945247</v>
      </c>
      <c r="AD19" s="23">
        <v>291.11484912918047</v>
      </c>
      <c r="AE19" s="23">
        <v>265.40464410385204</v>
      </c>
      <c r="AF19" s="23">
        <v>266.863828679905</v>
      </c>
      <c r="AG19" s="23">
        <v>261.14519731573466</v>
      </c>
      <c r="AH19" s="23">
        <v>267.58102870156245</v>
      </c>
      <c r="AI19" s="23">
        <v>242.73708518272127</v>
      </c>
      <c r="AJ19" s="23">
        <v>210.59372837402086</v>
      </c>
      <c r="AK19" s="23">
        <v>248.73459966419028</v>
      </c>
      <c r="AL19" s="23">
        <v>240.94306256095271</v>
      </c>
      <c r="AM19" s="23">
        <v>304.53176738578384</v>
      </c>
      <c r="AN19" s="23">
        <v>256.99770414837252</v>
      </c>
      <c r="AO19" s="23">
        <v>272.19854485101922</v>
      </c>
      <c r="AP19" s="23">
        <v>289.0133479531944</v>
      </c>
      <c r="AQ19" s="23">
        <v>261.73195239821689</v>
      </c>
      <c r="AR19" s="23">
        <v>269.6893150640642</v>
      </c>
      <c r="AS19" s="23">
        <v>286.98426205986567</v>
      </c>
      <c r="AT19" s="23">
        <v>278.06873944688056</v>
      </c>
      <c r="AU19" s="23">
        <v>277.41563991865007</v>
      </c>
      <c r="AV19" s="23">
        <v>266.67119312465542</v>
      </c>
      <c r="AW19" s="23">
        <v>263.39413908351401</v>
      </c>
      <c r="AX19" s="36" t="s">
        <v>27</v>
      </c>
      <c r="AY19" s="36" t="s">
        <v>27</v>
      </c>
      <c r="AZ19" s="36" t="s">
        <v>27</v>
      </c>
      <c r="BA19" s="49">
        <v>263.01900000000001</v>
      </c>
      <c r="BB19" s="23">
        <v>287.96933074323721</v>
      </c>
      <c r="BC19" s="23">
        <v>256.86984784709961</v>
      </c>
      <c r="BD19" s="23">
        <v>235.06838760485164</v>
      </c>
      <c r="BE19" s="23">
        <v>274.90706778103026</v>
      </c>
      <c r="BF19" s="23">
        <v>303.51282780000014</v>
      </c>
      <c r="BG19" s="23">
        <v>300.27198999999996</v>
      </c>
      <c r="BH19" s="23">
        <v>286.39597526227794</v>
      </c>
      <c r="BI19" s="23">
        <v>292.03076320000008</v>
      </c>
      <c r="BJ19" s="23">
        <v>295.86332160000006</v>
      </c>
      <c r="BK19" s="23">
        <v>304.7586498</v>
      </c>
      <c r="BL19" s="23">
        <v>278.21899999999999</v>
      </c>
      <c r="BM19" s="23">
        <v>282.88799999999998</v>
      </c>
      <c r="BN19" s="23">
        <v>267.48235294478792</v>
      </c>
      <c r="BO19" s="23">
        <v>292.42899999999997</v>
      </c>
      <c r="BP19" s="23">
        <v>305.43799999999999</v>
      </c>
      <c r="BQ19" s="23">
        <v>127.66800000000001</v>
      </c>
      <c r="BR19" s="23">
        <v>156.06399999999999</v>
      </c>
      <c r="BS19" s="23">
        <v>250.59299999999999</v>
      </c>
    </row>
    <row r="20" spans="1:71" ht="20.100000000000001" customHeight="1" thickBot="1" x14ac:dyDescent="0.25">
      <c r="A20" s="26" t="s">
        <v>15</v>
      </c>
      <c r="B20" s="26"/>
      <c r="C20" s="26"/>
      <c r="D20" s="26"/>
      <c r="E20" s="26"/>
      <c r="F20" s="26"/>
      <c r="G20" s="26"/>
      <c r="H20" s="26"/>
      <c r="I20" s="26"/>
      <c r="J20" s="26"/>
      <c r="K20" s="26"/>
      <c r="L20" s="26"/>
      <c r="M20" s="26"/>
      <c r="N20" s="26"/>
      <c r="O20" s="26"/>
      <c r="P20" s="26"/>
      <c r="Q20" s="26"/>
      <c r="R20" s="50"/>
      <c r="S20" s="26"/>
      <c r="T20" s="26"/>
      <c r="U20" s="26"/>
      <c r="V20" s="26"/>
      <c r="W20" s="26"/>
      <c r="X20" s="26"/>
      <c r="Y20" s="27"/>
      <c r="Z20" s="27"/>
      <c r="AA20" s="27"/>
      <c r="AB20" s="27"/>
      <c r="AC20" s="27"/>
      <c r="AD20" s="27"/>
      <c r="AE20" s="27"/>
      <c r="AF20" s="27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50"/>
      <c r="AY20" s="50"/>
      <c r="AZ20" s="50"/>
      <c r="BA20" s="51"/>
      <c r="BB20" s="11"/>
      <c r="BC20" s="11"/>
      <c r="BD20" s="11"/>
      <c r="BE20" s="11"/>
      <c r="BF20" s="11"/>
      <c r="BG20" s="11"/>
      <c r="BH20" s="11"/>
      <c r="BI20" s="11"/>
      <c r="BJ20" s="11"/>
      <c r="BK20" s="11"/>
      <c r="BL20" s="11"/>
      <c r="BM20" s="11"/>
      <c r="BN20" s="11"/>
      <c r="BO20" s="11"/>
      <c r="BP20" s="11"/>
      <c r="BQ20" s="11"/>
      <c r="BR20" s="11"/>
      <c r="BS20" s="11"/>
    </row>
    <row r="21" spans="1:71" ht="20.100000000000001" customHeight="1" x14ac:dyDescent="0.2">
      <c r="A21" s="22" t="s">
        <v>16</v>
      </c>
      <c r="B21" s="23">
        <v>370.38994801584596</v>
      </c>
      <c r="C21" s="23">
        <v>341.46607039721437</v>
      </c>
      <c r="D21" s="23">
        <v>353.97184750548979</v>
      </c>
      <c r="E21" s="23">
        <v>352.74018855051406</v>
      </c>
      <c r="F21" s="23">
        <v>328.70463244695696</v>
      </c>
      <c r="G21" s="23">
        <v>368.33636059526162</v>
      </c>
      <c r="H21" s="23">
        <v>367.19466397470319</v>
      </c>
      <c r="I21" s="23">
        <v>323.20363565269332</v>
      </c>
      <c r="J21" s="23">
        <v>341.57403003366778</v>
      </c>
      <c r="K21" s="23">
        <v>367.92196702234418</v>
      </c>
      <c r="L21" s="23">
        <v>318.74738217705539</v>
      </c>
      <c r="M21" s="23">
        <v>323.32225226749551</v>
      </c>
      <c r="N21" s="23">
        <v>322.59348311236664</v>
      </c>
      <c r="O21" s="23">
        <v>330.86295005024738</v>
      </c>
      <c r="P21" s="23">
        <v>318.91422392828508</v>
      </c>
      <c r="Q21" s="23">
        <v>287.76480936767678</v>
      </c>
      <c r="R21" s="36" t="s">
        <v>27</v>
      </c>
      <c r="S21" s="24">
        <v>308.67137771129865</v>
      </c>
      <c r="T21" s="23">
        <v>295.14368337402863</v>
      </c>
      <c r="U21" s="23">
        <v>231.32120203064758</v>
      </c>
      <c r="V21" s="23">
        <v>243.18411627831318</v>
      </c>
      <c r="W21" s="23">
        <v>279.57614818454618</v>
      </c>
      <c r="X21" s="23">
        <v>268.65648488955708</v>
      </c>
      <c r="Y21" s="23">
        <v>239.94478983029359</v>
      </c>
      <c r="Z21" s="23">
        <v>251.82998730855846</v>
      </c>
      <c r="AA21" s="23">
        <v>217.85395944414071</v>
      </c>
      <c r="AB21" s="23">
        <v>213.86505609740817</v>
      </c>
      <c r="AC21" s="23">
        <v>250.04304778524261</v>
      </c>
      <c r="AD21" s="23">
        <v>218.99059408172354</v>
      </c>
      <c r="AE21" s="23">
        <v>217.79598864580714</v>
      </c>
      <c r="AF21" s="23">
        <v>216.66907517519434</v>
      </c>
      <c r="AG21" s="28">
        <v>215.27714620183983</v>
      </c>
      <c r="AH21" s="28">
        <v>213.26455796262493</v>
      </c>
      <c r="AI21" s="28">
        <v>224.73299599040379</v>
      </c>
      <c r="AJ21" s="28">
        <v>219.32200089359051</v>
      </c>
      <c r="AK21" s="28">
        <v>244.74819143090298</v>
      </c>
      <c r="AL21" s="28">
        <v>235.06329471930542</v>
      </c>
      <c r="AM21" s="28">
        <v>195.64290291543202</v>
      </c>
      <c r="AN21" s="28">
        <v>166.88785838626765</v>
      </c>
      <c r="AO21" s="28">
        <v>187.978606093259</v>
      </c>
      <c r="AP21" s="28">
        <v>189.56692939643762</v>
      </c>
      <c r="AQ21" s="28">
        <v>189.46044138883474</v>
      </c>
      <c r="AR21" s="28">
        <v>200.04446641704376</v>
      </c>
      <c r="AS21" s="28">
        <v>169.89502769924525</v>
      </c>
      <c r="AT21" s="28">
        <v>196.32082603278997</v>
      </c>
      <c r="AU21" s="28">
        <v>190.27013115183524</v>
      </c>
      <c r="AV21" s="28">
        <v>174.85663941334636</v>
      </c>
      <c r="AW21" s="28">
        <v>176.88007440058391</v>
      </c>
      <c r="AX21" s="36" t="s">
        <v>27</v>
      </c>
      <c r="AY21" s="36" t="s">
        <v>27</v>
      </c>
      <c r="AZ21" s="36" t="s">
        <v>27</v>
      </c>
      <c r="BA21" s="28">
        <v>171.42099999999999</v>
      </c>
      <c r="BB21" s="28">
        <v>170.89814562681948</v>
      </c>
      <c r="BC21" s="28">
        <v>188.01256477155957</v>
      </c>
      <c r="BD21" s="28">
        <v>187.67067224502128</v>
      </c>
      <c r="BE21" s="28">
        <v>157.29352462717895</v>
      </c>
      <c r="BF21" s="28">
        <v>189.59172960000006</v>
      </c>
      <c r="BG21" s="28">
        <v>174.59566999999996</v>
      </c>
      <c r="BH21" s="28">
        <v>167.64116211727253</v>
      </c>
      <c r="BI21" s="28">
        <v>143.63605720000004</v>
      </c>
      <c r="BJ21" s="28">
        <v>177.71167260000004</v>
      </c>
      <c r="BK21" s="28">
        <v>173.31197400000005</v>
      </c>
      <c r="BL21" s="28">
        <v>201.30199999999999</v>
      </c>
      <c r="BM21" s="28">
        <v>185.73500000000001</v>
      </c>
      <c r="BN21" s="28">
        <v>171.76282820896071</v>
      </c>
      <c r="BO21" s="28">
        <v>158.898</v>
      </c>
      <c r="BP21" s="28">
        <v>185.83799999999999</v>
      </c>
      <c r="BQ21" s="28">
        <v>81.772999999999996</v>
      </c>
      <c r="BR21" s="28">
        <v>139.80799999999999</v>
      </c>
      <c r="BS21" s="28">
        <v>122.129</v>
      </c>
    </row>
    <row r="22" spans="1:71" ht="20.100000000000001" customHeight="1" x14ac:dyDescent="0.2">
      <c r="A22" s="22" t="s">
        <v>17</v>
      </c>
      <c r="B22" s="23">
        <v>934.5335304897161</v>
      </c>
      <c r="C22" s="23">
        <v>964.0573084419608</v>
      </c>
      <c r="D22" s="23">
        <v>984.66749206624866</v>
      </c>
      <c r="E22" s="23">
        <v>936.95516667732136</v>
      </c>
      <c r="F22" s="23">
        <v>1009.0909893617645</v>
      </c>
      <c r="G22" s="23">
        <v>1051.3335771791424</v>
      </c>
      <c r="H22" s="23">
        <v>1031.7830803863778</v>
      </c>
      <c r="I22" s="23">
        <v>1016.1975480932352</v>
      </c>
      <c r="J22" s="23">
        <v>962.66702229333032</v>
      </c>
      <c r="K22" s="23">
        <v>972.40231026780339</v>
      </c>
      <c r="L22" s="23">
        <v>956.73374034745939</v>
      </c>
      <c r="M22" s="23">
        <v>953.88810728482383</v>
      </c>
      <c r="N22" s="23">
        <v>911.90282651401083</v>
      </c>
      <c r="O22" s="23">
        <v>906.85046348335277</v>
      </c>
      <c r="P22" s="23">
        <v>860.36554491165077</v>
      </c>
      <c r="Q22" s="23">
        <v>854.01064702270412</v>
      </c>
      <c r="R22" s="36" t="s">
        <v>27</v>
      </c>
      <c r="S22" s="24">
        <v>801.75406752850938</v>
      </c>
      <c r="T22" s="23">
        <v>761.38029598807657</v>
      </c>
      <c r="U22" s="23">
        <v>784.65380903216339</v>
      </c>
      <c r="V22" s="23">
        <v>782.92579608407482</v>
      </c>
      <c r="W22" s="23">
        <v>765.07285011372676</v>
      </c>
      <c r="X22" s="23">
        <v>792.45792346397309</v>
      </c>
      <c r="Y22" s="23">
        <v>744.19793473139134</v>
      </c>
      <c r="Z22" s="23">
        <v>729.17031238635241</v>
      </c>
      <c r="AA22" s="23">
        <v>751.11582715882264</v>
      </c>
      <c r="AB22" s="23">
        <v>731.72183190958708</v>
      </c>
      <c r="AC22" s="23">
        <v>745.57591431521837</v>
      </c>
      <c r="AD22" s="23">
        <v>751.20544334643444</v>
      </c>
      <c r="AE22" s="23">
        <v>740.0350230176175</v>
      </c>
      <c r="AF22" s="23">
        <v>759.66746925832183</v>
      </c>
      <c r="AG22" s="28">
        <v>737.32735635100664</v>
      </c>
      <c r="AH22" s="28">
        <v>712.16698446221426</v>
      </c>
      <c r="AI22" s="28">
        <v>701.27615802194009</v>
      </c>
      <c r="AJ22" s="28">
        <v>729.22085674243965</v>
      </c>
      <c r="AK22" s="28">
        <v>695.44881235044352</v>
      </c>
      <c r="AL22" s="28">
        <v>731.32618179026485</v>
      </c>
      <c r="AM22" s="28">
        <v>727.05149516607867</v>
      </c>
      <c r="AN22" s="28">
        <v>642.99680436686185</v>
      </c>
      <c r="AO22" s="28">
        <v>710.50259844119762</v>
      </c>
      <c r="AP22" s="28">
        <v>740.60773452389947</v>
      </c>
      <c r="AQ22" s="28">
        <v>686.25723642103719</v>
      </c>
      <c r="AR22" s="28">
        <v>623.22679751020257</v>
      </c>
      <c r="AS22" s="28">
        <v>633.13164618218491</v>
      </c>
      <c r="AT22" s="28">
        <v>642.37774050811618</v>
      </c>
      <c r="AU22" s="28">
        <v>676.90249397595323</v>
      </c>
      <c r="AV22" s="28">
        <v>650.62487783960137</v>
      </c>
      <c r="AW22" s="28">
        <v>697.81884310755049</v>
      </c>
      <c r="AX22" s="36" t="s">
        <v>27</v>
      </c>
      <c r="AY22" s="36" t="s">
        <v>27</v>
      </c>
      <c r="AZ22" s="36" t="s">
        <v>27</v>
      </c>
      <c r="BA22" s="28">
        <v>682.26699999999994</v>
      </c>
      <c r="BB22" s="28">
        <v>649.80741389604157</v>
      </c>
      <c r="BC22" s="28">
        <v>627.37850105211214</v>
      </c>
      <c r="BD22" s="28">
        <v>549.86205933384565</v>
      </c>
      <c r="BE22" s="28">
        <v>594.19498683749077</v>
      </c>
      <c r="BF22" s="28">
        <v>580.48325790000013</v>
      </c>
      <c r="BG22" s="28">
        <v>595.16976999999986</v>
      </c>
      <c r="BH22" s="28">
        <v>550.68452093809742</v>
      </c>
      <c r="BI22" s="28">
        <v>569.55734260000008</v>
      </c>
      <c r="BJ22" s="28">
        <v>595.75271580000015</v>
      </c>
      <c r="BK22" s="28">
        <v>575.06797260000008</v>
      </c>
      <c r="BL22" s="28">
        <v>588.851</v>
      </c>
      <c r="BM22" s="28">
        <v>567.74599999999998</v>
      </c>
      <c r="BN22" s="28">
        <v>551.04581333999988</v>
      </c>
      <c r="BO22" s="28">
        <v>556.75699999999995</v>
      </c>
      <c r="BP22" s="28">
        <v>583.08900000000006</v>
      </c>
      <c r="BQ22" s="28">
        <v>274.07400000000001</v>
      </c>
      <c r="BR22" s="28">
        <v>329.30700000000002</v>
      </c>
      <c r="BS22" s="28">
        <v>458.02600000000001</v>
      </c>
    </row>
    <row r="23" spans="1:71" ht="20.100000000000001" customHeight="1" x14ac:dyDescent="0.2">
      <c r="A23" s="22" t="s">
        <v>18</v>
      </c>
      <c r="B23" s="23">
        <v>750.56122226037917</v>
      </c>
      <c r="C23" s="23">
        <v>746.13179782938664</v>
      </c>
      <c r="D23" s="23">
        <v>727.19772581058157</v>
      </c>
      <c r="E23" s="23">
        <v>696.09118050282746</v>
      </c>
      <c r="F23" s="23">
        <v>715.61721736204072</v>
      </c>
      <c r="G23" s="23">
        <v>714.93458633612261</v>
      </c>
      <c r="H23" s="23">
        <v>709.06199272384333</v>
      </c>
      <c r="I23" s="23">
        <v>665.7177273042746</v>
      </c>
      <c r="J23" s="23">
        <v>710.85929158083047</v>
      </c>
      <c r="K23" s="23">
        <v>731.82986721138559</v>
      </c>
      <c r="L23" s="23">
        <v>657.62553113132435</v>
      </c>
      <c r="M23" s="23">
        <v>699.60325518468017</v>
      </c>
      <c r="N23" s="23">
        <v>693.74978480078858</v>
      </c>
      <c r="O23" s="23">
        <v>689.43043603219883</v>
      </c>
      <c r="P23" s="23">
        <v>673.22991142458329</v>
      </c>
      <c r="Q23" s="23">
        <v>707.09136848852768</v>
      </c>
      <c r="R23" s="36" t="s">
        <v>27</v>
      </c>
      <c r="S23" s="24">
        <v>715.59084023000617</v>
      </c>
      <c r="T23" s="23">
        <v>618.20488129002388</v>
      </c>
      <c r="U23" s="23">
        <v>609.15828894802212</v>
      </c>
      <c r="V23" s="23">
        <v>613.30048243838098</v>
      </c>
      <c r="W23" s="23">
        <v>683.68929855731596</v>
      </c>
      <c r="X23" s="23">
        <v>635.11324071156821</v>
      </c>
      <c r="Y23" s="23">
        <v>615.59552459093675</v>
      </c>
      <c r="Z23" s="23">
        <v>619.95538920305557</v>
      </c>
      <c r="AA23" s="23">
        <v>685.22396380660314</v>
      </c>
      <c r="AB23" s="23">
        <v>623.91139700345207</v>
      </c>
      <c r="AC23" s="23">
        <v>661.92516039511418</v>
      </c>
      <c r="AD23" s="23">
        <v>687.62799075019257</v>
      </c>
      <c r="AE23" s="23">
        <v>647.56223995679534</v>
      </c>
      <c r="AF23" s="23">
        <v>637.05806341806044</v>
      </c>
      <c r="AG23" s="28">
        <v>707.12467091617418</v>
      </c>
      <c r="AH23" s="28">
        <v>703.70695209170026</v>
      </c>
      <c r="AI23" s="28">
        <v>691.13238567450708</v>
      </c>
      <c r="AJ23" s="28">
        <v>619.75462874529796</v>
      </c>
      <c r="AK23" s="28">
        <v>650.28220041760574</v>
      </c>
      <c r="AL23" s="28">
        <v>686.02669113469369</v>
      </c>
      <c r="AM23" s="28">
        <v>710.59846219923622</v>
      </c>
      <c r="AN23" s="28">
        <v>619.15994806808646</v>
      </c>
      <c r="AO23" s="28">
        <v>686.89265641396992</v>
      </c>
      <c r="AP23" s="28">
        <v>728.20208924288409</v>
      </c>
      <c r="AQ23" s="28">
        <v>699.9653236439375</v>
      </c>
      <c r="AR23" s="28">
        <v>752.34154070295631</v>
      </c>
      <c r="AS23" s="28">
        <v>718.01255181373051</v>
      </c>
      <c r="AT23" s="28">
        <v>687.32426533159207</v>
      </c>
      <c r="AU23" s="28">
        <v>701.61979413874315</v>
      </c>
      <c r="AV23" s="28">
        <v>618.05933436994701</v>
      </c>
      <c r="AW23" s="28">
        <v>708.47252004268444</v>
      </c>
      <c r="AX23" s="36" t="s">
        <v>27</v>
      </c>
      <c r="AY23" s="36" t="s">
        <v>27</v>
      </c>
      <c r="AZ23" s="36" t="s">
        <v>27</v>
      </c>
      <c r="BA23" s="28">
        <v>637.92899999999997</v>
      </c>
      <c r="BB23" s="28">
        <v>717.74003142651259</v>
      </c>
      <c r="BC23" s="28">
        <v>713.39140821196372</v>
      </c>
      <c r="BD23" s="28">
        <v>677.5951083879778</v>
      </c>
      <c r="BE23" s="28">
        <v>689.56615268092139</v>
      </c>
      <c r="BF23" s="28">
        <v>742.82450970000036</v>
      </c>
      <c r="BG23" s="28">
        <v>732.30655999999988</v>
      </c>
      <c r="BH23" s="28">
        <v>687.72346597996602</v>
      </c>
      <c r="BI23" s="28">
        <v>705.81608030000018</v>
      </c>
      <c r="BJ23" s="28">
        <v>742.63014540000017</v>
      </c>
      <c r="BK23" s="28">
        <v>745.03649880000012</v>
      </c>
      <c r="BL23" s="28">
        <v>720.76099999999997</v>
      </c>
      <c r="BM23" s="28">
        <v>721.72699999999998</v>
      </c>
      <c r="BN23" s="28">
        <v>711.33634215253869</v>
      </c>
      <c r="BO23" s="28">
        <v>774.86900000000003</v>
      </c>
      <c r="BP23" s="28">
        <v>713.298</v>
      </c>
      <c r="BQ23" s="28">
        <v>417.62900000000002</v>
      </c>
      <c r="BR23" s="28">
        <v>522.94200000000001</v>
      </c>
      <c r="BS23" s="28">
        <v>632.44399999999996</v>
      </c>
    </row>
    <row r="24" spans="1:71" ht="20.100000000000001" customHeight="1" x14ac:dyDescent="0.2">
      <c r="A24" s="22" t="s">
        <v>19</v>
      </c>
      <c r="B24" s="23">
        <v>532.00348662264309</v>
      </c>
      <c r="C24" s="23">
        <v>606.1357447957746</v>
      </c>
      <c r="D24" s="23">
        <v>557.64466358851564</v>
      </c>
      <c r="E24" s="23">
        <v>604.7580509444341</v>
      </c>
      <c r="F24" s="23">
        <v>613.48682549205432</v>
      </c>
      <c r="G24" s="23">
        <v>630.91990888939381</v>
      </c>
      <c r="H24" s="23">
        <v>557.17373509128004</v>
      </c>
      <c r="I24" s="23">
        <v>631.11850718499079</v>
      </c>
      <c r="J24" s="23">
        <v>638.08686763726098</v>
      </c>
      <c r="K24" s="23">
        <v>605.28274669975485</v>
      </c>
      <c r="L24" s="23">
        <v>650.05498636040636</v>
      </c>
      <c r="M24" s="23">
        <v>612.0058374853329</v>
      </c>
      <c r="N24" s="23">
        <v>581.29288412386552</v>
      </c>
      <c r="O24" s="23">
        <v>641.42463857967618</v>
      </c>
      <c r="P24" s="23">
        <v>594.04010641993204</v>
      </c>
      <c r="Q24" s="23">
        <v>653.52937934555314</v>
      </c>
      <c r="R24" s="36" t="s">
        <v>27</v>
      </c>
      <c r="S24" s="24">
        <v>608.34153617272545</v>
      </c>
      <c r="T24" s="23">
        <v>591.83038259746399</v>
      </c>
      <c r="U24" s="23">
        <v>613.0019977899542</v>
      </c>
      <c r="V24" s="23">
        <v>598.1340125159528</v>
      </c>
      <c r="W24" s="23">
        <v>628.79970732763923</v>
      </c>
      <c r="X24" s="23">
        <v>575.32038777526873</v>
      </c>
      <c r="Y24" s="23">
        <v>632.56411752184044</v>
      </c>
      <c r="Z24" s="23">
        <v>651.42967726386985</v>
      </c>
      <c r="AA24" s="23">
        <v>624.10329527871431</v>
      </c>
      <c r="AB24" s="23">
        <v>603.65467938091797</v>
      </c>
      <c r="AC24" s="23">
        <v>651.31118667938938</v>
      </c>
      <c r="AD24" s="23">
        <v>666.18531300437689</v>
      </c>
      <c r="AE24" s="23">
        <v>650.44900844289168</v>
      </c>
      <c r="AF24" s="23">
        <v>616.74693593508641</v>
      </c>
      <c r="AG24" s="28">
        <v>649.55737736944263</v>
      </c>
      <c r="AH24" s="28">
        <v>647.26802152466018</v>
      </c>
      <c r="AI24" s="28">
        <v>673.40626446491649</v>
      </c>
      <c r="AJ24" s="28">
        <v>622.47424827977534</v>
      </c>
      <c r="AK24" s="28">
        <v>669.74948622643433</v>
      </c>
      <c r="AL24" s="28">
        <v>733.60019895796245</v>
      </c>
      <c r="AM24" s="28">
        <v>720.17986779659054</v>
      </c>
      <c r="AN24" s="28">
        <v>647.92750242529428</v>
      </c>
      <c r="AO24" s="28">
        <v>729.63575366389227</v>
      </c>
      <c r="AP24" s="28">
        <v>704.91828245921511</v>
      </c>
      <c r="AQ24" s="28">
        <v>721.38083862977646</v>
      </c>
      <c r="AR24" s="28">
        <v>661.40131010782386</v>
      </c>
      <c r="AS24" s="28">
        <v>672.63382519752429</v>
      </c>
      <c r="AT24" s="28">
        <v>685.0810968167857</v>
      </c>
      <c r="AU24" s="28">
        <v>751.63326802567167</v>
      </c>
      <c r="AV24" s="28">
        <v>700.80856987663628</v>
      </c>
      <c r="AW24" s="28">
        <v>689.53120363460857</v>
      </c>
      <c r="AX24" s="36" t="s">
        <v>27</v>
      </c>
      <c r="AY24" s="36" t="s">
        <v>27</v>
      </c>
      <c r="AZ24" s="36" t="s">
        <v>27</v>
      </c>
      <c r="BA24" s="28">
        <v>719.53</v>
      </c>
      <c r="BB24" s="28">
        <v>749.02769221613107</v>
      </c>
      <c r="BC24" s="28">
        <v>751.04533136586758</v>
      </c>
      <c r="BD24" s="28">
        <v>744.33635240693218</v>
      </c>
      <c r="BE24" s="28">
        <v>797.02036970237464</v>
      </c>
      <c r="BF24" s="28">
        <v>816.43453710000028</v>
      </c>
      <c r="BG24" s="28">
        <v>795.58608999999979</v>
      </c>
      <c r="BH24" s="28">
        <v>825.09693719814402</v>
      </c>
      <c r="BI24" s="28">
        <v>842.45958990000008</v>
      </c>
      <c r="BJ24" s="28">
        <v>827.49575700000025</v>
      </c>
      <c r="BK24" s="28">
        <v>824.08768200000009</v>
      </c>
      <c r="BL24" s="28">
        <v>825.33</v>
      </c>
      <c r="BM24" s="28">
        <v>862.57399999999996</v>
      </c>
      <c r="BN24" s="28">
        <v>870.69739756625199</v>
      </c>
      <c r="BO24" s="28">
        <v>867.78399999999999</v>
      </c>
      <c r="BP24" s="28">
        <v>831.81799999999998</v>
      </c>
      <c r="BQ24" s="28">
        <v>492.452</v>
      </c>
      <c r="BR24" s="28">
        <v>623.97500000000002</v>
      </c>
      <c r="BS24" s="28">
        <v>779.02200000000005</v>
      </c>
    </row>
    <row r="25" spans="1:71" ht="20.100000000000001" customHeight="1" x14ac:dyDescent="0.2">
      <c r="A25" s="22" t="s">
        <v>20</v>
      </c>
      <c r="B25" s="23">
        <v>359.93958720727545</v>
      </c>
      <c r="C25" s="23">
        <v>362.65544784575673</v>
      </c>
      <c r="D25" s="23">
        <v>351.94248405212937</v>
      </c>
      <c r="E25" s="23">
        <v>386.36696920107329</v>
      </c>
      <c r="F25" s="23">
        <v>378.952025639949</v>
      </c>
      <c r="G25" s="23">
        <v>400.75707250827674</v>
      </c>
      <c r="H25" s="23">
        <v>358.60378255467469</v>
      </c>
      <c r="I25" s="23">
        <v>382.09955576655659</v>
      </c>
      <c r="J25" s="23">
        <v>371.42075154674399</v>
      </c>
      <c r="K25" s="23">
        <v>386.7574401895908</v>
      </c>
      <c r="L25" s="23">
        <v>333.69490665372575</v>
      </c>
      <c r="M25" s="23">
        <v>380.89306627605515</v>
      </c>
      <c r="N25" s="23">
        <v>421.14972814416683</v>
      </c>
      <c r="O25" s="23">
        <v>363.63571010314178</v>
      </c>
      <c r="P25" s="23">
        <v>358.82538288395989</v>
      </c>
      <c r="Q25" s="23">
        <v>358.54047593042327</v>
      </c>
      <c r="R25" s="36" t="s">
        <v>27</v>
      </c>
      <c r="S25" s="24">
        <v>337.1133222986532</v>
      </c>
      <c r="T25" s="23">
        <v>330.19421785973105</v>
      </c>
      <c r="U25" s="23">
        <v>335.44255243279491</v>
      </c>
      <c r="V25" s="23">
        <v>330.58145844192251</v>
      </c>
      <c r="W25" s="23">
        <v>353.0452443846691</v>
      </c>
      <c r="X25" s="23">
        <v>322.41547694273356</v>
      </c>
      <c r="Y25" s="23">
        <v>327.73779511266292</v>
      </c>
      <c r="Z25" s="23">
        <v>324.46390084200817</v>
      </c>
      <c r="AA25" s="23">
        <v>338.52836144535956</v>
      </c>
      <c r="AB25" s="23">
        <v>326.43528850863618</v>
      </c>
      <c r="AC25" s="23">
        <v>342.99867093503121</v>
      </c>
      <c r="AD25" s="23">
        <v>331.02037902343915</v>
      </c>
      <c r="AE25" s="23">
        <v>297.78127229655013</v>
      </c>
      <c r="AF25" s="23">
        <v>308.74529989945603</v>
      </c>
      <c r="AG25" s="28">
        <v>329.99705581303692</v>
      </c>
      <c r="AH25" s="28">
        <v>316.35238042228536</v>
      </c>
      <c r="AI25" s="28">
        <v>336.58731223965543</v>
      </c>
      <c r="AJ25" s="28">
        <v>308.13515446677638</v>
      </c>
      <c r="AK25" s="28">
        <v>341.45637816642125</v>
      </c>
      <c r="AL25" s="28">
        <v>347.22793274010394</v>
      </c>
      <c r="AM25" s="28">
        <v>324.51008299593764</v>
      </c>
      <c r="AN25" s="28">
        <v>307.44158754316294</v>
      </c>
      <c r="AO25" s="28">
        <v>327.31627339950302</v>
      </c>
      <c r="AP25" s="28">
        <v>325.81848242626279</v>
      </c>
      <c r="AQ25" s="28">
        <v>315.90276318788852</v>
      </c>
      <c r="AR25" s="28">
        <v>279.55315173626389</v>
      </c>
      <c r="AS25" s="28">
        <v>305.85091462675371</v>
      </c>
      <c r="AT25" s="28">
        <v>336.78585437130113</v>
      </c>
      <c r="AU25" s="28">
        <v>335.85382729704492</v>
      </c>
      <c r="AV25" s="28">
        <v>314.41981572914079</v>
      </c>
      <c r="AW25" s="28">
        <v>281.55945928625829</v>
      </c>
      <c r="AX25" s="36" t="s">
        <v>27</v>
      </c>
      <c r="AY25" s="36" t="s">
        <v>27</v>
      </c>
      <c r="AZ25" s="36" t="s">
        <v>27</v>
      </c>
      <c r="BA25" s="28">
        <v>369.17199999999997</v>
      </c>
      <c r="BB25" s="28">
        <v>357.09403263913174</v>
      </c>
      <c r="BC25" s="28">
        <v>338.60498111570627</v>
      </c>
      <c r="BD25" s="28">
        <v>377.65305803534056</v>
      </c>
      <c r="BE25" s="28">
        <v>403.67155831523405</v>
      </c>
      <c r="BF25" s="28">
        <v>387.65718810000021</v>
      </c>
      <c r="BG25" s="28">
        <v>437.31787999999995</v>
      </c>
      <c r="BH25" s="28">
        <v>400.64161308401231</v>
      </c>
      <c r="BI25" s="28">
        <v>404.30235610000011</v>
      </c>
      <c r="BJ25" s="28">
        <v>378.41346180000005</v>
      </c>
      <c r="BK25" s="28">
        <v>451.33212960000014</v>
      </c>
      <c r="BL25" s="28">
        <v>427.16199999999998</v>
      </c>
      <c r="BM25" s="28">
        <v>411.82</v>
      </c>
      <c r="BN25" s="28">
        <v>408.94191305055193</v>
      </c>
      <c r="BO25" s="28">
        <v>435.71800000000002</v>
      </c>
      <c r="BP25" s="28">
        <v>482.226</v>
      </c>
      <c r="BQ25" s="28">
        <v>231.82599999999999</v>
      </c>
      <c r="BR25" s="28">
        <v>284.96699999999998</v>
      </c>
      <c r="BS25" s="28">
        <v>343.01299999999998</v>
      </c>
    </row>
    <row r="26" spans="1:71" ht="20.100000000000001" customHeight="1" x14ac:dyDescent="0.2">
      <c r="A26" s="22" t="s">
        <v>21</v>
      </c>
      <c r="B26" s="23">
        <v>236.96330397367134</v>
      </c>
      <c r="C26" s="23">
        <v>249.57037500135718</v>
      </c>
      <c r="D26" s="23">
        <v>227.24496611045495</v>
      </c>
      <c r="E26" s="23">
        <v>258.98482977199853</v>
      </c>
      <c r="F26" s="23">
        <v>234.26730382413487</v>
      </c>
      <c r="G26" s="23">
        <v>243.64430176607016</v>
      </c>
      <c r="H26" s="23">
        <v>239.02448684984259</v>
      </c>
      <c r="I26" s="23">
        <v>271.98837048055395</v>
      </c>
      <c r="J26" s="23">
        <v>273.80317538475771</v>
      </c>
      <c r="K26" s="23">
        <v>245.70762020772753</v>
      </c>
      <c r="L26" s="23">
        <v>272.38701283923842</v>
      </c>
      <c r="M26" s="23">
        <v>256.03206329701209</v>
      </c>
      <c r="N26" s="23">
        <v>255.88064852487432</v>
      </c>
      <c r="O26" s="23">
        <v>269.32095217650834</v>
      </c>
      <c r="P26" s="23">
        <v>269.2224286957956</v>
      </c>
      <c r="Q26" s="23">
        <v>244.72302110204885</v>
      </c>
      <c r="R26" s="36" t="s">
        <v>27</v>
      </c>
      <c r="S26" s="24">
        <v>260.75013693266175</v>
      </c>
      <c r="T26" s="23">
        <v>259.2957378009105</v>
      </c>
      <c r="U26" s="23">
        <v>210.42808030966782</v>
      </c>
      <c r="V26" s="23">
        <v>222.26158667293601</v>
      </c>
      <c r="W26" s="23">
        <v>263.2458323682755</v>
      </c>
      <c r="X26" s="23">
        <v>222.42200041759526</v>
      </c>
      <c r="Y26" s="23">
        <v>233.42311106751535</v>
      </c>
      <c r="Z26" s="23">
        <v>237.2346935835449</v>
      </c>
      <c r="AA26" s="23">
        <v>217.22249277827359</v>
      </c>
      <c r="AB26" s="23">
        <v>244.88136747930952</v>
      </c>
      <c r="AC26" s="23">
        <v>274.54477916967295</v>
      </c>
      <c r="AD26" s="23">
        <v>240.25636385624696</v>
      </c>
      <c r="AE26" s="23">
        <v>217.93106607939976</v>
      </c>
      <c r="AF26" s="23">
        <v>227.58773828726447</v>
      </c>
      <c r="AG26" s="28">
        <v>238.80906689101457</v>
      </c>
      <c r="AH26" s="28">
        <v>285.5124738158853</v>
      </c>
      <c r="AI26" s="28">
        <v>253.13617626984384</v>
      </c>
      <c r="AJ26" s="28">
        <v>233.77935855495022</v>
      </c>
      <c r="AK26" s="28">
        <v>227.5368199021446</v>
      </c>
      <c r="AL26" s="28">
        <v>246.57518551447748</v>
      </c>
      <c r="AM26" s="28">
        <v>251.17330319942266</v>
      </c>
      <c r="AN26" s="28">
        <v>273.27271503297294</v>
      </c>
      <c r="AO26" s="28">
        <v>260.21916697480361</v>
      </c>
      <c r="AP26" s="28">
        <v>268.78038039171179</v>
      </c>
      <c r="AQ26" s="28">
        <v>228.68761533138749</v>
      </c>
      <c r="AR26" s="28">
        <v>221.18125928604317</v>
      </c>
      <c r="AS26" s="28">
        <v>234.40784138198708</v>
      </c>
      <c r="AT26" s="28">
        <v>224.35892967520797</v>
      </c>
      <c r="AU26" s="28">
        <v>242.37976829811217</v>
      </c>
      <c r="AV26" s="28">
        <v>215.68517178529757</v>
      </c>
      <c r="AW26" s="28">
        <v>213.2577752211055</v>
      </c>
      <c r="AX26" s="36" t="s">
        <v>27</v>
      </c>
      <c r="AY26" s="36" t="s">
        <v>27</v>
      </c>
      <c r="AZ26" s="36" t="s">
        <v>27</v>
      </c>
      <c r="BA26" s="28">
        <v>230.20699999999999</v>
      </c>
      <c r="BB26" s="28">
        <v>255.17385526390601</v>
      </c>
      <c r="BC26" s="28">
        <v>269.82764697260251</v>
      </c>
      <c r="BD26" s="28">
        <v>257.66854904398178</v>
      </c>
      <c r="BE26" s="28">
        <v>242.40146099280005</v>
      </c>
      <c r="BF26" s="28">
        <v>271.25528430000008</v>
      </c>
      <c r="BG26" s="28">
        <v>299.13371999999998</v>
      </c>
      <c r="BH26" s="28">
        <v>281.10986784314042</v>
      </c>
      <c r="BI26" s="28">
        <v>282.69928720000001</v>
      </c>
      <c r="BJ26" s="28">
        <v>290.80523340000008</v>
      </c>
      <c r="BK26" s="28">
        <v>340.83981360000007</v>
      </c>
      <c r="BL26" s="28">
        <v>320.673</v>
      </c>
      <c r="BM26" s="28">
        <v>301.387</v>
      </c>
      <c r="BN26" s="28">
        <v>340.74839801990208</v>
      </c>
      <c r="BO26" s="28">
        <v>363.12400000000002</v>
      </c>
      <c r="BP26" s="28">
        <v>339.92599999999999</v>
      </c>
      <c r="BQ26" s="28">
        <v>234.91800000000001</v>
      </c>
      <c r="BR26" s="28">
        <v>269.16500000000002</v>
      </c>
      <c r="BS26" s="28">
        <v>304.36700000000002</v>
      </c>
    </row>
    <row r="27" spans="1:71" ht="20.100000000000001" customHeight="1" thickBot="1" x14ac:dyDescent="0.25">
      <c r="A27" s="26" t="s">
        <v>107</v>
      </c>
      <c r="B27" s="26"/>
      <c r="C27" s="26"/>
      <c r="D27" s="26"/>
      <c r="E27" s="26"/>
      <c r="F27" s="26"/>
      <c r="G27" s="26"/>
      <c r="H27" s="26"/>
      <c r="I27" s="26"/>
      <c r="J27" s="26"/>
      <c r="K27" s="26"/>
      <c r="L27" s="26"/>
      <c r="M27" s="26"/>
      <c r="N27" s="26"/>
      <c r="O27" s="26"/>
      <c r="P27" s="26"/>
      <c r="Q27" s="26"/>
      <c r="R27" s="50"/>
      <c r="S27" s="26"/>
      <c r="T27" s="26"/>
      <c r="U27" s="26"/>
      <c r="V27" s="26"/>
      <c r="W27" s="26"/>
      <c r="X27" s="26"/>
      <c r="Y27" s="27"/>
      <c r="Z27" s="27"/>
      <c r="AA27" s="27"/>
      <c r="AB27" s="27"/>
      <c r="AC27" s="27"/>
      <c r="AD27" s="27"/>
      <c r="AE27" s="27"/>
      <c r="AF27" s="27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50"/>
      <c r="AY27" s="50"/>
      <c r="AZ27" s="50"/>
      <c r="BA27" s="51"/>
      <c r="BB27" s="11"/>
      <c r="BC27" s="11"/>
      <c r="BD27" s="11"/>
      <c r="BE27" s="11"/>
      <c r="BF27" s="11"/>
      <c r="BG27" s="11"/>
      <c r="BH27" s="11"/>
      <c r="BI27" s="11"/>
      <c r="BJ27" s="11"/>
      <c r="BK27" s="11"/>
      <c r="BL27" s="11"/>
      <c r="BM27" s="11"/>
      <c r="BN27" s="11"/>
      <c r="BO27" s="11"/>
      <c r="BP27" s="11"/>
      <c r="BQ27" s="11"/>
      <c r="BR27" s="11"/>
      <c r="BS27" s="11"/>
    </row>
    <row r="28" spans="1:71" ht="20.100000000000001" customHeight="1" x14ac:dyDescent="0.2">
      <c r="A28" s="22" t="s">
        <v>108</v>
      </c>
      <c r="B28" s="23">
        <v>70.707194102821575</v>
      </c>
      <c r="C28" s="23">
        <v>85.931513075663133</v>
      </c>
      <c r="D28" s="23">
        <v>78.79728380333745</v>
      </c>
      <c r="E28" s="23">
        <v>74.819969243772761</v>
      </c>
      <c r="F28" s="23">
        <v>80.671492954405664</v>
      </c>
      <c r="G28" s="23">
        <v>66.941356469559295</v>
      </c>
      <c r="H28" s="23">
        <v>53.902867155815258</v>
      </c>
      <c r="I28" s="23">
        <v>66.377329650021707</v>
      </c>
      <c r="J28" s="23">
        <v>65.315092311106895</v>
      </c>
      <c r="K28" s="23">
        <v>57.951360588019128</v>
      </c>
      <c r="L28" s="23">
        <v>47.975459855097462</v>
      </c>
      <c r="M28" s="23">
        <v>56.27270991511142</v>
      </c>
      <c r="N28" s="23">
        <v>38.881192388136547</v>
      </c>
      <c r="O28" s="23">
        <v>40.703826741840878</v>
      </c>
      <c r="P28" s="23">
        <v>38.51030505013447</v>
      </c>
      <c r="Q28" s="23">
        <v>29.503953485644928</v>
      </c>
      <c r="R28" s="36" t="s">
        <v>27</v>
      </c>
      <c r="S28" s="24">
        <v>25.137031430207241</v>
      </c>
      <c r="T28" s="23">
        <v>36.202463368669783</v>
      </c>
      <c r="U28" s="23">
        <v>28.862851441318536</v>
      </c>
      <c r="V28" s="23">
        <v>36.926836160688296</v>
      </c>
      <c r="W28" s="23">
        <v>32.708530087569116</v>
      </c>
      <c r="X28" s="23">
        <v>27.28779474648908</v>
      </c>
      <c r="Y28" s="23">
        <v>39.716004653013123</v>
      </c>
      <c r="Z28" s="23">
        <v>20.941738502759389</v>
      </c>
      <c r="AA28" s="23">
        <v>34.799016003327175</v>
      </c>
      <c r="AB28" s="23">
        <v>34.775121428841956</v>
      </c>
      <c r="AC28" s="23">
        <v>30.535884874772947</v>
      </c>
      <c r="AD28" s="23">
        <v>28.786915028015478</v>
      </c>
      <c r="AE28" s="23">
        <v>29.920674854650834</v>
      </c>
      <c r="AF28" s="23">
        <v>48.880299495060108</v>
      </c>
      <c r="AG28" s="28">
        <v>33.815716963485237</v>
      </c>
      <c r="AH28" s="28">
        <v>23.853776121357555</v>
      </c>
      <c r="AI28" s="28">
        <v>25.767631998771439</v>
      </c>
      <c r="AJ28" s="28">
        <v>18.706377750373019</v>
      </c>
      <c r="AK28" s="28">
        <v>14.961626567594429</v>
      </c>
      <c r="AL28" s="28">
        <v>21.732123397937499</v>
      </c>
      <c r="AM28" s="28">
        <v>23.978709274821437</v>
      </c>
      <c r="AN28" s="28">
        <v>23.35284876171119</v>
      </c>
      <c r="AO28" s="28">
        <v>24.965981183787754</v>
      </c>
      <c r="AP28" s="28">
        <v>24.330339588573342</v>
      </c>
      <c r="AQ28" s="28">
        <v>31.092290790675033</v>
      </c>
      <c r="AR28" s="28">
        <v>20.30243249099254</v>
      </c>
      <c r="AS28" s="28">
        <v>27.350436132482745</v>
      </c>
      <c r="AT28" s="28">
        <v>16.413501464079683</v>
      </c>
      <c r="AU28" s="28">
        <v>35.277235856325269</v>
      </c>
      <c r="AV28" s="28">
        <v>21.185505227833417</v>
      </c>
      <c r="AW28" s="28">
        <v>21.712874467892771</v>
      </c>
      <c r="AX28" s="36" t="s">
        <v>27</v>
      </c>
      <c r="AY28" s="36" t="s">
        <v>27</v>
      </c>
      <c r="AZ28" s="36" t="s">
        <v>27</v>
      </c>
      <c r="BA28" s="30">
        <v>22.046017677291211</v>
      </c>
      <c r="BB28" s="28">
        <v>15.015405614734503</v>
      </c>
      <c r="BC28" s="28">
        <v>25.904466121172831</v>
      </c>
      <c r="BD28" s="28">
        <v>15.212795002471051</v>
      </c>
      <c r="BE28" s="28">
        <v>22.263561487640544</v>
      </c>
      <c r="BF28" s="28">
        <v>17.680790400000006</v>
      </c>
      <c r="BG28" s="28">
        <v>17.616419999999994</v>
      </c>
      <c r="BH28" s="28">
        <v>18.353412465921423</v>
      </c>
      <c r="BI28" s="28">
        <v>17.157191100000002</v>
      </c>
      <c r="BJ28" s="28">
        <v>27.578647800000013</v>
      </c>
      <c r="BK28" s="28">
        <v>18.119851200000003</v>
      </c>
      <c r="BL28" s="28">
        <v>26.576000000000001</v>
      </c>
      <c r="BM28" s="28">
        <v>24.811</v>
      </c>
      <c r="BN28" s="28">
        <v>20.553944505034519</v>
      </c>
      <c r="BO28" s="28">
        <v>22.181999999999999</v>
      </c>
      <c r="BP28" s="28">
        <v>22.132000000000001</v>
      </c>
      <c r="BQ28" s="28">
        <v>16.97</v>
      </c>
      <c r="BR28" s="28">
        <v>15.045999999999999</v>
      </c>
      <c r="BS28" s="28">
        <v>18.806999999999999</v>
      </c>
    </row>
    <row r="29" spans="1:71" s="56" customFormat="1" ht="20.100000000000001" customHeight="1" x14ac:dyDescent="0.2">
      <c r="A29" s="22"/>
      <c r="B29" s="23"/>
      <c r="C29" s="57">
        <f t="shared" ref="C29" si="0">C28/B28-1</f>
        <v>0.21531499256925013</v>
      </c>
      <c r="D29" s="57">
        <f t="shared" ref="D29" si="1">D28/C28-1</f>
        <v>-8.3022269909805435E-2</v>
      </c>
      <c r="E29" s="57">
        <f t="shared" ref="E29" si="2">E28/D28-1</f>
        <v>-5.0475274877383902E-2</v>
      </c>
      <c r="F29" s="57">
        <f t="shared" ref="F29" si="3">F28/E28-1</f>
        <v>7.8208047527631441E-2</v>
      </c>
      <c r="G29" s="57">
        <f t="shared" ref="G29" si="4">G28/F28-1</f>
        <v>-0.17019812057533679</v>
      </c>
      <c r="H29" s="57">
        <f t="shared" ref="H29" si="5">H28/G28-1</f>
        <v>-0.19477479993512115</v>
      </c>
      <c r="I29" s="57">
        <f t="shared" ref="I29" si="6">I28/H28-1</f>
        <v>0.23142484161643817</v>
      </c>
      <c r="J29" s="57">
        <f t="shared" ref="J29" si="7">J28/I28-1</f>
        <v>-1.6003014048855513E-2</v>
      </c>
      <c r="K29" s="57">
        <f t="shared" ref="K29" si="8">K28/J28-1</f>
        <v>-0.11274165682891579</v>
      </c>
      <c r="L29" s="57">
        <f t="shared" ref="L29" si="9">L28/K28-1</f>
        <v>-0.17214264914056365</v>
      </c>
      <c r="M29" s="57">
        <f t="shared" ref="M29" si="10">M28/L28-1</f>
        <v>0.17294779633326152</v>
      </c>
      <c r="N29" s="57">
        <f t="shared" ref="N29" si="11">N28/M28-1</f>
        <v>-0.30905775736072327</v>
      </c>
      <c r="O29" s="57">
        <f t="shared" ref="O29" si="12">O28/N28-1</f>
        <v>4.6877017955356148E-2</v>
      </c>
      <c r="P29" s="57">
        <f t="shared" ref="P29" si="13">P28/O28-1</f>
        <v>-5.3889814970433991E-2</v>
      </c>
      <c r="Q29" s="57">
        <f t="shared" ref="Q29" si="14">Q28/P28-1</f>
        <v>-0.23386861134350045</v>
      </c>
      <c r="R29" s="61"/>
      <c r="S29" s="58"/>
      <c r="T29" s="57">
        <f t="shared" ref="T29" si="15">T28/S28-1</f>
        <v>0.44020440397608684</v>
      </c>
      <c r="U29" s="57">
        <f t="shared" ref="U29" si="16">U28/T28-1</f>
        <v>-0.20273791461669066</v>
      </c>
      <c r="V29" s="57">
        <f t="shared" ref="V29" si="17">V28/U28-1</f>
        <v>0.27938974552686724</v>
      </c>
      <c r="W29" s="57">
        <f t="shared" ref="W29" si="18">W28/V28-1</f>
        <v>-0.11423415899383005</v>
      </c>
      <c r="X29" s="57">
        <f t="shared" ref="X29" si="19">X28/W28-1</f>
        <v>-0.1657284912090925</v>
      </c>
      <c r="Y29" s="57">
        <f t="shared" ref="Y29" si="20">Y28/X28-1</f>
        <v>0.45544940593351124</v>
      </c>
      <c r="Z29" s="62">
        <f t="shared" ref="Z29:AF29" si="21">Z28/Y28-1</f>
        <v>-0.47271286007439306</v>
      </c>
      <c r="AA29" s="57">
        <f t="shared" si="21"/>
        <v>0.6617061663119268</v>
      </c>
      <c r="AB29" s="57">
        <f t="shared" si="21"/>
        <v>-6.8664511901528336E-4</v>
      </c>
      <c r="AC29" s="57">
        <f t="shared" si="21"/>
        <v>-0.12190429191580199</v>
      </c>
      <c r="AD29" s="57">
        <f t="shared" si="21"/>
        <v>-5.7275885533691229E-2</v>
      </c>
      <c r="AE29" s="57">
        <f t="shared" si="21"/>
        <v>3.9384554598225652E-2</v>
      </c>
      <c r="AF29" s="57">
        <f t="shared" si="21"/>
        <v>0.63366300167063949</v>
      </c>
      <c r="AG29" s="57">
        <f t="shared" ref="AG29:BP29" si="22">AG28/AF28-1</f>
        <v>-0.3081933352944638</v>
      </c>
      <c r="AH29" s="57">
        <f t="shared" si="22"/>
        <v>-0.29459499122507882</v>
      </c>
      <c r="AI29" s="57">
        <f t="shared" si="22"/>
        <v>8.0232826353237474E-2</v>
      </c>
      <c r="AJ29" s="57">
        <f t="shared" si="22"/>
        <v>-0.27403582326599085</v>
      </c>
      <c r="AK29" s="57">
        <f t="shared" si="22"/>
        <v>-0.20018579934343073</v>
      </c>
      <c r="AL29" s="57">
        <f t="shared" si="22"/>
        <v>0.45252411559364636</v>
      </c>
      <c r="AM29" s="57">
        <f t="shared" si="22"/>
        <v>0.10337627095827884</v>
      </c>
      <c r="AN29" s="57">
        <f t="shared" si="22"/>
        <v>-2.6100675642596993E-2</v>
      </c>
      <c r="AO29" s="57">
        <f t="shared" si="22"/>
        <v>6.907647279082374E-2</v>
      </c>
      <c r="AP29" s="57">
        <f t="shared" si="22"/>
        <v>-2.5460308991468006E-2</v>
      </c>
      <c r="AQ29" s="57">
        <f t="shared" si="22"/>
        <v>0.27792259855170376</v>
      </c>
      <c r="AR29" s="57">
        <f t="shared" si="22"/>
        <v>-0.34702680392139218</v>
      </c>
      <c r="AS29" s="57">
        <f t="shared" si="22"/>
        <v>0.34715069953401656</v>
      </c>
      <c r="AT29" s="57">
        <f t="shared" si="22"/>
        <v>-0.39988154541396181</v>
      </c>
      <c r="AU29" s="57">
        <f t="shared" si="22"/>
        <v>1.1492815493103739</v>
      </c>
      <c r="AV29" s="57">
        <f t="shared" si="22"/>
        <v>-0.39945676826505616</v>
      </c>
      <c r="AW29" s="57">
        <f t="shared" si="22"/>
        <v>2.4892927234347884E-2</v>
      </c>
      <c r="AX29" s="57"/>
      <c r="AY29" s="57"/>
      <c r="AZ29" s="57"/>
      <c r="BA29" s="57"/>
      <c r="BB29" s="57">
        <f t="shared" si="22"/>
        <v>-0.31890621542042408</v>
      </c>
      <c r="BC29" s="57">
        <f t="shared" si="22"/>
        <v>0.72519256461197279</v>
      </c>
      <c r="BD29" s="57">
        <f t="shared" si="22"/>
        <v>-0.41273466392588642</v>
      </c>
      <c r="BE29" s="57">
        <f t="shared" si="22"/>
        <v>0.4634760728731453</v>
      </c>
      <c r="BF29" s="57">
        <f t="shared" si="22"/>
        <v>-0.20584177828801697</v>
      </c>
      <c r="BG29" s="57">
        <f t="shared" si="22"/>
        <v>-3.6406969679371182E-3</v>
      </c>
      <c r="BH29" s="57">
        <f t="shared" si="22"/>
        <v>4.1835541268965493E-2</v>
      </c>
      <c r="BI29" s="57">
        <f t="shared" si="22"/>
        <v>-6.5177054574595439E-2</v>
      </c>
      <c r="BJ29" s="57">
        <f t="shared" si="22"/>
        <v>0.60741042279350776</v>
      </c>
      <c r="BK29" s="57">
        <f t="shared" si="22"/>
        <v>-0.34297535791439371</v>
      </c>
      <c r="BL29" s="57">
        <f t="shared" si="22"/>
        <v>0.46667871091568336</v>
      </c>
      <c r="BM29" s="57">
        <f t="shared" si="22"/>
        <v>-6.6413305237808529E-2</v>
      </c>
      <c r="BN29" s="57">
        <f t="shared" si="22"/>
        <v>-0.17157935975839267</v>
      </c>
      <c r="BO29" s="57">
        <f t="shared" si="22"/>
        <v>7.9208907787344796E-2</v>
      </c>
      <c r="BP29" s="57">
        <f t="shared" si="22"/>
        <v>-2.2540798845910315E-3</v>
      </c>
      <c r="BQ29" s="63">
        <f>BQ28/$BP28-1</f>
        <v>-0.23323694198445699</v>
      </c>
      <c r="BR29" s="63">
        <f>BR28/$BP28-1</f>
        <v>-0.3201698897523948</v>
      </c>
      <c r="BS29" s="63">
        <f>BS28/$BP28-1</f>
        <v>-0.15023495391288644</v>
      </c>
    </row>
    <row r="30" spans="1:71" ht="20.100000000000001" customHeight="1" x14ac:dyDescent="0.2">
      <c r="A30" s="22" t="s">
        <v>182</v>
      </c>
      <c r="B30" s="23">
        <v>397.2092870942331</v>
      </c>
      <c r="C30" s="23">
        <v>361.21634704908729</v>
      </c>
      <c r="D30" s="23">
        <v>356.66037262189661</v>
      </c>
      <c r="E30" s="23">
        <v>454.56046961875427</v>
      </c>
      <c r="F30" s="23">
        <v>395.36117129468369</v>
      </c>
      <c r="G30" s="23">
        <v>406.65221188565835</v>
      </c>
      <c r="H30" s="23">
        <v>393.08503361173149</v>
      </c>
      <c r="I30" s="23">
        <v>387.10419164583874</v>
      </c>
      <c r="J30" s="23">
        <v>412.36956529530568</v>
      </c>
      <c r="K30" s="23">
        <v>413.38432263271193</v>
      </c>
      <c r="L30" s="23">
        <v>390.05818599932883</v>
      </c>
      <c r="M30" s="23">
        <v>428.8952330491814</v>
      </c>
      <c r="N30" s="23">
        <v>386.86771260741313</v>
      </c>
      <c r="O30" s="23">
        <v>412.00214872838939</v>
      </c>
      <c r="P30" s="23">
        <v>368.42254987213295</v>
      </c>
      <c r="Q30" s="23">
        <v>416.85675741329004</v>
      </c>
      <c r="R30" s="36" t="s">
        <v>27</v>
      </c>
      <c r="S30" s="24">
        <v>386.85754343055703</v>
      </c>
      <c r="T30" s="23">
        <v>319.79536779364975</v>
      </c>
      <c r="U30" s="23">
        <v>330.59247226659483</v>
      </c>
      <c r="V30" s="23">
        <v>316.68801214130173</v>
      </c>
      <c r="W30" s="23">
        <v>363.53500603574713</v>
      </c>
      <c r="X30" s="23">
        <v>310.35182798167375</v>
      </c>
      <c r="Y30" s="23">
        <v>301.54102673242795</v>
      </c>
      <c r="Z30" s="23">
        <v>338.22931407720881</v>
      </c>
      <c r="AA30" s="23">
        <v>356.90516357610352</v>
      </c>
      <c r="AB30" s="23">
        <v>316.98617118682995</v>
      </c>
      <c r="AC30" s="23">
        <v>344.89789517766957</v>
      </c>
      <c r="AD30" s="23">
        <v>338.11203671656864</v>
      </c>
      <c r="AE30" s="23">
        <v>323.74479233527245</v>
      </c>
      <c r="AF30" s="23">
        <v>297.66296936205975</v>
      </c>
      <c r="AG30" s="28">
        <v>329.23955090731369</v>
      </c>
      <c r="AH30" s="28">
        <v>343.01006473302004</v>
      </c>
      <c r="AI30" s="28">
        <v>337.3460618813948</v>
      </c>
      <c r="AJ30" s="28">
        <v>312.48490120521473</v>
      </c>
      <c r="AK30" s="28">
        <v>301.9953580020931</v>
      </c>
      <c r="AL30" s="28">
        <v>335.98012798745259</v>
      </c>
      <c r="AM30" s="28">
        <v>368.20075776287973</v>
      </c>
      <c r="AN30" s="28">
        <v>322.76197079614957</v>
      </c>
      <c r="AO30" s="28">
        <v>310.79715712929431</v>
      </c>
      <c r="AP30" s="28">
        <v>345.09161220809955</v>
      </c>
      <c r="AQ30" s="28">
        <v>344.02118577266003</v>
      </c>
      <c r="AR30" s="28">
        <v>329.76225215903492</v>
      </c>
      <c r="AS30" s="28">
        <v>295.22965831865855</v>
      </c>
      <c r="AT30" s="28">
        <v>311.69422620992196</v>
      </c>
      <c r="AU30" s="28">
        <v>319.94281645076279</v>
      </c>
      <c r="AV30" s="28">
        <v>299.98791740360952</v>
      </c>
      <c r="AW30" s="28">
        <v>315.47800309994835</v>
      </c>
      <c r="AX30" s="36" t="s">
        <v>27</v>
      </c>
      <c r="AY30" s="36" t="s">
        <v>27</v>
      </c>
      <c r="AZ30" s="36" t="s">
        <v>27</v>
      </c>
      <c r="BA30" s="30">
        <v>282.2098071010721</v>
      </c>
      <c r="BB30" s="28">
        <v>325.03526124980783</v>
      </c>
      <c r="BC30" s="28">
        <v>292.04636610728033</v>
      </c>
      <c r="BD30" s="28">
        <v>273.16259409704054</v>
      </c>
      <c r="BE30" s="28">
        <v>301.61930648482371</v>
      </c>
      <c r="BF30" s="28">
        <v>306.11787570000013</v>
      </c>
      <c r="BG30" s="28">
        <v>296.61073999999991</v>
      </c>
      <c r="BH30" s="28">
        <v>302.45125228029872</v>
      </c>
      <c r="BI30" s="28">
        <v>279.33531030000006</v>
      </c>
      <c r="BJ30" s="28">
        <v>268.8713676000001</v>
      </c>
      <c r="BK30" s="28">
        <v>262.27939320000002</v>
      </c>
      <c r="BL30" s="28">
        <v>292.64600000000002</v>
      </c>
      <c r="BM30" s="28">
        <v>304.18400000000003</v>
      </c>
      <c r="BN30" s="28">
        <v>292.70192920506281</v>
      </c>
      <c r="BO30" s="28">
        <v>290.53899999999999</v>
      </c>
      <c r="BP30" s="28">
        <v>299.13900000000001</v>
      </c>
      <c r="BQ30" s="28">
        <v>174.358</v>
      </c>
      <c r="BR30" s="28">
        <v>214.77799999999999</v>
      </c>
      <c r="BS30" s="28">
        <v>305.98</v>
      </c>
    </row>
    <row r="31" spans="1:71" s="56" customFormat="1" ht="20.100000000000001" customHeight="1" x14ac:dyDescent="0.2">
      <c r="A31" s="22"/>
      <c r="B31" s="60"/>
      <c r="C31" s="57">
        <f t="shared" ref="C31" si="23">C30/B30-1</f>
        <v>-9.061454808484104E-2</v>
      </c>
      <c r="D31" s="57">
        <f t="shared" ref="D31" si="24">D30/C30-1</f>
        <v>-1.2612868892590723E-2</v>
      </c>
      <c r="E31" s="57">
        <f t="shared" ref="E31" si="25">E30/D30-1</f>
        <v>0.27449109716666964</v>
      </c>
      <c r="F31" s="57">
        <f t="shared" ref="F31" si="26">F30/E30-1</f>
        <v>-0.13023415426713592</v>
      </c>
      <c r="G31" s="57">
        <f t="shared" ref="G31" si="27">G30/F30-1</f>
        <v>2.8558799929694789E-2</v>
      </c>
      <c r="H31" s="57">
        <f t="shared" ref="H31" si="28">H30/G30-1</f>
        <v>-3.3363099664490803E-2</v>
      </c>
      <c r="I31" s="57">
        <f t="shared" ref="I31" si="29">I30/H30-1</f>
        <v>-1.521513528749685E-2</v>
      </c>
      <c r="J31" s="57">
        <f t="shared" ref="J31" si="30">J30/I30-1</f>
        <v>6.5267631285641503E-2</v>
      </c>
      <c r="K31" s="57">
        <f t="shared" ref="K31" si="31">K30/J30-1</f>
        <v>2.4607959044686822E-3</v>
      </c>
      <c r="L31" s="57">
        <f t="shared" ref="L31" si="32">L30/K30-1</f>
        <v>-5.6427240599804196E-2</v>
      </c>
      <c r="M31" s="57">
        <f t="shared" ref="M31" si="33">M30/L30-1</f>
        <v>9.9567316989777055E-2</v>
      </c>
      <c r="N31" s="57">
        <f t="shared" ref="N31" si="34">N30/M30-1</f>
        <v>-9.7990178494124169E-2</v>
      </c>
      <c r="O31" s="57">
        <f t="shared" ref="O31" si="35">O30/N30-1</f>
        <v>6.4969071602215323E-2</v>
      </c>
      <c r="P31" s="57">
        <f t="shared" ref="P31" si="36">P30/O30-1</f>
        <v>-0.10577517372363532</v>
      </c>
      <c r="Q31" s="57">
        <f t="shared" ref="Q31" si="37">Q30/P30-1</f>
        <v>0.13146374335112498</v>
      </c>
      <c r="R31" s="61"/>
      <c r="S31" s="58"/>
      <c r="T31" s="62">
        <f t="shared" ref="T31" si="38">T30/S30-1</f>
        <v>-0.17335108692004941</v>
      </c>
      <c r="U31" s="57">
        <f t="shared" ref="U31" si="39">U30/T30-1</f>
        <v>3.3762541801143353E-2</v>
      </c>
      <c r="V31" s="57">
        <f t="shared" ref="V31" si="40">V30/U30-1</f>
        <v>-4.205921577694105E-2</v>
      </c>
      <c r="W31" s="57">
        <f t="shared" ref="W31" si="41">W30/V30-1</f>
        <v>0.14792790411511669</v>
      </c>
      <c r="X31" s="57">
        <f t="shared" ref="X31" si="42">X30/W30-1</f>
        <v>-0.14629451681702355</v>
      </c>
      <c r="Y31" s="57">
        <f t="shared" ref="Y31" si="43">Y30/X30-1</f>
        <v>-2.8389719198838037E-2</v>
      </c>
      <c r="Z31" s="57">
        <f t="shared" ref="Z31:AF31" si="44">Z30/Y30-1</f>
        <v>0.1216693056409075</v>
      </c>
      <c r="AA31" s="57">
        <f t="shared" si="44"/>
        <v>5.5216531275084968E-2</v>
      </c>
      <c r="AB31" s="57">
        <f t="shared" si="44"/>
        <v>-0.11184761797586484</v>
      </c>
      <c r="AC31" s="57">
        <f t="shared" si="44"/>
        <v>8.805344373962809E-2</v>
      </c>
      <c r="AD31" s="57">
        <f t="shared" si="44"/>
        <v>-1.9674977887601419E-2</v>
      </c>
      <c r="AE31" s="57">
        <f t="shared" si="44"/>
        <v>-4.2492555192112036E-2</v>
      </c>
      <c r="AF31" s="57">
        <f t="shared" si="44"/>
        <v>-8.0562911252027747E-2</v>
      </c>
      <c r="AG31" s="57">
        <f t="shared" ref="AG31" si="45">AG30/AF30-1</f>
        <v>0.10608165877310061</v>
      </c>
      <c r="AH31" s="57">
        <f t="shared" ref="AH31" si="46">AH30/AG30-1</f>
        <v>4.1825211423590414E-2</v>
      </c>
      <c r="AI31" s="57">
        <f t="shared" ref="AI31" si="47">AI30/AH30-1</f>
        <v>-1.6512643312766362E-2</v>
      </c>
      <c r="AJ31" s="57">
        <f t="shared" ref="AJ31" si="48">AJ30/AI30-1</f>
        <v>-7.3696312141686815E-2</v>
      </c>
      <c r="AK31" s="57">
        <f t="shared" ref="AK31" si="49">AK30/AJ30-1</f>
        <v>-3.3568160134024971E-2</v>
      </c>
      <c r="AL31" s="57">
        <f t="shared" ref="AL31" si="50">AL30/AK30-1</f>
        <v>0.11253408068982296</v>
      </c>
      <c r="AM31" s="57">
        <f t="shared" ref="AM31" si="51">AM30/AL30-1</f>
        <v>9.590040330191929E-2</v>
      </c>
      <c r="AN31" s="62">
        <f t="shared" ref="AN31" si="52">AN30/AM30-1</f>
        <v>-0.12340764109994751</v>
      </c>
      <c r="AO31" s="57">
        <f t="shared" ref="AO31" si="53">AO30/AN30-1</f>
        <v>-3.7070084921534963E-2</v>
      </c>
      <c r="AP31" s="57">
        <f t="shared" ref="AP31" si="54">AP30/AO30-1</f>
        <v>0.110343528864836</v>
      </c>
      <c r="AQ31" s="57">
        <f t="shared" ref="AQ31" si="55">AQ30/AP30-1</f>
        <v>-3.1018616436090385E-3</v>
      </c>
      <c r="AR31" s="57">
        <f t="shared" ref="AR31" si="56">AR30/AQ30-1</f>
        <v>-4.1447835782555176E-2</v>
      </c>
      <c r="AS31" s="57">
        <f t="shared" ref="AS31" si="57">AS30/AR30-1</f>
        <v>-0.10471966883499539</v>
      </c>
      <c r="AT31" s="57">
        <f t="shared" ref="AT31" si="58">AT30/AS30-1</f>
        <v>5.5768678475697886E-2</v>
      </c>
      <c r="AU31" s="57">
        <f t="shared" ref="AU31" si="59">AU30/AT30-1</f>
        <v>2.6463724853490023E-2</v>
      </c>
      <c r="AV31" s="57">
        <f t="shared" ref="AV31" si="60">AV30/AU30-1</f>
        <v>-6.2370204990128908E-2</v>
      </c>
      <c r="AW31" s="57">
        <f t="shared" ref="AW31" si="61">AW30/AV30-1</f>
        <v>5.1635698632149118E-2</v>
      </c>
      <c r="AX31" s="57"/>
      <c r="AY31" s="57"/>
      <c r="AZ31" s="57"/>
      <c r="BA31" s="57"/>
      <c r="BB31" s="57">
        <f t="shared" ref="BB31" si="62">BB30/BA30-1</f>
        <v>0.15175041076229512</v>
      </c>
      <c r="BC31" s="57">
        <f t="shared" ref="BC31" si="63">BC30/BB30-1</f>
        <v>-0.10149328111565614</v>
      </c>
      <c r="BD31" s="57">
        <f t="shared" ref="BD31" si="64">BD30/BC30-1</f>
        <v>-6.4660184825936273E-2</v>
      </c>
      <c r="BE31" s="57">
        <f t="shared" ref="BE31" si="65">BE30/BD30-1</f>
        <v>0.10417499687996812</v>
      </c>
      <c r="BF31" s="57">
        <f t="shared" ref="BF31" si="66">BF30/BE30-1</f>
        <v>1.4914725677226404E-2</v>
      </c>
      <c r="BG31" s="57">
        <f t="shared" ref="BG31" si="67">BG30/BF30-1</f>
        <v>-3.1057107260594408E-2</v>
      </c>
      <c r="BH31" s="57">
        <f t="shared" ref="BH31" si="68">BH30/BG30-1</f>
        <v>1.9690832099669819E-2</v>
      </c>
      <c r="BI31" s="57">
        <f t="shared" ref="BI31" si="69">BI30/BH30-1</f>
        <v>-7.6428653563238691E-2</v>
      </c>
      <c r="BJ31" s="57">
        <f t="shared" ref="BJ31" si="70">BJ30/BI30-1</f>
        <v>-3.7460150271592663E-2</v>
      </c>
      <c r="BK31" s="57">
        <f t="shared" ref="BK31" si="71">BK30/BJ30-1</f>
        <v>-2.4517204858372832E-2</v>
      </c>
      <c r="BL31" s="57">
        <f t="shared" ref="BL31" si="72">BL30/BK30-1</f>
        <v>0.1157796136002347</v>
      </c>
      <c r="BM31" s="57">
        <f t="shared" ref="BM31" si="73">BM30/BL30-1</f>
        <v>3.9426474306841763E-2</v>
      </c>
      <c r="BN31" s="57">
        <f t="shared" ref="BN31" si="74">BN30/BM30-1</f>
        <v>-3.7747122777454511E-2</v>
      </c>
      <c r="BO31" s="57">
        <f t="shared" ref="BO31" si="75">BO30/BN30-1</f>
        <v>-7.3895283537660506E-3</v>
      </c>
      <c r="BP31" s="57">
        <f t="shared" ref="BP31" si="76">BP30/BO30-1</f>
        <v>2.9600156949669554E-2</v>
      </c>
      <c r="BQ31" s="63">
        <f>BQ30/$BP30-1</f>
        <v>-0.41713384078973326</v>
      </c>
      <c r="BR31" s="63">
        <f>BR30/$BP30-1</f>
        <v>-0.28201270981048954</v>
      </c>
      <c r="BS31" s="62">
        <f>BS30/$BP30-1</f>
        <v>2.2868967269396467E-2</v>
      </c>
    </row>
    <row r="32" spans="1:71" ht="20.100000000000001" customHeight="1" x14ac:dyDescent="0.2">
      <c r="A32" s="22" t="s">
        <v>110</v>
      </c>
      <c r="B32" s="23">
        <v>255.9362299016656</v>
      </c>
      <c r="C32" s="23">
        <v>271.63999902538728</v>
      </c>
      <c r="D32" s="23">
        <v>291.25485316116061</v>
      </c>
      <c r="E32" s="23">
        <v>269.61062739882232</v>
      </c>
      <c r="F32" s="23">
        <v>295.73829944261843</v>
      </c>
      <c r="G32" s="23">
        <v>320.35775354953131</v>
      </c>
      <c r="H32" s="23">
        <v>314.87648276242993</v>
      </c>
      <c r="I32" s="23">
        <v>299.13070357513357</v>
      </c>
      <c r="J32" s="23">
        <v>339.4047733019417</v>
      </c>
      <c r="K32" s="23">
        <v>344.85209912566012</v>
      </c>
      <c r="L32" s="23">
        <v>342.9276530159857</v>
      </c>
      <c r="M32" s="23">
        <v>354.89509685316472</v>
      </c>
      <c r="N32" s="23">
        <v>341.29855476051688</v>
      </c>
      <c r="O32" s="23">
        <v>390.51968606319576</v>
      </c>
      <c r="P32" s="23">
        <v>375.81909903908473</v>
      </c>
      <c r="Q32" s="23">
        <v>326.01787591331532</v>
      </c>
      <c r="R32" s="36" t="s">
        <v>27</v>
      </c>
      <c r="S32" s="24">
        <v>340.83439466784932</v>
      </c>
      <c r="T32" s="23">
        <v>318.8323796269363</v>
      </c>
      <c r="U32" s="23">
        <v>342.91163526830604</v>
      </c>
      <c r="V32" s="23">
        <v>342.85312145437803</v>
      </c>
      <c r="W32" s="23">
        <v>372.57252729502625</v>
      </c>
      <c r="X32" s="23">
        <v>323.58131742723845</v>
      </c>
      <c r="Y32" s="23">
        <v>346.41119563264925</v>
      </c>
      <c r="Z32" s="23">
        <v>349.99241124116577</v>
      </c>
      <c r="AA32" s="23">
        <v>305.69821566032573</v>
      </c>
      <c r="AB32" s="23">
        <v>304.15821048587162</v>
      </c>
      <c r="AC32" s="23">
        <v>342.36048249808647</v>
      </c>
      <c r="AD32" s="23">
        <v>340.74213672907456</v>
      </c>
      <c r="AE32" s="23">
        <v>334.88561066498897</v>
      </c>
      <c r="AF32" s="23">
        <v>335.71769159320394</v>
      </c>
      <c r="AG32" s="28">
        <v>349.74453126183022</v>
      </c>
      <c r="AH32" s="28">
        <v>379.24605564815539</v>
      </c>
      <c r="AI32" s="28">
        <v>370.01141789597858</v>
      </c>
      <c r="AJ32" s="28">
        <v>375.32291310216829</v>
      </c>
      <c r="AK32" s="28">
        <v>334.91484368610816</v>
      </c>
      <c r="AL32" s="28">
        <v>370.24657646969865</v>
      </c>
      <c r="AM32" s="28">
        <v>363.12776497424079</v>
      </c>
      <c r="AN32" s="28">
        <v>312.2281131437465</v>
      </c>
      <c r="AO32" s="28">
        <v>405.0160786784615</v>
      </c>
      <c r="AP32" s="28">
        <v>415.43017603436783</v>
      </c>
      <c r="AQ32" s="28">
        <v>368.44313699403602</v>
      </c>
      <c r="AR32" s="28">
        <v>373.28939870709007</v>
      </c>
      <c r="AS32" s="28">
        <v>367.05935971647347</v>
      </c>
      <c r="AT32" s="28">
        <v>401.73254581428642</v>
      </c>
      <c r="AU32" s="28">
        <v>408.83496101514277</v>
      </c>
      <c r="AV32" s="28">
        <v>374.3788874033512</v>
      </c>
      <c r="AW32" s="28">
        <v>422.38725062984668</v>
      </c>
      <c r="AX32" s="36" t="s">
        <v>27</v>
      </c>
      <c r="AY32" s="36" t="s">
        <v>27</v>
      </c>
      <c r="AZ32" s="36" t="s">
        <v>27</v>
      </c>
      <c r="BA32" s="30">
        <v>454.26388859595068</v>
      </c>
      <c r="BB32" s="28">
        <v>395.21948125317152</v>
      </c>
      <c r="BC32" s="28">
        <v>394.83944097253368</v>
      </c>
      <c r="BD32" s="28">
        <v>382.78030715900371</v>
      </c>
      <c r="BE32" s="28">
        <v>408.00523571219389</v>
      </c>
      <c r="BF32" s="28">
        <v>435.50461500000017</v>
      </c>
      <c r="BG32" s="28">
        <v>385.71495999999985</v>
      </c>
      <c r="BH32" s="28">
        <v>372.90167323312545</v>
      </c>
      <c r="BI32" s="28">
        <v>373.9255740000001</v>
      </c>
      <c r="BJ32" s="28">
        <v>456.26197320000011</v>
      </c>
      <c r="BK32" s="28">
        <v>438.06537720000006</v>
      </c>
      <c r="BL32" s="28">
        <v>380.84199999999998</v>
      </c>
      <c r="BM32" s="28">
        <v>415.74599999999998</v>
      </c>
      <c r="BN32" s="28">
        <v>443.40548785154891</v>
      </c>
      <c r="BO32" s="28">
        <v>444.49900000000002</v>
      </c>
      <c r="BP32" s="28">
        <v>393.9</v>
      </c>
      <c r="BQ32" s="28">
        <v>206.886</v>
      </c>
      <c r="BR32" s="28">
        <v>303.05200000000002</v>
      </c>
      <c r="BS32" s="28">
        <v>477.661</v>
      </c>
    </row>
    <row r="33" spans="1:71" s="56" customFormat="1" ht="20.100000000000001" customHeight="1" x14ac:dyDescent="0.2">
      <c r="A33" s="22"/>
      <c r="B33" s="23"/>
      <c r="C33" s="57">
        <f t="shared" ref="C33" si="77">C32/B32-1</f>
        <v>6.1358132569801827E-2</v>
      </c>
      <c r="D33" s="57">
        <f t="shared" ref="D33" si="78">D32/C32-1</f>
        <v>7.2209005323770947E-2</v>
      </c>
      <c r="E33" s="57">
        <f t="shared" ref="E33" si="79">E32/D32-1</f>
        <v>-7.4313699934681732E-2</v>
      </c>
      <c r="F33" s="57">
        <f t="shared" ref="F33" si="80">F32/E32-1</f>
        <v>9.6908910067356802E-2</v>
      </c>
      <c r="G33" s="57">
        <f t="shared" ref="G33" si="81">G32/F32-1</f>
        <v>8.3247432454009118E-2</v>
      </c>
      <c r="H33" s="57">
        <f t="shared" ref="H33" si="82">H32/G32-1</f>
        <v>-1.7109842750392179E-2</v>
      </c>
      <c r="I33" s="57">
        <f t="shared" ref="I33" si="83">I32/H32-1</f>
        <v>-5.0006208939955443E-2</v>
      </c>
      <c r="J33" s="57">
        <f t="shared" ref="J33" si="84">J32/I32-1</f>
        <v>0.13463703072089483</v>
      </c>
      <c r="K33" s="57">
        <f t="shared" ref="K33" si="85">K32/J32-1</f>
        <v>1.6049644118800721E-2</v>
      </c>
      <c r="L33" s="57">
        <f t="shared" ref="L33" si="86">L32/K32-1</f>
        <v>-5.5804970146728916E-3</v>
      </c>
      <c r="M33" s="57">
        <f t="shared" ref="M33" si="87">M32/L32-1</f>
        <v>3.4897867617054379E-2</v>
      </c>
      <c r="N33" s="57">
        <f t="shared" ref="N33" si="88">N32/M32-1</f>
        <v>-3.8311439671067982E-2</v>
      </c>
      <c r="O33" s="57">
        <f t="shared" ref="O33" si="89">O32/N32-1</f>
        <v>0.14421722745710563</v>
      </c>
      <c r="P33" s="57">
        <f t="shared" ref="P33" si="90">P32/O32-1</f>
        <v>-3.764365164867034E-2</v>
      </c>
      <c r="Q33" s="57">
        <f t="shared" ref="Q33" si="91">Q32/P32-1</f>
        <v>-0.13251381649603211</v>
      </c>
      <c r="R33" s="61"/>
      <c r="S33" s="58"/>
      <c r="T33" s="57">
        <f t="shared" ref="T33" si="92">T32/S32-1</f>
        <v>-6.4553388346720308E-2</v>
      </c>
      <c r="U33" s="57">
        <f t="shared" ref="U33" si="93">U32/T32-1</f>
        <v>7.5523244124529487E-2</v>
      </c>
      <c r="V33" s="57">
        <f t="shared" ref="V33" si="94">V32/U32-1</f>
        <v>-1.7063817004114856E-4</v>
      </c>
      <c r="W33" s="57">
        <f t="shared" ref="W33" si="95">W32/V32-1</f>
        <v>8.6682617076895507E-2</v>
      </c>
      <c r="X33" s="57">
        <f t="shared" ref="X33" si="96">X32/W32-1</f>
        <v>-0.13149442398095412</v>
      </c>
      <c r="Y33" s="57">
        <f t="shared" ref="Y33" si="97">Y32/X32-1</f>
        <v>7.0553758748894468E-2</v>
      </c>
      <c r="Z33" s="57">
        <f t="shared" ref="Z33:AF33" si="98">Z32/Y32-1</f>
        <v>1.0338048116418808E-2</v>
      </c>
      <c r="AA33" s="57">
        <f t="shared" si="98"/>
        <v>-0.12655758855959498</v>
      </c>
      <c r="AB33" s="57">
        <f t="shared" si="98"/>
        <v>-5.0376649112184868E-3</v>
      </c>
      <c r="AC33" s="57">
        <f t="shared" si="98"/>
        <v>0.12560000254863857</v>
      </c>
      <c r="AD33" s="57">
        <f t="shared" si="98"/>
        <v>-4.7270226902457191E-3</v>
      </c>
      <c r="AE33" s="57">
        <f t="shared" si="98"/>
        <v>-1.7187560424151815E-2</v>
      </c>
      <c r="AF33" s="57">
        <f t="shared" si="98"/>
        <v>2.4846720841862346E-3</v>
      </c>
      <c r="AG33" s="57">
        <f t="shared" ref="AG33" si="99">AG32/AF32-1</f>
        <v>4.1781651726662261E-2</v>
      </c>
      <c r="AH33" s="57">
        <f t="shared" ref="AH33" si="100">AH32/AG32-1</f>
        <v>8.4351638837318665E-2</v>
      </c>
      <c r="AI33" s="57">
        <f t="shared" ref="AI33" si="101">AI32/AH32-1</f>
        <v>-2.4349990236270824E-2</v>
      </c>
      <c r="AJ33" s="57">
        <f t="shared" ref="AJ33" si="102">AJ32/AI32-1</f>
        <v>1.4354949467215938E-2</v>
      </c>
      <c r="AK33" s="57">
        <f t="shared" ref="AK33" si="103">AK32/AJ32-1</f>
        <v>-0.10766214373131133</v>
      </c>
      <c r="AL33" s="57">
        <f t="shared" ref="AL33" si="104">AL32/AK32-1</f>
        <v>0.10549467558596604</v>
      </c>
      <c r="AM33" s="57">
        <f t="shared" ref="AM33" si="105">AM32/AL32-1</f>
        <v>-1.9227217610857439E-2</v>
      </c>
      <c r="AN33" s="62">
        <f t="shared" ref="AN33" si="106">AN32/AM32-1</f>
        <v>-0.14017009091581023</v>
      </c>
      <c r="AO33" s="57">
        <f t="shared" ref="AO33" si="107">AO32/AN32-1</f>
        <v>0.29718004762753836</v>
      </c>
      <c r="AP33" s="57">
        <f t="shared" ref="AP33" si="108">AP32/AO32-1</f>
        <v>2.571279982238428E-2</v>
      </c>
      <c r="AQ33" s="57">
        <f t="shared" ref="AQ33" si="109">AQ32/AP32-1</f>
        <v>-0.11310454018738558</v>
      </c>
      <c r="AR33" s="57">
        <f t="shared" ref="AR33" si="110">AR32/AQ32-1</f>
        <v>1.3153350480599402E-2</v>
      </c>
      <c r="AS33" s="57">
        <f t="shared" ref="AS33" si="111">AS32/AR32-1</f>
        <v>-1.668956850152914E-2</v>
      </c>
      <c r="AT33" s="57">
        <f t="shared" ref="AT33" si="112">AT32/AS32-1</f>
        <v>9.4462067728215526E-2</v>
      </c>
      <c r="AU33" s="57">
        <f t="shared" ref="AU33" si="113">AU32/AT32-1</f>
        <v>1.7679461808254082E-2</v>
      </c>
      <c r="AV33" s="57">
        <f t="shared" ref="AV33" si="114">AV32/AU32-1</f>
        <v>-8.4278686749872489E-2</v>
      </c>
      <c r="AW33" s="57">
        <f t="shared" ref="AW33" si="115">AW32/AV32-1</f>
        <v>0.12823469709917656</v>
      </c>
      <c r="AX33" s="57"/>
      <c r="AY33" s="57"/>
      <c r="AZ33" s="57"/>
      <c r="BA33" s="57"/>
      <c r="BB33" s="57">
        <f t="shared" ref="BB33" si="116">BB32/BA32-1</f>
        <v>-0.12997821051828484</v>
      </c>
      <c r="BC33" s="57">
        <f t="shared" ref="BC33" si="117">BC32/BB32-1</f>
        <v>-9.6159298482145772E-4</v>
      </c>
      <c r="BD33" s="57">
        <f t="shared" ref="BD33" si="118">BD32/BC32-1</f>
        <v>-3.0541867306434711E-2</v>
      </c>
      <c r="BE33" s="57">
        <f t="shared" ref="BE33" si="119">BE32/BD32-1</f>
        <v>6.5899232748961589E-2</v>
      </c>
      <c r="BF33" s="57">
        <f t="shared" ref="BF33" si="120">BF32/BE32-1</f>
        <v>6.739957451723555E-2</v>
      </c>
      <c r="BG33" s="57">
        <f t="shared" ref="BG33" si="121">BG32/BF32-1</f>
        <v>-0.11432635449798922</v>
      </c>
      <c r="BH33" s="57">
        <f t="shared" ref="BH33" si="122">BH32/BG32-1</f>
        <v>-3.3219574285826003E-2</v>
      </c>
      <c r="BI33" s="57">
        <f t="shared" ref="BI33" si="123">BI32/BH32-1</f>
        <v>2.7457660835823461E-3</v>
      </c>
      <c r="BJ33" s="57">
        <f t="shared" ref="BJ33" si="124">BJ32/BI32-1</f>
        <v>0.22019461872912705</v>
      </c>
      <c r="BK33" s="57">
        <f t="shared" ref="BK33" si="125">BK32/BJ32-1</f>
        <v>-3.9881903530942897E-2</v>
      </c>
      <c r="BL33" s="57">
        <f t="shared" ref="BL33" si="126">BL32/BK32-1</f>
        <v>-0.13062748205703223</v>
      </c>
      <c r="BM33" s="57">
        <f t="shared" ref="BM33" si="127">BM32/BL32-1</f>
        <v>9.1649555458694243E-2</v>
      </c>
      <c r="BN33" s="57">
        <f t="shared" ref="BN33" si="128">BN32/BM32-1</f>
        <v>6.6529775034633865E-2</v>
      </c>
      <c r="BO33" s="57">
        <f t="shared" ref="BO33" si="129">BO32/BN32-1</f>
        <v>2.4661673759374114E-3</v>
      </c>
      <c r="BP33" s="57">
        <f t="shared" ref="BP33" si="130">BP32/BO32-1</f>
        <v>-0.11383377690388519</v>
      </c>
      <c r="BQ33" s="63">
        <f>BQ32/$BP32-1</f>
        <v>-0.47477532368621478</v>
      </c>
      <c r="BR33" s="63">
        <f>BR32/$BP32-1</f>
        <v>-0.23063721756791056</v>
      </c>
      <c r="BS33" s="62">
        <f>BS32/$BP32-1</f>
        <v>0.21264534145722269</v>
      </c>
    </row>
    <row r="34" spans="1:71" ht="20.100000000000001" customHeight="1" x14ac:dyDescent="0.2">
      <c r="A34" s="22" t="s">
        <v>111</v>
      </c>
      <c r="B34" s="23">
        <v>505.0845040961882</v>
      </c>
      <c r="C34" s="23">
        <v>504.37105232915872</v>
      </c>
      <c r="D34" s="23">
        <v>472.77658224650412</v>
      </c>
      <c r="E34" s="23">
        <v>495.55996143089743</v>
      </c>
      <c r="F34" s="23">
        <v>516.41333372335589</v>
      </c>
      <c r="G34" s="23">
        <v>558.72310055332844</v>
      </c>
      <c r="H34" s="23">
        <v>503.06203335375767</v>
      </c>
      <c r="I34" s="23">
        <v>493.71070133650903</v>
      </c>
      <c r="J34" s="23">
        <v>500.36055309310325</v>
      </c>
      <c r="K34" s="23">
        <v>514.59578465066272</v>
      </c>
      <c r="L34" s="23">
        <v>475.20735575026089</v>
      </c>
      <c r="M34" s="23">
        <v>476.84203045339279</v>
      </c>
      <c r="N34" s="23">
        <v>501.22130613401617</v>
      </c>
      <c r="O34" s="23">
        <v>491.8497252289344</v>
      </c>
      <c r="P34" s="23">
        <v>490.87968407937916</v>
      </c>
      <c r="Q34" s="23">
        <v>487.41875929366864</v>
      </c>
      <c r="R34" s="36" t="s">
        <v>27</v>
      </c>
      <c r="S34" s="24">
        <v>509.33421455894478</v>
      </c>
      <c r="T34" s="23">
        <v>520.51643612494536</v>
      </c>
      <c r="U34" s="23">
        <v>458.49708847535953</v>
      </c>
      <c r="V34" s="23">
        <v>450.51411198779658</v>
      </c>
      <c r="W34" s="23">
        <v>472.19112259210931</v>
      </c>
      <c r="X34" s="23">
        <v>503.01180450225877</v>
      </c>
      <c r="Y34" s="23">
        <v>450.57463362189884</v>
      </c>
      <c r="Z34" s="23">
        <v>468.61638484274624</v>
      </c>
      <c r="AA34" s="23">
        <v>502.66684869041512</v>
      </c>
      <c r="AB34" s="23">
        <v>471.81645981602509</v>
      </c>
      <c r="AC34" s="23">
        <v>485.00173458250845</v>
      </c>
      <c r="AD34" s="23">
        <v>473.95588429095886</v>
      </c>
      <c r="AE34" s="23">
        <v>493.78374500886093</v>
      </c>
      <c r="AF34" s="23">
        <v>487.56628296798027</v>
      </c>
      <c r="AG34" s="28">
        <v>515.2685910270618</v>
      </c>
      <c r="AH34" s="28">
        <v>444.96316774947212</v>
      </c>
      <c r="AI34" s="28">
        <v>442.22852931944016</v>
      </c>
      <c r="AJ34" s="28">
        <v>393.59246609738153</v>
      </c>
      <c r="AK34" s="28">
        <v>464.83041765460206</v>
      </c>
      <c r="AL34" s="28">
        <v>502.17964751000267</v>
      </c>
      <c r="AM34" s="28">
        <v>438.25803745743463</v>
      </c>
      <c r="AN34" s="28">
        <v>435.3122596224361</v>
      </c>
      <c r="AO34" s="28">
        <v>451.62502271717631</v>
      </c>
      <c r="AP34" s="28">
        <v>478.41101563365146</v>
      </c>
      <c r="AQ34" s="28">
        <v>457.54315956557241</v>
      </c>
      <c r="AR34" s="28">
        <v>421.23683703984011</v>
      </c>
      <c r="AS34" s="28">
        <v>442.67220757559318</v>
      </c>
      <c r="AT34" s="28">
        <v>430.64527478650621</v>
      </c>
      <c r="AU34" s="28">
        <v>519.12740014510177</v>
      </c>
      <c r="AV34" s="28">
        <v>399.13776676140481</v>
      </c>
      <c r="AW34" s="28">
        <v>403.71628128685404</v>
      </c>
      <c r="AX34" s="36" t="s">
        <v>27</v>
      </c>
      <c r="AY34" s="36" t="s">
        <v>27</v>
      </c>
      <c r="AZ34" s="36" t="s">
        <v>27</v>
      </c>
      <c r="BA34" s="30">
        <v>436.61138696348695</v>
      </c>
      <c r="BB34" s="28">
        <v>495.52356462875241</v>
      </c>
      <c r="BC34" s="28">
        <v>454.92359372794061</v>
      </c>
      <c r="BD34" s="28">
        <v>461.28953890614474</v>
      </c>
      <c r="BE34" s="28">
        <v>467.77286104158799</v>
      </c>
      <c r="BF34" s="28">
        <v>494.76718200000016</v>
      </c>
      <c r="BG34" s="28">
        <v>512.4982399999999</v>
      </c>
      <c r="BH34" s="28">
        <v>467.84178562559623</v>
      </c>
      <c r="BI34" s="28">
        <v>469.24195580000014</v>
      </c>
      <c r="BJ34" s="28">
        <v>480.01852800000017</v>
      </c>
      <c r="BK34" s="28">
        <v>486.46913040000004</v>
      </c>
      <c r="BL34" s="28">
        <v>477.52699999999999</v>
      </c>
      <c r="BM34" s="28">
        <v>483.03399999999999</v>
      </c>
      <c r="BN34" s="28">
        <v>520.98201654916431</v>
      </c>
      <c r="BO34" s="28">
        <v>489.83300000000003</v>
      </c>
      <c r="BP34" s="28">
        <v>538.57899999999995</v>
      </c>
      <c r="BQ34" s="28">
        <v>332.625</v>
      </c>
      <c r="BR34" s="28">
        <v>362.32799999999997</v>
      </c>
      <c r="BS34" s="28">
        <v>415.04399999999998</v>
      </c>
    </row>
    <row r="35" spans="1:71" s="56" customFormat="1" ht="20.100000000000001" customHeight="1" x14ac:dyDescent="0.2">
      <c r="A35" s="22"/>
      <c r="B35" s="23"/>
      <c r="C35" s="57">
        <f t="shared" ref="C35" si="131">C34/B34-1</f>
        <v>-1.4125394092343591E-3</v>
      </c>
      <c r="D35" s="57">
        <f t="shared" ref="D35" si="132">D34/C34-1</f>
        <v>-6.2641323162288987E-2</v>
      </c>
      <c r="E35" s="57">
        <f t="shared" ref="E35" si="133">E34/D34-1</f>
        <v>4.8190583120959474E-2</v>
      </c>
      <c r="F35" s="57">
        <f t="shared" ref="F35" si="134">F34/E34-1</f>
        <v>4.2080421978090587E-2</v>
      </c>
      <c r="G35" s="57">
        <f t="shared" ref="G35" si="135">G34/F34-1</f>
        <v>8.1930043372268946E-2</v>
      </c>
      <c r="H35" s="57">
        <f t="shared" ref="H35" si="136">H34/G34-1</f>
        <v>-9.9621918521799357E-2</v>
      </c>
      <c r="I35" s="57">
        <f t="shared" ref="I35" si="137">I34/H34-1</f>
        <v>-1.8588824831216599E-2</v>
      </c>
      <c r="J35" s="57">
        <f t="shared" ref="J35" si="138">J34/I34-1</f>
        <v>1.3469126228361272E-2</v>
      </c>
      <c r="K35" s="57">
        <f t="shared" ref="K35" si="139">K34/J34-1</f>
        <v>2.8449947681848275E-2</v>
      </c>
      <c r="L35" s="57">
        <f t="shared" ref="L35" si="140">L34/K34-1</f>
        <v>-7.6542463182322718E-2</v>
      </c>
      <c r="M35" s="57">
        <f t="shared" ref="M35" si="141">M34/L34-1</f>
        <v>3.4399187709355239E-3</v>
      </c>
      <c r="N35" s="57">
        <f t="shared" ref="N35" si="142">N34/M34-1</f>
        <v>5.1126524349044855E-2</v>
      </c>
      <c r="O35" s="57">
        <f t="shared" ref="O35" si="143">O34/N34-1</f>
        <v>-1.8697491089048057E-2</v>
      </c>
      <c r="P35" s="57">
        <f t="shared" ref="P35" si="144">P34/O34-1</f>
        <v>-1.9722307440626086E-3</v>
      </c>
      <c r="Q35" s="57">
        <f t="shared" ref="Q35" si="145">Q34/P34-1</f>
        <v>-7.0504543128553365E-3</v>
      </c>
      <c r="R35" s="61"/>
      <c r="S35" s="58"/>
      <c r="T35" s="57">
        <f t="shared" ref="T35" si="146">T34/S34-1</f>
        <v>2.1954585508620728E-2</v>
      </c>
      <c r="U35" s="57">
        <f t="shared" ref="U35" si="147">U34/T34-1</f>
        <v>-0.11914964321068744</v>
      </c>
      <c r="V35" s="57">
        <f t="shared" ref="V35" si="148">V34/U34-1</f>
        <v>-1.7411182509596168E-2</v>
      </c>
      <c r="W35" s="57">
        <f t="shared" ref="W35" si="149">W34/V34-1</f>
        <v>4.8116163350949481E-2</v>
      </c>
      <c r="X35" s="57">
        <f t="shared" ref="X35" si="150">X34/W34-1</f>
        <v>6.5271625059273086E-2</v>
      </c>
      <c r="Y35" s="57">
        <f t="shared" ref="Y35" si="151">Y34/X34-1</f>
        <v>-0.1042464021937769</v>
      </c>
      <c r="Z35" s="57">
        <f t="shared" ref="Z35:AF35" si="152">Z34/Y34-1</f>
        <v>4.0041648762649151E-2</v>
      </c>
      <c r="AA35" s="57">
        <f t="shared" si="152"/>
        <v>7.2661701444978632E-2</v>
      </c>
      <c r="AB35" s="57">
        <f t="shared" si="152"/>
        <v>-6.1373430443570576E-2</v>
      </c>
      <c r="AC35" s="57">
        <f t="shared" si="152"/>
        <v>2.7945771056026025E-2</v>
      </c>
      <c r="AD35" s="57">
        <f t="shared" si="152"/>
        <v>-2.2774867601366156E-2</v>
      </c>
      <c r="AE35" s="57">
        <f t="shared" si="152"/>
        <v>4.1834823398309906E-2</v>
      </c>
      <c r="AF35" s="57">
        <f t="shared" si="152"/>
        <v>-1.2591467628747299E-2</v>
      </c>
      <c r="AG35" s="57">
        <f t="shared" ref="AG35" si="153">AG34/AF34-1</f>
        <v>5.6817522102734941E-2</v>
      </c>
      <c r="AH35" s="57">
        <f t="shared" ref="AH35" si="154">AH34/AG34-1</f>
        <v>-0.1364442244334223</v>
      </c>
      <c r="AI35" s="57">
        <f t="shared" ref="AI35" si="155">AI34/AH34-1</f>
        <v>-6.1457635782826703E-3</v>
      </c>
      <c r="AJ35" s="57">
        <f t="shared" ref="AJ35" si="156">AJ34/AI34-1</f>
        <v>-0.10997947892892901</v>
      </c>
      <c r="AK35" s="57">
        <f t="shared" ref="AK35" si="157">AK34/AJ34-1</f>
        <v>0.18099419499456326</v>
      </c>
      <c r="AL35" s="57">
        <f t="shared" ref="AL35" si="158">AL34/AK34-1</f>
        <v>8.035022760312005E-2</v>
      </c>
      <c r="AM35" s="57">
        <f t="shared" ref="AM35" si="159">AM34/AL34-1</f>
        <v>-0.12728833271024753</v>
      </c>
      <c r="AN35" s="57">
        <f t="shared" ref="AN35" si="160">AN34/AM34-1</f>
        <v>-6.7215603211490116E-3</v>
      </c>
      <c r="AO35" s="57">
        <f t="shared" ref="AO35" si="161">AO34/AN34-1</f>
        <v>3.7473704758255399E-2</v>
      </c>
      <c r="AP35" s="57">
        <f t="shared" ref="AP35" si="162">AP34/AO34-1</f>
        <v>5.9310249807060567E-2</v>
      </c>
      <c r="AQ35" s="57">
        <f t="shared" ref="AQ35" si="163">AQ34/AP34-1</f>
        <v>-4.3619096103879929E-2</v>
      </c>
      <c r="AR35" s="57">
        <f t="shared" ref="AR35" si="164">AR34/AQ34-1</f>
        <v>-7.9350596258950468E-2</v>
      </c>
      <c r="AS35" s="57">
        <f t="shared" ref="AS35" si="165">AS34/AR34-1</f>
        <v>5.0886742684675745E-2</v>
      </c>
      <c r="AT35" s="57">
        <f t="shared" ref="AT35" si="166">AT34/AS34-1</f>
        <v>-2.7168935802307392E-2</v>
      </c>
      <c r="AU35" s="57">
        <f t="shared" ref="AU35" si="167">AU34/AT34-1</f>
        <v>0.20546405716969929</v>
      </c>
      <c r="AV35" s="62">
        <f t="shared" ref="AV35" si="168">AV34/AU34-1</f>
        <v>-0.23113716083982194</v>
      </c>
      <c r="AW35" s="57">
        <f t="shared" ref="AW35" si="169">AW34/AV34-1</f>
        <v>1.1471013035421862E-2</v>
      </c>
      <c r="AX35" s="57"/>
      <c r="AY35" s="57"/>
      <c r="AZ35" s="57"/>
      <c r="BA35" s="57"/>
      <c r="BB35" s="57">
        <f t="shared" ref="BB35" si="170">BB34/BA34-1</f>
        <v>0.13493046545346332</v>
      </c>
      <c r="BC35" s="57">
        <f t="shared" ref="BC35" si="171">BC34/BB34-1</f>
        <v>-8.1933481672520236E-2</v>
      </c>
      <c r="BD35" s="57">
        <f t="shared" ref="BD35" si="172">BD34/BC34-1</f>
        <v>1.3993438164060512E-2</v>
      </c>
      <c r="BE35" s="57">
        <f t="shared" ref="BE35" si="173">BE34/BD34-1</f>
        <v>1.4054778156940451E-2</v>
      </c>
      <c r="BF35" s="57">
        <f t="shared" ref="BF35" si="174">BF34/BE34-1</f>
        <v>5.7708181056729257E-2</v>
      </c>
      <c r="BG35" s="57">
        <f t="shared" ref="BG35" si="175">BG34/BF34-1</f>
        <v>3.5837174827007212E-2</v>
      </c>
      <c r="BH35" s="57">
        <f t="shared" ref="BH35" si="176">BH34/BG34-1</f>
        <v>-8.7134844354594621E-2</v>
      </c>
      <c r="BI35" s="57">
        <f t="shared" ref="BI35" si="177">BI34/BH34-1</f>
        <v>2.9928283822096002E-3</v>
      </c>
      <c r="BJ35" s="57">
        <f t="shared" ref="BJ35" si="178">BJ34/BI34-1</f>
        <v>2.2965917831510474E-2</v>
      </c>
      <c r="BK35" s="57">
        <f t="shared" ref="BK35" si="179">BK34/BJ34-1</f>
        <v>1.3438236284079252E-2</v>
      </c>
      <c r="BL35" s="57">
        <f t="shared" ref="BL35" si="180">BL34/BK34-1</f>
        <v>-1.8381701615161838E-2</v>
      </c>
      <c r="BM35" s="57">
        <f t="shared" ref="BM35" si="181">BM34/BL34-1</f>
        <v>1.1532332203205264E-2</v>
      </c>
      <c r="BN35" s="57">
        <f t="shared" ref="BN35" si="182">BN34/BM34-1</f>
        <v>7.8561791818307469E-2</v>
      </c>
      <c r="BO35" s="57">
        <f t="shared" ref="BO35" si="183">BO34/BN34-1</f>
        <v>-5.9789043690003818E-2</v>
      </c>
      <c r="BP35" s="57">
        <f t="shared" ref="BP35" si="184">BP34/BO34-1</f>
        <v>9.9515549176964146E-2</v>
      </c>
      <c r="BQ35" s="63">
        <f>BQ34/$BP34-1</f>
        <v>-0.38240258160826912</v>
      </c>
      <c r="BR35" s="63">
        <f>BR34/$BP34-1</f>
        <v>-0.32725189805023958</v>
      </c>
      <c r="BS35" s="63">
        <f>BS34/$BP34-1</f>
        <v>-0.22937210697037946</v>
      </c>
    </row>
    <row r="36" spans="1:71" ht="20.100000000000001" customHeight="1" x14ac:dyDescent="0.2">
      <c r="A36" s="22" t="s">
        <v>112</v>
      </c>
      <c r="B36" s="23">
        <v>101.03743957077812</v>
      </c>
      <c r="C36" s="23">
        <v>141.82512353407316</v>
      </c>
      <c r="D36" s="23">
        <v>126.82351774995672</v>
      </c>
      <c r="E36" s="23">
        <v>123.82015757086478</v>
      </c>
      <c r="F36" s="23">
        <v>135.81855575896265</v>
      </c>
      <c r="G36" s="23">
        <v>139.85755778910124</v>
      </c>
      <c r="H36" s="23">
        <v>129.39247364720501</v>
      </c>
      <c r="I36" s="23">
        <v>133.82445386223378</v>
      </c>
      <c r="J36" s="23">
        <v>127.8756378666445</v>
      </c>
      <c r="K36" s="23">
        <v>125.75394008554537</v>
      </c>
      <c r="L36" s="23">
        <v>144.04927801936572</v>
      </c>
      <c r="M36" s="23">
        <v>130.6163412701369</v>
      </c>
      <c r="N36" s="23">
        <v>135.87135147955595</v>
      </c>
      <c r="O36" s="23">
        <v>139.11226719370515</v>
      </c>
      <c r="P36" s="23">
        <v>120.46025852424013</v>
      </c>
      <c r="Q36" s="23">
        <v>125.06371057424116</v>
      </c>
      <c r="R36" s="36" t="s">
        <v>27</v>
      </c>
      <c r="S36" s="24">
        <v>126.90115406819299</v>
      </c>
      <c r="T36" s="23">
        <v>134.5826753497102</v>
      </c>
      <c r="U36" s="23">
        <v>122.64630065169105</v>
      </c>
      <c r="V36" s="23">
        <v>117.79027273824754</v>
      </c>
      <c r="W36" s="23">
        <v>155.46106004699269</v>
      </c>
      <c r="X36" s="23">
        <v>123.27974017633998</v>
      </c>
      <c r="Y36" s="23">
        <v>111.48300338816151</v>
      </c>
      <c r="Z36" s="23">
        <v>117.87361482946473</v>
      </c>
      <c r="AA36" s="23">
        <v>136.94971571243727</v>
      </c>
      <c r="AB36" s="23">
        <v>131.94444680534997</v>
      </c>
      <c r="AC36" s="23">
        <v>139.52496976491776</v>
      </c>
      <c r="AD36" s="23">
        <v>114.4747962674939</v>
      </c>
      <c r="AE36" s="23">
        <v>136.44253432299377</v>
      </c>
      <c r="AF36" s="23">
        <v>136.42089069497112</v>
      </c>
      <c r="AG36" s="28">
        <v>126.66754796162876</v>
      </c>
      <c r="AH36" s="28">
        <v>138.60639111812961</v>
      </c>
      <c r="AI36" s="28">
        <v>147.80793054838844</v>
      </c>
      <c r="AJ36" s="28">
        <v>136.45377528239135</v>
      </c>
      <c r="AK36" s="28">
        <v>145.00881267275611</v>
      </c>
      <c r="AL36" s="28">
        <v>139.00893286441851</v>
      </c>
      <c r="AM36" s="28">
        <v>159.12105700103447</v>
      </c>
      <c r="AN36" s="28">
        <v>133.02586725064185</v>
      </c>
      <c r="AO36" s="28">
        <v>146.28091802567704</v>
      </c>
      <c r="AP36" s="28">
        <v>126.48391351738526</v>
      </c>
      <c r="AQ36" s="28">
        <v>114.47967741432078</v>
      </c>
      <c r="AR36" s="28">
        <v>142.06349099622824</v>
      </c>
      <c r="AS36" s="28">
        <v>119.78561515856381</v>
      </c>
      <c r="AT36" s="28">
        <v>144.01863205535727</v>
      </c>
      <c r="AU36" s="28">
        <v>132.91758207880764</v>
      </c>
      <c r="AV36" s="28">
        <v>136.72794514371131</v>
      </c>
      <c r="AW36" s="28">
        <v>130.41442291075074</v>
      </c>
      <c r="AX36" s="36" t="s">
        <v>27</v>
      </c>
      <c r="AY36" s="36" t="s">
        <v>27</v>
      </c>
      <c r="AZ36" s="36" t="s">
        <v>27</v>
      </c>
      <c r="BA36" s="30">
        <v>153.96558986306729</v>
      </c>
      <c r="BB36" s="28">
        <v>139.58113810834067</v>
      </c>
      <c r="BC36" s="28">
        <v>148.50159995916633</v>
      </c>
      <c r="BD36" s="28">
        <v>151.44202364234198</v>
      </c>
      <c r="BE36" s="28">
        <v>153.39563601874022</v>
      </c>
      <c r="BF36" s="28">
        <v>160.46650620000005</v>
      </c>
      <c r="BG36" s="28">
        <v>176.12076999999994</v>
      </c>
      <c r="BH36" s="28">
        <v>182.88387703248267</v>
      </c>
      <c r="BI36" s="28">
        <v>193.35949360000006</v>
      </c>
      <c r="BJ36" s="28">
        <v>166.66849980000006</v>
      </c>
      <c r="BK36" s="28">
        <v>177.06843000000003</v>
      </c>
      <c r="BL36" s="28">
        <v>205.38900000000001</v>
      </c>
      <c r="BM36" s="28">
        <v>176.71299999999999</v>
      </c>
      <c r="BN36" s="28">
        <v>135.03340832108879</v>
      </c>
      <c r="BO36" s="28">
        <v>185.93</v>
      </c>
      <c r="BP36" s="28">
        <v>200.90899999999999</v>
      </c>
      <c r="BQ36" s="28">
        <v>64.42</v>
      </c>
      <c r="BR36" s="28">
        <v>94.486999999999995</v>
      </c>
      <c r="BS36" s="28">
        <v>101.676</v>
      </c>
    </row>
    <row r="37" spans="1:71" s="56" customFormat="1" ht="20.100000000000001" customHeight="1" x14ac:dyDescent="0.2">
      <c r="A37" s="22"/>
      <c r="B37" s="23"/>
      <c r="C37" s="57">
        <f t="shared" ref="C37" si="185">C36/B36-1</f>
        <v>0.40368881215287233</v>
      </c>
      <c r="D37" s="57">
        <f t="shared" ref="D37" si="186">D36/C36-1</f>
        <v>-0.10577537611319154</v>
      </c>
      <c r="E37" s="57">
        <f t="shared" ref="E37" si="187">E36/D36-1</f>
        <v>-2.3681413608265589E-2</v>
      </c>
      <c r="F37" s="57">
        <f t="shared" ref="F37" si="188">F36/E36-1</f>
        <v>9.6901816501331339E-2</v>
      </c>
      <c r="G37" s="57">
        <f t="shared" ref="G37" si="189">G36/F36-1</f>
        <v>2.9738219550107914E-2</v>
      </c>
      <c r="H37" s="57">
        <f t="shared" ref="H37" si="190">H36/G36-1</f>
        <v>-7.4826733051331362E-2</v>
      </c>
      <c r="I37" s="57">
        <f t="shared" ref="I37" si="191">I36/H36-1</f>
        <v>3.4252225729239694E-2</v>
      </c>
      <c r="J37" s="57">
        <f t="shared" ref="J37" si="192">J36/I36-1</f>
        <v>-4.4452383879805102E-2</v>
      </c>
      <c r="K37" s="57">
        <f t="shared" ref="K37" si="193">K36/J36-1</f>
        <v>-1.6591884243906896E-2</v>
      </c>
      <c r="L37" s="57">
        <f t="shared" ref="L37" si="194">L36/K36-1</f>
        <v>0.14548520643865914</v>
      </c>
      <c r="M37" s="57">
        <f t="shared" ref="M37" si="195">M36/L36-1</f>
        <v>-9.3252371229676778E-2</v>
      </c>
      <c r="N37" s="57">
        <f t="shared" ref="N37" si="196">N36/M36-1</f>
        <v>4.0232410112841732E-2</v>
      </c>
      <c r="O37" s="57">
        <f t="shared" ref="O37" si="197">O36/N36-1</f>
        <v>2.3852826065668742E-2</v>
      </c>
      <c r="P37" s="57">
        <f t="shared" ref="P37" si="198">P36/O36-1</f>
        <v>-0.13407882026315665</v>
      </c>
      <c r="Q37" s="57">
        <f t="shared" ref="Q37" si="199">Q36/P36-1</f>
        <v>3.8215525239593262E-2</v>
      </c>
      <c r="R37" s="61"/>
      <c r="S37" s="58"/>
      <c r="T37" s="57">
        <f t="shared" ref="T37" si="200">T36/S36-1</f>
        <v>6.0531532104029395E-2</v>
      </c>
      <c r="U37" s="57">
        <f t="shared" ref="U37" si="201">U36/T36-1</f>
        <v>-8.8691762643317462E-2</v>
      </c>
      <c r="V37" s="57">
        <f t="shared" ref="V37" si="202">V36/U36-1</f>
        <v>-3.9593757721517964E-2</v>
      </c>
      <c r="W37" s="57">
        <f t="shared" ref="W37" si="203">W36/V36-1</f>
        <v>0.31981237867117285</v>
      </c>
      <c r="X37" s="57">
        <f t="shared" ref="X37" si="204">X36/W36-1</f>
        <v>-0.20700566341773918</v>
      </c>
      <c r="Y37" s="57">
        <f t="shared" ref="Y37" si="205">Y36/X36-1</f>
        <v>-9.5690798595976623E-2</v>
      </c>
      <c r="Z37" s="57">
        <f t="shared" ref="Z37:AF37" si="206">Z36/Y36-1</f>
        <v>5.7323639003986848E-2</v>
      </c>
      <c r="AA37" s="57">
        <f t="shared" si="206"/>
        <v>0.16183520723082223</v>
      </c>
      <c r="AB37" s="57">
        <f t="shared" si="206"/>
        <v>-3.6548224149637543E-2</v>
      </c>
      <c r="AC37" s="57">
        <f t="shared" si="206"/>
        <v>5.7452383507665905E-2</v>
      </c>
      <c r="AD37" s="57">
        <f t="shared" si="206"/>
        <v>-0.17953899964737696</v>
      </c>
      <c r="AE37" s="57">
        <f t="shared" si="206"/>
        <v>0.191900215346684</v>
      </c>
      <c r="AF37" s="57">
        <f t="shared" si="206"/>
        <v>-1.5862815895373306E-4</v>
      </c>
      <c r="AG37" s="57">
        <f t="shared" ref="AG37" si="207">AG36/AF36-1</f>
        <v>-7.1494495334664343E-2</v>
      </c>
      <c r="AH37" s="57">
        <f t="shared" ref="AH37" si="208">AH36/AG36-1</f>
        <v>9.4253369143274757E-2</v>
      </c>
      <c r="AI37" s="57">
        <f t="shared" ref="AI37" si="209">AI36/AH36-1</f>
        <v>6.6386112184514401E-2</v>
      </c>
      <c r="AJ37" s="57">
        <f t="shared" ref="AJ37" si="210">AJ36/AI36-1</f>
        <v>-7.6816955787633034E-2</v>
      </c>
      <c r="AK37" s="57">
        <f t="shared" ref="AK37" si="211">AK36/AJ36-1</f>
        <v>6.2695497963761726E-2</v>
      </c>
      <c r="AL37" s="57">
        <f t="shared" ref="AL37" si="212">AL36/AK36-1</f>
        <v>-4.1375966727468017E-2</v>
      </c>
      <c r="AM37" s="57">
        <f t="shared" ref="AM37" si="213">AM36/AL36-1</f>
        <v>0.1446822425162575</v>
      </c>
      <c r="AN37" s="57">
        <f t="shared" ref="AN37" si="214">AN36/AM36-1</f>
        <v>-0.16399582960426773</v>
      </c>
      <c r="AO37" s="57">
        <f t="shared" ref="AO37" si="215">AO36/AN36-1</f>
        <v>9.9642656341871971E-2</v>
      </c>
      <c r="AP37" s="57">
        <f t="shared" ref="AP37" si="216">AP36/AO36-1</f>
        <v>-0.13533552274273231</v>
      </c>
      <c r="AQ37" s="57">
        <f t="shared" ref="AQ37" si="217">AQ36/AP36-1</f>
        <v>-9.4907216018537355E-2</v>
      </c>
      <c r="AR37" s="57">
        <f t="shared" ref="AR37" si="218">AR36/AQ36-1</f>
        <v>0.24094943491216436</v>
      </c>
      <c r="AS37" s="57">
        <f t="shared" ref="AS37" si="219">AS36/AR36-1</f>
        <v>-0.15681633389014704</v>
      </c>
      <c r="AT37" s="57">
        <f t="shared" ref="AT37" si="220">AT36/AS36-1</f>
        <v>0.20230323035629527</v>
      </c>
      <c r="AU37" s="57">
        <f t="shared" ref="AU37" si="221">AU36/AT36-1</f>
        <v>-7.7080651427675395E-2</v>
      </c>
      <c r="AV37" s="57">
        <f t="shared" ref="AV37" si="222">AV36/AU36-1</f>
        <v>2.8667110891653858E-2</v>
      </c>
      <c r="AW37" s="57">
        <f t="shared" ref="AW37" si="223">AW36/AV36-1</f>
        <v>-4.6175799880006863E-2</v>
      </c>
      <c r="AX37" s="57"/>
      <c r="AY37" s="57"/>
      <c r="AZ37" s="57"/>
      <c r="BA37" s="57"/>
      <c r="BB37" s="57">
        <f t="shared" ref="BB37" si="224">BB36/BA36-1</f>
        <v>-9.3426406299743747E-2</v>
      </c>
      <c r="BC37" s="57">
        <f t="shared" ref="BC37" si="225">BC36/BB36-1</f>
        <v>6.3908791486581462E-2</v>
      </c>
      <c r="BD37" s="57">
        <f t="shared" ref="BD37" si="226">BD36/BC36-1</f>
        <v>1.9800619548773879E-2</v>
      </c>
      <c r="BE37" s="57">
        <f t="shared" ref="BE37" si="227">BE36/BD36-1</f>
        <v>1.2900067824054284E-2</v>
      </c>
      <c r="BF37" s="57">
        <f t="shared" ref="BF37" si="228">BF36/BE36-1</f>
        <v>4.6095641080662775E-2</v>
      </c>
      <c r="BG37" s="57">
        <f t="shared" ref="BG37" si="229">BG36/BF36-1</f>
        <v>9.7554712012542621E-2</v>
      </c>
      <c r="BH37" s="57">
        <f t="shared" ref="BH37" si="230">BH36/BG36-1</f>
        <v>3.840039441391685E-2</v>
      </c>
      <c r="BI37" s="57">
        <f t="shared" ref="BI37" si="231">BI36/BH36-1</f>
        <v>5.72801536007288E-2</v>
      </c>
      <c r="BJ37" s="57">
        <f t="shared" ref="BJ37" si="232">BJ36/BI36-1</f>
        <v>-0.13803818629777376</v>
      </c>
      <c r="BK37" s="57">
        <f t="shared" ref="BK37" si="233">BK36/BJ36-1</f>
        <v>6.239889488703465E-2</v>
      </c>
      <c r="BL37" s="57">
        <f t="shared" ref="BL37" si="234">BL36/BK36-1</f>
        <v>0.15994138537287506</v>
      </c>
      <c r="BM37" s="57">
        <f t="shared" ref="BM37" si="235">BM36/BL36-1</f>
        <v>-0.13961799317392853</v>
      </c>
      <c r="BN37" s="62">
        <f t="shared" ref="BN37" si="236">BN36/BM36-1</f>
        <v>-0.23586035933355898</v>
      </c>
      <c r="BO37" s="57">
        <f t="shared" ref="BO37" si="237">BO36/BN36-1</f>
        <v>0.37691851454928038</v>
      </c>
      <c r="BP37" s="57">
        <f t="shared" ref="BP37" si="238">BP36/BO36-1</f>
        <v>8.0562577314042816E-2</v>
      </c>
      <c r="BQ37" s="63">
        <f>BQ36/$BP36-1</f>
        <v>-0.6793573209761633</v>
      </c>
      <c r="BR37" s="63">
        <f>BR36/$BP36-1</f>
        <v>-0.52970250212782899</v>
      </c>
      <c r="BS37" s="63">
        <f>BS36/$BP36-1</f>
        <v>-0.49392013299553528</v>
      </c>
    </row>
    <row r="38" spans="1:71" ht="20.100000000000001" customHeight="1" x14ac:dyDescent="0.2">
      <c r="A38" s="22" t="s">
        <v>113</v>
      </c>
      <c r="B38" s="23">
        <v>200.5731100313929</v>
      </c>
      <c r="C38" s="23">
        <v>227.21108844143981</v>
      </c>
      <c r="D38" s="23">
        <v>233.20386892237744</v>
      </c>
      <c r="E38" s="23">
        <v>228.21048908688624</v>
      </c>
      <c r="F38" s="23">
        <v>258.78913435769749</v>
      </c>
      <c r="G38" s="23">
        <v>265.2679877367359</v>
      </c>
      <c r="H38" s="23">
        <v>255.20711953428142</v>
      </c>
      <c r="I38" s="23">
        <v>246.11099026848788</v>
      </c>
      <c r="J38" s="23">
        <v>251.09965257176668</v>
      </c>
      <c r="K38" s="23">
        <v>256.46884456731709</v>
      </c>
      <c r="L38" s="23">
        <v>223.33926397235106</v>
      </c>
      <c r="M38" s="23">
        <v>211.86473800058121</v>
      </c>
      <c r="N38" s="23">
        <v>239.91546899966269</v>
      </c>
      <c r="O38" s="23">
        <v>211.26076247877006</v>
      </c>
      <c r="P38" s="23">
        <v>218.01422431519595</v>
      </c>
      <c r="Q38" s="23">
        <v>245.64957647819401</v>
      </c>
      <c r="R38" s="36" t="s">
        <v>27</v>
      </c>
      <c r="S38" s="24">
        <v>224.77571060722639</v>
      </c>
      <c r="T38" s="23">
        <v>209.74959029938498</v>
      </c>
      <c r="U38" s="23">
        <v>233.20395928109463</v>
      </c>
      <c r="V38" s="23">
        <v>184.82635449714883</v>
      </c>
      <c r="W38" s="23">
        <v>237.67111473164846</v>
      </c>
      <c r="X38" s="23">
        <v>224.4614576145064</v>
      </c>
      <c r="Y38" s="23">
        <v>220.08627799763369</v>
      </c>
      <c r="Z38" s="23">
        <v>206.48833509241899</v>
      </c>
      <c r="AA38" s="23">
        <v>203.49752909075119</v>
      </c>
      <c r="AB38" s="23">
        <v>233.64477255365924</v>
      </c>
      <c r="AC38" s="23">
        <v>237.4112122328321</v>
      </c>
      <c r="AD38" s="23">
        <v>220.72899611176251</v>
      </c>
      <c r="AE38" s="23">
        <v>201.34314790867262</v>
      </c>
      <c r="AF38" s="23">
        <v>209.34802665607441</v>
      </c>
      <c r="AG38" s="28">
        <v>218.66231040112874</v>
      </c>
      <c r="AH38" s="28">
        <v>181.56025004124461</v>
      </c>
      <c r="AI38" s="28">
        <v>206.2234168739424</v>
      </c>
      <c r="AJ38" s="28">
        <v>223.52990806447116</v>
      </c>
      <c r="AK38" s="28">
        <v>231.03790838146969</v>
      </c>
      <c r="AL38" s="28">
        <v>250.34945802100847</v>
      </c>
      <c r="AM38" s="28">
        <v>289.30456198919421</v>
      </c>
      <c r="AN38" s="28">
        <v>222.70937445882214</v>
      </c>
      <c r="AO38" s="28">
        <v>217.57101310570587</v>
      </c>
      <c r="AP38" s="28">
        <v>224.29963993237797</v>
      </c>
      <c r="AQ38" s="28">
        <v>245.57922745095658</v>
      </c>
      <c r="AR38" s="28">
        <v>203.26675407544801</v>
      </c>
      <c r="AS38" s="28">
        <v>201.94710256335745</v>
      </c>
      <c r="AT38" s="28">
        <v>194.85309853203452</v>
      </c>
      <c r="AU38" s="28">
        <v>217.21178802700572</v>
      </c>
      <c r="AV38" s="28">
        <v>221.58128924574225</v>
      </c>
      <c r="AW38" s="28">
        <v>208.82608592459215</v>
      </c>
      <c r="AX38" s="36" t="s">
        <v>27</v>
      </c>
      <c r="AY38" s="36" t="s">
        <v>27</v>
      </c>
      <c r="AZ38" s="36" t="s">
        <v>27</v>
      </c>
      <c r="BA38" s="30">
        <v>250.01072324738496</v>
      </c>
      <c r="BB38" s="28">
        <v>211.05459026921704</v>
      </c>
      <c r="BC38" s="28">
        <v>211.58535569864</v>
      </c>
      <c r="BD38" s="28">
        <v>233.42439000699196</v>
      </c>
      <c r="BE38" s="28">
        <v>238.56611614567683</v>
      </c>
      <c r="BF38" s="28">
        <v>224.25634140000008</v>
      </c>
      <c r="BG38" s="28">
        <v>206.38440999999995</v>
      </c>
      <c r="BH38" s="28">
        <v>210.66538522480437</v>
      </c>
      <c r="BI38" s="28">
        <v>213.23533550000005</v>
      </c>
      <c r="BJ38" s="28">
        <v>191.32478640000005</v>
      </c>
      <c r="BK38" s="28">
        <v>207.50986080000001</v>
      </c>
      <c r="BL38" s="28">
        <v>208.71700000000001</v>
      </c>
      <c r="BM38" s="28">
        <v>215.86500000000001</v>
      </c>
      <c r="BN38" s="28">
        <v>210.48310705807268</v>
      </c>
      <c r="BO38" s="28">
        <v>202.637</v>
      </c>
      <c r="BP38" s="28">
        <v>179.50200000000001</v>
      </c>
      <c r="BQ38" s="28">
        <v>111.029</v>
      </c>
      <c r="BR38" s="28">
        <v>150.61000000000001</v>
      </c>
      <c r="BS38" s="28">
        <v>138.11099999999999</v>
      </c>
    </row>
    <row r="39" spans="1:71" s="56" customFormat="1" ht="20.100000000000001" customHeight="1" x14ac:dyDescent="0.2">
      <c r="A39" s="22"/>
      <c r="B39" s="23"/>
      <c r="C39" s="57">
        <f t="shared" ref="C39" si="239">C38/B38-1</f>
        <v>0.13280932028165515</v>
      </c>
      <c r="D39" s="57">
        <f t="shared" ref="D39" si="240">D38/C38-1</f>
        <v>2.637538740756562E-2</v>
      </c>
      <c r="E39" s="57">
        <f t="shared" ref="E39" si="241">E38/D38-1</f>
        <v>-2.1412079733348022E-2</v>
      </c>
      <c r="F39" s="57">
        <f t="shared" ref="F39" si="242">F38/E38-1</f>
        <v>0.13399316303629272</v>
      </c>
      <c r="G39" s="57">
        <f t="shared" ref="G39" si="243">G38/F38-1</f>
        <v>2.503526044522153E-2</v>
      </c>
      <c r="H39" s="57">
        <f t="shared" ref="H39" si="244">H38/G38-1</f>
        <v>-3.7927185591799861E-2</v>
      </c>
      <c r="I39" s="57">
        <f t="shared" ref="I39" si="245">I38/H38-1</f>
        <v>-3.5642145416604154E-2</v>
      </c>
      <c r="J39" s="57">
        <f t="shared" ref="J39" si="246">J38/I38-1</f>
        <v>2.0269969650020814E-2</v>
      </c>
      <c r="K39" s="57">
        <f t="shared" ref="K39" si="247">K38/J38-1</f>
        <v>2.1382713757502447E-2</v>
      </c>
      <c r="L39" s="57">
        <f t="shared" ref="L39" si="248">L38/K38-1</f>
        <v>-0.12917584843827024</v>
      </c>
      <c r="M39" s="57">
        <f t="shared" ref="M39" si="249">M38/L38-1</f>
        <v>-5.1377110176159535E-2</v>
      </c>
      <c r="N39" s="57">
        <f t="shared" ref="N39" si="250">N38/M38-1</f>
        <v>0.13239924332762043</v>
      </c>
      <c r="O39" s="57">
        <f t="shared" ref="O39" si="251">O38/N38-1</f>
        <v>-0.11943667759469445</v>
      </c>
      <c r="P39" s="57">
        <f t="shared" ref="P39" si="252">P38/O38-1</f>
        <v>3.1967421480382896E-2</v>
      </c>
      <c r="Q39" s="57">
        <f t="shared" ref="Q39" si="253">Q38/P38-1</f>
        <v>0.12675939952910609</v>
      </c>
      <c r="R39" s="61"/>
      <c r="S39" s="58"/>
      <c r="T39" s="57">
        <f t="shared" ref="T39" si="254">T38/S38-1</f>
        <v>-6.6849395191538652E-2</v>
      </c>
      <c r="U39" s="57">
        <f t="shared" ref="U39" si="255">U38/T38-1</f>
        <v>0.11182080951019824</v>
      </c>
      <c r="V39" s="57">
        <f t="shared" ref="V39" si="256">V38/U38-1</f>
        <v>-0.20744761338135509</v>
      </c>
      <c r="W39" s="57">
        <f t="shared" ref="W39" si="257">W38/V38-1</f>
        <v>0.28591572007289057</v>
      </c>
      <c r="X39" s="57">
        <f t="shared" ref="X39" si="258">X38/W38-1</f>
        <v>-5.5579564778231116E-2</v>
      </c>
      <c r="Y39" s="57">
        <f t="shared" ref="Y39" si="259">Y38/X38-1</f>
        <v>-1.9491897020408322E-2</v>
      </c>
      <c r="Z39" s="57">
        <f t="shared" ref="Z39:AF39" si="260">Z38/Y38-1</f>
        <v>-6.1784601152466645E-2</v>
      </c>
      <c r="AA39" s="57">
        <f t="shared" si="260"/>
        <v>-1.4484140231598053E-2</v>
      </c>
      <c r="AB39" s="57">
        <f t="shared" si="260"/>
        <v>0.14814550131202653</v>
      </c>
      <c r="AC39" s="57">
        <f t="shared" si="260"/>
        <v>1.6120367847339168E-2</v>
      </c>
      <c r="AD39" s="57">
        <f t="shared" si="260"/>
        <v>-7.0267178892583826E-2</v>
      </c>
      <c r="AE39" s="57">
        <f t="shared" si="260"/>
        <v>-8.7826468405058034E-2</v>
      </c>
      <c r="AF39" s="57">
        <f t="shared" si="260"/>
        <v>3.9757393437757971E-2</v>
      </c>
      <c r="AG39" s="57">
        <f t="shared" ref="AG39" si="261">AG38/AF38-1</f>
        <v>4.4491863113456542E-2</v>
      </c>
      <c r="AH39" s="57">
        <f t="shared" ref="AH39" si="262">AH38/AG38-1</f>
        <v>-0.16967743682860403</v>
      </c>
      <c r="AI39" s="57">
        <f t="shared" ref="AI39" si="263">AI38/AH38-1</f>
        <v>0.13584012374457033</v>
      </c>
      <c r="AJ39" s="57">
        <f t="shared" ref="AJ39" si="264">AJ38/AI38-1</f>
        <v>8.3921076727710542E-2</v>
      </c>
      <c r="AK39" s="57">
        <f t="shared" ref="AK39" si="265">AK38/AJ38-1</f>
        <v>3.3588347894963011E-2</v>
      </c>
      <c r="AL39" s="57">
        <f t="shared" ref="AL39" si="266">AL38/AK38-1</f>
        <v>8.3586065052377645E-2</v>
      </c>
      <c r="AM39" s="57">
        <f t="shared" ref="AM39" si="267">AM38/AL38-1</f>
        <v>0.15560290913398656</v>
      </c>
      <c r="AN39" s="62">
        <f t="shared" ref="AN39" si="268">AN38/AM38-1</f>
        <v>-0.23019058901967626</v>
      </c>
      <c r="AO39" s="57">
        <f t="shared" ref="AO39" si="269">AO38/AN38-1</f>
        <v>-2.307204789022621E-2</v>
      </c>
      <c r="AP39" s="57">
        <f t="shared" ref="AP39" si="270">AP38/AO38-1</f>
        <v>3.0926118009125814E-2</v>
      </c>
      <c r="AQ39" s="57">
        <f t="shared" ref="AQ39" si="271">AQ38/AP38-1</f>
        <v>9.4871251353742636E-2</v>
      </c>
      <c r="AR39" s="57">
        <f t="shared" ref="AR39" si="272">AR38/AQ38-1</f>
        <v>-0.17229663035713638</v>
      </c>
      <c r="AS39" s="57">
        <f t="shared" ref="AS39" si="273">AS38/AR38-1</f>
        <v>-6.4922152080055806E-3</v>
      </c>
      <c r="AT39" s="57">
        <f t="shared" ref="AT39" si="274">AT38/AS38-1</f>
        <v>-3.5128030762893947E-2</v>
      </c>
      <c r="AU39" s="57">
        <f t="shared" ref="AU39" si="275">AU38/AT38-1</f>
        <v>0.11474638927178948</v>
      </c>
      <c r="AV39" s="57">
        <f t="shared" ref="AV39" si="276">AV38/AU38-1</f>
        <v>2.0116317159514674E-2</v>
      </c>
      <c r="AW39" s="57">
        <f t="shared" ref="AW39" si="277">AW38/AV38-1</f>
        <v>-5.7564442216978429E-2</v>
      </c>
      <c r="AX39" s="57"/>
      <c r="AY39" s="57"/>
      <c r="AZ39" s="57"/>
      <c r="BA39" s="57"/>
      <c r="BB39" s="57">
        <f t="shared" ref="BB39" si="278">BB38/BA38-1</f>
        <v>-0.15581784841932933</v>
      </c>
      <c r="BC39" s="57">
        <f t="shared" ref="BC39" si="279">BC38/BB38-1</f>
        <v>2.5148253290578904E-3</v>
      </c>
      <c r="BD39" s="57">
        <f t="shared" ref="BD39" si="280">BD38/BC38-1</f>
        <v>0.1032161901575892</v>
      </c>
      <c r="BE39" s="57">
        <f t="shared" ref="BE39" si="281">BE38/BD38-1</f>
        <v>2.2027373140102613E-2</v>
      </c>
      <c r="BF39" s="57">
        <f t="shared" ref="BF39" si="282">BF38/BE38-1</f>
        <v>-5.9982427416216511E-2</v>
      </c>
      <c r="BG39" s="57">
        <f t="shared" ref="BG39" si="283">BG38/BF38-1</f>
        <v>-7.9694207478942403E-2</v>
      </c>
      <c r="BH39" s="57">
        <f t="shared" ref="BH39" si="284">BH38/BG38-1</f>
        <v>2.0742725794087091E-2</v>
      </c>
      <c r="BI39" s="57">
        <f t="shared" ref="BI39" si="285">BI38/BH38-1</f>
        <v>1.2199205258392354E-2</v>
      </c>
      <c r="BJ39" s="57">
        <f t="shared" ref="BJ39" si="286">BJ38/BI38-1</f>
        <v>-0.10275289997609238</v>
      </c>
      <c r="BK39" s="57">
        <f t="shared" ref="BK39" si="287">BK38/BJ38-1</f>
        <v>8.4594760065023866E-2</v>
      </c>
      <c r="BL39" s="57">
        <f t="shared" ref="BL39" si="288">BL38/BK38-1</f>
        <v>5.8172618657552633E-3</v>
      </c>
      <c r="BM39" s="57">
        <f t="shared" ref="BM39" si="289">BM38/BL38-1</f>
        <v>3.4247330116856878E-2</v>
      </c>
      <c r="BN39" s="57">
        <f t="shared" ref="BN39" si="290">BN38/BM38-1</f>
        <v>-2.493175337329967E-2</v>
      </c>
      <c r="BO39" s="57">
        <f t="shared" ref="BO39" si="291">BO38/BN38-1</f>
        <v>-3.7276659242339694E-2</v>
      </c>
      <c r="BP39" s="57">
        <f t="shared" ref="BP39" si="292">BP38/BO38-1</f>
        <v>-0.11416967286329738</v>
      </c>
      <c r="BQ39" s="63">
        <f>BQ38/$BP38-1</f>
        <v>-0.38146093079742849</v>
      </c>
      <c r="BR39" s="63">
        <f>BR38/$BP38-1</f>
        <v>-0.16095642388385645</v>
      </c>
      <c r="BS39" s="63">
        <f>BS38/$BP38-1</f>
        <v>-0.23058796002272963</v>
      </c>
    </row>
    <row r="40" spans="1:71" ht="20.100000000000001" customHeight="1" x14ac:dyDescent="0.2">
      <c r="A40" s="22" t="s">
        <v>145</v>
      </c>
      <c r="B40" s="23">
        <v>186.33426465649302</v>
      </c>
      <c r="C40" s="23">
        <v>187.06467980149301</v>
      </c>
      <c r="D40" s="23">
        <v>221.68583264047268</v>
      </c>
      <c r="E40" s="23">
        <v>199.60045506604962</v>
      </c>
      <c r="F40" s="23">
        <v>204.64569214663254</v>
      </c>
      <c r="G40" s="23">
        <v>228.73529092953063</v>
      </c>
      <c r="H40" s="23">
        <v>223.73247223444861</v>
      </c>
      <c r="I40" s="23">
        <v>208.16751264963474</v>
      </c>
      <c r="J40" s="23">
        <v>218.20880899412191</v>
      </c>
      <c r="K40" s="23">
        <v>193.73073233815495</v>
      </c>
      <c r="L40" s="23">
        <v>185.71595056536486</v>
      </c>
      <c r="M40" s="23">
        <v>198.57301338496578</v>
      </c>
      <c r="N40" s="23">
        <v>211.81590376983513</v>
      </c>
      <c r="O40" s="23">
        <v>199.80331398573318</v>
      </c>
      <c r="P40" s="23">
        <v>212.55474592500789</v>
      </c>
      <c r="Q40" s="23">
        <v>212.75331642414875</v>
      </c>
      <c r="R40" s="36" t="s">
        <v>27</v>
      </c>
      <c r="S40" s="24">
        <v>204.15958925132338</v>
      </c>
      <c r="T40" s="23">
        <v>188.01937630958207</v>
      </c>
      <c r="U40" s="23">
        <v>182.22632647894312</v>
      </c>
      <c r="V40" s="23">
        <v>191.92559645198887</v>
      </c>
      <c r="W40" s="23">
        <v>206.01329330649662</v>
      </c>
      <c r="X40" s="23">
        <v>190.03403537688365</v>
      </c>
      <c r="Y40" s="23">
        <v>213.90902539451466</v>
      </c>
      <c r="Z40" s="23">
        <v>171.92085611502938</v>
      </c>
      <c r="AA40" s="23">
        <v>194.55804218769197</v>
      </c>
      <c r="AB40" s="23">
        <v>170.93495113194294</v>
      </c>
      <c r="AC40" s="23">
        <v>207.7865868088889</v>
      </c>
      <c r="AD40" s="23">
        <v>187.39564848048045</v>
      </c>
      <c r="AE40" s="23">
        <v>196.41077495476119</v>
      </c>
      <c r="AF40" s="23">
        <v>179.62397637403075</v>
      </c>
      <c r="AG40" s="28">
        <v>191.49682959507012</v>
      </c>
      <c r="AH40" s="28">
        <v>176.82094627980118</v>
      </c>
      <c r="AI40" s="28">
        <v>203.66508192180899</v>
      </c>
      <c r="AJ40" s="28">
        <v>156.31850950115285</v>
      </c>
      <c r="AK40" s="28">
        <v>169.10000300185635</v>
      </c>
      <c r="AL40" s="28">
        <v>174.50435763792811</v>
      </c>
      <c r="AM40" s="28">
        <v>200.95962148775382</v>
      </c>
      <c r="AN40" s="28">
        <v>170.50864668481583</v>
      </c>
      <c r="AO40" s="28">
        <v>187.32225837364555</v>
      </c>
      <c r="AP40" s="28">
        <v>168.7250324908785</v>
      </c>
      <c r="AQ40" s="28">
        <v>177.13649542535572</v>
      </c>
      <c r="AR40" s="28">
        <v>165.04981637386027</v>
      </c>
      <c r="AS40" s="28">
        <v>141.71925063901162</v>
      </c>
      <c r="AT40" s="28">
        <v>149.8304322136388</v>
      </c>
      <c r="AU40" s="28">
        <v>156.63937995789354</v>
      </c>
      <c r="AV40" s="28">
        <v>145.32590652972794</v>
      </c>
      <c r="AW40" s="28">
        <v>151.14403509008133</v>
      </c>
      <c r="AX40" s="36" t="s">
        <v>27</v>
      </c>
      <c r="AY40" s="36" t="s">
        <v>27</v>
      </c>
      <c r="AZ40" s="36" t="s">
        <v>27</v>
      </c>
      <c r="BA40" s="30">
        <v>165.09148419221319</v>
      </c>
      <c r="BB40" s="28">
        <v>152.48762706981285</v>
      </c>
      <c r="BC40" s="28">
        <v>201.2830755441868</v>
      </c>
      <c r="BD40" s="28">
        <v>240.16326262197231</v>
      </c>
      <c r="BE40" s="28">
        <v>206.75857843535539</v>
      </c>
      <c r="BF40" s="28">
        <v>177.60790320000007</v>
      </c>
      <c r="BG40" s="28">
        <v>184.97947999999997</v>
      </c>
      <c r="BH40" s="28">
        <v>210.76930607839159</v>
      </c>
      <c r="BI40" s="28">
        <v>181.79613860000001</v>
      </c>
      <c r="BJ40" s="28">
        <v>178.11660240000003</v>
      </c>
      <c r="BK40" s="28">
        <v>219.71632320000003</v>
      </c>
      <c r="BL40" s="28">
        <v>229.82300000000001</v>
      </c>
      <c r="BM40" s="28">
        <v>216.827</v>
      </c>
      <c r="BN40" s="28">
        <v>226.18268394303985</v>
      </c>
      <c r="BO40" s="28">
        <v>208.411</v>
      </c>
      <c r="BP40" s="28">
        <v>228.167</v>
      </c>
      <c r="BQ40" s="28">
        <v>122.004</v>
      </c>
      <c r="BR40" s="28">
        <v>136.387</v>
      </c>
      <c r="BS40" s="28">
        <v>189.79400000000001</v>
      </c>
    </row>
    <row r="41" spans="1:71" s="56" customFormat="1" ht="20.100000000000001" customHeight="1" x14ac:dyDescent="0.2">
      <c r="A41" s="22"/>
      <c r="B41" s="23"/>
      <c r="C41" s="57">
        <f t="shared" ref="C41" si="293">C40/B40-1</f>
        <v>3.9199185740019793E-3</v>
      </c>
      <c r="D41" s="57">
        <f t="shared" ref="D41" si="294">D40/C40-1</f>
        <v>0.18507584048318759</v>
      </c>
      <c r="E41" s="57">
        <f t="shared" ref="E41" si="295">E40/D40-1</f>
        <v>-9.9624668438965447E-2</v>
      </c>
      <c r="F41" s="57">
        <f t="shared" ref="F41" si="296">F40/E40-1</f>
        <v>2.5276681252622391E-2</v>
      </c>
      <c r="G41" s="57">
        <f t="shared" ref="G41" si="297">G40/F40-1</f>
        <v>0.11771368617736377</v>
      </c>
      <c r="H41" s="57">
        <f t="shared" ref="H41" si="298">H40/G40-1</f>
        <v>-2.1871652051380641E-2</v>
      </c>
      <c r="I41" s="57">
        <f t="shared" ref="I41" si="299">I40/H40-1</f>
        <v>-6.9569515007653404E-2</v>
      </c>
      <c r="J41" s="57">
        <f t="shared" ref="J41" si="300">J40/I40-1</f>
        <v>4.8236615870928867E-2</v>
      </c>
      <c r="K41" s="57">
        <f t="shared" ref="K41" si="301">K40/J40-1</f>
        <v>-0.11217730745520149</v>
      </c>
      <c r="L41" s="57">
        <f t="shared" ref="L41" si="302">L40/K40-1</f>
        <v>-4.1370729754948599E-2</v>
      </c>
      <c r="M41" s="57">
        <f t="shared" ref="M41" si="303">M40/L40-1</f>
        <v>6.9229717643858102E-2</v>
      </c>
      <c r="N41" s="57">
        <f t="shared" ref="N41" si="304">N40/M40-1</f>
        <v>6.6690282627659414E-2</v>
      </c>
      <c r="O41" s="57">
        <f t="shared" ref="O41" si="305">O40/N40-1</f>
        <v>-5.671240719089321E-2</v>
      </c>
      <c r="P41" s="57">
        <f t="shared" ref="P41" si="306">P40/O40-1</f>
        <v>6.3819922126943318E-2</v>
      </c>
      <c r="Q41" s="57">
        <f t="shared" ref="Q41" si="307">Q40/P40-1</f>
        <v>9.3420872950500389E-4</v>
      </c>
      <c r="R41" s="61"/>
      <c r="S41" s="58"/>
      <c r="T41" s="57">
        <f t="shared" ref="T41" si="308">T40/S40-1</f>
        <v>-7.9056844701389295E-2</v>
      </c>
      <c r="U41" s="57">
        <f t="shared" ref="U41" si="309">U40/T40-1</f>
        <v>-3.0810919301744955E-2</v>
      </c>
      <c r="V41" s="57">
        <f t="shared" ref="V41" si="310">V40/U40-1</f>
        <v>5.3226502231918271E-2</v>
      </c>
      <c r="W41" s="57">
        <f t="shared" ref="W41" si="311">W40/V40-1</f>
        <v>7.3401865696594903E-2</v>
      </c>
      <c r="X41" s="57">
        <f t="shared" ref="X41" si="312">X40/W40-1</f>
        <v>-7.7564207984577971E-2</v>
      </c>
      <c r="Y41" s="57">
        <f t="shared" ref="Y41" si="313">Y40/X40-1</f>
        <v>0.12563533669261462</v>
      </c>
      <c r="Z41" s="57">
        <f t="shared" ref="Z41:AF41" si="314">Z40/Y40-1</f>
        <v>-0.19628984425526719</v>
      </c>
      <c r="AA41" s="57">
        <f t="shared" si="314"/>
        <v>0.13167213440070591</v>
      </c>
      <c r="AB41" s="57">
        <f t="shared" si="314"/>
        <v>-0.12141924738818877</v>
      </c>
      <c r="AC41" s="57">
        <f t="shared" si="314"/>
        <v>0.21558865189893539</v>
      </c>
      <c r="AD41" s="57">
        <f t="shared" si="314"/>
        <v>-9.813404532778125E-2</v>
      </c>
      <c r="AE41" s="57">
        <f t="shared" si="314"/>
        <v>4.8107448317935564E-2</v>
      </c>
      <c r="AF41" s="57">
        <f t="shared" si="314"/>
        <v>-8.5467808905071108E-2</v>
      </c>
      <c r="AG41" s="57">
        <f t="shared" ref="AG41" si="315">AG40/AF40-1</f>
        <v>6.6098376512479406E-2</v>
      </c>
      <c r="AH41" s="57">
        <f t="shared" ref="AH41" si="316">AH40/AG40-1</f>
        <v>-7.6637735184973299E-2</v>
      </c>
      <c r="AI41" s="57">
        <f t="shared" ref="AI41" si="317">AI40/AH40-1</f>
        <v>0.15181536015269192</v>
      </c>
      <c r="AJ41" s="62">
        <f t="shared" ref="AJ41" si="318">AJ40/AI40-1</f>
        <v>-0.23247270456912894</v>
      </c>
      <c r="AK41" s="57">
        <f t="shared" ref="AK41" si="319">AK40/AJ40-1</f>
        <v>8.1765707346443506E-2</v>
      </c>
      <c r="AL41" s="57">
        <f t="shared" ref="AL41" si="320">AL40/AK40-1</f>
        <v>3.1959518274002896E-2</v>
      </c>
      <c r="AM41" s="57">
        <f t="shared" ref="AM41" si="321">AM40/AL40-1</f>
        <v>0.15160231072691399</v>
      </c>
      <c r="AN41" s="57">
        <f t="shared" ref="AN41" si="322">AN40/AM40-1</f>
        <v>-0.15152782721972646</v>
      </c>
      <c r="AO41" s="57">
        <f t="shared" ref="AO41" si="323">AO40/AN40-1</f>
        <v>9.8608557488052639E-2</v>
      </c>
      <c r="AP41" s="57">
        <f t="shared" ref="AP41" si="324">AP40/AO40-1</f>
        <v>-9.9279317066911399E-2</v>
      </c>
      <c r="AQ41" s="57">
        <f t="shared" ref="AQ41" si="325">AQ40/AP40-1</f>
        <v>4.9853082321569264E-2</v>
      </c>
      <c r="AR41" s="57">
        <f t="shared" ref="AR41" si="326">AR40/AQ40-1</f>
        <v>-6.8233703181672767E-2</v>
      </c>
      <c r="AS41" s="57">
        <f t="shared" ref="AS41" si="327">AS40/AR40-1</f>
        <v>-0.14135469064686357</v>
      </c>
      <c r="AT41" s="57">
        <f t="shared" ref="AT41" si="328">AT40/AS40-1</f>
        <v>5.7234155120450492E-2</v>
      </c>
      <c r="AU41" s="57">
        <f t="shared" ref="AU41" si="329">AU40/AT40-1</f>
        <v>4.5444357622529408E-2</v>
      </c>
      <c r="AV41" s="57">
        <f t="shared" ref="AV41" si="330">AV40/AU40-1</f>
        <v>-7.2226239858755759E-2</v>
      </c>
      <c r="AW41" s="57">
        <f t="shared" ref="AW41" si="331">AW40/AV40-1</f>
        <v>4.0035040546354539E-2</v>
      </c>
      <c r="AX41" s="57"/>
      <c r="AY41" s="57"/>
      <c r="AZ41" s="57"/>
      <c r="BA41" s="57"/>
      <c r="BB41" s="57">
        <f t="shared" ref="BB41" si="332">BB40/BA40-1</f>
        <v>-7.6344683579959161E-2</v>
      </c>
      <c r="BC41" s="57">
        <f t="shared" ref="BC41" si="333">BC40/BB40-1</f>
        <v>0.31999611648513704</v>
      </c>
      <c r="BD41" s="57">
        <f t="shared" ref="BD41" si="334">BD40/BC40-1</f>
        <v>0.1931617299301962</v>
      </c>
      <c r="BE41" s="57">
        <f t="shared" ref="BE41" si="335">BE40/BD40-1</f>
        <v>-0.13909156555387647</v>
      </c>
      <c r="BF41" s="57">
        <f t="shared" ref="BF41" si="336">BF40/BE40-1</f>
        <v>-0.14098895173275483</v>
      </c>
      <c r="BG41" s="57">
        <f t="shared" ref="BG41" si="337">BG40/BF40-1</f>
        <v>4.1504779163452854E-2</v>
      </c>
      <c r="BH41" s="57">
        <f t="shared" ref="BH41" si="338">BH40/BG40-1</f>
        <v>0.13941992959646998</v>
      </c>
      <c r="BI41" s="57">
        <f t="shared" ref="BI41" si="339">BI40/BH40-1</f>
        <v>-0.13746388417493571</v>
      </c>
      <c r="BJ41" s="57">
        <f t="shared" ref="BJ41" si="340">BJ40/BI40-1</f>
        <v>-2.0239902939280463E-2</v>
      </c>
      <c r="BK41" s="57">
        <f t="shared" ref="BK41" si="341">BK40/BJ40-1</f>
        <v>0.23355330294577858</v>
      </c>
      <c r="BL41" s="57">
        <f t="shared" ref="BL41" si="342">BL40/BK40-1</f>
        <v>4.5998752631593254E-2</v>
      </c>
      <c r="BM41" s="57">
        <f t="shared" ref="BM41" si="343">BM40/BL40-1</f>
        <v>-5.6547865096182703E-2</v>
      </c>
      <c r="BN41" s="57">
        <f t="shared" ref="BN41" si="344">BN40/BM40-1</f>
        <v>4.314815010602846E-2</v>
      </c>
      <c r="BO41" s="57">
        <f t="shared" ref="BO41" si="345">BO40/BN40-1</f>
        <v>-7.8572256873189028E-2</v>
      </c>
      <c r="BP41" s="57">
        <f t="shared" ref="BP41" si="346">BP40/BO40-1</f>
        <v>9.4793460997740109E-2</v>
      </c>
      <c r="BQ41" s="63">
        <f>BQ40/$BP40-1</f>
        <v>-0.46528639110826719</v>
      </c>
      <c r="BR41" s="63">
        <f>BR40/$BP40-1</f>
        <v>-0.40224922973085508</v>
      </c>
      <c r="BS41" s="63">
        <f>BS40/$BP40-1</f>
        <v>-0.16817944750993785</v>
      </c>
    </row>
    <row r="42" spans="1:71" ht="20.100000000000001" customHeight="1" x14ac:dyDescent="0.2">
      <c r="A42" s="22" t="s">
        <v>115</v>
      </c>
      <c r="B42" s="23">
        <v>136.30918664699044</v>
      </c>
      <c r="C42" s="23">
        <v>135.73709256779307</v>
      </c>
      <c r="D42" s="23">
        <v>114.83959251484941</v>
      </c>
      <c r="E42" s="23">
        <v>120.42842498864829</v>
      </c>
      <c r="F42" s="23">
        <v>108.99850553470769</v>
      </c>
      <c r="G42" s="23">
        <v>105.5811389755271</v>
      </c>
      <c r="H42" s="23">
        <v>87.293878852489485</v>
      </c>
      <c r="I42" s="23">
        <v>109.52162323979076</v>
      </c>
      <c r="J42" s="23">
        <v>106.04595715218851</v>
      </c>
      <c r="K42" s="23">
        <v>91.75375897874963</v>
      </c>
      <c r="L42" s="23">
        <v>89.870518694916242</v>
      </c>
      <c r="M42" s="23">
        <v>87.140107726458041</v>
      </c>
      <c r="N42" s="23">
        <v>78.627826716212383</v>
      </c>
      <c r="O42" s="23">
        <v>92.180288963341681</v>
      </c>
      <c r="P42" s="23">
        <v>57.177544937565415</v>
      </c>
      <c r="Q42" s="23">
        <v>66.037576284076351</v>
      </c>
      <c r="R42" s="36" t="s">
        <v>27</v>
      </c>
      <c r="S42" s="24">
        <v>94.548327910049423</v>
      </c>
      <c r="T42" s="23">
        <v>63.514554970382079</v>
      </c>
      <c r="U42" s="23">
        <v>61.511527601982479</v>
      </c>
      <c r="V42" s="23">
        <v>60.785861149276307</v>
      </c>
      <c r="W42" s="23">
        <v>60.971675902136937</v>
      </c>
      <c r="X42" s="23">
        <v>48.977518764761854</v>
      </c>
      <c r="Y42" s="23">
        <v>70.742891366930849</v>
      </c>
      <c r="Z42" s="23">
        <v>55.075926069620166</v>
      </c>
      <c r="AA42" s="23">
        <v>50.929469833199626</v>
      </c>
      <c r="AB42" s="23">
        <v>59.400434315170763</v>
      </c>
      <c r="AC42" s="23">
        <v>50.558024346033626</v>
      </c>
      <c r="AD42" s="23">
        <v>49.605813221875991</v>
      </c>
      <c r="AE42" s="23">
        <v>53.930688675734743</v>
      </c>
      <c r="AF42" s="23">
        <v>54.666965901747453</v>
      </c>
      <c r="AG42" s="28">
        <v>63.487738392546731</v>
      </c>
      <c r="AH42" s="28">
        <v>57.410225742612354</v>
      </c>
      <c r="AI42" s="28">
        <v>66.026661497031739</v>
      </c>
      <c r="AJ42" s="28">
        <v>50.431161027461691</v>
      </c>
      <c r="AK42" s="28">
        <v>63.882269054915405</v>
      </c>
      <c r="AL42" s="28">
        <v>65.832437354591889</v>
      </c>
      <c r="AM42" s="28">
        <v>67.519240731984226</v>
      </c>
      <c r="AN42" s="28">
        <v>45.625433892825967</v>
      </c>
      <c r="AO42" s="28">
        <v>69.499586756869462</v>
      </c>
      <c r="AP42" s="28">
        <v>64.344222079834424</v>
      </c>
      <c r="AQ42" s="28">
        <v>52.618740627453015</v>
      </c>
      <c r="AR42" s="28">
        <v>67.110453745786486</v>
      </c>
      <c r="AS42" s="28">
        <v>70.800028492805353</v>
      </c>
      <c r="AT42" s="28">
        <v>70.497005677924136</v>
      </c>
      <c r="AU42" s="28">
        <v>76.844964513399432</v>
      </c>
      <c r="AV42" s="28">
        <v>52.076186278888947</v>
      </c>
      <c r="AW42" s="28">
        <v>54.541018452413518</v>
      </c>
      <c r="AX42" s="36" t="s">
        <v>27</v>
      </c>
      <c r="AY42" s="36" t="s">
        <v>27</v>
      </c>
      <c r="AZ42" s="36" t="s">
        <v>27</v>
      </c>
      <c r="BA42" s="30">
        <v>83.979008285550663</v>
      </c>
      <c r="BB42" s="28">
        <v>61.996482651374471</v>
      </c>
      <c r="BC42" s="28">
        <v>77.09404714008771</v>
      </c>
      <c r="BD42" s="28">
        <v>50.411542340768101</v>
      </c>
      <c r="BE42" s="28">
        <v>65.809150918405351</v>
      </c>
      <c r="BF42" s="28">
        <v>71.85952410000003</v>
      </c>
      <c r="BG42" s="28">
        <v>84.978369999999984</v>
      </c>
      <c r="BH42" s="28">
        <v>71.391646969602562</v>
      </c>
      <c r="BI42" s="28">
        <v>82.511859700000016</v>
      </c>
      <c r="BJ42" s="28">
        <v>92.09174040000002</v>
      </c>
      <c r="BK42" s="28">
        <v>95.486688000000015</v>
      </c>
      <c r="BL42" s="28">
        <v>77.628</v>
      </c>
      <c r="BM42" s="28">
        <v>77.016000000000005</v>
      </c>
      <c r="BN42" s="28">
        <v>81.637393918248776</v>
      </c>
      <c r="BO42" s="28">
        <v>88.025999999999996</v>
      </c>
      <c r="BP42" s="28">
        <v>72.849000000000004</v>
      </c>
      <c r="BQ42" s="28">
        <v>39.921999999999997</v>
      </c>
      <c r="BR42" s="28">
        <v>40.271999999999998</v>
      </c>
      <c r="BS42" s="28">
        <v>53.281999999999996</v>
      </c>
    </row>
    <row r="43" spans="1:71" s="56" customFormat="1" ht="20.100000000000001" customHeight="1" x14ac:dyDescent="0.2">
      <c r="A43" s="22"/>
      <c r="B43" s="23"/>
      <c r="C43" s="57">
        <f t="shared" ref="C43" si="347">C42/B42-1</f>
        <v>-4.1970324471156673E-3</v>
      </c>
      <c r="D43" s="57">
        <f t="shared" ref="D43" si="348">D42/C42-1</f>
        <v>-0.1539557070040124</v>
      </c>
      <c r="E43" s="57">
        <f t="shared" ref="E43" si="349">E42/D42-1</f>
        <v>4.8666425501955768E-2</v>
      </c>
      <c r="F43" s="57">
        <f t="shared" ref="F43" si="350">F42/E42-1</f>
        <v>-9.4910478610161997E-2</v>
      </c>
      <c r="G43" s="57">
        <f t="shared" ref="G43" si="351">G42/F42-1</f>
        <v>-3.1352416644762404E-2</v>
      </c>
      <c r="H43" s="57">
        <f t="shared" ref="H43" si="352">H42/G42-1</f>
        <v>-0.17320574773564867</v>
      </c>
      <c r="I43" s="57">
        <f t="shared" ref="I43" si="353">I42/H42-1</f>
        <v>0.25463119155080793</v>
      </c>
      <c r="J43" s="57">
        <f t="shared" ref="J43" si="354">J42/I42-1</f>
        <v>-3.1734976023798489E-2</v>
      </c>
      <c r="K43" s="57">
        <f t="shared" ref="K43" si="355">K42/J42-1</f>
        <v>-0.1347736260509006</v>
      </c>
      <c r="L43" s="57">
        <f t="shared" ref="L43" si="356">L42/K42-1</f>
        <v>-2.0524938757763067E-2</v>
      </c>
      <c r="M43" s="57">
        <f t="shared" ref="M43" si="357">M42/L42-1</f>
        <v>-3.0381609098386719E-2</v>
      </c>
      <c r="N43" s="57">
        <f t="shared" ref="N43" si="358">N42/M42-1</f>
        <v>-9.7684995260352459E-2</v>
      </c>
      <c r="O43" s="57">
        <f t="shared" ref="O43" si="359">O42/N42-1</f>
        <v>0.17236216252095526</v>
      </c>
      <c r="P43" s="62">
        <f t="shared" ref="P43" si="360">P42/O42-1</f>
        <v>-0.37972048492597132</v>
      </c>
      <c r="Q43" s="57">
        <f t="shared" ref="Q43" si="361">Q42/P42-1</f>
        <v>0.15495648433638731</v>
      </c>
      <c r="R43" s="61"/>
      <c r="S43" s="58"/>
      <c r="T43" s="57">
        <f t="shared" ref="T43" si="362">T42/S42-1</f>
        <v>-0.32823185375834452</v>
      </c>
      <c r="U43" s="57">
        <f t="shared" ref="U43" si="363">U42/T42-1</f>
        <v>-3.1536509534446755E-2</v>
      </c>
      <c r="V43" s="57">
        <f t="shared" ref="V43" si="364">V42/U42-1</f>
        <v>-1.1797243232222754E-2</v>
      </c>
      <c r="W43" s="57">
        <f t="shared" ref="W43" si="365">W42/V42-1</f>
        <v>3.0568745650294549E-3</v>
      </c>
      <c r="X43" s="57">
        <f t="shared" ref="X43" si="366">X42/W42-1</f>
        <v>-0.1967168682820265</v>
      </c>
      <c r="Y43" s="57">
        <f t="shared" ref="Y43" si="367">Y42/X42-1</f>
        <v>0.44439516641722276</v>
      </c>
      <c r="Z43" s="57">
        <f t="shared" ref="Z43:AF43" si="368">Z42/Y42-1</f>
        <v>-0.22146345724051497</v>
      </c>
      <c r="AA43" s="57">
        <f t="shared" si="368"/>
        <v>-7.528618277210819E-2</v>
      </c>
      <c r="AB43" s="57">
        <f t="shared" si="368"/>
        <v>0.16632736428858585</v>
      </c>
      <c r="AC43" s="57">
        <f t="shared" si="368"/>
        <v>-0.1488610322648567</v>
      </c>
      <c r="AD43" s="57">
        <f t="shared" si="368"/>
        <v>-1.8834025586926262E-2</v>
      </c>
      <c r="AE43" s="57">
        <f t="shared" si="368"/>
        <v>8.7184851390592621E-2</v>
      </c>
      <c r="AF43" s="57">
        <f t="shared" si="368"/>
        <v>1.3652286742334541E-2</v>
      </c>
      <c r="AG43" s="57">
        <f t="shared" ref="AG43" si="369">AG42/AF42-1</f>
        <v>0.16135471111846211</v>
      </c>
      <c r="AH43" s="57">
        <f t="shared" ref="AH43" si="370">AH42/AG42-1</f>
        <v>-9.5727345213605153E-2</v>
      </c>
      <c r="AI43" s="57">
        <f t="shared" ref="AI43" si="371">AI42/AH42-1</f>
        <v>0.15008538362224022</v>
      </c>
      <c r="AJ43" s="57">
        <f t="shared" ref="AJ43" si="372">AJ42/AI42-1</f>
        <v>-0.23620004579924359</v>
      </c>
      <c r="AK43" s="57">
        <f t="shared" ref="AK43" si="373">AK42/AJ42-1</f>
        <v>0.26672215656762432</v>
      </c>
      <c r="AL43" s="57">
        <f t="shared" ref="AL43" si="374">AL42/AK42-1</f>
        <v>3.0527536490603469E-2</v>
      </c>
      <c r="AM43" s="57">
        <f t="shared" ref="AM43" si="375">AM42/AL42-1</f>
        <v>2.5622678502798646E-2</v>
      </c>
      <c r="AN43" s="62">
        <f t="shared" ref="AN43" si="376">AN42/AM42-1</f>
        <v>-0.32426026421216914</v>
      </c>
      <c r="AO43" s="57">
        <f t="shared" ref="AO43" si="377">AO42/AN42-1</f>
        <v>0.52326412763819019</v>
      </c>
      <c r="AP43" s="57">
        <f t="shared" ref="AP43" si="378">AP42/AO42-1</f>
        <v>-7.417835008242657E-2</v>
      </c>
      <c r="AQ43" s="57">
        <f t="shared" ref="AQ43" si="379">AQ42/AP42-1</f>
        <v>-0.18223052627527514</v>
      </c>
      <c r="AR43" s="57">
        <f t="shared" ref="AR43" si="380">AR42/AQ42-1</f>
        <v>0.27540972941440267</v>
      </c>
      <c r="AS43" s="57">
        <f t="shared" ref="AS43" si="381">AS42/AR42-1</f>
        <v>5.4977645673428555E-2</v>
      </c>
      <c r="AT43" s="57">
        <f t="shared" ref="AT43" si="382">AT42/AS42-1</f>
        <v>-4.2799815385951012E-3</v>
      </c>
      <c r="AU43" s="57">
        <f t="shared" ref="AU43" si="383">AU42/AT42-1</f>
        <v>9.0045793781325489E-2</v>
      </c>
      <c r="AV43" s="57">
        <f t="shared" ref="AV43" si="384">AV42/AU42-1</f>
        <v>-0.32232142198714353</v>
      </c>
      <c r="AW43" s="57">
        <f t="shared" ref="AW43" si="385">AW42/AV42-1</f>
        <v>4.7331272691982562E-2</v>
      </c>
      <c r="AX43" s="57"/>
      <c r="AY43" s="57"/>
      <c r="AZ43" s="57"/>
      <c r="BA43" s="57"/>
      <c r="BB43" s="57">
        <f t="shared" ref="BB43" si="386">BB42/BA42-1</f>
        <v>-0.26176214845774126</v>
      </c>
      <c r="BC43" s="57">
        <f t="shared" ref="BC43" si="387">BC42/BB42-1</f>
        <v>0.24352292006002263</v>
      </c>
      <c r="BD43" s="57">
        <f t="shared" ref="BD43" si="388">BD42/BC42-1</f>
        <v>-0.34610330873971096</v>
      </c>
      <c r="BE43" s="57">
        <f t="shared" ref="BE43" si="389">BE42/BD42-1</f>
        <v>0.30543815687196529</v>
      </c>
      <c r="BF43" s="57">
        <f t="shared" ref="BF43" si="390">BF42/BE42-1</f>
        <v>9.1938174207662149E-2</v>
      </c>
      <c r="BG43" s="57">
        <f t="shared" ref="BG43" si="391">BG42/BF42-1</f>
        <v>0.18256238215192888</v>
      </c>
      <c r="BH43" s="57">
        <f t="shared" ref="BH43" si="392">BH42/BG42-1</f>
        <v>-0.15988448625688423</v>
      </c>
      <c r="BI43" s="57">
        <f t="shared" ref="BI43" si="393">BI42/BH42-1</f>
        <v>0.15576349898654485</v>
      </c>
      <c r="BJ43" s="57">
        <f t="shared" ref="BJ43" si="394">BJ42/BI42-1</f>
        <v>0.11610307578608614</v>
      </c>
      <c r="BK43" s="57">
        <f t="shared" ref="BK43" si="395">BK42/BJ42-1</f>
        <v>3.6864843527270263E-2</v>
      </c>
      <c r="BL43" s="57">
        <f t="shared" ref="BL43" si="396">BL42/BK42-1</f>
        <v>-0.18702803892412745</v>
      </c>
      <c r="BM43" s="57">
        <f t="shared" ref="BM43" si="397">BM42/BL42-1</f>
        <v>-7.8837532848970993E-3</v>
      </c>
      <c r="BN43" s="57">
        <f t="shared" ref="BN43" si="398">BN42/BM42-1</f>
        <v>6.0005634131203411E-2</v>
      </c>
      <c r="BO43" s="57">
        <f t="shared" ref="BO43" si="399">BO42/BN42-1</f>
        <v>7.825587975222148E-2</v>
      </c>
      <c r="BP43" s="57">
        <f t="shared" ref="BP43" si="400">BP42/BO42-1</f>
        <v>-0.17241496830481895</v>
      </c>
      <c r="BQ43" s="63">
        <f>BQ42/$BP42-1</f>
        <v>-0.45198973218575411</v>
      </c>
      <c r="BR43" s="63">
        <f>BR42/$BP42-1</f>
        <v>-0.44718527364823135</v>
      </c>
      <c r="BS43" s="63">
        <f>BS42/$BP42-1</f>
        <v>-0.26859668629631162</v>
      </c>
    </row>
    <row r="44" spans="1:71" ht="20.100000000000001" customHeight="1" x14ac:dyDescent="0.2">
      <c r="A44" s="22" t="s">
        <v>116</v>
      </c>
      <c r="B44" s="23">
        <v>333.78521562925846</v>
      </c>
      <c r="C44" s="23">
        <v>302.89284662531935</v>
      </c>
      <c r="D44" s="23">
        <v>280.55059671017733</v>
      </c>
      <c r="E44" s="23">
        <v>248.73419222640595</v>
      </c>
      <c r="F44" s="23">
        <v>297.5913730714974</v>
      </c>
      <c r="G44" s="23">
        <v>255.02890010259432</v>
      </c>
      <c r="H44" s="23">
        <v>238.7050927837023</v>
      </c>
      <c r="I44" s="23">
        <v>252.32540337951156</v>
      </c>
      <c r="J44" s="23">
        <v>232.2455372232823</v>
      </c>
      <c r="K44" s="23">
        <v>244.00853345520878</v>
      </c>
      <c r="L44" s="23">
        <v>231.67894823501135</v>
      </c>
      <c r="M44" s="23">
        <v>226.45866814437923</v>
      </c>
      <c r="N44" s="23">
        <v>219.9001020779595</v>
      </c>
      <c r="O44" s="23">
        <v>185.038299681046</v>
      </c>
      <c r="P44" s="23">
        <v>200.8867073528848</v>
      </c>
      <c r="Q44" s="23">
        <v>165.16381209921161</v>
      </c>
      <c r="R44" s="36" t="s">
        <v>27</v>
      </c>
      <c r="S44" s="24">
        <v>148.22170101717353</v>
      </c>
      <c r="T44" s="23">
        <v>144.44111433489331</v>
      </c>
      <c r="U44" s="23">
        <v>139.4408202891735</v>
      </c>
      <c r="V44" s="23">
        <v>134.82052245202809</v>
      </c>
      <c r="W44" s="23">
        <v>146.41029027887612</v>
      </c>
      <c r="X44" s="23">
        <v>141.61245452001671</v>
      </c>
      <c r="Y44" s="23">
        <v>120.00806034588075</v>
      </c>
      <c r="Z44" s="23">
        <v>134.2357180002347</v>
      </c>
      <c r="AA44" s="23">
        <v>119.3176157886126</v>
      </c>
      <c r="AB44" s="23">
        <v>128.24181462595882</v>
      </c>
      <c r="AC44" s="23">
        <v>108.39896513354689</v>
      </c>
      <c r="AD44" s="23">
        <v>131.69417966974436</v>
      </c>
      <c r="AE44" s="23">
        <v>114.39216660289333</v>
      </c>
      <c r="AF44" s="23">
        <v>125.79989771271292</v>
      </c>
      <c r="AG44" s="28">
        <v>114.78252180530167</v>
      </c>
      <c r="AH44" s="28">
        <v>110.88593515496976</v>
      </c>
      <c r="AI44" s="28">
        <v>108.28808998197192</v>
      </c>
      <c r="AJ44" s="28">
        <v>131.53564245076853</v>
      </c>
      <c r="AK44" s="28">
        <v>109.6401073829401</v>
      </c>
      <c r="AL44" s="28">
        <v>122.59757805859033</v>
      </c>
      <c r="AM44" s="28">
        <v>91.8023501417007</v>
      </c>
      <c r="AN44" s="28">
        <v>91.460947652803185</v>
      </c>
      <c r="AO44" s="28">
        <v>108.6100676969814</v>
      </c>
      <c r="AP44" s="28">
        <v>118.11061899451704</v>
      </c>
      <c r="AQ44" s="28">
        <v>82.294322129073407</v>
      </c>
      <c r="AR44" s="28">
        <v>99.4212109023305</v>
      </c>
      <c r="AS44" s="28">
        <v>110.29820099878663</v>
      </c>
      <c r="AT44" s="28">
        <v>110.80090303484663</v>
      </c>
      <c r="AU44" s="28">
        <v>106.08208540692952</v>
      </c>
      <c r="AV44" s="28">
        <v>112.89976777635216</v>
      </c>
      <c r="AW44" s="28">
        <v>89.38174614366541</v>
      </c>
      <c r="AX44" s="36" t="s">
        <v>27</v>
      </c>
      <c r="AY44" s="36" t="s">
        <v>27</v>
      </c>
      <c r="AZ44" s="36" t="s">
        <v>27</v>
      </c>
      <c r="BA44" s="30">
        <v>108.86405429971512</v>
      </c>
      <c r="BB44" s="28">
        <v>143.60872365535803</v>
      </c>
      <c r="BC44" s="28">
        <v>140.62410008468066</v>
      </c>
      <c r="BD44" s="28">
        <v>107.95550502917344</v>
      </c>
      <c r="BE44" s="28">
        <v>132.72895798533324</v>
      </c>
      <c r="BF44" s="28">
        <v>131.22411120000007</v>
      </c>
      <c r="BG44" s="28">
        <v>139.14365999999995</v>
      </c>
      <c r="BH44" s="28">
        <v>127.69794488799859</v>
      </c>
      <c r="BI44" s="28">
        <v>148.61587410000004</v>
      </c>
      <c r="BJ44" s="28">
        <v>144.71746740000003</v>
      </c>
      <c r="BK44" s="28">
        <v>135.32632740000005</v>
      </c>
      <c r="BL44" s="28">
        <v>141.33799999999999</v>
      </c>
      <c r="BM44" s="28">
        <v>133.38999999999999</v>
      </c>
      <c r="BN44" s="28">
        <v>151.4767668669065</v>
      </c>
      <c r="BO44" s="28">
        <v>177.245</v>
      </c>
      <c r="BP44" s="28">
        <v>163.88399999999999</v>
      </c>
      <c r="BQ44" s="28">
        <v>101.48699999999999</v>
      </c>
      <c r="BR44" s="28">
        <v>138.238</v>
      </c>
      <c r="BS44" s="28">
        <v>175.64699999999999</v>
      </c>
    </row>
    <row r="45" spans="1:71" s="56" customFormat="1" ht="20.100000000000001" customHeight="1" x14ac:dyDescent="0.2">
      <c r="A45" s="22"/>
      <c r="B45" s="23"/>
      <c r="C45" s="57">
        <f t="shared" ref="C45" si="401">C44/B44-1</f>
        <v>-9.2551639669540831E-2</v>
      </c>
      <c r="D45" s="57">
        <f t="shared" ref="D45" si="402">D44/C44-1</f>
        <v>-7.3762884016800645E-2</v>
      </c>
      <c r="E45" s="57">
        <f t="shared" ref="E45" si="403">E44/D44-1</f>
        <v>-0.113407010560164</v>
      </c>
      <c r="F45" s="57">
        <f t="shared" ref="F45" si="404">F44/E44-1</f>
        <v>0.19642325973672348</v>
      </c>
      <c r="G45" s="57">
        <f t="shared" ref="G45" si="405">G44/F44-1</f>
        <v>-0.14302320840018867</v>
      </c>
      <c r="H45" s="57">
        <f t="shared" ref="H45" si="406">H44/G44-1</f>
        <v>-6.4007676433240346E-2</v>
      </c>
      <c r="I45" s="57">
        <f t="shared" ref="I45" si="407">I44/H44-1</f>
        <v>5.7059153774113414E-2</v>
      </c>
      <c r="J45" s="57">
        <f t="shared" ref="J45" si="408">J44/I44-1</f>
        <v>-7.9579249204758118E-2</v>
      </c>
      <c r="K45" s="57">
        <f t="shared" ref="K45" si="409">K44/J44-1</f>
        <v>5.0648965627345666E-2</v>
      </c>
      <c r="L45" s="57">
        <f t="shared" ref="L45" si="410">L44/K44-1</f>
        <v>-5.0529319797173011E-2</v>
      </c>
      <c r="M45" s="57">
        <f t="shared" ref="M45" si="411">M44/L44-1</f>
        <v>-2.2532388593791253E-2</v>
      </c>
      <c r="N45" s="57">
        <f t="shared" ref="N45" si="412">N44/M44-1</f>
        <v>-2.8961426472040808E-2</v>
      </c>
      <c r="O45" s="57">
        <f t="shared" ref="O45" si="413">O44/N44-1</f>
        <v>-0.15853472584816819</v>
      </c>
      <c r="P45" s="57">
        <f t="shared" ref="P45" si="414">P44/O44-1</f>
        <v>8.5649336916503227E-2</v>
      </c>
      <c r="Q45" s="57">
        <f t="shared" ref="Q45" si="415">Q44/P44-1</f>
        <v>-0.17782607781470117</v>
      </c>
      <c r="R45" s="61"/>
      <c r="S45" s="58"/>
      <c r="T45" s="57">
        <f t="shared" ref="T45" si="416">T44/S44-1</f>
        <v>-2.5506296691617303E-2</v>
      </c>
      <c r="U45" s="57">
        <f t="shared" ref="U45" si="417">U44/T44-1</f>
        <v>-3.4618218425858993E-2</v>
      </c>
      <c r="V45" s="57">
        <f t="shared" ref="V45" si="418">V44/U44-1</f>
        <v>-3.3134471151014533E-2</v>
      </c>
      <c r="W45" s="57">
        <f t="shared" ref="W45" si="419">W44/V44-1</f>
        <v>8.5964418591923941E-2</v>
      </c>
      <c r="X45" s="57">
        <f t="shared" ref="X45" si="420">X44/W44-1</f>
        <v>-3.2769798828488739E-2</v>
      </c>
      <c r="Y45" s="57">
        <f t="shared" ref="Y45" si="421">Y44/X44-1</f>
        <v>-0.15255998667180937</v>
      </c>
      <c r="Z45" s="57">
        <f t="shared" ref="Z45:AF45" si="422">Z44/Y44-1</f>
        <v>0.11855585044327666</v>
      </c>
      <c r="AA45" s="57">
        <f t="shared" si="422"/>
        <v>-0.11113362697993701</v>
      </c>
      <c r="AB45" s="57">
        <f t="shared" si="422"/>
        <v>7.4793640305021336E-2</v>
      </c>
      <c r="AC45" s="57">
        <f t="shared" si="422"/>
        <v>-0.15472994943410079</v>
      </c>
      <c r="AD45" s="57">
        <f t="shared" si="422"/>
        <v>0.21490255471994502</v>
      </c>
      <c r="AE45" s="57">
        <f t="shared" si="422"/>
        <v>-0.13138024102690105</v>
      </c>
      <c r="AF45" s="57">
        <f t="shared" si="422"/>
        <v>9.9724757809867892E-2</v>
      </c>
      <c r="AG45" s="57">
        <f t="shared" ref="AG45" si="423">AG44/AF44-1</f>
        <v>-8.7578576038046085E-2</v>
      </c>
      <c r="AH45" s="57">
        <f t="shared" ref="AH45" si="424">AH44/AG44-1</f>
        <v>-3.3947560909503682E-2</v>
      </c>
      <c r="AI45" s="57">
        <f t="shared" ref="AI45" si="425">AI44/AH44-1</f>
        <v>-2.3428085531020604E-2</v>
      </c>
      <c r="AJ45" s="57">
        <f t="shared" ref="AJ45" si="426">AJ44/AI44-1</f>
        <v>0.2146824500521427</v>
      </c>
      <c r="AK45" s="57">
        <f t="shared" ref="AK45" si="427">AK44/AJ44-1</f>
        <v>-0.16646085167389935</v>
      </c>
      <c r="AL45" s="57">
        <f t="shared" ref="AL45" si="428">AL44/AK44-1</f>
        <v>0.11818184955249689</v>
      </c>
      <c r="AM45" s="57">
        <f t="shared" ref="AM45" si="429">AM44/AL44-1</f>
        <v>-0.25118952922685267</v>
      </c>
      <c r="AN45" s="57">
        <f t="shared" ref="AN45" si="430">AN44/AM44-1</f>
        <v>-3.7188861545542906E-3</v>
      </c>
      <c r="AO45" s="57">
        <f t="shared" ref="AO45" si="431">AO44/AN44-1</f>
        <v>0.18750210318482985</v>
      </c>
      <c r="AP45" s="57">
        <f t="shared" ref="AP45" si="432">AP44/AO44-1</f>
        <v>8.7473946927663082E-2</v>
      </c>
      <c r="AQ45" s="62">
        <f t="shared" ref="AQ45" si="433">AQ44/AP44-1</f>
        <v>-0.3032436640358841</v>
      </c>
      <c r="AR45" s="57">
        <f t="shared" ref="AR45" si="434">AR44/AQ44-1</f>
        <v>0.20811750227913239</v>
      </c>
      <c r="AS45" s="57">
        <f t="shared" ref="AS45" si="435">AS44/AR44-1</f>
        <v>0.109403114262423</v>
      </c>
      <c r="AT45" s="57">
        <f t="shared" ref="AT45" si="436">AT44/AS44-1</f>
        <v>4.5576630580359545E-3</v>
      </c>
      <c r="AU45" s="57">
        <f t="shared" ref="AU45" si="437">AU44/AT44-1</f>
        <v>-4.2588259650131577E-2</v>
      </c>
      <c r="AV45" s="57">
        <f t="shared" ref="AV45" si="438">AV44/AU44-1</f>
        <v>6.4267989672998072E-2</v>
      </c>
      <c r="AW45" s="57">
        <f t="shared" ref="AW45" si="439">AW44/AV44-1</f>
        <v>-0.20830885745730299</v>
      </c>
      <c r="AX45" s="57"/>
      <c r="AY45" s="57"/>
      <c r="AZ45" s="57"/>
      <c r="BA45" s="57"/>
      <c r="BB45" s="57">
        <f t="shared" ref="BB45" si="440">BB44/BA44-1</f>
        <v>0.31915648906467231</v>
      </c>
      <c r="BC45" s="57">
        <f t="shared" ref="BC45" si="441">BC44/BB44-1</f>
        <v>-2.0783024141625805E-2</v>
      </c>
      <c r="BD45" s="57">
        <f t="shared" ref="BD45" si="442">BD44/BC44-1</f>
        <v>-0.23231149593728906</v>
      </c>
      <c r="BE45" s="57">
        <f t="shared" ref="BE45" si="443">BE44/BD44-1</f>
        <v>0.22947836656838505</v>
      </c>
      <c r="BF45" s="57">
        <f t="shared" ref="BF45" si="444">BF44/BE44-1</f>
        <v>-1.1337742781793447E-2</v>
      </c>
      <c r="BG45" s="57">
        <f t="shared" ref="BG45" si="445">BG44/BF44-1</f>
        <v>6.0351323606449236E-2</v>
      </c>
      <c r="BH45" s="57">
        <f t="shared" ref="BH45" si="446">BH44/BG44-1</f>
        <v>-8.2258258205953227E-2</v>
      </c>
      <c r="BI45" s="57">
        <f t="shared" ref="BI45" si="447">BI44/BH44-1</f>
        <v>0.16380787670739849</v>
      </c>
      <c r="BJ45" s="57">
        <f t="shared" ref="BJ45" si="448">BJ44/BI44-1</f>
        <v>-2.6231428665398626E-2</v>
      </c>
      <c r="BK45" s="57">
        <f t="shared" ref="BK45" si="449">BK44/BJ44-1</f>
        <v>-6.4892926670992668E-2</v>
      </c>
      <c r="BL45" s="57">
        <f t="shared" ref="BL45" si="450">BL44/BK44-1</f>
        <v>4.4423525824583532E-2</v>
      </c>
      <c r="BM45" s="57">
        <f t="shared" ref="BM45" si="451">BM44/BL44-1</f>
        <v>-5.6233992273840072E-2</v>
      </c>
      <c r="BN45" s="57">
        <f t="shared" ref="BN45" si="452">BN44/BM44-1</f>
        <v>0.1355931244239188</v>
      </c>
      <c r="BO45" s="57">
        <f t="shared" ref="BO45" si="453">BO44/BN44-1</f>
        <v>0.17011343499121878</v>
      </c>
      <c r="BP45" s="57">
        <f t="shared" ref="BP45" si="454">BP44/BO44-1</f>
        <v>-7.5381534034810627E-2</v>
      </c>
      <c r="BQ45" s="63">
        <f>BQ44/$BP44-1</f>
        <v>-0.38073881525957387</v>
      </c>
      <c r="BR45" s="63">
        <f>BR44/$BP44-1</f>
        <v>-0.15648873593517354</v>
      </c>
      <c r="BS45" s="62">
        <f>BS44/$BP44-1</f>
        <v>7.1776378414000197E-2</v>
      </c>
    </row>
    <row r="46" spans="1:71" ht="20.100000000000001" customHeight="1" x14ac:dyDescent="0.2">
      <c r="A46" s="22" t="s">
        <v>117</v>
      </c>
      <c r="B46" s="23">
        <v>631.11618081390918</v>
      </c>
      <c r="C46" s="23">
        <v>598.95968812049057</v>
      </c>
      <c r="D46" s="23">
        <v>580.38268928925038</v>
      </c>
      <c r="E46" s="23">
        <v>602.34193846476683</v>
      </c>
      <c r="F46" s="23">
        <v>618.37118044552926</v>
      </c>
      <c r="G46" s="23">
        <v>637.80523548408905</v>
      </c>
      <c r="H46" s="23">
        <v>663.9301779997254</v>
      </c>
      <c r="I46" s="23">
        <v>676.00185554538825</v>
      </c>
      <c r="J46" s="23">
        <v>650.15080012171939</v>
      </c>
      <c r="K46" s="23">
        <v>699.85362840629341</v>
      </c>
      <c r="L46" s="23">
        <v>692.43651824759888</v>
      </c>
      <c r="M46" s="23">
        <v>677.63186931231985</v>
      </c>
      <c r="N46" s="23">
        <v>706.08132141461965</v>
      </c>
      <c r="O46" s="23">
        <v>718.91994316149157</v>
      </c>
      <c r="P46" s="23">
        <v>702.86070836145223</v>
      </c>
      <c r="Q46" s="23">
        <v>707.33439940686071</v>
      </c>
      <c r="R46" s="36" t="s">
        <v>27</v>
      </c>
      <c r="S46" s="24">
        <v>700.41117921491434</v>
      </c>
      <c r="T46" s="23">
        <v>675.18371277450512</v>
      </c>
      <c r="U46" s="23">
        <v>651.97222944362386</v>
      </c>
      <c r="V46" s="23">
        <v>691.07185445210916</v>
      </c>
      <c r="W46" s="23">
        <v>667.13375809080821</v>
      </c>
      <c r="X46" s="23">
        <v>691.14893086374286</v>
      </c>
      <c r="Y46" s="23">
        <v>690.33396321237592</v>
      </c>
      <c r="Z46" s="23">
        <v>675.04558840149321</v>
      </c>
      <c r="AA46" s="23">
        <v>655.18084052746428</v>
      </c>
      <c r="AB46" s="23">
        <v>645.27635074036948</v>
      </c>
      <c r="AC46" s="23">
        <v>687.92929372485185</v>
      </c>
      <c r="AD46" s="23">
        <v>724.71526417692951</v>
      </c>
      <c r="AE46" s="23">
        <v>615.57651767040318</v>
      </c>
      <c r="AF46" s="23">
        <v>620.62073930827444</v>
      </c>
      <c r="AG46" s="28">
        <v>668.73415806541448</v>
      </c>
      <c r="AH46" s="28">
        <v>688.90009674853081</v>
      </c>
      <c r="AI46" s="28">
        <v>673.28272313926016</v>
      </c>
      <c r="AJ46" s="28">
        <v>654.25761746520311</v>
      </c>
      <c r="AK46" s="28">
        <v>695.73054458049785</v>
      </c>
      <c r="AL46" s="28">
        <v>707.41663300671905</v>
      </c>
      <c r="AM46" s="28">
        <v>673.4266808616843</v>
      </c>
      <c r="AN46" s="28">
        <v>626.12759699526987</v>
      </c>
      <c r="AO46" s="28">
        <v>670.25279693119069</v>
      </c>
      <c r="AP46" s="28">
        <v>648.16503550765583</v>
      </c>
      <c r="AQ46" s="28">
        <v>637.43470674773209</v>
      </c>
      <c r="AR46" s="28">
        <v>594.50399200339257</v>
      </c>
      <c r="AS46" s="28">
        <v>638.94509126066328</v>
      </c>
      <c r="AT46" s="28">
        <v>633.14858983442377</v>
      </c>
      <c r="AU46" s="28">
        <v>608.72160416710381</v>
      </c>
      <c r="AV46" s="28">
        <v>596.27308507699934</v>
      </c>
      <c r="AW46" s="28">
        <v>657.48306099712443</v>
      </c>
      <c r="AX46" s="36" t="s">
        <v>27</v>
      </c>
      <c r="AY46" s="36" t="s">
        <v>27</v>
      </c>
      <c r="AZ46" s="36" t="s">
        <v>27</v>
      </c>
      <c r="BA46" s="30">
        <v>632.93320152952856</v>
      </c>
      <c r="BB46" s="28">
        <v>665.47553123887303</v>
      </c>
      <c r="BC46" s="28">
        <v>672.61644065763426</v>
      </c>
      <c r="BD46" s="28">
        <v>596.02045342759698</v>
      </c>
      <c r="BE46" s="28">
        <v>626.63502355337403</v>
      </c>
      <c r="BF46" s="28">
        <v>655.49833440000032</v>
      </c>
      <c r="BG46" s="28">
        <v>665.44051999999976</v>
      </c>
      <c r="BH46" s="28">
        <v>634.91682652142208</v>
      </c>
      <c r="BI46" s="28">
        <v>638.48200770000017</v>
      </c>
      <c r="BJ46" s="28">
        <v>681.19896240000014</v>
      </c>
      <c r="BK46" s="28">
        <v>695.04231060000006</v>
      </c>
      <c r="BL46" s="28">
        <v>704.44100000000003</v>
      </c>
      <c r="BM46" s="28">
        <v>673.61099999999999</v>
      </c>
      <c r="BN46" s="28">
        <v>641.3204098464621</v>
      </c>
      <c r="BO46" s="28">
        <v>669.39800000000002</v>
      </c>
      <c r="BP46" s="28">
        <v>673.67399999999998</v>
      </c>
      <c r="BQ46" s="28">
        <v>336.4</v>
      </c>
      <c r="BR46" s="28">
        <v>435.52100000000002</v>
      </c>
      <c r="BS46" s="28">
        <v>502.47800000000001</v>
      </c>
    </row>
    <row r="47" spans="1:71" s="56" customFormat="1" ht="20.100000000000001" customHeight="1" x14ac:dyDescent="0.2">
      <c r="A47" s="22"/>
      <c r="B47" s="23"/>
      <c r="C47" s="57">
        <f t="shared" ref="C47" si="455">C46/B46-1</f>
        <v>-5.0951779832278277E-2</v>
      </c>
      <c r="D47" s="57">
        <f t="shared" ref="D47" si="456">D46/C46-1</f>
        <v>-3.1015440938160665E-2</v>
      </c>
      <c r="E47" s="57">
        <f t="shared" ref="E47" si="457">E46/D46-1</f>
        <v>3.7835810028049366E-2</v>
      </c>
      <c r="F47" s="57">
        <f t="shared" ref="F47" si="458">F46/E46-1</f>
        <v>2.6611532349245515E-2</v>
      </c>
      <c r="G47" s="57">
        <f t="shared" ref="G47" si="459">G46/F46-1</f>
        <v>3.1427814964723577E-2</v>
      </c>
      <c r="H47" s="57">
        <f t="shared" ref="H47" si="460">H46/G46-1</f>
        <v>4.0960689975847675E-2</v>
      </c>
      <c r="I47" s="57">
        <f t="shared" ref="I47" si="461">I46/H46-1</f>
        <v>1.8182149186277696E-2</v>
      </c>
      <c r="J47" s="57">
        <f t="shared" ref="J47" si="462">J46/I46-1</f>
        <v>-3.8241101280428569E-2</v>
      </c>
      <c r="K47" s="57">
        <f t="shared" ref="K47" si="463">K46/J46-1</f>
        <v>7.644815368260538E-2</v>
      </c>
      <c r="L47" s="57">
        <f t="shared" ref="L47" si="464">L46/K46-1</f>
        <v>-1.0598087739553175E-2</v>
      </c>
      <c r="M47" s="57">
        <f t="shared" ref="M47" si="465">M46/L46-1</f>
        <v>-2.1380514379493287E-2</v>
      </c>
      <c r="N47" s="57">
        <f t="shared" ref="N47" si="466">N46/M46-1</f>
        <v>4.1983639481376622E-2</v>
      </c>
      <c r="O47" s="57">
        <f t="shared" ref="O47" si="467">O46/N46-1</f>
        <v>1.8182922218010322E-2</v>
      </c>
      <c r="P47" s="57">
        <f t="shared" ref="P47" si="468">P46/O46-1</f>
        <v>-2.233800154356258E-2</v>
      </c>
      <c r="Q47" s="57">
        <f t="shared" ref="Q47" si="469">Q46/P46-1</f>
        <v>6.3649752962258166E-3</v>
      </c>
      <c r="R47" s="61"/>
      <c r="S47" s="58"/>
      <c r="T47" s="57">
        <f t="shared" ref="T47" si="470">T46/S46-1</f>
        <v>-3.6018080791752172E-2</v>
      </c>
      <c r="U47" s="57">
        <f t="shared" ref="U47" si="471">U46/T46-1</f>
        <v>-3.437802614565344E-2</v>
      </c>
      <c r="V47" s="57">
        <f t="shared" ref="V47" si="472">V46/U46-1</f>
        <v>5.9971304363457101E-2</v>
      </c>
      <c r="W47" s="57">
        <f t="shared" ref="W47" si="473">W46/V46-1</f>
        <v>-3.463908449907771E-2</v>
      </c>
      <c r="X47" s="57">
        <f t="shared" ref="X47" si="474">X46/W46-1</f>
        <v>3.599753794750371E-2</v>
      </c>
      <c r="Y47" s="57">
        <f t="shared" ref="Y47" si="475">Y46/X46-1</f>
        <v>-1.1791491167445489E-3</v>
      </c>
      <c r="Z47" s="57">
        <f t="shared" ref="Z47:AF47" si="476">Z46/Y46-1</f>
        <v>-2.2146346008735107E-2</v>
      </c>
      <c r="AA47" s="57">
        <f t="shared" si="476"/>
        <v>-2.9427268639839022E-2</v>
      </c>
      <c r="AB47" s="57">
        <f t="shared" si="476"/>
        <v>-1.5117184713644871E-2</v>
      </c>
      <c r="AC47" s="57">
        <f t="shared" si="476"/>
        <v>6.6100273062144277E-2</v>
      </c>
      <c r="AD47" s="57">
        <f t="shared" si="476"/>
        <v>5.3473475817401139E-2</v>
      </c>
      <c r="AE47" s="62">
        <f t="shared" si="476"/>
        <v>-0.15059534675384123</v>
      </c>
      <c r="AF47" s="57">
        <f t="shared" si="476"/>
        <v>8.1943048395685114E-3</v>
      </c>
      <c r="AG47" s="57">
        <f t="shared" ref="AG47" si="477">AG46/AF46-1</f>
        <v>7.7524671203810902E-2</v>
      </c>
      <c r="AH47" s="57">
        <f t="shared" ref="AH47" si="478">AH46/AG46-1</f>
        <v>3.0155389013557299E-2</v>
      </c>
      <c r="AI47" s="57">
        <f t="shared" ref="AI47" si="479">AI46/AH46-1</f>
        <v>-2.2670012216548519E-2</v>
      </c>
      <c r="AJ47" s="57">
        <f t="shared" ref="AJ47" si="480">AJ46/AI46-1</f>
        <v>-2.8257231353494783E-2</v>
      </c>
      <c r="AK47" s="57">
        <f t="shared" ref="AK47" si="481">AK46/AJ46-1</f>
        <v>6.3389291936674308E-2</v>
      </c>
      <c r="AL47" s="57">
        <f t="shared" ref="AL47" si="482">AL46/AK46-1</f>
        <v>1.679685981484047E-2</v>
      </c>
      <c r="AM47" s="57">
        <f t="shared" ref="AM47" si="483">AM46/AL46-1</f>
        <v>-4.8047996836839912E-2</v>
      </c>
      <c r="AN47" s="57">
        <f t="shared" ref="AN47" si="484">AN46/AM46-1</f>
        <v>-7.0236426934989882E-2</v>
      </c>
      <c r="AO47" s="57">
        <f t="shared" ref="AO47" si="485">AO46/AN46-1</f>
        <v>7.0473175352234518E-2</v>
      </c>
      <c r="AP47" s="57">
        <f t="shared" ref="AP47" si="486">AP46/AO46-1</f>
        <v>-3.2954374117744156E-2</v>
      </c>
      <c r="AQ47" s="57">
        <f t="shared" ref="AQ47" si="487">AQ46/AP46-1</f>
        <v>-1.6554933037261965E-2</v>
      </c>
      <c r="AR47" s="57">
        <f t="shared" ref="AR47" si="488">AR46/AQ46-1</f>
        <v>-6.734919559585506E-2</v>
      </c>
      <c r="AS47" s="57">
        <f t="shared" ref="AS47" si="489">AS46/AR46-1</f>
        <v>7.4753239431598395E-2</v>
      </c>
      <c r="AT47" s="57">
        <f t="shared" ref="AT47" si="490">AT46/AS46-1</f>
        <v>-9.071986788102171E-3</v>
      </c>
      <c r="AU47" s="57">
        <f t="shared" ref="AU47" si="491">AU46/AT46-1</f>
        <v>-3.8580178586053449E-2</v>
      </c>
      <c r="AV47" s="57">
        <f t="shared" ref="AV47" si="492">AV46/AU46-1</f>
        <v>-2.045026659951954E-2</v>
      </c>
      <c r="AW47" s="57">
        <f t="shared" ref="AW47" si="493">AW46/AV46-1</f>
        <v>0.10265426606035843</v>
      </c>
      <c r="AX47" s="57"/>
      <c r="AY47" s="57"/>
      <c r="AZ47" s="57"/>
      <c r="BA47" s="57"/>
      <c r="BB47" s="57">
        <f t="shared" ref="BB47" si="494">BB46/BA46-1</f>
        <v>5.141510925750703E-2</v>
      </c>
      <c r="BC47" s="57">
        <f t="shared" ref="BC47" si="495">BC46/BB46-1</f>
        <v>1.0730536411259761E-2</v>
      </c>
      <c r="BD47" s="57">
        <f t="shared" ref="BD47" si="496">BD46/BC46-1</f>
        <v>-0.11387766132381094</v>
      </c>
      <c r="BE47" s="57">
        <f t="shared" ref="BE47" si="497">BE46/BD46-1</f>
        <v>5.1364965664716156E-2</v>
      </c>
      <c r="BF47" s="57">
        <f t="shared" ref="BF47" si="498">BF46/BE46-1</f>
        <v>4.6060800564505788E-2</v>
      </c>
      <c r="BG47" s="57">
        <f t="shared" ref="BG47" si="499">BG46/BF46-1</f>
        <v>1.5167369737254743E-2</v>
      </c>
      <c r="BH47" s="57">
        <f t="shared" ref="BH47" si="500">BH46/BG46-1</f>
        <v>-4.58699050646596E-2</v>
      </c>
      <c r="BI47" s="57">
        <f t="shared" ref="BI47" si="501">BI46/BH46-1</f>
        <v>5.6151940374788989E-3</v>
      </c>
      <c r="BJ47" s="57">
        <f t="shared" ref="BJ47" si="502">BJ46/BI46-1</f>
        <v>6.6903928669625357E-2</v>
      </c>
      <c r="BK47" s="57">
        <f t="shared" ref="BK47" si="503">BK46/BJ46-1</f>
        <v>2.0322033596802624E-2</v>
      </c>
      <c r="BL47" s="57">
        <f t="shared" ref="BL47" si="504">BL46/BK46-1</f>
        <v>1.3522470872149528E-2</v>
      </c>
      <c r="BM47" s="57">
        <f t="shared" ref="BM47" si="505">BM46/BL46-1</f>
        <v>-4.3765198221000778E-2</v>
      </c>
      <c r="BN47" s="57">
        <f t="shared" ref="BN47" si="506">BN46/BM46-1</f>
        <v>-4.7936554114374474E-2</v>
      </c>
      <c r="BO47" s="57">
        <f t="shared" ref="BO47" si="507">BO46/BN46-1</f>
        <v>4.3780908454574163E-2</v>
      </c>
      <c r="BP47" s="57">
        <f t="shared" ref="BP47" si="508">BP46/BO46-1</f>
        <v>6.387829064323336E-3</v>
      </c>
      <c r="BQ47" s="63">
        <f>BQ46/$BP46-1</f>
        <v>-0.50064868170658205</v>
      </c>
      <c r="BR47" s="63">
        <f>BR46/$BP46-1</f>
        <v>-0.3535137173172781</v>
      </c>
      <c r="BS47" s="63">
        <f>BS46/$BP46-1</f>
        <v>-0.25412291405041609</v>
      </c>
    </row>
    <row r="48" spans="1:71" ht="20.100000000000001" customHeight="1" x14ac:dyDescent="0.2">
      <c r="A48" s="37" t="s">
        <v>183</v>
      </c>
      <c r="B48" s="23">
        <v>356.8801266436455</v>
      </c>
      <c r="C48" s="23">
        <v>446.19084785953993</v>
      </c>
      <c r="D48" s="23">
        <v>434.6337043464261</v>
      </c>
      <c r="E48" s="23">
        <v>404.53572726547429</v>
      </c>
      <c r="F48" s="23">
        <v>359.82299670844645</v>
      </c>
      <c r="G48" s="23">
        <v>405.62012820197737</v>
      </c>
      <c r="H48" s="23">
        <v>378.86790287277103</v>
      </c>
      <c r="I48" s="23">
        <v>407.64486030268017</v>
      </c>
      <c r="J48" s="23">
        <v>380.37098203372938</v>
      </c>
      <c r="K48" s="23">
        <v>354.28110829931813</v>
      </c>
      <c r="L48" s="23">
        <v>352.48915274289175</v>
      </c>
      <c r="M48" s="23">
        <v>367.95816648233546</v>
      </c>
      <c r="N48" s="23">
        <v>306.34925922334276</v>
      </c>
      <c r="O48" s="23">
        <v>300.53971346827819</v>
      </c>
      <c r="P48" s="23">
        <v>280.44041000738326</v>
      </c>
      <c r="Q48" s="23">
        <v>305.15569683206678</v>
      </c>
      <c r="R48" s="36" t="s">
        <v>27</v>
      </c>
      <c r="S48" s="24">
        <v>255.66284432098405</v>
      </c>
      <c r="T48" s="23">
        <v>232.73026677149184</v>
      </c>
      <c r="U48" s="23">
        <v>214.91562307650992</v>
      </c>
      <c r="V48" s="23">
        <v>243.86333335448518</v>
      </c>
      <c r="W48" s="23">
        <v>245.89130490726245</v>
      </c>
      <c r="X48" s="23">
        <v>218.77378517219711</v>
      </c>
      <c r="Y48" s="23">
        <v>214.37369500636262</v>
      </c>
      <c r="Z48" s="23">
        <v>258.13259319065082</v>
      </c>
      <c r="AA48" s="23">
        <v>259.11046170746619</v>
      </c>
      <c r="AB48" s="23">
        <v>233.14632165613014</v>
      </c>
      <c r="AC48" s="23">
        <v>272.0636170734744</v>
      </c>
      <c r="AD48" s="23">
        <v>271.72962131538736</v>
      </c>
      <c r="AE48" s="23">
        <v>259.85009630430199</v>
      </c>
      <c r="AF48" s="23">
        <v>244.80248266734955</v>
      </c>
      <c r="AG48" s="28">
        <v>250.23425267096761</v>
      </c>
      <c r="AH48" s="28">
        <v>310.08778349623941</v>
      </c>
      <c r="AI48" s="28">
        <v>282.02528576353217</v>
      </c>
      <c r="AJ48" s="28">
        <v>248.97366527383835</v>
      </c>
      <c r="AK48" s="28">
        <v>260.31646769095022</v>
      </c>
      <c r="AL48" s="28">
        <v>277.74453153696737</v>
      </c>
      <c r="AM48" s="28">
        <v>236.67727515388148</v>
      </c>
      <c r="AN48" s="28">
        <v>250.78181160854416</v>
      </c>
      <c r="AO48" s="28">
        <v>269.63300958221566</v>
      </c>
      <c r="AP48" s="28">
        <v>292.62048025412184</v>
      </c>
      <c r="AQ48" s="28">
        <v>284.55399916385016</v>
      </c>
      <c r="AR48" s="28">
        <v>286.45329185995013</v>
      </c>
      <c r="AS48" s="28">
        <v>287.38791787768554</v>
      </c>
      <c r="AT48" s="28">
        <v>256.6609570331313</v>
      </c>
      <c r="AU48" s="28">
        <v>290.95106583842738</v>
      </c>
      <c r="AV48" s="28">
        <v>292.96954183154088</v>
      </c>
      <c r="AW48" s="28">
        <v>285.86999304619735</v>
      </c>
      <c r="AX48" s="36" t="s">
        <v>27</v>
      </c>
      <c r="AY48" s="36" t="s">
        <v>27</v>
      </c>
      <c r="AZ48" s="36" t="s">
        <v>27</v>
      </c>
      <c r="BA48" s="30">
        <v>196.19957437930861</v>
      </c>
      <c r="BB48" s="28">
        <v>226.27339907363756</v>
      </c>
      <c r="BC48" s="28">
        <v>231.75171489685118</v>
      </c>
      <c r="BD48" s="28">
        <v>214.73542531452352</v>
      </c>
      <c r="BE48" s="28">
        <v>211.29400990107501</v>
      </c>
      <c r="BF48" s="28">
        <v>258.74620590000012</v>
      </c>
      <c r="BG48" s="28">
        <v>307.88031999999993</v>
      </c>
      <c r="BH48" s="28">
        <v>255.03167192723427</v>
      </c>
      <c r="BI48" s="28">
        <v>295.79769020000003</v>
      </c>
      <c r="BJ48" s="28">
        <v>262.98221400000011</v>
      </c>
      <c r="BK48" s="28">
        <v>326.37543840000006</v>
      </c>
      <c r="BL48" s="28">
        <v>295.05900000000003</v>
      </c>
      <c r="BM48" s="28">
        <v>279.69600000000003</v>
      </c>
      <c r="BN48" s="28">
        <v>277.20935294603504</v>
      </c>
      <c r="BO48" s="28">
        <v>326.19</v>
      </c>
      <c r="BP48" s="28">
        <v>319.86200000000002</v>
      </c>
      <c r="BQ48" s="28">
        <v>195.21799999999999</v>
      </c>
      <c r="BR48" s="28">
        <v>231.54499999999999</v>
      </c>
      <c r="BS48" s="28">
        <v>223.23699999999999</v>
      </c>
    </row>
    <row r="49" spans="1:71" s="56" customFormat="1" ht="20.100000000000001" customHeight="1" x14ac:dyDescent="0.2">
      <c r="A49" s="37"/>
      <c r="B49" s="23"/>
      <c r="C49" s="57">
        <f t="shared" ref="C49" si="509">C48/B48-1</f>
        <v>0.25025411769446504</v>
      </c>
      <c r="D49" s="57">
        <f t="shared" ref="D49" si="510">D48/C48-1</f>
        <v>-2.5901794195366312E-2</v>
      </c>
      <c r="E49" s="57">
        <f t="shared" ref="E49" si="511">E48/D48-1</f>
        <v>-6.9249063705750125E-2</v>
      </c>
      <c r="F49" s="57">
        <f t="shared" ref="F49" si="512">F48/E48-1</f>
        <v>-0.11052850846888329</v>
      </c>
      <c r="G49" s="57">
        <f t="shared" ref="G49" si="513">G48/F48-1</f>
        <v>0.12727683308868376</v>
      </c>
      <c r="H49" s="57">
        <f t="shared" ref="H49" si="514">H48/G48-1</f>
        <v>-6.5953890029552875E-2</v>
      </c>
      <c r="I49" s="57">
        <f t="shared" ref="I49" si="515">I48/H48-1</f>
        <v>7.5955121063852271E-2</v>
      </c>
      <c r="J49" s="57">
        <f t="shared" ref="J49" si="516">J48/I48-1</f>
        <v>-6.6905978524296028E-2</v>
      </c>
      <c r="K49" s="57">
        <f t="shared" ref="K49" si="517">K48/J48-1</f>
        <v>-6.8590599616502046E-2</v>
      </c>
      <c r="L49" s="57">
        <f t="shared" ref="L49" si="518">L48/K48-1</f>
        <v>-5.0580048285059354E-3</v>
      </c>
      <c r="M49" s="57">
        <f t="shared" ref="M49" si="519">M48/L48-1</f>
        <v>4.3885077367832981E-2</v>
      </c>
      <c r="N49" s="57">
        <f t="shared" ref="N49" si="520">N48/M48-1</f>
        <v>-0.16743454248609635</v>
      </c>
      <c r="O49" s="57">
        <f t="shared" ref="O49" si="521">O48/N48-1</f>
        <v>-1.8963798932606912E-2</v>
      </c>
      <c r="P49" s="57">
        <f t="shared" ref="P49" si="522">P48/O48-1</f>
        <v>-6.6877362824851461E-2</v>
      </c>
      <c r="Q49" s="57">
        <f t="shared" ref="Q49" si="523">Q48/P48-1</f>
        <v>8.8130262054718855E-2</v>
      </c>
      <c r="R49" s="61"/>
      <c r="S49" s="58"/>
      <c r="T49" s="57">
        <f t="shared" ref="T49" si="524">T48/S48-1</f>
        <v>-8.9698515286407488E-2</v>
      </c>
      <c r="U49" s="57">
        <f t="shared" ref="U49" si="525">U48/T48-1</f>
        <v>-7.6546312355983304E-2</v>
      </c>
      <c r="V49" s="57">
        <f t="shared" ref="V49" si="526">V48/U48-1</f>
        <v>0.13469337344391152</v>
      </c>
      <c r="W49" s="57">
        <f t="shared" ref="W49" si="527">W48/V48-1</f>
        <v>8.3160167003433205E-3</v>
      </c>
      <c r="X49" s="57">
        <f t="shared" ref="X49" si="528">X48/W48-1</f>
        <v>-0.11028254840199692</v>
      </c>
      <c r="Y49" s="57">
        <f t="shared" ref="Y49" si="529">Y48/X48-1</f>
        <v>-2.0112511023069657E-2</v>
      </c>
      <c r="Z49" s="57">
        <f t="shared" ref="Z49:AF49" si="530">Z48/Y48-1</f>
        <v>0.20412438281193701</v>
      </c>
      <c r="AA49" s="57">
        <f t="shared" si="530"/>
        <v>3.788241169890183E-3</v>
      </c>
      <c r="AB49" s="57">
        <f t="shared" si="530"/>
        <v>-0.10020490828598561</v>
      </c>
      <c r="AC49" s="57">
        <f t="shared" si="530"/>
        <v>0.16692219350019921</v>
      </c>
      <c r="AD49" s="57">
        <f t="shared" si="530"/>
        <v>-1.2276384533873586E-3</v>
      </c>
      <c r="AE49" s="57">
        <f t="shared" si="530"/>
        <v>-4.3718181895588071E-2</v>
      </c>
      <c r="AF49" s="57">
        <f t="shared" si="530"/>
        <v>-5.790882455294788E-2</v>
      </c>
      <c r="AG49" s="57">
        <f t="shared" ref="AG49" si="531">AG48/AF48-1</f>
        <v>2.218837792996986E-2</v>
      </c>
      <c r="AH49" s="57">
        <f t="shared" ref="AH49" si="532">AH48/AG48-1</f>
        <v>0.2391899997158784</v>
      </c>
      <c r="AI49" s="57">
        <f t="shared" ref="AI49" si="533">AI48/AH48-1</f>
        <v>-9.0498559524991973E-2</v>
      </c>
      <c r="AJ49" s="57">
        <f t="shared" ref="AJ49" si="534">AJ48/AI48-1</f>
        <v>-0.11719381969674303</v>
      </c>
      <c r="AK49" s="57">
        <f t="shared" ref="AK49" si="535">AK48/AJ48-1</f>
        <v>4.5558241690486723E-2</v>
      </c>
      <c r="AL49" s="57">
        <f t="shared" ref="AL49" si="536">AL48/AK48-1</f>
        <v>6.694952494018902E-2</v>
      </c>
      <c r="AM49" s="57">
        <f t="shared" ref="AM49" si="537">AM48/AL48-1</f>
        <v>-0.1478598197985399</v>
      </c>
      <c r="AN49" s="57">
        <f t="shared" ref="AN49" si="538">AN48/AM48-1</f>
        <v>5.959396163189834E-2</v>
      </c>
      <c r="AO49" s="57">
        <f t="shared" ref="AO49" si="539">AO48/AN48-1</f>
        <v>7.5169717663165825E-2</v>
      </c>
      <c r="AP49" s="57">
        <f t="shared" ref="AP49" si="540">AP48/AO48-1</f>
        <v>8.5254660427238615E-2</v>
      </c>
      <c r="AQ49" s="57">
        <f t="shared" ref="AQ49" si="541">AQ48/AP48-1</f>
        <v>-2.7566358592763129E-2</v>
      </c>
      <c r="AR49" s="57">
        <f t="shared" ref="AR49" si="542">AR48/AQ48-1</f>
        <v>6.6746301288365117E-3</v>
      </c>
      <c r="AS49" s="57">
        <f t="shared" ref="AS49" si="543">AS48/AR48-1</f>
        <v>3.262751884144377E-3</v>
      </c>
      <c r="AT49" s="57">
        <f t="shared" ref="AT49" si="544">AT48/AS48-1</f>
        <v>-0.10691806764692124</v>
      </c>
      <c r="AU49" s="57">
        <f t="shared" ref="AU49" si="545">AU48/AT48-1</f>
        <v>0.13360079850738549</v>
      </c>
      <c r="AV49" s="57">
        <f t="shared" ref="AV49" si="546">AV48/AU48-1</f>
        <v>6.9375102211668427E-3</v>
      </c>
      <c r="AW49" s="57">
        <f t="shared" ref="AW49" si="547">AW48/AV48-1</f>
        <v>-2.423306102388556E-2</v>
      </c>
      <c r="AX49" s="57"/>
      <c r="AY49" s="57"/>
      <c r="AZ49" s="57"/>
      <c r="BA49" s="57"/>
      <c r="BB49" s="57">
        <f t="shared" ref="BB49" si="548">BB48/BA48-1</f>
        <v>0.15328180394615853</v>
      </c>
      <c r="BC49" s="57">
        <f t="shared" ref="BC49" si="549">BC48/BB48-1</f>
        <v>2.4211046661436253E-2</v>
      </c>
      <c r="BD49" s="57">
        <f t="shared" ref="BD49" si="550">BD48/BC48-1</f>
        <v>-7.3424654440642723E-2</v>
      </c>
      <c r="BE49" s="57">
        <f t="shared" ref="BE49" si="551">BE48/BD48-1</f>
        <v>-1.6026304967649674E-2</v>
      </c>
      <c r="BF49" s="57">
        <f t="shared" ref="BF49" si="552">BF48/BE48-1</f>
        <v>0.22457899313445551</v>
      </c>
      <c r="BG49" s="57">
        <f t="shared" ref="BG49" si="553">BG48/BF48-1</f>
        <v>0.18989308047666253</v>
      </c>
      <c r="BH49" s="62">
        <f t="shared" ref="BH49" si="554">BH48/BG48-1</f>
        <v>-0.17165321925339583</v>
      </c>
      <c r="BI49" s="57">
        <f t="shared" ref="BI49" si="555">BI48/BH48-1</f>
        <v>0.159846884760247</v>
      </c>
      <c r="BJ49" s="57">
        <f t="shared" ref="BJ49" si="556">BJ48/BI48-1</f>
        <v>-0.11093891969816305</v>
      </c>
      <c r="BK49" s="57">
        <f t="shared" ref="BK49" si="557">BK48/BJ48-1</f>
        <v>0.24105517797488729</v>
      </c>
      <c r="BL49" s="57">
        <f t="shared" ref="BL49" si="558">BL48/BK48-1</f>
        <v>-9.5952190990607478E-2</v>
      </c>
      <c r="BM49" s="57">
        <f t="shared" ref="BM49" si="559">BM48/BL48-1</f>
        <v>-5.206755259117668E-2</v>
      </c>
      <c r="BN49" s="57">
        <f t="shared" ref="BN49" si="560">BN48/BM48-1</f>
        <v>-8.890534916355608E-3</v>
      </c>
      <c r="BO49" s="57">
        <f t="shared" ref="BO49" si="561">BO48/BN48-1</f>
        <v>0.17669189922138062</v>
      </c>
      <c r="BP49" s="57">
        <f t="shared" ref="BP49" si="562">BP48/BO48-1</f>
        <v>-1.9399736349980046E-2</v>
      </c>
      <c r="BQ49" s="63">
        <f>BQ48/$BP48-1</f>
        <v>-0.38968054973707422</v>
      </c>
      <c r="BR49" s="63">
        <f>BR48/$BP48-1</f>
        <v>-0.27610969730696377</v>
      </c>
      <c r="BS49" s="63">
        <f>BS48/$BP48-1</f>
        <v>-0.3020833984655884</v>
      </c>
    </row>
    <row r="50" spans="1:71" ht="20.100000000000001" customHeight="1" x14ac:dyDescent="0.2">
      <c r="A50" s="22" t="s">
        <v>119</v>
      </c>
      <c r="B50" s="23">
        <v>5.4407356184725293</v>
      </c>
      <c r="C50" s="23">
        <v>4.6069649258955359</v>
      </c>
      <c r="D50" s="23">
        <v>1.5126132607252853</v>
      </c>
      <c r="E50" s="23">
        <v>5.8537206152951713</v>
      </c>
      <c r="F50" s="23">
        <v>3.5917978106867023</v>
      </c>
      <c r="G50" s="23">
        <v>4.4931405516288168</v>
      </c>
      <c r="H50" s="23">
        <v>10.324003708411297</v>
      </c>
      <c r="I50" s="23">
        <v>5.5298263329267039</v>
      </c>
      <c r="J50" s="23">
        <v>6.7165099938918686</v>
      </c>
      <c r="K50" s="23">
        <v>8.6952660404835065</v>
      </c>
      <c r="L50" s="23">
        <v>5.7516476506324672</v>
      </c>
      <c r="M50" s="23">
        <v>7.3128581314949557</v>
      </c>
      <c r="N50" s="23">
        <v>6.6262926102360291</v>
      </c>
      <c r="O50" s="23">
        <v>5.3772004068116317</v>
      </c>
      <c r="P50" s="23">
        <v>3.4261115779494249</v>
      </c>
      <c r="Q50" s="23">
        <v>6.6722113370714728</v>
      </c>
      <c r="R50" s="36" t="s">
        <v>27</v>
      </c>
      <c r="S50" s="24">
        <v>4.3209506480271438</v>
      </c>
      <c r="T50" s="23">
        <v>3.2231660896430658</v>
      </c>
      <c r="U50" s="23">
        <v>4.350448792295003</v>
      </c>
      <c r="V50" s="23">
        <v>1.7956547253290618</v>
      </c>
      <c r="W50" s="23">
        <v>4.774558761809045</v>
      </c>
      <c r="X50" s="23">
        <v>8.580382325696398</v>
      </c>
      <c r="Y50" s="23">
        <v>1.7313019090563</v>
      </c>
      <c r="Z50" s="23">
        <v>3.5876528791787301</v>
      </c>
      <c r="AA50" s="23">
        <v>4.4263875011267775</v>
      </c>
      <c r="AB50" s="23">
        <v>6.4410478684802124</v>
      </c>
      <c r="AC50" s="23">
        <v>9.1678223538019452</v>
      </c>
      <c r="AD50" s="23">
        <v>7.218458782379356</v>
      </c>
      <c r="AE50" s="23">
        <v>4.2129832886417962</v>
      </c>
      <c r="AF50" s="23">
        <v>11.967157555565725</v>
      </c>
      <c r="AG50" s="28">
        <v>11.630471662262899</v>
      </c>
      <c r="AH50" s="28">
        <v>4.5440169007463691</v>
      </c>
      <c r="AI50" s="28">
        <v>6.8997830379066754</v>
      </c>
      <c r="AJ50" s="28">
        <v>15.722607716893192</v>
      </c>
      <c r="AK50" s="28">
        <v>20.080104820187724</v>
      </c>
      <c r="AL50" s="28">
        <v>6.7470387361510067</v>
      </c>
      <c r="AM50" s="28">
        <v>8.5478848690790326</v>
      </c>
      <c r="AN50" s="28">
        <v>14.377083457346647</v>
      </c>
      <c r="AO50" s="28">
        <v>23.318919925135088</v>
      </c>
      <c r="AP50" s="28">
        <v>21.493141678630693</v>
      </c>
      <c r="AQ50" s="28">
        <v>22.386449369286019</v>
      </c>
      <c r="AR50" s="28">
        <v>20.852948721033385</v>
      </c>
      <c r="AS50" s="28">
        <v>16.894448335405642</v>
      </c>
      <c r="AT50" s="28">
        <v>26.955091063362261</v>
      </c>
      <c r="AU50" s="28">
        <v>15.713713109974549</v>
      </c>
      <c r="AV50" s="28">
        <v>10.879585339497105</v>
      </c>
      <c r="AW50" s="28">
        <v>12.7143223423243</v>
      </c>
      <c r="AX50" s="36" t="s">
        <v>27</v>
      </c>
      <c r="AY50" s="36" t="s">
        <v>27</v>
      </c>
      <c r="AZ50" s="36" t="s">
        <v>27</v>
      </c>
      <c r="BA50" s="30">
        <v>24.351263865430479</v>
      </c>
      <c r="BB50" s="28">
        <v>16.846034321908963</v>
      </c>
      <c r="BC50" s="28">
        <v>16.125396068866195</v>
      </c>
      <c r="BD50" s="28">
        <v>13.043729864125773</v>
      </c>
      <c r="BE50" s="28">
        <v>11.444499550397914</v>
      </c>
      <c r="BF50" s="28">
        <v>7.9525173000000038</v>
      </c>
      <c r="BG50" s="28">
        <v>16.676109999999998</v>
      </c>
      <c r="BH50" s="28">
        <v>18.137652979426015</v>
      </c>
      <c r="BI50" s="28">
        <v>11.400761100000002</v>
      </c>
      <c r="BJ50" s="28">
        <v>15.047029800000004</v>
      </c>
      <c r="BK50" s="28">
        <v>13.992798600000004</v>
      </c>
      <c r="BL50" s="28">
        <v>8.4979999999999993</v>
      </c>
      <c r="BM50" s="28">
        <v>13.994999999999999</v>
      </c>
      <c r="BN50" s="28">
        <v>20.70006259393287</v>
      </c>
      <c r="BO50" s="28">
        <v>18.265000000000001</v>
      </c>
      <c r="BP50" s="28">
        <v>16.888999999999999</v>
      </c>
      <c r="BQ50" s="28">
        <v>13.381</v>
      </c>
      <c r="BR50" s="28">
        <v>11.180999999999999</v>
      </c>
      <c r="BS50" s="28">
        <v>5.3849999999999998</v>
      </c>
    </row>
    <row r="51" spans="1:71" ht="20.100000000000001" customHeight="1" x14ac:dyDescent="0.2">
      <c r="A51" s="22" t="s">
        <v>120</v>
      </c>
      <c r="B51" s="23">
        <v>3.9776037636824024</v>
      </c>
      <c r="C51" s="23">
        <v>2.3695009561093459</v>
      </c>
      <c r="D51" s="23">
        <v>9.5476718662861657</v>
      </c>
      <c r="E51" s="23">
        <v>7.8202526715306968</v>
      </c>
      <c r="F51" s="23">
        <v>4.3054608776764702</v>
      </c>
      <c r="G51" s="23">
        <v>14.862005045005576</v>
      </c>
      <c r="H51" s="23">
        <v>10.462203063952748</v>
      </c>
      <c r="I51" s="23">
        <v>4.8758926941474927</v>
      </c>
      <c r="J51" s="23">
        <v>8.2472685177892213</v>
      </c>
      <c r="K51" s="23">
        <v>4.5725724304817206</v>
      </c>
      <c r="L51" s="23">
        <v>7.7436267604045748</v>
      </c>
      <c r="M51" s="23">
        <v>1.2837490718776901</v>
      </c>
      <c r="N51" s="23">
        <v>13.113063038565958</v>
      </c>
      <c r="O51" s="23">
        <v>14.217974323587272</v>
      </c>
      <c r="P51" s="23">
        <v>5.1452492217962353</v>
      </c>
      <c r="Q51" s="23">
        <v>12.03205571514391</v>
      </c>
      <c r="R51" s="36" t="s">
        <v>27</v>
      </c>
      <c r="S51" s="24">
        <v>11.056639748404903</v>
      </c>
      <c r="T51" s="23">
        <v>9.2580950964408775</v>
      </c>
      <c r="U51" s="23">
        <v>12.874647476357623</v>
      </c>
      <c r="V51" s="23">
        <v>16.525920866802512</v>
      </c>
      <c r="W51" s="23">
        <v>8.0948388996903393</v>
      </c>
      <c r="X51" s="23">
        <v>5.2844647288909821</v>
      </c>
      <c r="Y51" s="23">
        <v>12.552193593734847</v>
      </c>
      <c r="Z51" s="23">
        <v>13.666520842679988</v>
      </c>
      <c r="AA51" s="23">
        <v>10.00859363299258</v>
      </c>
      <c r="AB51" s="23">
        <v>7.7035177646809032</v>
      </c>
      <c r="AC51" s="23">
        <v>10.762270708284012</v>
      </c>
      <c r="AD51" s="23">
        <v>5.9647641418924477</v>
      </c>
      <c r="AE51" s="23">
        <v>7.0608658468856929</v>
      </c>
      <c r="AF51" s="23">
        <v>13.397201684352876</v>
      </c>
      <c r="AG51" s="28">
        <v>4.3284528285025727</v>
      </c>
      <c r="AH51" s="28">
        <v>18.382660545091341</v>
      </c>
      <c r="AI51" s="28">
        <v>10.698678801839177</v>
      </c>
      <c r="AJ51" s="28">
        <v>15.356702745512271</v>
      </c>
      <c r="AK51" s="28">
        <v>17.723424997981251</v>
      </c>
      <c r="AL51" s="28">
        <v>5.4800422753416562</v>
      </c>
      <c r="AM51" s="28">
        <v>8.2321725670088597</v>
      </c>
      <c r="AN51" s="28">
        <v>9.4144614975333472</v>
      </c>
      <c r="AO51" s="28">
        <v>17.652244880484847</v>
      </c>
      <c r="AP51" s="28">
        <v>30.388670520317028</v>
      </c>
      <c r="AQ51" s="28">
        <v>24.070827151890516</v>
      </c>
      <c r="AR51" s="28">
        <v>14.435646685346258</v>
      </c>
      <c r="AS51" s="28">
        <v>13.84248983193846</v>
      </c>
      <c r="AT51" s="28">
        <v>24.998455016280062</v>
      </c>
      <c r="AU51" s="28">
        <v>10.394686320486032</v>
      </c>
      <c r="AV51" s="28">
        <v>11.031024995310533</v>
      </c>
      <c r="AW51" s="28">
        <v>13.850781301100334</v>
      </c>
      <c r="AX51" s="36" t="s">
        <v>27</v>
      </c>
      <c r="AY51" s="36" t="s">
        <v>27</v>
      </c>
      <c r="AZ51" s="36" t="s">
        <v>27</v>
      </c>
      <c r="BA51" s="30">
        <v>51.506</v>
      </c>
      <c r="BB51" s="30">
        <v>51.623931933553429</v>
      </c>
      <c r="BC51" s="30">
        <v>20.964836510771434</v>
      </c>
      <c r="BD51" s="30">
        <v>55.144232040944971</v>
      </c>
      <c r="BE51" s="30">
        <v>37.855115921395516</v>
      </c>
      <c r="BF51" s="30">
        <v>46.564599900000019</v>
      </c>
      <c r="BG51" s="30">
        <v>40.065689999999996</v>
      </c>
      <c r="BH51" s="30">
        <v>39.855131934328611</v>
      </c>
      <c r="BI51" s="30">
        <v>43.611521600000003</v>
      </c>
      <c r="BJ51" s="30">
        <v>47.931166800000021</v>
      </c>
      <c r="BK51" s="30">
        <v>34.224141600000003</v>
      </c>
      <c r="BL51" s="30">
        <v>35.594999999999999</v>
      </c>
      <c r="BM51" s="30">
        <v>36.100999999999999</v>
      </c>
      <c r="BN51" s="30">
        <v>32.846128733608182</v>
      </c>
      <c r="BO51" s="30">
        <v>33.994999999999997</v>
      </c>
      <c r="BP51" s="30">
        <v>26.709</v>
      </c>
      <c r="BQ51" s="30">
        <v>17.972000000000001</v>
      </c>
      <c r="BR51" s="30">
        <v>36.719000000000001</v>
      </c>
      <c r="BS51" s="30">
        <v>31.899000000000001</v>
      </c>
    </row>
    <row r="52" spans="1:71" ht="20.100000000000001" customHeight="1" thickBot="1" x14ac:dyDescent="0.25">
      <c r="A52" s="26" t="s">
        <v>121</v>
      </c>
      <c r="B52" s="26"/>
      <c r="C52" s="26"/>
      <c r="D52" s="26"/>
      <c r="E52" s="26"/>
      <c r="F52" s="26"/>
      <c r="G52" s="26"/>
      <c r="H52" s="26"/>
      <c r="I52" s="26"/>
      <c r="J52" s="26"/>
      <c r="K52" s="26"/>
      <c r="L52" s="26"/>
      <c r="M52" s="26"/>
      <c r="N52" s="26"/>
      <c r="O52" s="26"/>
      <c r="P52" s="26"/>
      <c r="Q52" s="26"/>
      <c r="R52" s="50"/>
      <c r="S52" s="26"/>
      <c r="T52" s="26"/>
      <c r="U52" s="26"/>
      <c r="V52" s="26"/>
      <c r="W52" s="26"/>
      <c r="X52" s="26"/>
      <c r="Y52" s="27"/>
      <c r="Z52" s="27"/>
      <c r="AA52" s="27"/>
      <c r="AB52" s="27"/>
      <c r="AC52" s="27"/>
      <c r="AD52" s="27"/>
      <c r="AE52" s="27"/>
      <c r="AF52" s="27"/>
      <c r="AG52" s="11"/>
      <c r="AH52" s="11"/>
      <c r="AI52" s="11"/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50"/>
      <c r="AY52" s="50"/>
      <c r="AZ52" s="50"/>
      <c r="BA52" s="51"/>
      <c r="BB52" s="11"/>
      <c r="BC52" s="11"/>
      <c r="BD52" s="11"/>
      <c r="BE52" s="11"/>
      <c r="BF52" s="11"/>
      <c r="BG52" s="11"/>
      <c r="BH52" s="11"/>
      <c r="BI52" s="11"/>
      <c r="BJ52" s="11"/>
      <c r="BK52" s="11"/>
      <c r="BL52" s="11"/>
      <c r="BM52" s="11"/>
      <c r="BN52" s="11"/>
      <c r="BO52" s="11"/>
      <c r="BP52" s="11"/>
      <c r="BQ52" s="11"/>
      <c r="BR52" s="11"/>
      <c r="BS52" s="11"/>
    </row>
    <row r="53" spans="1:71" ht="20.100000000000001" customHeight="1" x14ac:dyDescent="0.2">
      <c r="A53" s="22" t="s">
        <v>184</v>
      </c>
      <c r="B53" s="23">
        <v>1608.277788448918</v>
      </c>
      <c r="C53" s="23">
        <v>1702.3886886529849</v>
      </c>
      <c r="D53" s="23">
        <v>1669.2811365494981</v>
      </c>
      <c r="E53" s="23">
        <v>1717.1189058186305</v>
      </c>
      <c r="F53" s="23">
        <v>1760.7711635939236</v>
      </c>
      <c r="G53" s="23">
        <v>1818.8451632110589</v>
      </c>
      <c r="H53" s="23">
        <v>1774.3794026570863</v>
      </c>
      <c r="I53" s="23">
        <v>1740.4689021223246</v>
      </c>
      <c r="J53" s="23">
        <v>1760.2802113942898</v>
      </c>
      <c r="K53" s="23">
        <v>1791.5886015634524</v>
      </c>
      <c r="L53" s="23">
        <v>1704.3352780134467</v>
      </c>
      <c r="M53" s="23">
        <v>1780.080094830427</v>
      </c>
      <c r="N53" s="23">
        <v>1765.99190717341</v>
      </c>
      <c r="O53" s="23">
        <v>1792.26709007761</v>
      </c>
      <c r="P53" s="23">
        <v>1760.8145680003527</v>
      </c>
      <c r="Q53" s="23">
        <v>1716.8554679268182</v>
      </c>
      <c r="R53" s="36" t="s">
        <v>27</v>
      </c>
      <c r="S53" s="24">
        <v>1739.0075444551244</v>
      </c>
      <c r="T53" s="23">
        <v>1613.2103729260425</v>
      </c>
      <c r="U53" s="23">
        <v>1631.4193126215491</v>
      </c>
      <c r="V53" s="23">
        <v>1661.6232334924671</v>
      </c>
      <c r="W53" s="23">
        <v>1713.096396996119</v>
      </c>
      <c r="X53" s="23">
        <v>1662.4091112027893</v>
      </c>
      <c r="Y53" s="23">
        <v>1698.411248833457</v>
      </c>
      <c r="Z53" s="23">
        <v>1665.1552028095218</v>
      </c>
      <c r="AA53" s="23">
        <v>1706.4351202949556</v>
      </c>
      <c r="AB53" s="23">
        <v>1636.7043786676616</v>
      </c>
      <c r="AC53" s="23">
        <v>1689.4791127898038</v>
      </c>
      <c r="AD53" s="23">
        <v>1741.5270633352966</v>
      </c>
      <c r="AE53" s="23">
        <v>1606.5321999807393</v>
      </c>
      <c r="AF53" s="23">
        <v>1620.5478972597371</v>
      </c>
      <c r="AG53" s="28">
        <v>1740.7852776696416</v>
      </c>
      <c r="AH53" s="28">
        <v>1649.6590322734728</v>
      </c>
      <c r="AI53" s="28">
        <v>1603.1906354871089</v>
      </c>
      <c r="AJ53" s="28">
        <v>1527.6131704201734</v>
      </c>
      <c r="AK53" s="28">
        <v>1668.2630051893962</v>
      </c>
      <c r="AL53" s="28">
        <v>1814.7129681415472</v>
      </c>
      <c r="AM53" s="28">
        <v>1713.0580361692512</v>
      </c>
      <c r="AN53" s="28">
        <v>1548.0476469395112</v>
      </c>
      <c r="AO53" s="28">
        <v>1711.9220356616363</v>
      </c>
      <c r="AP53" s="28">
        <v>1743.7176846937189</v>
      </c>
      <c r="AQ53" s="28">
        <v>1637.3587075721371</v>
      </c>
      <c r="AR53" s="28">
        <v>1572.5632477522331</v>
      </c>
      <c r="AS53" s="28">
        <v>1591.9364120398977</v>
      </c>
      <c r="AT53" s="28">
        <v>1608.3297841571839</v>
      </c>
      <c r="AU53" s="28">
        <v>1644.7510462335747</v>
      </c>
      <c r="AV53" s="28">
        <v>1548.2077178457871</v>
      </c>
      <c r="AW53" s="28">
        <v>1569.9895149144431</v>
      </c>
      <c r="AX53" s="36" t="s">
        <v>27</v>
      </c>
      <c r="AY53" s="36" t="s">
        <v>27</v>
      </c>
      <c r="AZ53" s="36" t="s">
        <v>27</v>
      </c>
      <c r="BA53" s="28">
        <v>1601.5830000000001</v>
      </c>
      <c r="BB53" s="28">
        <v>1703.5857059825928</v>
      </c>
      <c r="BC53" s="28">
        <v>1664.4730165807327</v>
      </c>
      <c r="BD53" s="28">
        <v>1620.4939965098122</v>
      </c>
      <c r="BE53" s="28">
        <v>1685.0509910519372</v>
      </c>
      <c r="BF53" s="28">
        <v>1717.1948882571282</v>
      </c>
      <c r="BG53" s="28">
        <v>1745.2385899999997</v>
      </c>
      <c r="BH53" s="28">
        <v>1614.4282754812209</v>
      </c>
      <c r="BI53" s="28">
        <v>1710.8867385000003</v>
      </c>
      <c r="BJ53" s="28">
        <v>1796.7371400000004</v>
      </c>
      <c r="BK53" s="28">
        <v>1835.7548022000003</v>
      </c>
      <c r="BL53" s="28">
        <v>1728.2149999999999</v>
      </c>
      <c r="BM53" s="28">
        <v>1809.5350000000001</v>
      </c>
      <c r="BN53" s="28">
        <v>1758.8914215691307</v>
      </c>
      <c r="BO53" s="28">
        <v>1809.8889999999999</v>
      </c>
      <c r="BP53" s="28">
        <v>1773.1289999999999</v>
      </c>
      <c r="BQ53" s="28">
        <v>975.07799999999997</v>
      </c>
      <c r="BR53" s="28">
        <v>1261.546</v>
      </c>
      <c r="BS53" s="28">
        <v>1546.5119999999999</v>
      </c>
    </row>
    <row r="54" spans="1:71" ht="20.100000000000001" customHeight="1" x14ac:dyDescent="0.2">
      <c r="A54" s="22" t="s">
        <v>185</v>
      </c>
      <c r="B54" s="23">
        <v>978.97755863754878</v>
      </c>
      <c r="C54" s="23">
        <v>898.94362687658179</v>
      </c>
      <c r="D54" s="23">
        <v>991.61818904710674</v>
      </c>
      <c r="E54" s="23">
        <v>928.75873446781702</v>
      </c>
      <c r="F54" s="23">
        <v>918.90909373352542</v>
      </c>
      <c r="G54" s="23">
        <v>1004.9102487141668</v>
      </c>
      <c r="H54" s="23">
        <v>876.21564879962216</v>
      </c>
      <c r="I54" s="23">
        <v>955.55950789481153</v>
      </c>
      <c r="J54" s="23">
        <v>918.57790245530271</v>
      </c>
      <c r="K54" s="23">
        <v>945.46696877009356</v>
      </c>
      <c r="L54" s="23">
        <v>929.60902737968877</v>
      </c>
      <c r="M54" s="23">
        <v>927.26466906493215</v>
      </c>
      <c r="N54" s="23">
        <v>890.86631898560358</v>
      </c>
      <c r="O54" s="23">
        <v>827.73936488328854</v>
      </c>
      <c r="P54" s="23">
        <v>822.9712602305467</v>
      </c>
      <c r="Q54" s="23">
        <v>826.34157697047431</v>
      </c>
      <c r="R54" s="36" t="s">
        <v>27</v>
      </c>
      <c r="S54" s="24">
        <v>740.58678353710422</v>
      </c>
      <c r="T54" s="23">
        <v>727.22672199942883</v>
      </c>
      <c r="U54" s="23">
        <v>656.11246747494658</v>
      </c>
      <c r="V54" s="23">
        <v>645.34976723021111</v>
      </c>
      <c r="W54" s="23">
        <v>825.76223086601919</v>
      </c>
      <c r="X54" s="23">
        <v>729.86094415708283</v>
      </c>
      <c r="Y54" s="23">
        <v>615.84110655684754</v>
      </c>
      <c r="Z54" s="23">
        <v>699.38535107199971</v>
      </c>
      <c r="AA54" s="23">
        <v>696.12415980787989</v>
      </c>
      <c r="AB54" s="23">
        <v>691.72625446174686</v>
      </c>
      <c r="AC54" s="23">
        <v>734.82591646149115</v>
      </c>
      <c r="AD54" s="23">
        <v>703.76036158895408</v>
      </c>
      <c r="AE54" s="23">
        <v>733.68229038320203</v>
      </c>
      <c r="AF54" s="23">
        <v>765.88785434212366</v>
      </c>
      <c r="AG54" s="28">
        <v>687.293028255634</v>
      </c>
      <c r="AH54" s="28">
        <v>757.4242005159723</v>
      </c>
      <c r="AI54" s="28">
        <v>789.55878933596159</v>
      </c>
      <c r="AJ54" s="28">
        <v>717.94358329864338</v>
      </c>
      <c r="AK54" s="28">
        <v>661.51755836579525</v>
      </c>
      <c r="AL54" s="28">
        <v>686.89087931274776</v>
      </c>
      <c r="AM54" s="28">
        <v>717.18008673750683</v>
      </c>
      <c r="AN54" s="28">
        <v>682.60509775103685</v>
      </c>
      <c r="AO54" s="28">
        <v>676.19088620580692</v>
      </c>
      <c r="AP54" s="28">
        <v>687.45749153873123</v>
      </c>
      <c r="AQ54" s="28">
        <v>646.96594417014353</v>
      </c>
      <c r="AR54" s="28">
        <v>669.07116283204425</v>
      </c>
      <c r="AS54" s="28">
        <v>663.22253471554927</v>
      </c>
      <c r="AT54" s="28">
        <v>640.48021430577433</v>
      </c>
      <c r="AU54" s="28">
        <v>740.86802250501421</v>
      </c>
      <c r="AV54" s="28">
        <v>682.80630615576865</v>
      </c>
      <c r="AW54" s="28">
        <v>660.33972831817096</v>
      </c>
      <c r="AX54" s="36" t="s">
        <v>27</v>
      </c>
      <c r="AY54" s="36" t="s">
        <v>27</v>
      </c>
      <c r="AZ54" s="36" t="s">
        <v>27</v>
      </c>
      <c r="BA54" s="28">
        <v>715.50799999999992</v>
      </c>
      <c r="BB54" s="28">
        <v>678.10272029808971</v>
      </c>
      <c r="BC54" s="28">
        <v>711.32690413386126</v>
      </c>
      <c r="BD54" s="28">
        <v>675.42705494046209</v>
      </c>
      <c r="BE54" s="28">
        <v>733.54753090020722</v>
      </c>
      <c r="BF54" s="28">
        <v>770.8436069933839</v>
      </c>
      <c r="BG54" s="28">
        <v>794.7568799999998</v>
      </c>
      <c r="BH54" s="28">
        <v>749.28815908987644</v>
      </c>
      <c r="BI54" s="28">
        <v>728.12982080000018</v>
      </c>
      <c r="BJ54" s="28">
        <v>763.54613280000035</v>
      </c>
      <c r="BK54" s="28">
        <v>695.85116040000003</v>
      </c>
      <c r="BL54" s="28">
        <v>770.12800000000004</v>
      </c>
      <c r="BM54" s="28">
        <v>724.74599999999998</v>
      </c>
      <c r="BN54" s="28">
        <v>756.82067086690336</v>
      </c>
      <c r="BO54" s="28">
        <v>752.29200000000003</v>
      </c>
      <c r="BP54" s="28">
        <v>769.18</v>
      </c>
      <c r="BQ54" s="28">
        <v>415.238</v>
      </c>
      <c r="BR54" s="28">
        <v>485.54199999999997</v>
      </c>
      <c r="BS54" s="28">
        <v>602.14400000000001</v>
      </c>
    </row>
    <row r="55" spans="1:71" ht="20.100000000000001" customHeight="1" x14ac:dyDescent="0.2">
      <c r="A55" s="22" t="s">
        <v>186</v>
      </c>
      <c r="B55" s="23">
        <v>342.84158493475923</v>
      </c>
      <c r="C55" s="23">
        <v>381.35864048981125</v>
      </c>
      <c r="D55" s="23">
        <v>311.28299202492667</v>
      </c>
      <c r="E55" s="23">
        <v>309.47240548636256</v>
      </c>
      <c r="F55" s="23">
        <v>328.71484221901687</v>
      </c>
      <c r="G55" s="23">
        <v>326.41639133224839</v>
      </c>
      <c r="H55" s="23">
        <v>343.37830836972665</v>
      </c>
      <c r="I55" s="23">
        <v>321.70878422529648</v>
      </c>
      <c r="J55" s="23">
        <v>361.98755446665723</v>
      </c>
      <c r="K55" s="23">
        <v>324.40874470708548</v>
      </c>
      <c r="L55" s="23">
        <v>322.3575242654598</v>
      </c>
      <c r="M55" s="23">
        <v>327.55083147869647</v>
      </c>
      <c r="N55" s="23">
        <v>320.69679026268659</v>
      </c>
      <c r="O55" s="23">
        <v>316.02297100740947</v>
      </c>
      <c r="P55" s="23">
        <v>288.30627564196539</v>
      </c>
      <c r="Q55" s="23">
        <v>302.85196625203372</v>
      </c>
      <c r="R55" s="36" t="s">
        <v>27</v>
      </c>
      <c r="S55" s="24">
        <v>253.25825609331753</v>
      </c>
      <c r="T55" s="23">
        <v>270.22179341395832</v>
      </c>
      <c r="U55" s="23">
        <v>261.02591202677763</v>
      </c>
      <c r="V55" s="23">
        <v>255.32664670293354</v>
      </c>
      <c r="W55" s="23">
        <v>260.7000804393536</v>
      </c>
      <c r="X55" s="23">
        <v>283.55786086399246</v>
      </c>
      <c r="Y55" s="23">
        <v>272.01616415856262</v>
      </c>
      <c r="Z55" s="23">
        <v>244.91771492412209</v>
      </c>
      <c r="AA55" s="23">
        <v>268.86810089812707</v>
      </c>
      <c r="AB55" s="23">
        <v>274.08466586302626</v>
      </c>
      <c r="AC55" s="23">
        <v>294.867603577571</v>
      </c>
      <c r="AD55" s="23">
        <v>274.10407397053467</v>
      </c>
      <c r="AE55" s="23">
        <v>273.26062484393054</v>
      </c>
      <c r="AF55" s="23">
        <v>230.52966025750183</v>
      </c>
      <c r="AG55" s="28">
        <v>293.1585042325396</v>
      </c>
      <c r="AH55" s="28">
        <v>269.43728170376738</v>
      </c>
      <c r="AI55" s="28">
        <v>299.7122855533317</v>
      </c>
      <c r="AJ55" s="28">
        <v>296.57009059605127</v>
      </c>
      <c r="AK55" s="28">
        <v>262.12202169086055</v>
      </c>
      <c r="AL55" s="28">
        <v>251.23625278636007</v>
      </c>
      <c r="AM55" s="28">
        <v>261.3357428380462</v>
      </c>
      <c r="AN55" s="28">
        <v>238.78048429589336</v>
      </c>
      <c r="AO55" s="28">
        <v>257.49573673571564</v>
      </c>
      <c r="AP55" s="28">
        <v>271.6495728943093</v>
      </c>
      <c r="AQ55" s="28">
        <v>286.60171402705271</v>
      </c>
      <c r="AR55" s="28">
        <v>248.71919224636156</v>
      </c>
      <c r="AS55" s="28">
        <v>271.38792275645653</v>
      </c>
      <c r="AT55" s="28">
        <v>275.91373476829699</v>
      </c>
      <c r="AU55" s="28">
        <v>285.5098546640175</v>
      </c>
      <c r="AV55" s="28">
        <v>210.34667318996731</v>
      </c>
      <c r="AW55" s="28">
        <v>248.23968415745648</v>
      </c>
      <c r="AX55" s="36" t="s">
        <v>27</v>
      </c>
      <c r="AY55" s="36" t="s">
        <v>27</v>
      </c>
      <c r="AZ55" s="36" t="s">
        <v>27</v>
      </c>
      <c r="BA55" s="28">
        <v>216.125</v>
      </c>
      <c r="BB55" s="28">
        <v>220.74305861774567</v>
      </c>
      <c r="BC55" s="28">
        <v>243.54165240170187</v>
      </c>
      <c r="BD55" s="28">
        <v>228.6866418526678</v>
      </c>
      <c r="BE55" s="28">
        <v>247.36561985463413</v>
      </c>
      <c r="BF55" s="28">
        <v>260.10738430979961</v>
      </c>
      <c r="BG55" s="28">
        <v>258.03176999999988</v>
      </c>
      <c r="BH55" s="28">
        <v>292.21950195282375</v>
      </c>
      <c r="BI55" s="28">
        <v>313.61737570000008</v>
      </c>
      <c r="BJ55" s="28">
        <v>247.44341160000005</v>
      </c>
      <c r="BK55" s="28">
        <v>307.58003100000002</v>
      </c>
      <c r="BL55" s="28">
        <v>305.589</v>
      </c>
      <c r="BM55" s="28">
        <v>281.834</v>
      </c>
      <c r="BN55" s="28">
        <v>315.74394005717204</v>
      </c>
      <c r="BO55" s="28">
        <v>305.89299999999997</v>
      </c>
      <c r="BP55" s="28">
        <v>321.51499999999999</v>
      </c>
      <c r="BQ55" s="28">
        <v>206.89599999999999</v>
      </c>
      <c r="BR55" s="28">
        <v>249.774</v>
      </c>
      <c r="BS55" s="28">
        <v>273.54199999999997</v>
      </c>
    </row>
    <row r="56" spans="1:71" ht="20.100000000000001" customHeight="1" x14ac:dyDescent="0.2">
      <c r="A56" s="22" t="s">
        <v>120</v>
      </c>
      <c r="B56" s="23">
        <v>254.29414654830492</v>
      </c>
      <c r="C56" s="23">
        <v>287.32578829207227</v>
      </c>
      <c r="D56" s="23">
        <v>230.48686151188838</v>
      </c>
      <c r="E56" s="23">
        <v>280.43114126345881</v>
      </c>
      <c r="F56" s="23">
        <v>271.72389458043483</v>
      </c>
      <c r="G56" s="23">
        <v>259.75400401679303</v>
      </c>
      <c r="H56" s="23">
        <v>268.86838175428625</v>
      </c>
      <c r="I56" s="23">
        <v>272.58815023987177</v>
      </c>
      <c r="J56" s="23">
        <v>257.56547016034114</v>
      </c>
      <c r="K56" s="23">
        <v>248.4376365579748</v>
      </c>
      <c r="L56" s="23">
        <v>232.94172985061493</v>
      </c>
      <c r="M56" s="23">
        <v>190.84898642134388</v>
      </c>
      <c r="N56" s="23">
        <v>209.01433879837282</v>
      </c>
      <c r="O56" s="23">
        <v>265.49572445681724</v>
      </c>
      <c r="P56" s="23">
        <v>202.50549439134201</v>
      </c>
      <c r="Q56" s="23">
        <v>259.6106901076073</v>
      </c>
      <c r="R56" s="36" t="s">
        <v>27</v>
      </c>
      <c r="S56" s="24">
        <v>299.36869678830857</v>
      </c>
      <c r="T56" s="23">
        <v>245.39031057080524</v>
      </c>
      <c r="U56" s="23">
        <v>235.44823841997692</v>
      </c>
      <c r="V56" s="23">
        <v>228.08780500596851</v>
      </c>
      <c r="W56" s="23">
        <v>173.87037263468076</v>
      </c>
      <c r="X56" s="23">
        <v>140.55759797683152</v>
      </c>
      <c r="Y56" s="23">
        <v>207.19475330577305</v>
      </c>
      <c r="Z56" s="23">
        <v>204.62569178174562</v>
      </c>
      <c r="AA56" s="23">
        <v>162.62051891095172</v>
      </c>
      <c r="AB56" s="23">
        <v>141.9543213868765</v>
      </c>
      <c r="AC56" s="23">
        <v>207.22612645080284</v>
      </c>
      <c r="AD56" s="23">
        <v>175.89458516762869</v>
      </c>
      <c r="AE56" s="23">
        <v>158.07948323118956</v>
      </c>
      <c r="AF56" s="23">
        <v>149.50917011402095</v>
      </c>
      <c r="AG56" s="28">
        <v>156.85586338469946</v>
      </c>
      <c r="AH56" s="28">
        <v>201.75085578615793</v>
      </c>
      <c r="AI56" s="28">
        <v>187.80958228486469</v>
      </c>
      <c r="AJ56" s="28">
        <v>190.55940336796201</v>
      </c>
      <c r="AK56" s="28">
        <v>237.31930324790045</v>
      </c>
      <c r="AL56" s="28">
        <v>226.97938461615283</v>
      </c>
      <c r="AM56" s="28">
        <v>237.58224852789371</v>
      </c>
      <c r="AN56" s="28">
        <v>188.25318683620469</v>
      </c>
      <c r="AO56" s="28">
        <v>256.93639638346644</v>
      </c>
      <c r="AP56" s="28">
        <v>255.06914931365128</v>
      </c>
      <c r="AQ56" s="28">
        <v>270.72785283352869</v>
      </c>
      <c r="AR56" s="28">
        <v>247.39492292969445</v>
      </c>
      <c r="AS56" s="28">
        <v>207.38493738952198</v>
      </c>
      <c r="AT56" s="28">
        <v>247.52497950453807</v>
      </c>
      <c r="AU56" s="28">
        <v>227.53035948475383</v>
      </c>
      <c r="AV56" s="28">
        <v>233.09371182244647</v>
      </c>
      <c r="AW56" s="28">
        <v>288.95094830272052</v>
      </c>
      <c r="AX56" s="36" t="s">
        <v>27</v>
      </c>
      <c r="AY56" s="36" t="s">
        <v>27</v>
      </c>
      <c r="AZ56" s="36" t="s">
        <v>27</v>
      </c>
      <c r="BA56" s="28">
        <v>277.30999999999995</v>
      </c>
      <c r="BB56" s="28">
        <v>297.30968617011405</v>
      </c>
      <c r="BC56" s="28">
        <v>268.91886037351617</v>
      </c>
      <c r="BD56" s="28">
        <v>270.17810615015691</v>
      </c>
      <c r="BE56" s="28">
        <v>218.18391134922112</v>
      </c>
      <c r="BF56" s="28">
        <v>240.38247162010055</v>
      </c>
      <c r="BG56" s="28">
        <v>236.08244999999997</v>
      </c>
      <c r="BH56" s="28">
        <v>256.96163063671156</v>
      </c>
      <c r="BI56" s="28">
        <v>195.83677830000005</v>
      </c>
      <c r="BJ56" s="28">
        <v>205.08230160000005</v>
      </c>
      <c r="BK56" s="28">
        <v>270.49007700000004</v>
      </c>
      <c r="BL56" s="28">
        <v>280.14699999999999</v>
      </c>
      <c r="BM56" s="28">
        <v>234.874</v>
      </c>
      <c r="BN56" s="28">
        <v>223.0766598449992</v>
      </c>
      <c r="BO56" s="28">
        <v>289.07600000000002</v>
      </c>
      <c r="BP56" s="28">
        <v>272.37099999999998</v>
      </c>
      <c r="BQ56" s="28">
        <v>135.46</v>
      </c>
      <c r="BR56" s="28">
        <v>173.30199999999999</v>
      </c>
      <c r="BS56" s="28">
        <v>216.803</v>
      </c>
    </row>
    <row r="57" spans="1:71" ht="20.100000000000001" customHeight="1" thickBot="1" x14ac:dyDescent="0.25">
      <c r="A57" s="26" t="s">
        <v>125</v>
      </c>
      <c r="B57" s="26"/>
      <c r="C57" s="26"/>
      <c r="D57" s="26"/>
      <c r="E57" s="26"/>
      <c r="F57" s="26"/>
      <c r="G57" s="26"/>
      <c r="H57" s="26"/>
      <c r="I57" s="26"/>
      <c r="J57" s="26"/>
      <c r="K57" s="26"/>
      <c r="L57" s="26"/>
      <c r="M57" s="26"/>
      <c r="N57" s="26"/>
      <c r="O57" s="26"/>
      <c r="P57" s="26"/>
      <c r="Q57" s="26"/>
      <c r="R57" s="50"/>
      <c r="S57" s="26"/>
      <c r="T57" s="26"/>
      <c r="U57" s="26"/>
      <c r="V57" s="26"/>
      <c r="W57" s="26"/>
      <c r="X57" s="26"/>
      <c r="Y57" s="27"/>
      <c r="Z57" s="27"/>
      <c r="AA57" s="27"/>
      <c r="AB57" s="27"/>
      <c r="AC57" s="27"/>
      <c r="AD57" s="27"/>
      <c r="AE57" s="27"/>
      <c r="AF57" s="27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50"/>
      <c r="AY57" s="50"/>
      <c r="AZ57" s="50"/>
      <c r="BA57" s="51"/>
      <c r="BB57" s="11"/>
      <c r="BC57" s="11"/>
      <c r="BD57" s="11"/>
      <c r="BE57" s="11"/>
      <c r="BF57" s="11"/>
      <c r="BG57" s="11"/>
      <c r="BH57" s="11"/>
      <c r="BI57" s="11"/>
      <c r="BJ57" s="11"/>
      <c r="BK57" s="11"/>
      <c r="BL57" s="11"/>
      <c r="BM57" s="11"/>
      <c r="BN57" s="11"/>
      <c r="BO57" s="11"/>
      <c r="BP57" s="11"/>
      <c r="BQ57" s="11"/>
      <c r="BR57" s="11"/>
      <c r="BS57" s="11"/>
    </row>
    <row r="58" spans="1:71" ht="20.100000000000001" customHeight="1" x14ac:dyDescent="0.2">
      <c r="A58" s="22" t="s">
        <v>126</v>
      </c>
      <c r="B58" s="23">
        <v>110.06957594829882</v>
      </c>
      <c r="C58" s="23">
        <v>131.28196920422113</v>
      </c>
      <c r="D58" s="23">
        <v>135.69284499351062</v>
      </c>
      <c r="E58" s="23">
        <v>125.12017856607575</v>
      </c>
      <c r="F58" s="23">
        <v>117.79461962141079</v>
      </c>
      <c r="G58" s="23">
        <v>130.92858687473617</v>
      </c>
      <c r="H58" s="23">
        <v>122.51116871730483</v>
      </c>
      <c r="I58" s="23">
        <v>130.0457028051442</v>
      </c>
      <c r="J58" s="23">
        <v>148.24703942050905</v>
      </c>
      <c r="K58" s="23">
        <v>126.99227402774504</v>
      </c>
      <c r="L58" s="23">
        <v>122.15951032129331</v>
      </c>
      <c r="M58" s="23">
        <v>128.46564456675961</v>
      </c>
      <c r="N58" s="23">
        <v>116.2130670310968</v>
      </c>
      <c r="O58" s="23">
        <v>144.61685031615656</v>
      </c>
      <c r="P58" s="23">
        <v>137.12206971126415</v>
      </c>
      <c r="Q58" s="23">
        <v>117.46660778234815</v>
      </c>
      <c r="R58" s="36" t="s">
        <v>27</v>
      </c>
      <c r="S58" s="24">
        <v>136.33450713923841</v>
      </c>
      <c r="T58" s="23">
        <v>124.83313078142366</v>
      </c>
      <c r="U58" s="23">
        <v>109.28775056964416</v>
      </c>
      <c r="V58" s="23">
        <v>103.86055238857021</v>
      </c>
      <c r="W58" s="23">
        <v>123.38957341657064</v>
      </c>
      <c r="X58" s="23">
        <v>107.47033517781755</v>
      </c>
      <c r="Y58" s="23">
        <v>120.61643659832416</v>
      </c>
      <c r="Z58" s="23">
        <v>127.10855985561297</v>
      </c>
      <c r="AA58" s="23">
        <v>92.009417725814458</v>
      </c>
      <c r="AB58" s="23">
        <v>116.0092173516163</v>
      </c>
      <c r="AC58" s="23">
        <v>110.84804947024715</v>
      </c>
      <c r="AD58" s="23">
        <v>118.2039204676914</v>
      </c>
      <c r="AE58" s="23">
        <v>127.09252144097267</v>
      </c>
      <c r="AF58" s="23">
        <v>112.84030554739851</v>
      </c>
      <c r="AG58" s="28">
        <v>113.73047827470782</v>
      </c>
      <c r="AH58" s="28">
        <v>119.66065003236412</v>
      </c>
      <c r="AI58" s="28">
        <v>126.34682100007848</v>
      </c>
      <c r="AJ58" s="28">
        <v>117.44145568401262</v>
      </c>
      <c r="AK58" s="28">
        <v>110.72766629972401</v>
      </c>
      <c r="AL58" s="28">
        <v>110.43460183957042</v>
      </c>
      <c r="AM58" s="28">
        <v>103.48035877838798</v>
      </c>
      <c r="AN58" s="28">
        <v>108.63249912603953</v>
      </c>
      <c r="AO58" s="28">
        <v>122.58414105293923</v>
      </c>
      <c r="AP58" s="28">
        <v>108.93673940808148</v>
      </c>
      <c r="AQ58" s="28">
        <v>83.638929024877598</v>
      </c>
      <c r="AR58" s="28">
        <v>90.878757597154035</v>
      </c>
      <c r="AS58" s="28">
        <v>102.70045894032344</v>
      </c>
      <c r="AT58" s="28">
        <v>99.775211481961009</v>
      </c>
      <c r="AU58" s="28">
        <v>93.04769421389949</v>
      </c>
      <c r="AV58" s="28">
        <v>98.589697052061354</v>
      </c>
      <c r="AW58" s="28">
        <v>78.879878254485547</v>
      </c>
      <c r="AX58" s="36" t="s">
        <v>27</v>
      </c>
      <c r="AY58" s="36" t="s">
        <v>27</v>
      </c>
      <c r="AZ58" s="36" t="s">
        <v>27</v>
      </c>
      <c r="BA58" s="30">
        <v>92.837975731369497</v>
      </c>
      <c r="BB58" s="28">
        <v>101.3284995083182</v>
      </c>
      <c r="BC58" s="28">
        <v>121.7034210656829</v>
      </c>
      <c r="BD58" s="28">
        <v>78.503928487036674</v>
      </c>
      <c r="BE58" s="28">
        <v>116.54747685028089</v>
      </c>
      <c r="BF58" s="28">
        <v>117.76579266949506</v>
      </c>
      <c r="BG58" s="28">
        <v>119.66363960257324</v>
      </c>
      <c r="BH58" s="28">
        <v>111.84019068513237</v>
      </c>
      <c r="BI58" s="28">
        <v>132.10135952253466</v>
      </c>
      <c r="BJ58" s="28">
        <v>118.4004997211013</v>
      </c>
      <c r="BK58" s="28">
        <v>135.15028750594252</v>
      </c>
      <c r="BL58" s="28">
        <v>127.93652597327068</v>
      </c>
      <c r="BM58" s="28">
        <v>137.98348866963877</v>
      </c>
      <c r="BN58" s="28">
        <v>152.00463864353264</v>
      </c>
      <c r="BO58" s="28">
        <v>139.25256669671592</v>
      </c>
      <c r="BP58" s="28">
        <v>135.04832449510874</v>
      </c>
      <c r="BQ58" s="28">
        <v>86.715473131679587</v>
      </c>
      <c r="BR58" s="28">
        <v>106.86273067862075</v>
      </c>
      <c r="BS58" s="28">
        <v>117.91869509921561</v>
      </c>
    </row>
    <row r="59" spans="1:71" ht="20.100000000000001" customHeight="1" x14ac:dyDescent="0.2">
      <c r="A59" s="22" t="s">
        <v>127</v>
      </c>
      <c r="B59" s="23">
        <v>202.89555116150831</v>
      </c>
      <c r="C59" s="23">
        <v>238.48458740917954</v>
      </c>
      <c r="D59" s="23">
        <v>216.40221098964321</v>
      </c>
      <c r="E59" s="23">
        <v>244.66726226358722</v>
      </c>
      <c r="F59" s="23">
        <v>187.65700378650425</v>
      </c>
      <c r="G59" s="23">
        <v>207.52889997005479</v>
      </c>
      <c r="H59" s="23">
        <v>200.32710214560791</v>
      </c>
      <c r="I59" s="23">
        <v>201.84646410415527</v>
      </c>
      <c r="J59" s="23">
        <v>245.11361531173355</v>
      </c>
      <c r="K59" s="23">
        <v>199.51360285652862</v>
      </c>
      <c r="L59" s="23">
        <v>208.38788101890819</v>
      </c>
      <c r="M59" s="23">
        <v>224.75534803605234</v>
      </c>
      <c r="N59" s="23">
        <v>204.4426050781064</v>
      </c>
      <c r="O59" s="23">
        <v>211.79687777284889</v>
      </c>
      <c r="P59" s="23">
        <v>198.82481610390164</v>
      </c>
      <c r="Q59" s="23">
        <v>235.17624291286094</v>
      </c>
      <c r="R59" s="36" t="s">
        <v>27</v>
      </c>
      <c r="S59" s="24">
        <v>209.36382656195289</v>
      </c>
      <c r="T59" s="23">
        <v>204.84470368154587</v>
      </c>
      <c r="U59" s="23">
        <v>174.60012641750706</v>
      </c>
      <c r="V59" s="23">
        <v>187.08497158604979</v>
      </c>
      <c r="W59" s="23">
        <v>212.53549916969069</v>
      </c>
      <c r="X59" s="23">
        <v>177.88464627787053</v>
      </c>
      <c r="Y59" s="23">
        <v>171.00272825663498</v>
      </c>
      <c r="Z59" s="23">
        <v>200.04709474560332</v>
      </c>
      <c r="AA59" s="23">
        <v>201.27207265208642</v>
      </c>
      <c r="AB59" s="23">
        <v>194.57268685247595</v>
      </c>
      <c r="AC59" s="23">
        <v>229.47935251119682</v>
      </c>
      <c r="AD59" s="23">
        <v>168.54379393842956</v>
      </c>
      <c r="AE59" s="23">
        <v>185.38119673503545</v>
      </c>
      <c r="AF59" s="23">
        <v>195.1108916526639</v>
      </c>
      <c r="AG59" s="28">
        <v>195.18125956380572</v>
      </c>
      <c r="AH59" s="28">
        <v>204.797220355663</v>
      </c>
      <c r="AI59" s="28">
        <v>201.57196439521235</v>
      </c>
      <c r="AJ59" s="28">
        <v>186.95731975005401</v>
      </c>
      <c r="AK59" s="28">
        <v>195.16051378124459</v>
      </c>
      <c r="AL59" s="28">
        <v>229.09124708659658</v>
      </c>
      <c r="AM59" s="28">
        <v>225.80494869501649</v>
      </c>
      <c r="AN59" s="28">
        <v>189.38032346478897</v>
      </c>
      <c r="AO59" s="28">
        <v>195.53978993844828</v>
      </c>
      <c r="AP59" s="28">
        <v>216.61835334461105</v>
      </c>
      <c r="AQ59" s="28">
        <v>210.77350059967651</v>
      </c>
      <c r="AR59" s="28">
        <v>210.22251869380636</v>
      </c>
      <c r="AS59" s="28">
        <v>200.16655819435761</v>
      </c>
      <c r="AT59" s="28">
        <v>195.62152428296767</v>
      </c>
      <c r="AU59" s="28">
        <v>222.7032471396129</v>
      </c>
      <c r="AV59" s="28">
        <v>184.43239253407722</v>
      </c>
      <c r="AW59" s="28">
        <v>196.12048830853689</v>
      </c>
      <c r="AX59" s="36" t="s">
        <v>27</v>
      </c>
      <c r="AY59" s="36" t="s">
        <v>27</v>
      </c>
      <c r="AZ59" s="36" t="s">
        <v>27</v>
      </c>
      <c r="BA59" s="30">
        <v>195.1310773834706</v>
      </c>
      <c r="BB59" s="28">
        <v>214.74583472666109</v>
      </c>
      <c r="BC59" s="28">
        <v>210.81675353692381</v>
      </c>
      <c r="BD59" s="28">
        <v>191.07097480714893</v>
      </c>
      <c r="BE59" s="28">
        <v>214.79978750440986</v>
      </c>
      <c r="BF59" s="28">
        <v>196.62549018338345</v>
      </c>
      <c r="BG59" s="28">
        <v>244.54564591200037</v>
      </c>
      <c r="BH59" s="28">
        <v>217.49916850434431</v>
      </c>
      <c r="BI59" s="28">
        <v>243.34983234468487</v>
      </c>
      <c r="BJ59" s="28">
        <v>199.76869718364784</v>
      </c>
      <c r="BK59" s="28">
        <v>249.85702156138018</v>
      </c>
      <c r="BL59" s="28">
        <v>227.61953865650801</v>
      </c>
      <c r="BM59" s="28">
        <v>251.04682837632788</v>
      </c>
      <c r="BN59" s="28">
        <v>234.03795427783149</v>
      </c>
      <c r="BO59" s="28">
        <v>265.85197173082821</v>
      </c>
      <c r="BP59" s="28">
        <v>237.03741632144877</v>
      </c>
      <c r="BQ59" s="28">
        <v>171.07982198598887</v>
      </c>
      <c r="BR59" s="28">
        <v>145.98268908432343</v>
      </c>
      <c r="BS59" s="28">
        <v>173.75802909912662</v>
      </c>
    </row>
    <row r="60" spans="1:71" ht="20.100000000000001" customHeight="1" x14ac:dyDescent="0.2">
      <c r="A60" s="22" t="s">
        <v>128</v>
      </c>
      <c r="B60" s="23">
        <v>1295.401263746287</v>
      </c>
      <c r="C60" s="23">
        <v>1311.1773578736468</v>
      </c>
      <c r="D60" s="23">
        <v>1353.8461232463833</v>
      </c>
      <c r="E60" s="23">
        <v>1382.1060215251889</v>
      </c>
      <c r="F60" s="23">
        <v>1488.1992279677327</v>
      </c>
      <c r="G60" s="23">
        <v>1464.08182215687</v>
      </c>
      <c r="H60" s="23">
        <v>1339.8038921216105</v>
      </c>
      <c r="I60" s="23">
        <v>1392.948089356317</v>
      </c>
      <c r="J60" s="23">
        <v>1352.6036669003138</v>
      </c>
      <c r="K60" s="23">
        <v>1403.5525457128804</v>
      </c>
      <c r="L60" s="23">
        <v>1306.1009800589204</v>
      </c>
      <c r="M60" s="23">
        <v>1360.0121322743435</v>
      </c>
      <c r="N60" s="23">
        <v>1343.9627705403116</v>
      </c>
      <c r="O60" s="23">
        <v>1348.7660538857035</v>
      </c>
      <c r="P60" s="23">
        <v>1291.5330457885948</v>
      </c>
      <c r="Q60" s="23">
        <v>1309.6082839554438</v>
      </c>
      <c r="R60" s="36" t="s">
        <v>27</v>
      </c>
      <c r="S60" s="24">
        <v>1204.364739770449</v>
      </c>
      <c r="T60" s="23">
        <v>1132.8437052594368</v>
      </c>
      <c r="U60" s="23">
        <v>1140.3949388719718</v>
      </c>
      <c r="V60" s="23">
        <v>1141.016603248946</v>
      </c>
      <c r="W60" s="23">
        <v>1284.5354447701043</v>
      </c>
      <c r="X60" s="23">
        <v>1173.682170894619</v>
      </c>
      <c r="Y60" s="23">
        <v>1077.7803235972262</v>
      </c>
      <c r="Z60" s="23">
        <v>1094.6313318272728</v>
      </c>
      <c r="AA60" s="23">
        <v>1156.3425413421739</v>
      </c>
      <c r="AB60" s="23">
        <v>1045.3089925291852</v>
      </c>
      <c r="AC60" s="23">
        <v>1133.8460473418618</v>
      </c>
      <c r="AD60" s="23">
        <v>1120.4312958484129</v>
      </c>
      <c r="AE60" s="23">
        <v>1069.0979242147935</v>
      </c>
      <c r="AF60" s="23">
        <v>1138.3992022279463</v>
      </c>
      <c r="AG60" s="28">
        <v>1132.5982901186981</v>
      </c>
      <c r="AH60" s="28">
        <v>1167.9474714362229</v>
      </c>
      <c r="AI60" s="28">
        <v>1178.0222590791379</v>
      </c>
      <c r="AJ60" s="28">
        <v>1128.6487154823528</v>
      </c>
      <c r="AK60" s="28">
        <v>1078.5989344506884</v>
      </c>
      <c r="AL60" s="28">
        <v>1151.144850115568</v>
      </c>
      <c r="AM60" s="28">
        <v>1270.30286024568</v>
      </c>
      <c r="AN60" s="28">
        <v>1016.5617576440123</v>
      </c>
      <c r="AO60" s="28">
        <v>1221.3884501943025</v>
      </c>
      <c r="AP60" s="28">
        <v>1323.8605734582527</v>
      </c>
      <c r="AQ60" s="28">
        <v>1245.1524901054479</v>
      </c>
      <c r="AR60" s="28">
        <v>1200.5426663666235</v>
      </c>
      <c r="AS60" s="28">
        <v>1121.2200351973165</v>
      </c>
      <c r="AT60" s="28">
        <v>1145.987115233034</v>
      </c>
      <c r="AU60" s="28">
        <v>1202.4975059476246</v>
      </c>
      <c r="AV60" s="28">
        <v>1140.1545135669166</v>
      </c>
      <c r="AW60" s="28">
        <v>1195.5551481023465</v>
      </c>
      <c r="AX60" s="36" t="s">
        <v>27</v>
      </c>
      <c r="AY60" s="36" t="s">
        <v>27</v>
      </c>
      <c r="AZ60" s="36" t="s">
        <v>27</v>
      </c>
      <c r="BA60" s="30">
        <v>1212.766490433374</v>
      </c>
      <c r="BB60" s="28">
        <v>1182.9443805820301</v>
      </c>
      <c r="BC60" s="28">
        <v>1122.8451053527285</v>
      </c>
      <c r="BD60" s="28">
        <v>1207.6582361898438</v>
      </c>
      <c r="BE60" s="28">
        <v>1216.3060329104558</v>
      </c>
      <c r="BF60" s="28">
        <v>1246.7790806839691</v>
      </c>
      <c r="BG60" s="28">
        <v>1220.2759549802283</v>
      </c>
      <c r="BH60" s="28">
        <v>1202.1826443951068</v>
      </c>
      <c r="BI60" s="28">
        <v>1201.0133344458875</v>
      </c>
      <c r="BJ60" s="28">
        <v>1215.8185558839562</v>
      </c>
      <c r="BK60" s="28">
        <v>1230.9676839152485</v>
      </c>
      <c r="BL60" s="28">
        <v>1233.742166946477</v>
      </c>
      <c r="BM60" s="28">
        <v>1230.3745620241655</v>
      </c>
      <c r="BN60" s="28">
        <v>1216.8896124346738</v>
      </c>
      <c r="BO60" s="28">
        <v>1256.6311558884013</v>
      </c>
      <c r="BP60" s="28">
        <v>1254.8968692812678</v>
      </c>
      <c r="BQ60" s="28">
        <v>678.62623744849236</v>
      </c>
      <c r="BR60" s="28">
        <v>957.16313010371732</v>
      </c>
      <c r="BS60" s="28">
        <v>1136.5292186893905</v>
      </c>
    </row>
    <row r="61" spans="1:71" ht="20.100000000000001" customHeight="1" x14ac:dyDescent="0.2">
      <c r="A61" s="22" t="s">
        <v>129</v>
      </c>
      <c r="B61" s="23">
        <v>1576.0246877134373</v>
      </c>
      <c r="C61" s="23">
        <v>1589.0728298244026</v>
      </c>
      <c r="D61" s="23">
        <v>1496.7279999038833</v>
      </c>
      <c r="E61" s="23">
        <v>1484.0029232933168</v>
      </c>
      <c r="F61" s="23">
        <v>1486.4681427512528</v>
      </c>
      <c r="G61" s="23">
        <v>1607.3864982726063</v>
      </c>
      <c r="H61" s="23">
        <v>1600.1995785961983</v>
      </c>
      <c r="I61" s="23">
        <v>1565.4850882166877</v>
      </c>
      <c r="J61" s="23">
        <v>1552.4468168440344</v>
      </c>
      <c r="K61" s="23">
        <v>1579.8435290014522</v>
      </c>
      <c r="L61" s="23">
        <v>1552.5951881100884</v>
      </c>
      <c r="M61" s="23">
        <v>1512.511456918244</v>
      </c>
      <c r="N61" s="23">
        <v>1521.9509125705579</v>
      </c>
      <c r="O61" s="23">
        <v>1496.3453684504159</v>
      </c>
      <c r="P61" s="23">
        <v>1447.1176666604463</v>
      </c>
      <c r="Q61" s="23">
        <v>1443.4085666062811</v>
      </c>
      <c r="R61" s="36" t="s">
        <v>27</v>
      </c>
      <c r="S61" s="24">
        <v>1482.1582074022142</v>
      </c>
      <c r="T61" s="23">
        <v>1393.5276591878282</v>
      </c>
      <c r="U61" s="23">
        <v>1359.7231146841268</v>
      </c>
      <c r="V61" s="23">
        <v>1358.4253252080141</v>
      </c>
      <c r="W61" s="23">
        <v>1352.9685635798069</v>
      </c>
      <c r="X61" s="23">
        <v>1357.3483618503888</v>
      </c>
      <c r="Y61" s="23">
        <v>1424.0637844024552</v>
      </c>
      <c r="Z61" s="23">
        <v>1392.2969741589002</v>
      </c>
      <c r="AA61" s="23">
        <v>1384.4238681918391</v>
      </c>
      <c r="AB61" s="23">
        <v>1388.5787236460339</v>
      </c>
      <c r="AC61" s="23">
        <v>1452.2253099563636</v>
      </c>
      <c r="AD61" s="23">
        <v>1488.1070738078797</v>
      </c>
      <c r="AE61" s="23">
        <v>1389.9829560482599</v>
      </c>
      <c r="AF61" s="23">
        <v>1320.1241825453744</v>
      </c>
      <c r="AG61" s="28">
        <v>1436.5826455853032</v>
      </c>
      <c r="AH61" s="28">
        <v>1385.8660284551204</v>
      </c>
      <c r="AI61" s="28">
        <v>1374.3302481868377</v>
      </c>
      <c r="AJ61" s="28">
        <v>1299.6387567664108</v>
      </c>
      <c r="AK61" s="28">
        <v>1444.7347739622958</v>
      </c>
      <c r="AL61" s="28">
        <v>1489.1487858150729</v>
      </c>
      <c r="AM61" s="28">
        <v>1329.5679465536132</v>
      </c>
      <c r="AN61" s="28">
        <v>1343.1118355878052</v>
      </c>
      <c r="AO61" s="28">
        <v>1363.0326738009355</v>
      </c>
      <c r="AP61" s="28">
        <v>1308.4782322294654</v>
      </c>
      <c r="AQ61" s="28">
        <v>1302.0892988728601</v>
      </c>
      <c r="AR61" s="28">
        <v>1236.1045831027498</v>
      </c>
      <c r="AS61" s="28">
        <v>1309.8447545694282</v>
      </c>
      <c r="AT61" s="28">
        <v>1330.8648617378306</v>
      </c>
      <c r="AU61" s="28">
        <v>1380.4108355862231</v>
      </c>
      <c r="AV61" s="28">
        <v>1251.277805860914</v>
      </c>
      <c r="AW61" s="28">
        <v>1296.9643610274225</v>
      </c>
      <c r="AX61" s="36" t="s">
        <v>27</v>
      </c>
      <c r="AY61" s="36" t="s">
        <v>27</v>
      </c>
      <c r="AZ61" s="36" t="s">
        <v>27</v>
      </c>
      <c r="BA61" s="30">
        <v>1309.7904564517858</v>
      </c>
      <c r="BB61" s="28">
        <v>1400.7224562515328</v>
      </c>
      <c r="BC61" s="28">
        <v>1432.895153534477</v>
      </c>
      <c r="BD61" s="28">
        <v>1317.5526599690697</v>
      </c>
      <c r="BE61" s="28">
        <v>1336.4947558908532</v>
      </c>
      <c r="BF61" s="28">
        <v>1427.0761431631536</v>
      </c>
      <c r="BG61" s="28">
        <v>1449.6244495051974</v>
      </c>
      <c r="BH61" s="28">
        <v>1381.3755635760492</v>
      </c>
      <c r="BI61" s="28">
        <v>1372.0061869868932</v>
      </c>
      <c r="BJ61" s="28">
        <v>1478.8212332112955</v>
      </c>
      <c r="BK61" s="28">
        <v>1493.7010776174293</v>
      </c>
      <c r="BL61" s="28">
        <v>1494.7807684237443</v>
      </c>
      <c r="BM61" s="28">
        <v>1431.5841209298678</v>
      </c>
      <c r="BN61" s="28">
        <v>1451.6004869821672</v>
      </c>
      <c r="BO61" s="28">
        <v>1495.4143056840544</v>
      </c>
      <c r="BP61" s="28">
        <v>1509.2123899021747</v>
      </c>
      <c r="BQ61" s="28">
        <v>796.25046743383905</v>
      </c>
      <c r="BR61" s="28">
        <v>960.15545013333872</v>
      </c>
      <c r="BS61" s="28">
        <v>1210.7950571122674</v>
      </c>
    </row>
    <row r="62" spans="1:71" ht="20.100000000000001" customHeight="1" thickBot="1" x14ac:dyDescent="0.25">
      <c r="A62" s="26" t="s">
        <v>130</v>
      </c>
      <c r="B62" s="26"/>
      <c r="C62" s="26"/>
      <c r="D62" s="26"/>
      <c r="E62" s="26"/>
      <c r="F62" s="26"/>
      <c r="G62" s="26"/>
      <c r="H62" s="26"/>
      <c r="I62" s="26"/>
      <c r="J62" s="26"/>
      <c r="K62" s="26"/>
      <c r="L62" s="26"/>
      <c r="M62" s="26"/>
      <c r="N62" s="26"/>
      <c r="O62" s="26"/>
      <c r="P62" s="26"/>
      <c r="Q62" s="26"/>
      <c r="R62" s="50"/>
      <c r="S62" s="26"/>
      <c r="T62" s="26"/>
      <c r="U62" s="26"/>
      <c r="V62" s="26"/>
      <c r="W62" s="26"/>
      <c r="X62" s="26"/>
      <c r="Y62" s="27"/>
      <c r="Z62" s="27"/>
      <c r="AA62" s="27"/>
      <c r="AB62" s="27"/>
      <c r="AC62" s="27"/>
      <c r="AD62" s="27"/>
      <c r="AE62" s="27"/>
      <c r="AF62" s="27"/>
      <c r="AG62" s="11"/>
      <c r="AH62" s="11"/>
      <c r="AI62" s="11"/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50"/>
      <c r="AY62" s="50"/>
      <c r="AZ62" s="50"/>
      <c r="BA62" s="51"/>
      <c r="BB62" s="11"/>
      <c r="BC62" s="11"/>
      <c r="BD62" s="11"/>
      <c r="BE62" s="11"/>
      <c r="BF62" s="11"/>
      <c r="BG62" s="11"/>
      <c r="BH62" s="11"/>
      <c r="BI62" s="11"/>
      <c r="BJ62" s="11"/>
      <c r="BK62" s="11"/>
      <c r="BL62" s="11"/>
      <c r="BM62" s="11"/>
      <c r="BN62" s="11"/>
      <c r="BO62" s="11"/>
      <c r="BP62" s="11"/>
      <c r="BQ62" s="11"/>
      <c r="BR62" s="11"/>
      <c r="BS62" s="11"/>
    </row>
    <row r="63" spans="1:71" ht="20.100000000000001" customHeight="1" x14ac:dyDescent="0.2">
      <c r="A63" s="22" t="s">
        <v>187</v>
      </c>
      <c r="B63" s="23">
        <v>714.62446778096785</v>
      </c>
      <c r="C63" s="23">
        <v>713.47858845575468</v>
      </c>
      <c r="D63" s="23">
        <v>647.9136964244866</v>
      </c>
      <c r="E63" s="23">
        <v>734.25318655645231</v>
      </c>
      <c r="F63" s="23">
        <v>676.39430517218977</v>
      </c>
      <c r="G63" s="23">
        <v>758.53758817739322</v>
      </c>
      <c r="H63" s="23">
        <v>656.86966310377682</v>
      </c>
      <c r="I63" s="23">
        <v>703.48174229352981</v>
      </c>
      <c r="J63" s="23">
        <v>727.14979013918139</v>
      </c>
      <c r="K63" s="23">
        <v>755.01381842454339</v>
      </c>
      <c r="L63" s="23">
        <v>660.44918371636538</v>
      </c>
      <c r="M63" s="23">
        <v>711.13411350336696</v>
      </c>
      <c r="N63" s="23">
        <v>728.5027174688164</v>
      </c>
      <c r="O63" s="23">
        <v>687.12551452589628</v>
      </c>
      <c r="P63" s="23">
        <v>621.48568824827885</v>
      </c>
      <c r="Q63" s="23">
        <v>716.74860051342375</v>
      </c>
      <c r="R63" s="36" t="s">
        <v>27</v>
      </c>
      <c r="S63" s="24">
        <v>682.9987034329846</v>
      </c>
      <c r="T63" s="23">
        <v>555.9962587768041</v>
      </c>
      <c r="U63" s="23">
        <v>616.54431309717063</v>
      </c>
      <c r="V63" s="23">
        <v>626.93048351322466</v>
      </c>
      <c r="W63" s="23">
        <v>602.13926484757644</v>
      </c>
      <c r="X63" s="23">
        <v>619.70510860903107</v>
      </c>
      <c r="Y63" s="23">
        <v>708.18750360646595</v>
      </c>
      <c r="Z63" s="23">
        <v>687.6654202100051</v>
      </c>
      <c r="AA63" s="23">
        <v>683.37942990063402</v>
      </c>
      <c r="AB63" s="23">
        <v>604.64114942888489</v>
      </c>
      <c r="AC63" s="23">
        <v>657.4058492068765</v>
      </c>
      <c r="AD63" s="23">
        <v>645.59924176457594</v>
      </c>
      <c r="AE63" s="23">
        <v>628.3416287640008</v>
      </c>
      <c r="AF63" s="23">
        <v>562.19201589031638</v>
      </c>
      <c r="AG63" s="28">
        <v>607.93383594053319</v>
      </c>
      <c r="AH63" s="28">
        <v>662.68453642950976</v>
      </c>
      <c r="AI63" s="28">
        <v>630.67237395252255</v>
      </c>
      <c r="AJ63" s="28">
        <v>611.91206695617223</v>
      </c>
      <c r="AK63" s="28">
        <v>675.44021703738849</v>
      </c>
      <c r="AL63" s="28">
        <v>743.8760152772727</v>
      </c>
      <c r="AM63" s="28">
        <v>664.85975970771108</v>
      </c>
      <c r="AN63" s="28">
        <v>577.8378321132227</v>
      </c>
      <c r="AO63" s="28">
        <v>717.14275187604085</v>
      </c>
      <c r="AP63" s="28">
        <v>653.17773811534119</v>
      </c>
      <c r="AQ63" s="28">
        <v>641.18918873934354</v>
      </c>
      <c r="AR63" s="28">
        <v>565.85828987453988</v>
      </c>
      <c r="AS63" s="28">
        <v>632.37185558890405</v>
      </c>
      <c r="AT63" s="28">
        <v>596.00828300870774</v>
      </c>
      <c r="AU63" s="28">
        <v>632.14681069729875</v>
      </c>
      <c r="AV63" s="28">
        <v>567.42944054557972</v>
      </c>
      <c r="AW63" s="28">
        <v>661.78339354683135</v>
      </c>
      <c r="AX63" s="36" t="s">
        <v>27</v>
      </c>
      <c r="AY63" s="36" t="s">
        <v>27</v>
      </c>
      <c r="AZ63" s="36" t="s">
        <v>27</v>
      </c>
      <c r="BA63" s="28">
        <v>709.23500000000001</v>
      </c>
      <c r="BB63" s="28">
        <v>2899.7411710685424</v>
      </c>
      <c r="BC63" s="28">
        <v>748.19348210503767</v>
      </c>
      <c r="BD63" s="28">
        <v>625.61949202487688</v>
      </c>
      <c r="BE63" s="28">
        <v>727.73196986820676</v>
      </c>
      <c r="BF63" s="28">
        <v>735.85380960000043</v>
      </c>
      <c r="BG63" s="28">
        <v>785.28610999999989</v>
      </c>
      <c r="BH63" s="28">
        <v>685.95186285690738</v>
      </c>
      <c r="BI63" s="28">
        <v>787.47255470000016</v>
      </c>
      <c r="BJ63" s="28">
        <v>795.00039300000014</v>
      </c>
      <c r="BK63" s="28">
        <v>815.55184260000021</v>
      </c>
      <c r="BL63" s="28">
        <v>810.14499999999998</v>
      </c>
      <c r="BM63" s="28">
        <v>870.18600000000004</v>
      </c>
      <c r="BN63" s="28">
        <v>829.51340538488182</v>
      </c>
      <c r="BO63" s="28">
        <v>841.55600000000004</v>
      </c>
      <c r="BP63" s="28">
        <v>818.38199999999995</v>
      </c>
      <c r="BQ63" s="28">
        <v>1732.672</v>
      </c>
      <c r="BR63" s="28">
        <v>587.90499999999997</v>
      </c>
      <c r="BS63" s="28">
        <v>715.53399999999999</v>
      </c>
    </row>
    <row r="64" spans="1:71" ht="20.100000000000001" customHeight="1" x14ac:dyDescent="0.2">
      <c r="A64" s="22" t="s">
        <v>188</v>
      </c>
      <c r="B64" s="23">
        <v>1007.153346342535</v>
      </c>
      <c r="C64" s="23">
        <v>1021.3526799590467</v>
      </c>
      <c r="D64" s="23">
        <v>955.37578220525643</v>
      </c>
      <c r="E64" s="23">
        <v>948.31737129448743</v>
      </c>
      <c r="F64" s="23">
        <v>997.37162827268116</v>
      </c>
      <c r="G64" s="23">
        <v>1001.4833077289607</v>
      </c>
      <c r="H64" s="23">
        <v>862.09396995001271</v>
      </c>
      <c r="I64" s="23">
        <v>917.79965007675787</v>
      </c>
      <c r="J64" s="23">
        <v>922.36845771993728</v>
      </c>
      <c r="K64" s="23">
        <v>844.0459831556218</v>
      </c>
      <c r="L64" s="23">
        <v>798.98546234779531</v>
      </c>
      <c r="M64" s="23">
        <v>866.15183932637092</v>
      </c>
      <c r="N64" s="23">
        <v>809.08309473383702</v>
      </c>
      <c r="O64" s="23">
        <v>769.52559272596613</v>
      </c>
      <c r="P64" s="23">
        <v>684.73522189008077</v>
      </c>
      <c r="Q64" s="23">
        <v>741.50366369421465</v>
      </c>
      <c r="R64" s="36" t="s">
        <v>27</v>
      </c>
      <c r="S64" s="24">
        <v>682.64854558629236</v>
      </c>
      <c r="T64" s="23">
        <v>666.64781433801318</v>
      </c>
      <c r="U64" s="23">
        <v>667.05932535438342</v>
      </c>
      <c r="V64" s="23">
        <v>668.52725462431397</v>
      </c>
      <c r="W64" s="23">
        <v>887.87947272125359</v>
      </c>
      <c r="X64" s="23">
        <v>597.21814718807093</v>
      </c>
      <c r="Y64" s="23">
        <v>644.83437319345467</v>
      </c>
      <c r="Z64" s="23">
        <v>693.91649758851315</v>
      </c>
      <c r="AA64" s="23">
        <v>632.36731255377208</v>
      </c>
      <c r="AB64" s="23">
        <v>618.60702606436234</v>
      </c>
      <c r="AC64" s="23">
        <v>722.63839567605817</v>
      </c>
      <c r="AD64" s="23">
        <v>723.3916802537517</v>
      </c>
      <c r="AE64" s="23">
        <v>612.24835928221273</v>
      </c>
      <c r="AF64" s="23">
        <v>658.12033377556907</v>
      </c>
      <c r="AG64" s="28">
        <v>703.09833240044475</v>
      </c>
      <c r="AH64" s="28">
        <v>717.93994158166913</v>
      </c>
      <c r="AI64" s="28">
        <v>680.5128757709241</v>
      </c>
      <c r="AJ64" s="28">
        <v>612.60664874842632</v>
      </c>
      <c r="AK64" s="28">
        <v>729.39697657814349</v>
      </c>
      <c r="AL64" s="28">
        <v>732.64077093418939</v>
      </c>
      <c r="AM64" s="28">
        <v>671.04108117007922</v>
      </c>
      <c r="AN64" s="28">
        <v>609.33089839659874</v>
      </c>
      <c r="AO64" s="28">
        <v>685.17053497294319</v>
      </c>
      <c r="AP64" s="28">
        <v>736.58602644379323</v>
      </c>
      <c r="AQ64" s="28">
        <v>636.23227417522662</v>
      </c>
      <c r="AR64" s="28">
        <v>636.48870141449629</v>
      </c>
      <c r="AS64" s="28">
        <v>701.85465427527117</v>
      </c>
      <c r="AT64" s="28">
        <v>681.16455380070101</v>
      </c>
      <c r="AU64" s="28">
        <v>738.70684268770242</v>
      </c>
      <c r="AV64" s="28">
        <v>603.68100946252184</v>
      </c>
      <c r="AW64" s="28">
        <v>689.35476112244407</v>
      </c>
      <c r="AX64" s="36" t="s">
        <v>27</v>
      </c>
      <c r="AY64" s="36" t="s">
        <v>27</v>
      </c>
      <c r="AZ64" s="36" t="s">
        <v>27</v>
      </c>
      <c r="BA64" s="28">
        <v>736.39499999999998</v>
      </c>
      <c r="BB64" s="28">
        <v>706.16851846432849</v>
      </c>
      <c r="BC64" s="28">
        <v>711.55460678953432</v>
      </c>
      <c r="BD64" s="28">
        <v>675.86916383293249</v>
      </c>
      <c r="BE64" s="28">
        <v>751.07995947543111</v>
      </c>
      <c r="BF64" s="28">
        <v>754.23762960000033</v>
      </c>
      <c r="BG64" s="28">
        <v>794.17511999999988</v>
      </c>
      <c r="BH64" s="28">
        <v>704.79716736314174</v>
      </c>
      <c r="BI64" s="28">
        <v>740.39707610000016</v>
      </c>
      <c r="BJ64" s="28">
        <v>808.38226260000022</v>
      </c>
      <c r="BK64" s="28">
        <v>844.04032020000011</v>
      </c>
      <c r="BL64" s="28">
        <v>748.51199999999994</v>
      </c>
      <c r="BM64" s="28">
        <v>792.072</v>
      </c>
      <c r="BN64" s="28">
        <v>795.64749415583708</v>
      </c>
      <c r="BO64" s="28">
        <v>800.822</v>
      </c>
      <c r="BP64" s="28">
        <v>728.77300000000002</v>
      </c>
      <c r="BQ64" s="28">
        <v>458.34199999999998</v>
      </c>
      <c r="BR64" s="28">
        <v>502.61700000000002</v>
      </c>
      <c r="BS64" s="28">
        <v>678.04</v>
      </c>
    </row>
    <row r="65" spans="1:71" ht="20.100000000000001" customHeight="1" x14ac:dyDescent="0.2">
      <c r="A65" s="22" t="s">
        <v>189</v>
      </c>
      <c r="B65" s="23">
        <v>552.68580158875272</v>
      </c>
      <c r="C65" s="23">
        <v>619.57338507766087</v>
      </c>
      <c r="D65" s="23">
        <v>546.50133985827381</v>
      </c>
      <c r="E65" s="23">
        <v>616.80654383209469</v>
      </c>
      <c r="F65" s="23">
        <v>570.52412395203942</v>
      </c>
      <c r="G65" s="23">
        <v>692.94439721806248</v>
      </c>
      <c r="H65" s="23">
        <v>624.82293714569141</v>
      </c>
      <c r="I65" s="23">
        <v>667.36428022293524</v>
      </c>
      <c r="J65" s="23">
        <v>655.28978638877265</v>
      </c>
      <c r="K65" s="23">
        <v>675.59302213637682</v>
      </c>
      <c r="L65" s="23">
        <v>619.47304284089284</v>
      </c>
      <c r="M65" s="23">
        <v>668.12315944306056</v>
      </c>
      <c r="N65" s="23">
        <v>644.03536115593374</v>
      </c>
      <c r="O65" s="23">
        <v>740.09190983116537</v>
      </c>
      <c r="P65" s="23">
        <v>692.62831776934649</v>
      </c>
      <c r="Q65" s="23">
        <v>704.20848743920408</v>
      </c>
      <c r="R65" s="36" t="s">
        <v>27</v>
      </c>
      <c r="S65" s="24">
        <v>709.98535846888103</v>
      </c>
      <c r="T65" s="23">
        <v>609.81260949962439</v>
      </c>
      <c r="U65" s="23">
        <v>621.62215441706076</v>
      </c>
      <c r="V65" s="23">
        <v>662.46543410015977</v>
      </c>
      <c r="W65" s="23">
        <v>507.89158623509553</v>
      </c>
      <c r="X65" s="23">
        <v>639.91266207979299</v>
      </c>
      <c r="Y65" s="23">
        <v>657.8004389605702</v>
      </c>
      <c r="Z65" s="23">
        <v>608.56226795417456</v>
      </c>
      <c r="AA65" s="23">
        <v>623.55476132308183</v>
      </c>
      <c r="AB65" s="23">
        <v>624.96632316850639</v>
      </c>
      <c r="AC65" s="23">
        <v>735.0625706572946</v>
      </c>
      <c r="AD65" s="23">
        <v>664.88622456836322</v>
      </c>
      <c r="AE65" s="23">
        <v>675.87837133404321</v>
      </c>
      <c r="AF65" s="23">
        <v>635.45908989733971</v>
      </c>
      <c r="AG65" s="28">
        <v>763.86817772688232</v>
      </c>
      <c r="AH65" s="28">
        <v>669.90865757689812</v>
      </c>
      <c r="AI65" s="28">
        <v>717.66294894563487</v>
      </c>
      <c r="AJ65" s="28">
        <v>590.9110603969367</v>
      </c>
      <c r="AK65" s="28">
        <v>647.32444621554441</v>
      </c>
      <c r="AL65" s="28">
        <v>720.50362185070492</v>
      </c>
      <c r="AM65" s="28">
        <v>730.06223218644629</v>
      </c>
      <c r="AN65" s="28">
        <v>650.73865882544442</v>
      </c>
      <c r="AO65" s="28">
        <v>741.23375451607285</v>
      </c>
      <c r="AP65" s="28">
        <v>730.60229542059267</v>
      </c>
      <c r="AQ65" s="28">
        <v>735.79046937725263</v>
      </c>
      <c r="AR65" s="28">
        <v>665.22803539184281</v>
      </c>
      <c r="AS65" s="28">
        <v>677.69557323206323</v>
      </c>
      <c r="AT65" s="28">
        <v>750.84509983937357</v>
      </c>
      <c r="AU65" s="28">
        <v>745.8537504390838</v>
      </c>
      <c r="AV65" s="28">
        <v>637.70199159768129</v>
      </c>
      <c r="AW65" s="28">
        <v>721.93268900888336</v>
      </c>
      <c r="AX65" s="36" t="s">
        <v>27</v>
      </c>
      <c r="AY65" s="36" t="s">
        <v>27</v>
      </c>
      <c r="AZ65" s="36" t="s">
        <v>27</v>
      </c>
      <c r="BA65" s="28">
        <v>609.99799999999993</v>
      </c>
      <c r="BB65" s="28">
        <v>704.03351496563903</v>
      </c>
      <c r="BC65" s="28">
        <v>673.69726926322915</v>
      </c>
      <c r="BD65" s="28">
        <v>654.23415544509965</v>
      </c>
      <c r="BE65" s="28">
        <v>649.84279408281031</v>
      </c>
      <c r="BF65" s="28">
        <v>702.8599032000003</v>
      </c>
      <c r="BG65" s="28">
        <v>695.88999999999987</v>
      </c>
      <c r="BH65" s="28">
        <v>692.40881189312768</v>
      </c>
      <c r="BI65" s="28">
        <v>677.21470240000008</v>
      </c>
      <c r="BJ65" s="28">
        <v>688.71490380000023</v>
      </c>
      <c r="BK65" s="28">
        <v>699.6257928</v>
      </c>
      <c r="BL65" s="28">
        <v>695.96299999999997</v>
      </c>
      <c r="BM65" s="28">
        <v>678.59299999999996</v>
      </c>
      <c r="BN65" s="28">
        <v>716.55499028590134</v>
      </c>
      <c r="BO65" s="28">
        <v>749.33100000000002</v>
      </c>
      <c r="BP65" s="28">
        <v>747.29700000000003</v>
      </c>
      <c r="BQ65" s="28">
        <v>398.36900000000003</v>
      </c>
      <c r="BR65" s="28">
        <v>543.48500000000001</v>
      </c>
      <c r="BS65" s="28">
        <v>641.61900000000003</v>
      </c>
    </row>
    <row r="66" spans="1:71" ht="20.100000000000001" customHeight="1" x14ac:dyDescent="0.2">
      <c r="A66" s="22" t="s">
        <v>190</v>
      </c>
      <c r="B66" s="23">
        <v>539.33417565831451</v>
      </c>
      <c r="C66" s="23">
        <v>574.38070645583548</v>
      </c>
      <c r="D66" s="23">
        <v>582.38194151935727</v>
      </c>
      <c r="E66" s="23">
        <v>572.91749402299513</v>
      </c>
      <c r="F66" s="23">
        <v>607.9819439728841</v>
      </c>
      <c r="G66" s="23">
        <v>594.0096158440997</v>
      </c>
      <c r="H66" s="23">
        <v>622.9450582299595</v>
      </c>
      <c r="I66" s="23">
        <v>638.48629129108963</v>
      </c>
      <c r="J66" s="23">
        <v>639.45991425298996</v>
      </c>
      <c r="K66" s="23">
        <v>651.19232247395735</v>
      </c>
      <c r="L66" s="23">
        <v>651.77096524689807</v>
      </c>
      <c r="M66" s="23">
        <v>633.36254353818686</v>
      </c>
      <c r="N66" s="23">
        <v>663.10768773991992</v>
      </c>
      <c r="O66" s="23">
        <v>668.12121743886314</v>
      </c>
      <c r="P66" s="23">
        <v>616.89426623809777</v>
      </c>
      <c r="Q66" s="23">
        <v>631.07933601505374</v>
      </c>
      <c r="R66" s="36" t="s">
        <v>27</v>
      </c>
      <c r="S66" s="24">
        <v>643.34409294634361</v>
      </c>
      <c r="T66" s="23">
        <v>613.39322944352045</v>
      </c>
      <c r="U66" s="23">
        <v>617.99250978043176</v>
      </c>
      <c r="V66" s="23">
        <v>603.24799263261559</v>
      </c>
      <c r="W66" s="23">
        <v>541.23726055209374</v>
      </c>
      <c r="X66" s="23">
        <v>572.6609446162812</v>
      </c>
      <c r="Y66" s="23">
        <v>538.95997899555277</v>
      </c>
      <c r="Z66" s="23">
        <v>544.158835178147</v>
      </c>
      <c r="AA66" s="23">
        <v>589.81884594187682</v>
      </c>
      <c r="AB66" s="23">
        <v>557.9766067978486</v>
      </c>
      <c r="AC66" s="23">
        <v>536.48246535268572</v>
      </c>
      <c r="AD66" s="23">
        <v>582.46421233216029</v>
      </c>
      <c r="AE66" s="23">
        <v>599.41638030424906</v>
      </c>
      <c r="AF66" s="23">
        <v>570.58145394362612</v>
      </c>
      <c r="AG66" s="28">
        <v>550.52410401303541</v>
      </c>
      <c r="AH66" s="28">
        <v>581.99474155640598</v>
      </c>
      <c r="AI66" s="28">
        <v>598.84715836951659</v>
      </c>
      <c r="AJ66" s="28">
        <v>566.65349002483867</v>
      </c>
      <c r="AK66" s="28">
        <v>524.65009591695048</v>
      </c>
      <c r="AL66" s="28">
        <v>550.57839269366184</v>
      </c>
      <c r="AM66" s="28">
        <v>590.48690025718975</v>
      </c>
      <c r="AN66" s="28">
        <v>514.06496655273452</v>
      </c>
      <c r="AO66" s="28">
        <v>532.4744737760293</v>
      </c>
      <c r="AP66" s="28">
        <v>590.81991936415079</v>
      </c>
      <c r="AQ66" s="28">
        <v>602.53959332185502</v>
      </c>
      <c r="AR66" s="28">
        <v>549.00653868659242</v>
      </c>
      <c r="AS66" s="28">
        <v>511.6096995877453</v>
      </c>
      <c r="AT66" s="28">
        <v>540.06300924214861</v>
      </c>
      <c r="AU66" s="28">
        <v>551.78841415675242</v>
      </c>
      <c r="AV66" s="28">
        <v>554.84183835425404</v>
      </c>
      <c r="AW66" s="28">
        <v>513.56662539207582</v>
      </c>
      <c r="AX66" s="36" t="s">
        <v>27</v>
      </c>
      <c r="AY66" s="36" t="s">
        <v>27</v>
      </c>
      <c r="AZ66" s="36" t="s">
        <v>27</v>
      </c>
      <c r="BA66" s="28">
        <v>490.37699999999995</v>
      </c>
      <c r="BB66" s="28">
        <v>753.80279564760383</v>
      </c>
      <c r="BC66" s="28">
        <v>543.24894785762774</v>
      </c>
      <c r="BD66" s="28">
        <v>514.13116261925677</v>
      </c>
      <c r="BE66" s="28">
        <v>521.25685589945908</v>
      </c>
      <c r="BF66" s="28">
        <v>548.87621880000029</v>
      </c>
      <c r="BG66" s="28">
        <v>532.03971999999976</v>
      </c>
      <c r="BH66" s="28">
        <v>493.89226931387913</v>
      </c>
      <c r="BI66" s="28">
        <v>524.22495140000001</v>
      </c>
      <c r="BJ66" s="28">
        <v>491.7503844000002</v>
      </c>
      <c r="BK66" s="28">
        <v>530.37927360000003</v>
      </c>
      <c r="BL66" s="28">
        <v>495.45800000000003</v>
      </c>
      <c r="BM66" s="28">
        <v>489.82299999999998</v>
      </c>
      <c r="BN66" s="28">
        <v>480.81374802742772</v>
      </c>
      <c r="BO66" s="28">
        <v>542.95899999999995</v>
      </c>
      <c r="BP66" s="28">
        <v>512.40099999999995</v>
      </c>
      <c r="BQ66" s="28">
        <v>283.07900000000001</v>
      </c>
      <c r="BR66" s="28">
        <v>307.20600000000002</v>
      </c>
      <c r="BS66" s="28">
        <v>423.51499999999999</v>
      </c>
    </row>
    <row r="67" spans="1:71" ht="20.100000000000001" customHeight="1" x14ac:dyDescent="0.2">
      <c r="A67" s="22" t="s">
        <v>191</v>
      </c>
      <c r="B67" s="23">
        <v>304.73303510571867</v>
      </c>
      <c r="C67" s="23">
        <v>281.69600958429453</v>
      </c>
      <c r="D67" s="23">
        <v>338.0456138452675</v>
      </c>
      <c r="E67" s="23">
        <v>283.74876276076424</v>
      </c>
      <c r="F67" s="23">
        <v>352.90522388273843</v>
      </c>
      <c r="G67" s="23">
        <v>301.91796545900741</v>
      </c>
      <c r="H67" s="23">
        <v>332.15653993048443</v>
      </c>
      <c r="I67" s="23">
        <v>306.63425147145415</v>
      </c>
      <c r="J67" s="23">
        <v>278.28264489235278</v>
      </c>
      <c r="K67" s="23">
        <v>316.10665745921602</v>
      </c>
      <c r="L67" s="23">
        <v>291.17004183287679</v>
      </c>
      <c r="M67" s="23">
        <v>288.55516570319372</v>
      </c>
      <c r="N67" s="23">
        <v>275.02756753401007</v>
      </c>
      <c r="O67" s="23">
        <v>287.15582368769645</v>
      </c>
      <c r="P67" s="23">
        <v>292.77587948350157</v>
      </c>
      <c r="Q67" s="23">
        <v>262.14536838395651</v>
      </c>
      <c r="R67" s="36" t="s">
        <v>27</v>
      </c>
      <c r="S67" s="24">
        <v>270.40352711511508</v>
      </c>
      <c r="T67" s="23">
        <v>288.01152881293893</v>
      </c>
      <c r="U67" s="23">
        <v>217.80003503084265</v>
      </c>
      <c r="V67" s="23">
        <v>186.2944455905324</v>
      </c>
      <c r="W67" s="23">
        <v>314.16304135725369</v>
      </c>
      <c r="X67" s="23">
        <v>239.43986735590315</v>
      </c>
      <c r="Y67" s="23">
        <v>209.1792594188864</v>
      </c>
      <c r="Z67" s="23">
        <v>219.09873248928685</v>
      </c>
      <c r="AA67" s="23">
        <v>255.91186301713103</v>
      </c>
      <c r="AB67" s="23">
        <v>204.32902895073258</v>
      </c>
      <c r="AC67" s="23">
        <v>216.54819233067624</v>
      </c>
      <c r="AD67" s="23">
        <v>244.96407840344807</v>
      </c>
      <c r="AE67" s="23">
        <v>212.43484686601653</v>
      </c>
      <c r="AF67" s="23">
        <v>230.2394707881943</v>
      </c>
      <c r="AG67" s="28">
        <v>219.63156642149934</v>
      </c>
      <c r="AH67" s="28">
        <v>190.56776020888276</v>
      </c>
      <c r="AI67" s="28">
        <v>211.35946085057208</v>
      </c>
      <c r="AJ67" s="28">
        <v>217.0759602479815</v>
      </c>
      <c r="AK67" s="28">
        <v>202.25461825752643</v>
      </c>
      <c r="AL67" s="28">
        <v>171.10685805866331</v>
      </c>
      <c r="AM67" s="28">
        <v>224.2191073020644</v>
      </c>
      <c r="AN67" s="28">
        <v>178.41183926060484</v>
      </c>
      <c r="AO67" s="28">
        <v>183.35526136844609</v>
      </c>
      <c r="AP67" s="28">
        <v>187.8399327788502</v>
      </c>
      <c r="AQ67" s="28">
        <v>181.3964449932356</v>
      </c>
      <c r="AR67" s="28">
        <v>160.63784724030455</v>
      </c>
      <c r="AS67" s="28">
        <v>166.1684929055383</v>
      </c>
      <c r="AT67" s="28">
        <v>158.08404993217621</v>
      </c>
      <c r="AU67" s="28">
        <v>172.8582774304308</v>
      </c>
      <c r="AV67" s="28">
        <v>166.78421779740671</v>
      </c>
      <c r="AW67" s="28">
        <v>146.1318775541132</v>
      </c>
      <c r="AX67" s="36" t="s">
        <v>27</v>
      </c>
      <c r="AY67" s="36" t="s">
        <v>27</v>
      </c>
      <c r="AZ67" s="36" t="s">
        <v>27</v>
      </c>
      <c r="BA67" s="28">
        <v>177.67299999999994</v>
      </c>
      <c r="BB67" s="28">
        <v>547.69803968963743</v>
      </c>
      <c r="BC67" s="28">
        <v>147.10805970644705</v>
      </c>
      <c r="BD67" s="28">
        <v>170.9504579066666</v>
      </c>
      <c r="BE67" s="28">
        <v>158.15097941940797</v>
      </c>
      <c r="BF67" s="28">
        <v>165.58064250000007</v>
      </c>
      <c r="BG67" s="28">
        <v>164.03510999999997</v>
      </c>
      <c r="BH67" s="28">
        <v>153.11896512026732</v>
      </c>
      <c r="BI67" s="28">
        <v>147.28583580000003</v>
      </c>
      <c r="BJ67" s="28">
        <v>162.87973020000007</v>
      </c>
      <c r="BK67" s="28">
        <v>173.53211040000002</v>
      </c>
      <c r="BL67" s="28">
        <v>179.62100000000001</v>
      </c>
      <c r="BM67" s="28">
        <v>132.857</v>
      </c>
      <c r="BN67" s="28">
        <v>166.87801932037283</v>
      </c>
      <c r="BO67" s="28">
        <v>167.553</v>
      </c>
      <c r="BP67" s="28">
        <v>138.30099999999999</v>
      </c>
      <c r="BQ67" s="28">
        <v>190.499</v>
      </c>
      <c r="BR67" s="28">
        <v>94.875</v>
      </c>
      <c r="BS67" s="28">
        <v>92.45</v>
      </c>
    </row>
    <row r="68" spans="1:71" ht="20.100000000000001" customHeight="1" x14ac:dyDescent="0.2">
      <c r="A68" s="22" t="s">
        <v>136</v>
      </c>
      <c r="B68" s="23">
        <v>65.860252093242309</v>
      </c>
      <c r="C68" s="23">
        <v>59.535374778857978</v>
      </c>
      <c r="D68" s="23">
        <v>132.45080528077872</v>
      </c>
      <c r="E68" s="23">
        <v>79.85302718137504</v>
      </c>
      <c r="F68" s="23">
        <v>74.941768874367639</v>
      </c>
      <c r="G68" s="23">
        <v>61.032932846744245</v>
      </c>
      <c r="H68" s="23">
        <v>163.95357322079687</v>
      </c>
      <c r="I68" s="23">
        <v>56.55912912653821</v>
      </c>
      <c r="J68" s="23">
        <v>75.860545083356982</v>
      </c>
      <c r="K68" s="23">
        <v>67.950147948890958</v>
      </c>
      <c r="L68" s="23">
        <v>167.39486352438121</v>
      </c>
      <c r="M68" s="23">
        <v>58.417760281220133</v>
      </c>
      <c r="N68" s="23">
        <v>66.812926587555339</v>
      </c>
      <c r="O68" s="23">
        <v>49.505092215537076</v>
      </c>
      <c r="P68" s="23">
        <v>166.07822463490163</v>
      </c>
      <c r="Q68" s="23">
        <v>49.974245211081225</v>
      </c>
      <c r="R68" s="36" t="s">
        <v>27</v>
      </c>
      <c r="S68" s="24">
        <v>42.841053324238111</v>
      </c>
      <c r="T68" s="23">
        <v>122.18775803933369</v>
      </c>
      <c r="U68" s="23">
        <v>42.987592863361307</v>
      </c>
      <c r="V68" s="23">
        <v>42.921841970733674</v>
      </c>
      <c r="W68" s="23">
        <v>120.11845522289963</v>
      </c>
      <c r="X68" s="23">
        <v>147.44878435161652</v>
      </c>
      <c r="Y68" s="23">
        <v>34.501718679710535</v>
      </c>
      <c r="Z68" s="23">
        <v>60.682207167262632</v>
      </c>
      <c r="AA68" s="23">
        <v>49.015687175418151</v>
      </c>
      <c r="AB68" s="23">
        <v>133.94948596897618</v>
      </c>
      <c r="AC68" s="23">
        <v>58.261286056077822</v>
      </c>
      <c r="AD68" s="23">
        <v>33.980646740114182</v>
      </c>
      <c r="AE68" s="23">
        <v>43.235011888539205</v>
      </c>
      <c r="AF68" s="23">
        <v>109.88221767833745</v>
      </c>
      <c r="AG68" s="28">
        <v>33.036657040119465</v>
      </c>
      <c r="AH68" s="28">
        <v>55.175732926004656</v>
      </c>
      <c r="AI68" s="28">
        <v>41.216474772096952</v>
      </c>
      <c r="AJ68" s="28">
        <v>133.52702130847518</v>
      </c>
      <c r="AK68" s="28">
        <v>50.155534488398622</v>
      </c>
      <c r="AL68" s="28">
        <v>61.113826042315694</v>
      </c>
      <c r="AM68" s="28">
        <v>48.487033649206843</v>
      </c>
      <c r="AN68" s="28">
        <v>127.30222067404037</v>
      </c>
      <c r="AO68" s="28">
        <v>43.168278477093324</v>
      </c>
      <c r="AP68" s="28">
        <v>58.867986317682465</v>
      </c>
      <c r="AQ68" s="28">
        <v>44.50624799594825</v>
      </c>
      <c r="AR68" s="28">
        <v>160.52911315255747</v>
      </c>
      <c r="AS68" s="28">
        <v>44.231531311903929</v>
      </c>
      <c r="AT68" s="28">
        <v>46.083716912685915</v>
      </c>
      <c r="AU68" s="28">
        <v>57.305187476091881</v>
      </c>
      <c r="AV68" s="28">
        <v>144.01591125652575</v>
      </c>
      <c r="AW68" s="28">
        <v>34.750529068443363</v>
      </c>
      <c r="AX68" s="36" t="s">
        <v>27</v>
      </c>
      <c r="AY68" s="36" t="s">
        <v>27</v>
      </c>
      <c r="AZ68" s="36" t="s">
        <v>27</v>
      </c>
      <c r="BA68" s="28">
        <v>86.847999999999999</v>
      </c>
      <c r="BB68" s="30">
        <v>188.03830230133372</v>
      </c>
      <c r="BC68" s="30">
        <v>64.458067767936143</v>
      </c>
      <c r="BD68" s="30">
        <v>153.98136762426674</v>
      </c>
      <c r="BE68" s="30">
        <v>76.085494410684191</v>
      </c>
      <c r="BF68" s="30">
        <v>80.838303000000039</v>
      </c>
      <c r="BG68" s="30">
        <v>62.683629999999987</v>
      </c>
      <c r="BH68" s="30">
        <v>182.72849061330933</v>
      </c>
      <c r="BI68" s="30">
        <v>71.875592900000015</v>
      </c>
      <c r="BJ68" s="30">
        <v>66.081312000000011</v>
      </c>
      <c r="BK68" s="30">
        <v>46.546731000000008</v>
      </c>
      <c r="BL68" s="30">
        <v>154.38</v>
      </c>
      <c r="BM68" s="30">
        <v>87.457999999999998</v>
      </c>
      <c r="BN68" s="30">
        <v>65.125035163784588</v>
      </c>
      <c r="BO68" s="30">
        <v>54.929000000000002</v>
      </c>
      <c r="BP68" s="30">
        <v>191.041</v>
      </c>
      <c r="BQ68" s="30">
        <v>61.317</v>
      </c>
      <c r="BR68" s="30">
        <v>134.07599999999999</v>
      </c>
      <c r="BS68" s="30">
        <v>87.843000000000004</v>
      </c>
    </row>
    <row r="69" spans="1:71" ht="20.100000000000001" customHeight="1" thickBot="1" x14ac:dyDescent="0.25">
      <c r="A69" s="26" t="s">
        <v>28</v>
      </c>
      <c r="B69" s="26"/>
      <c r="C69" s="26"/>
      <c r="D69" s="26"/>
      <c r="E69" s="26"/>
      <c r="F69" s="26"/>
      <c r="G69" s="26"/>
      <c r="H69" s="26"/>
      <c r="I69" s="26"/>
      <c r="J69" s="26"/>
      <c r="K69" s="26"/>
      <c r="L69" s="26"/>
      <c r="M69" s="26"/>
      <c r="N69" s="26"/>
      <c r="O69" s="26"/>
      <c r="P69" s="26"/>
      <c r="Q69" s="26"/>
      <c r="R69" s="50"/>
      <c r="S69" s="26"/>
      <c r="T69" s="26"/>
      <c r="U69" s="26"/>
      <c r="V69" s="26"/>
      <c r="W69" s="26"/>
      <c r="X69" s="26"/>
      <c r="Y69" s="27"/>
      <c r="Z69" s="27"/>
      <c r="AA69" s="27"/>
      <c r="AB69" s="27"/>
      <c r="AC69" s="27"/>
      <c r="AD69" s="27"/>
      <c r="AE69" s="27"/>
      <c r="AF69" s="27"/>
      <c r="AG69" s="11"/>
      <c r="AH69" s="11"/>
      <c r="AI69" s="11"/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50"/>
      <c r="AY69" s="50"/>
      <c r="AZ69" s="50"/>
      <c r="BA69" s="51"/>
      <c r="BB69" s="11"/>
      <c r="BC69" s="11"/>
      <c r="BD69" s="11"/>
      <c r="BE69" s="11"/>
      <c r="BF69" s="11"/>
      <c r="BG69" s="11"/>
      <c r="BH69" s="11"/>
      <c r="BI69" s="11"/>
      <c r="BJ69" s="11"/>
      <c r="BK69" s="11"/>
      <c r="BL69" s="11"/>
      <c r="BM69" s="11"/>
      <c r="BN69" s="11"/>
      <c r="BO69" s="11"/>
      <c r="BP69" s="11"/>
      <c r="BQ69" s="11"/>
      <c r="BR69" s="11"/>
      <c r="BS69" s="11"/>
    </row>
    <row r="70" spans="1:71" ht="20.100000000000001" customHeight="1" x14ac:dyDescent="0.2">
      <c r="A70" s="22" t="s">
        <v>192</v>
      </c>
      <c r="B70" s="23">
        <v>1006.410009952516</v>
      </c>
      <c r="C70" s="23">
        <v>1066.7094122817718</v>
      </c>
      <c r="D70" s="23">
        <v>1039.9780727244038</v>
      </c>
      <c r="E70" s="23">
        <v>997.14593166656869</v>
      </c>
      <c r="F70" s="23">
        <v>1066.3300344614031</v>
      </c>
      <c r="G70" s="23">
        <v>1120.886820673938</v>
      </c>
      <c r="H70" s="23">
        <v>1026.1250964006181</v>
      </c>
      <c r="I70" s="23">
        <v>1049.1261721197002</v>
      </c>
      <c r="J70" s="23">
        <v>1071.8655643466736</v>
      </c>
      <c r="K70" s="23">
        <v>1061.2262206184162</v>
      </c>
      <c r="L70" s="23">
        <v>1040.0681095932416</v>
      </c>
      <c r="M70" s="23">
        <v>993.85556341319466</v>
      </c>
      <c r="N70" s="23">
        <v>1023.1596342204808</v>
      </c>
      <c r="O70" s="23">
        <v>991.28101938111251</v>
      </c>
      <c r="P70" s="23">
        <v>982.61792333820301</v>
      </c>
      <c r="Q70" s="23">
        <v>996.48549763786286</v>
      </c>
      <c r="R70" s="36" t="s">
        <v>27</v>
      </c>
      <c r="S70" s="24">
        <v>964.82250219113575</v>
      </c>
      <c r="T70" s="23">
        <v>899.00329157299052</v>
      </c>
      <c r="U70" s="23">
        <v>872.10148559661422</v>
      </c>
      <c r="V70" s="23">
        <v>943.791446389616</v>
      </c>
      <c r="W70" s="23">
        <v>950.37974322333207</v>
      </c>
      <c r="X70" s="23">
        <v>954.35498421307773</v>
      </c>
      <c r="Y70" s="23">
        <v>888.72750722531839</v>
      </c>
      <c r="Z70" s="23">
        <v>944.21436869561364</v>
      </c>
      <c r="AA70" s="23">
        <v>897.00911033435693</v>
      </c>
      <c r="AB70" s="23">
        <v>845.16435339149086</v>
      </c>
      <c r="AC70" s="23">
        <v>893.4760845771558</v>
      </c>
      <c r="AD70" s="23">
        <v>945.42585367896186</v>
      </c>
      <c r="AE70" s="23">
        <v>880.70282039594315</v>
      </c>
      <c r="AF70" s="23">
        <v>924.28109688712891</v>
      </c>
      <c r="AG70" s="28">
        <v>899.40979829931393</v>
      </c>
      <c r="AH70" s="28">
        <v>907.15783139150528</v>
      </c>
      <c r="AI70" s="28">
        <v>904.37706788991841</v>
      </c>
      <c r="AJ70" s="28">
        <v>923.30466501732633</v>
      </c>
      <c r="AK70" s="28">
        <v>915.92279032469264</v>
      </c>
      <c r="AL70" s="28">
        <v>964.65493472056289</v>
      </c>
      <c r="AM70" s="28">
        <v>905.11220515482114</v>
      </c>
      <c r="AN70" s="28">
        <v>831.22321631803743</v>
      </c>
      <c r="AO70" s="28">
        <v>887.63392327524741</v>
      </c>
      <c r="AP70" s="28">
        <v>932.42047790798165</v>
      </c>
      <c r="AQ70" s="28">
        <v>911.50078261868839</v>
      </c>
      <c r="AR70" s="28">
        <v>884.6199845057796</v>
      </c>
      <c r="AS70" s="28">
        <v>852.39588381821841</v>
      </c>
      <c r="AT70" s="28">
        <v>875.74440940468412</v>
      </c>
      <c r="AU70" s="28">
        <v>885.2639261869715</v>
      </c>
      <c r="AV70" s="28">
        <v>873.65537438766421</v>
      </c>
      <c r="AW70" s="28">
        <v>894.93289340147908</v>
      </c>
      <c r="AX70" s="36" t="s">
        <v>27</v>
      </c>
      <c r="AY70" s="36" t="s">
        <v>27</v>
      </c>
      <c r="AZ70" s="36" t="s">
        <v>27</v>
      </c>
      <c r="BA70" s="30">
        <v>898.4408704085422</v>
      </c>
      <c r="BB70" s="28">
        <v>995.88322575407369</v>
      </c>
      <c r="BC70" s="28">
        <v>1036.9536392535401</v>
      </c>
      <c r="BD70" s="28">
        <v>974.34816928828627</v>
      </c>
      <c r="BE70" s="28">
        <v>923.50601998060051</v>
      </c>
      <c r="BF70" s="28">
        <v>1012.7051428618111</v>
      </c>
      <c r="BG70" s="28">
        <v>1052.3592057623662</v>
      </c>
      <c r="BH70" s="28">
        <v>1054.4108700077716</v>
      </c>
      <c r="BI70" s="28">
        <v>989.40107980931123</v>
      </c>
      <c r="BJ70" s="28">
        <v>1097.3187186974221</v>
      </c>
      <c r="BK70" s="28">
        <v>1049.6146541499145</v>
      </c>
      <c r="BL70" s="28">
        <v>1087.271</v>
      </c>
      <c r="BM70" s="28">
        <v>996.13599999999997</v>
      </c>
      <c r="BN70" s="28">
        <v>1008.0223739688867</v>
      </c>
      <c r="BO70" s="28">
        <v>1003.149</v>
      </c>
      <c r="BP70" s="28">
        <v>1072.1030000000001</v>
      </c>
      <c r="BQ70" s="28">
        <v>549.86099999999999</v>
      </c>
      <c r="BR70" s="28">
        <v>477.399</v>
      </c>
      <c r="BS70" s="28">
        <v>537.399</v>
      </c>
    </row>
    <row r="71" spans="1:71" ht="20.100000000000001" customHeight="1" x14ac:dyDescent="0.2">
      <c r="A71" s="22" t="s">
        <v>138</v>
      </c>
      <c r="B71" s="23">
        <v>841.73294370257599</v>
      </c>
      <c r="C71" s="23">
        <v>765.503363745294</v>
      </c>
      <c r="D71" s="23">
        <v>796.77793580394462</v>
      </c>
      <c r="E71" s="23">
        <v>807.7481996792153</v>
      </c>
      <c r="F71" s="23">
        <v>859.63115715351671</v>
      </c>
      <c r="G71" s="23">
        <v>801.79209230562412</v>
      </c>
      <c r="H71" s="23">
        <v>881.91560444150946</v>
      </c>
      <c r="I71" s="23">
        <v>817.63877284841249</v>
      </c>
      <c r="J71" s="23">
        <v>816.24116966750455</v>
      </c>
      <c r="K71" s="23">
        <v>835.6545205555866</v>
      </c>
      <c r="L71" s="23">
        <v>839.11275072278238</v>
      </c>
      <c r="M71" s="23">
        <v>818.83401363202972</v>
      </c>
      <c r="N71" s="23">
        <v>835.17876985960424</v>
      </c>
      <c r="O71" s="23">
        <v>836.49605672889516</v>
      </c>
      <c r="P71" s="23">
        <v>766.56712450421662</v>
      </c>
      <c r="Q71" s="23">
        <v>785.81110819428898</v>
      </c>
      <c r="R71" s="36" t="s">
        <v>27</v>
      </c>
      <c r="S71" s="24">
        <v>700.00923031742332</v>
      </c>
      <c r="T71" s="23">
        <v>770.77349385474213</v>
      </c>
      <c r="U71" s="23">
        <v>693.92704769873012</v>
      </c>
      <c r="V71" s="23">
        <v>663.38359067779675</v>
      </c>
      <c r="W71" s="23">
        <v>714.69794304943196</v>
      </c>
      <c r="X71" s="23">
        <v>704.0077950373776</v>
      </c>
      <c r="Y71" s="23">
        <v>689.44538448094738</v>
      </c>
      <c r="Z71" s="23">
        <v>671.96055355852786</v>
      </c>
      <c r="AA71" s="23">
        <v>662.67478903709275</v>
      </c>
      <c r="AB71" s="23">
        <v>713.40784708848787</v>
      </c>
      <c r="AC71" s="23">
        <v>723.21170509940112</v>
      </c>
      <c r="AD71" s="23">
        <v>710.8305449040655</v>
      </c>
      <c r="AE71" s="23">
        <v>700.44198526662399</v>
      </c>
      <c r="AF71" s="23">
        <v>627.29427857594794</v>
      </c>
      <c r="AG71" s="28">
        <v>704.24450998736734</v>
      </c>
      <c r="AH71" s="28">
        <v>681.89649322858372</v>
      </c>
      <c r="AI71" s="28">
        <v>721.04277012695468</v>
      </c>
      <c r="AJ71" s="28">
        <v>651.6438636949174</v>
      </c>
      <c r="AK71" s="28">
        <v>750.03700247301856</v>
      </c>
      <c r="AL71" s="28">
        <v>769.22304267805794</v>
      </c>
      <c r="AM71" s="28">
        <v>796.22642582097183</v>
      </c>
      <c r="AN71" s="28">
        <v>676.55191412792362</v>
      </c>
      <c r="AO71" s="28">
        <v>812.45218157468025</v>
      </c>
      <c r="AP71" s="28">
        <v>787.82246452977279</v>
      </c>
      <c r="AQ71" s="28">
        <v>700.67367828846477</v>
      </c>
      <c r="AR71" s="28">
        <v>698.8717680039066</v>
      </c>
      <c r="AS71" s="28">
        <v>766.73370886186012</v>
      </c>
      <c r="AT71" s="28">
        <v>753.00031214696662</v>
      </c>
      <c r="AU71" s="28">
        <v>817.42054570368362</v>
      </c>
      <c r="AV71" s="28">
        <v>721.51267752307604</v>
      </c>
      <c r="AW71" s="28">
        <v>782.0489757332399</v>
      </c>
      <c r="AX71" s="36" t="s">
        <v>27</v>
      </c>
      <c r="AY71" s="36" t="s">
        <v>27</v>
      </c>
      <c r="AZ71" s="36" t="s">
        <v>27</v>
      </c>
      <c r="BA71" s="30">
        <v>806.47606737940589</v>
      </c>
      <c r="BB71" s="28">
        <v>792.46928361342634</v>
      </c>
      <c r="BC71" s="28">
        <v>730.67702524958747</v>
      </c>
      <c r="BD71" s="28">
        <v>762.70330339647683</v>
      </c>
      <c r="BE71" s="28">
        <v>733.28111342374427</v>
      </c>
      <c r="BF71" s="28">
        <v>786.55586395335081</v>
      </c>
      <c r="BG71" s="28">
        <v>774.47775684541193</v>
      </c>
      <c r="BH71" s="28">
        <v>713.23520753116759</v>
      </c>
      <c r="BI71" s="28">
        <v>759.39986351737582</v>
      </c>
      <c r="BJ71" s="28">
        <v>769.07076643932453</v>
      </c>
      <c r="BK71" s="28">
        <v>748.32025367104552</v>
      </c>
      <c r="BL71" s="28">
        <v>784.85</v>
      </c>
      <c r="BM71" s="28">
        <v>727.33799999999997</v>
      </c>
      <c r="BN71" s="28">
        <v>791.35414583792533</v>
      </c>
      <c r="BO71" s="28">
        <v>833.505</v>
      </c>
      <c r="BP71" s="28">
        <v>827.80799999999999</v>
      </c>
      <c r="BQ71" s="28">
        <v>442.392</v>
      </c>
      <c r="BR71" s="28">
        <v>436.37799999999999</v>
      </c>
      <c r="BS71" s="28">
        <v>523.11800000000005</v>
      </c>
    </row>
    <row r="72" spans="1:71" ht="20.100000000000001" customHeight="1" x14ac:dyDescent="0.2">
      <c r="A72" s="22" t="s">
        <v>139</v>
      </c>
      <c r="B72" s="23">
        <v>527.25212098161853</v>
      </c>
      <c r="C72" s="23">
        <v>574.55229295876984</v>
      </c>
      <c r="D72" s="23">
        <v>605.18975021010272</v>
      </c>
      <c r="E72" s="23">
        <v>594.37896184928945</v>
      </c>
      <c r="F72" s="23">
        <v>607.31603925902698</v>
      </c>
      <c r="G72" s="23">
        <v>625.39161905898391</v>
      </c>
      <c r="H72" s="23">
        <v>563.59539847877272</v>
      </c>
      <c r="I72" s="23">
        <v>559.93578706125254</v>
      </c>
      <c r="J72" s="23">
        <v>623.00848688314909</v>
      </c>
      <c r="K72" s="23">
        <v>616.84637451364006</v>
      </c>
      <c r="L72" s="23">
        <v>571.59661327998401</v>
      </c>
      <c r="M72" s="23">
        <v>576.02497591883127</v>
      </c>
      <c r="N72" s="23">
        <v>577.70979272766851</v>
      </c>
      <c r="O72" s="23">
        <v>584.58211935838608</v>
      </c>
      <c r="P72" s="23">
        <v>549.22697243734501</v>
      </c>
      <c r="Q72" s="23">
        <v>531.28584005280288</v>
      </c>
      <c r="R72" s="36" t="s">
        <v>27</v>
      </c>
      <c r="S72" s="24">
        <v>580.16146738222085</v>
      </c>
      <c r="T72" s="23">
        <v>467.08583002688806</v>
      </c>
      <c r="U72" s="23">
        <v>518.03040080017331</v>
      </c>
      <c r="V72" s="23">
        <v>512.45809925946799</v>
      </c>
      <c r="W72" s="23">
        <v>549.04470324217209</v>
      </c>
      <c r="X72" s="23">
        <v>486.64320045955139</v>
      </c>
      <c r="Y72" s="23">
        <v>476.95788125425707</v>
      </c>
      <c r="Z72" s="23">
        <v>520.68679778709816</v>
      </c>
      <c r="AA72" s="23">
        <v>538.35746706202644</v>
      </c>
      <c r="AB72" s="23">
        <v>521.33163227405169</v>
      </c>
      <c r="AC72" s="23">
        <v>579.39737266694146</v>
      </c>
      <c r="AD72" s="23">
        <v>560.51603431374508</v>
      </c>
      <c r="AE72" s="23">
        <v>526.40596853536374</v>
      </c>
      <c r="AF72" s="23">
        <v>560.11698385083355</v>
      </c>
      <c r="AG72" s="28">
        <v>566.35192998103753</v>
      </c>
      <c r="AH72" s="28">
        <v>566.20033434696995</v>
      </c>
      <c r="AI72" s="28">
        <v>556.19952028160378</v>
      </c>
      <c r="AJ72" s="28">
        <v>488.06995196629845</v>
      </c>
      <c r="AK72" s="28">
        <v>464.0921558254816</v>
      </c>
      <c r="AL72" s="28">
        <v>559.1122824744325</v>
      </c>
      <c r="AM72" s="28">
        <v>468.2990399593038</v>
      </c>
      <c r="AN72" s="28">
        <v>526.04101715002093</v>
      </c>
      <c r="AO72" s="28">
        <v>457.59200780334788</v>
      </c>
      <c r="AP72" s="28">
        <v>532.23211298093759</v>
      </c>
      <c r="AQ72" s="28">
        <v>525.326388991096</v>
      </c>
      <c r="AR72" s="28">
        <v>501.31523089803818</v>
      </c>
      <c r="AS72" s="28">
        <v>499.59869578893546</v>
      </c>
      <c r="AT72" s="28">
        <v>540.32810008016304</v>
      </c>
      <c r="AU72" s="28">
        <v>513.90151391133213</v>
      </c>
      <c r="AV72" s="28">
        <v>477.40097855648196</v>
      </c>
      <c r="AW72" s="28">
        <v>456.74535874565356</v>
      </c>
      <c r="AX72" s="36" t="s">
        <v>27</v>
      </c>
      <c r="AY72" s="36" t="s">
        <v>27</v>
      </c>
      <c r="AZ72" s="36" t="s">
        <v>27</v>
      </c>
      <c r="BA72" s="30">
        <v>488.29719677028714</v>
      </c>
      <c r="BB72" s="28">
        <v>495.09771192941008</v>
      </c>
      <c r="BC72" s="28">
        <v>476.54070637070487</v>
      </c>
      <c r="BD72" s="28">
        <v>446.3400229668473</v>
      </c>
      <c r="BE72" s="28">
        <v>506.1507819373652</v>
      </c>
      <c r="BF72" s="28">
        <v>563.56531282866706</v>
      </c>
      <c r="BG72" s="28">
        <v>522.74698686051829</v>
      </c>
      <c r="BH72" s="28">
        <v>577.55664022164524</v>
      </c>
      <c r="BI72" s="28">
        <v>493.28627387316754</v>
      </c>
      <c r="BJ72" s="28">
        <v>544.14595630879774</v>
      </c>
      <c r="BK72" s="28">
        <v>581.19484337506799</v>
      </c>
      <c r="BL72" s="28">
        <v>555.35299999999995</v>
      </c>
      <c r="BM72" s="28">
        <v>512.77200000000005</v>
      </c>
      <c r="BN72" s="28">
        <v>583.49702354735234</v>
      </c>
      <c r="BO72" s="28">
        <v>593.00099999999998</v>
      </c>
      <c r="BP72" s="28">
        <v>661.05799999999999</v>
      </c>
      <c r="BQ72" s="28">
        <v>369.81900000000002</v>
      </c>
      <c r="BR72" s="28">
        <v>324.28399999999999</v>
      </c>
      <c r="BS72" s="28">
        <v>337.10500000000002</v>
      </c>
    </row>
    <row r="73" spans="1:71" ht="20.100000000000001" customHeight="1" x14ac:dyDescent="0.2">
      <c r="A73" s="22" t="s">
        <v>140</v>
      </c>
      <c r="B73" s="23">
        <v>497.86747150042703</v>
      </c>
      <c r="C73" s="23">
        <v>506.77023601862754</v>
      </c>
      <c r="D73" s="23">
        <v>462.09368751608253</v>
      </c>
      <c r="E73" s="23">
        <v>482.64344450373102</v>
      </c>
      <c r="F73" s="23">
        <v>447.36872919080929</v>
      </c>
      <c r="G73" s="23">
        <v>509.95663556688726</v>
      </c>
      <c r="H73" s="23">
        <v>464.71017664261029</v>
      </c>
      <c r="I73" s="23">
        <v>533.71509168882721</v>
      </c>
      <c r="J73" s="23">
        <v>450.77359532131874</v>
      </c>
      <c r="K73" s="23">
        <v>477.17590963967211</v>
      </c>
      <c r="L73" s="23">
        <v>426.54673701370456</v>
      </c>
      <c r="M73" s="23">
        <v>479.86991464608838</v>
      </c>
      <c r="N73" s="23">
        <v>450.69607773854239</v>
      </c>
      <c r="O73" s="23">
        <v>453.41206226064998</v>
      </c>
      <c r="P73" s="23">
        <v>477.75200033795227</v>
      </c>
      <c r="Q73" s="23">
        <v>468.23754406422444</v>
      </c>
      <c r="R73" s="36" t="s">
        <v>27</v>
      </c>
      <c r="S73" s="24">
        <v>469.85085556021158</v>
      </c>
      <c r="T73" s="23">
        <v>444.78777807802112</v>
      </c>
      <c r="U73" s="23">
        <v>419.75636229019102</v>
      </c>
      <c r="V73" s="23">
        <v>423.12580186239239</v>
      </c>
      <c r="W73" s="23">
        <v>440.8166154328664</v>
      </c>
      <c r="X73" s="23">
        <v>414.96590199037803</v>
      </c>
      <c r="Y73" s="23">
        <v>460.88601915323522</v>
      </c>
      <c r="Z73" s="23">
        <v>422.54374452931467</v>
      </c>
      <c r="AA73" s="23">
        <v>458.1754824570337</v>
      </c>
      <c r="AB73" s="23">
        <v>399.11719212825483</v>
      </c>
      <c r="AC73" s="23">
        <v>425.80771158012669</v>
      </c>
      <c r="AD73" s="23">
        <v>424.76217460914501</v>
      </c>
      <c r="AE73" s="23">
        <v>396.95266808689587</v>
      </c>
      <c r="AF73" s="23">
        <v>406.16015145357471</v>
      </c>
      <c r="AG73" s="28">
        <v>460.1524109151095</v>
      </c>
      <c r="AH73" s="28">
        <v>450.66348843066174</v>
      </c>
      <c r="AI73" s="28">
        <v>405.82193015956341</v>
      </c>
      <c r="AJ73" s="28">
        <v>397.84868094706803</v>
      </c>
      <c r="AK73" s="28">
        <v>419.11987743819242</v>
      </c>
      <c r="AL73" s="28">
        <v>435.00006306691023</v>
      </c>
      <c r="AM73" s="28">
        <v>455.39905586429325</v>
      </c>
      <c r="AN73" s="28">
        <v>371.52418545045947</v>
      </c>
      <c r="AO73" s="28">
        <v>455.58684488006338</v>
      </c>
      <c r="AP73" s="28">
        <v>455.22112846067898</v>
      </c>
      <c r="AQ73" s="28">
        <v>447.22723617918035</v>
      </c>
      <c r="AR73" s="28">
        <v>373.00959504521603</v>
      </c>
      <c r="AS73" s="28">
        <v>382.21798787251953</v>
      </c>
      <c r="AT73" s="28">
        <v>383.08990190025395</v>
      </c>
      <c r="AU73" s="28">
        <v>397.06019205185589</v>
      </c>
      <c r="AV73" s="28">
        <v>339.68215672440192</v>
      </c>
      <c r="AW73" s="28">
        <v>398.19919858830247</v>
      </c>
      <c r="AX73" s="36" t="s">
        <v>27</v>
      </c>
      <c r="AY73" s="36" t="s">
        <v>27</v>
      </c>
      <c r="AZ73" s="36" t="s">
        <v>27</v>
      </c>
      <c r="BA73" s="30">
        <v>378.11902004010813</v>
      </c>
      <c r="BB73" s="28">
        <v>388.63233803829985</v>
      </c>
      <c r="BC73" s="28">
        <v>372.55221861426253</v>
      </c>
      <c r="BD73" s="28">
        <v>353.12255635690269</v>
      </c>
      <c r="BE73" s="28">
        <v>441.97460087034568</v>
      </c>
      <c r="BF73" s="28">
        <v>395.70855965119443</v>
      </c>
      <c r="BG73" s="28">
        <v>422.65065960295465</v>
      </c>
      <c r="BH73" s="28">
        <v>342.87159538198398</v>
      </c>
      <c r="BI73" s="28">
        <v>403.56825559054494</v>
      </c>
      <c r="BJ73" s="28">
        <v>377.20854156972922</v>
      </c>
      <c r="BK73" s="28">
        <v>404.8782959378313</v>
      </c>
      <c r="BL73" s="28">
        <v>393.56299999999999</v>
      </c>
      <c r="BM73" s="28">
        <v>448.98</v>
      </c>
      <c r="BN73" s="28">
        <v>402.11815776681345</v>
      </c>
      <c r="BO73" s="28">
        <v>428.947</v>
      </c>
      <c r="BP73" s="28">
        <v>391.726</v>
      </c>
      <c r="BQ73" s="28">
        <v>211.739</v>
      </c>
      <c r="BR73" s="28">
        <v>172.29400000000001</v>
      </c>
      <c r="BS73" s="28">
        <v>252.839</v>
      </c>
    </row>
    <row r="74" spans="1:71" ht="20.100000000000001" customHeight="1" thickBot="1" x14ac:dyDescent="0.25">
      <c r="A74" s="39" t="s">
        <v>141</v>
      </c>
      <c r="B74" s="32">
        <v>311.12853243239368</v>
      </c>
      <c r="C74" s="32">
        <v>356.48143930698711</v>
      </c>
      <c r="D74" s="32">
        <v>298.6297328788865</v>
      </c>
      <c r="E74" s="32">
        <v>353.9798479493644</v>
      </c>
      <c r="F74" s="32">
        <v>299.47303406214428</v>
      </c>
      <c r="G74" s="32">
        <v>351.89863966883422</v>
      </c>
      <c r="H74" s="32">
        <v>326.4954656172111</v>
      </c>
      <c r="I74" s="32">
        <v>329.90952076411202</v>
      </c>
      <c r="J74" s="32">
        <v>336.52232225794512</v>
      </c>
      <c r="K74" s="32">
        <v>318.9989262712914</v>
      </c>
      <c r="L74" s="32">
        <v>311.91934889949721</v>
      </c>
      <c r="M74" s="32">
        <v>357.16011418525557</v>
      </c>
      <c r="N74" s="32">
        <v>299.82508067377711</v>
      </c>
      <c r="O74" s="32">
        <v>335.75389269608132</v>
      </c>
      <c r="P74" s="32">
        <v>298.43357764648982</v>
      </c>
      <c r="Q74" s="32">
        <v>323.83971130775438</v>
      </c>
      <c r="R74" s="40" t="s">
        <v>27</v>
      </c>
      <c r="S74" s="33">
        <v>317.37722542286286</v>
      </c>
      <c r="T74" s="32">
        <v>274.39880537759285</v>
      </c>
      <c r="U74" s="32">
        <v>280.1906341575413</v>
      </c>
      <c r="V74" s="32">
        <v>247.62851424230715</v>
      </c>
      <c r="W74" s="32">
        <v>318.49007598837045</v>
      </c>
      <c r="X74" s="32">
        <v>256.41363250031139</v>
      </c>
      <c r="Y74" s="32">
        <v>277.44648074088218</v>
      </c>
      <c r="Z74" s="32">
        <v>254.67849601683511</v>
      </c>
      <c r="AA74" s="32">
        <v>277.83105102140428</v>
      </c>
      <c r="AB74" s="32">
        <v>265.44859549702556</v>
      </c>
      <c r="AC74" s="32">
        <v>304.50588535604373</v>
      </c>
      <c r="AD74" s="32">
        <v>253.75147655649639</v>
      </c>
      <c r="AE74" s="32">
        <v>267.05115615423455</v>
      </c>
      <c r="AF74" s="32">
        <v>248.62207120589838</v>
      </c>
      <c r="AG74" s="32">
        <v>247.93402435968611</v>
      </c>
      <c r="AH74" s="32">
        <v>272.35322288164963</v>
      </c>
      <c r="AI74" s="32">
        <v>292.83000420322634</v>
      </c>
      <c r="AJ74" s="32">
        <v>271.81908605721981</v>
      </c>
      <c r="AK74" s="32">
        <v>280.05006243256742</v>
      </c>
      <c r="AL74" s="32">
        <v>251.82916191684424</v>
      </c>
      <c r="AM74" s="32">
        <v>304.11938747330788</v>
      </c>
      <c r="AN74" s="32">
        <v>252.34608277620475</v>
      </c>
      <c r="AO74" s="32">
        <v>289.28009745328671</v>
      </c>
      <c r="AP74" s="32">
        <v>250.19771456103976</v>
      </c>
      <c r="AQ74" s="32">
        <v>256.92613252543237</v>
      </c>
      <c r="AR74" s="32">
        <v>279.93194730739293</v>
      </c>
      <c r="AS74" s="32">
        <v>232.98553055989206</v>
      </c>
      <c r="AT74" s="32">
        <v>220.08598920372538</v>
      </c>
      <c r="AU74" s="32">
        <v>285.01310503351732</v>
      </c>
      <c r="AV74" s="32">
        <v>262.20322182234543</v>
      </c>
      <c r="AW74" s="32">
        <v>235.59344922411611</v>
      </c>
      <c r="AX74" s="40" t="s">
        <v>27</v>
      </c>
      <c r="AY74" s="40" t="s">
        <v>27</v>
      </c>
      <c r="AZ74" s="40" t="s">
        <v>27</v>
      </c>
      <c r="BA74" s="52">
        <v>239.19284540165643</v>
      </c>
      <c r="BB74" s="53">
        <v>227.65861173333246</v>
      </c>
      <c r="BC74" s="53">
        <v>271.53684400171693</v>
      </c>
      <c r="BD74" s="53">
        <v>258.27174744458597</v>
      </c>
      <c r="BE74" s="53">
        <v>279.23553694394388</v>
      </c>
      <c r="BF74" s="53">
        <v>229.71162740497789</v>
      </c>
      <c r="BG74" s="53">
        <v>261.87508092874833</v>
      </c>
      <c r="BH74" s="53">
        <v>224.82325401806406</v>
      </c>
      <c r="BI74" s="53">
        <v>302.8152405096011</v>
      </c>
      <c r="BJ74" s="53">
        <v>225.06500298472744</v>
      </c>
      <c r="BK74" s="53">
        <v>325.66802346614111</v>
      </c>
      <c r="BL74" s="53">
        <v>271.85399999999998</v>
      </c>
      <c r="BM74" s="53">
        <v>296.601</v>
      </c>
      <c r="BN74" s="53">
        <v>269.5409912172276</v>
      </c>
      <c r="BO74" s="53">
        <v>319.88900000000001</v>
      </c>
      <c r="BP74" s="53">
        <v>257.73399999999998</v>
      </c>
      <c r="BQ74" s="53">
        <v>173.155</v>
      </c>
      <c r="BR74" s="53">
        <v>144.09899999999999</v>
      </c>
      <c r="BS74" s="53">
        <v>179.01</v>
      </c>
    </row>
    <row r="75" spans="1:71" ht="12.75" x14ac:dyDescent="0.2"/>
    <row r="76" spans="1:71" ht="21" customHeight="1" x14ac:dyDescent="0.2">
      <c r="A76" s="75" t="s">
        <v>30</v>
      </c>
      <c r="B76" s="69"/>
      <c r="C76" s="69"/>
      <c r="D76" s="69"/>
      <c r="E76" s="69"/>
      <c r="F76" s="69"/>
      <c r="G76" s="69"/>
      <c r="H76" s="69"/>
      <c r="I76" s="69"/>
      <c r="J76" s="69"/>
      <c r="K76" s="69"/>
      <c r="L76" s="69"/>
      <c r="M76" s="69"/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  <c r="Y76" s="69"/>
      <c r="Z76" s="69"/>
      <c r="AA76" s="69"/>
      <c r="AB76" s="69"/>
      <c r="AC76" s="69"/>
      <c r="AD76" s="69"/>
      <c r="AE76" s="69"/>
      <c r="AF76" s="69"/>
      <c r="AG76" s="69"/>
      <c r="AH76" s="69"/>
      <c r="AI76" s="69"/>
      <c r="AJ76" s="42"/>
      <c r="AK76" s="42"/>
      <c r="AL76" s="42"/>
      <c r="AM76" s="42"/>
      <c r="AN76" s="42"/>
      <c r="AO76" s="42"/>
    </row>
    <row r="77" spans="1:71" s="9" customFormat="1" ht="21" customHeight="1" x14ac:dyDescent="0.2">
      <c r="A77" s="54" t="s">
        <v>193</v>
      </c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  <c r="AE77" s="54"/>
      <c r="AF77" s="54"/>
      <c r="AG77" s="54"/>
      <c r="AH77" s="54"/>
      <c r="AI77" s="54"/>
      <c r="AJ77" s="5"/>
      <c r="AK77" s="5"/>
      <c r="AL77" s="5"/>
      <c r="AM77" s="5"/>
      <c r="AN77" s="5"/>
      <c r="AO77" s="5"/>
    </row>
    <row r="78" spans="1:71" s="9" customFormat="1" ht="24" customHeight="1" x14ac:dyDescent="0.2">
      <c r="A78" s="69" t="s">
        <v>194</v>
      </c>
      <c r="B78" s="69"/>
      <c r="C78" s="69"/>
      <c r="D78" s="69"/>
      <c r="E78" s="69"/>
      <c r="F78" s="69"/>
      <c r="G78" s="69"/>
      <c r="H78" s="69"/>
      <c r="I78" s="69"/>
      <c r="J78" s="69"/>
      <c r="K78" s="69"/>
      <c r="L78" s="69"/>
      <c r="M78" s="69"/>
      <c r="N78" s="69"/>
      <c r="O78" s="69"/>
      <c r="P78" s="69"/>
      <c r="Q78" s="69"/>
      <c r="R78" s="69"/>
      <c r="S78" s="69"/>
      <c r="T78" s="69"/>
      <c r="U78" s="69"/>
      <c r="V78" s="69"/>
      <c r="W78" s="69"/>
      <c r="X78" s="69"/>
      <c r="Y78" s="69"/>
      <c r="Z78" s="69"/>
      <c r="AA78" s="69"/>
      <c r="AB78" s="69"/>
      <c r="AC78" s="69"/>
      <c r="AD78" s="69"/>
      <c r="AE78" s="69"/>
      <c r="AF78" s="69"/>
      <c r="AG78" s="69"/>
      <c r="AH78" s="69"/>
      <c r="AI78" s="69"/>
      <c r="AJ78" s="69"/>
      <c r="AK78" s="69"/>
      <c r="AL78" s="69"/>
      <c r="AM78" s="69"/>
      <c r="AN78" s="69"/>
      <c r="AO78" s="69"/>
      <c r="AP78" s="69"/>
      <c r="AQ78" s="69"/>
      <c r="AR78" s="69"/>
    </row>
    <row r="79" spans="1:71" s="9" customFormat="1" ht="24" customHeight="1" x14ac:dyDescent="0.2">
      <c r="A79" s="55" t="s">
        <v>195</v>
      </c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  <c r="AA79" s="55"/>
      <c r="AB79" s="55"/>
      <c r="AC79" s="55"/>
      <c r="AD79" s="5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</row>
    <row r="80" spans="1:71" ht="20.100000000000001" customHeight="1" x14ac:dyDescent="0.2">
      <c r="A80" s="69" t="s">
        <v>77</v>
      </c>
      <c r="B80" s="69"/>
      <c r="C80" s="69"/>
      <c r="D80" s="69"/>
      <c r="E80" s="69"/>
      <c r="F80" s="69"/>
      <c r="G80" s="69"/>
      <c r="H80" s="69"/>
      <c r="I80" s="69"/>
      <c r="J80" s="69"/>
      <c r="K80" s="69"/>
      <c r="L80" s="69"/>
      <c r="M80" s="69"/>
      <c r="N80" s="69"/>
      <c r="O80" s="69"/>
      <c r="P80" s="69"/>
      <c r="Q80" s="69"/>
      <c r="R80" s="69"/>
      <c r="S80" s="69"/>
      <c r="T80" s="69"/>
      <c r="U80" s="69"/>
      <c r="V80" s="69"/>
      <c r="W80" s="69"/>
      <c r="X80" s="69"/>
      <c r="Y80" s="69"/>
      <c r="Z80" s="69"/>
      <c r="AA80" s="69"/>
      <c r="AB80" s="69"/>
      <c r="AC80" s="69"/>
      <c r="AD80" s="69"/>
      <c r="AE80" s="69"/>
      <c r="AF80" s="69"/>
      <c r="AG80" s="69"/>
      <c r="AH80" s="69"/>
      <c r="AI80" s="69"/>
      <c r="AJ80" s="69"/>
      <c r="AK80" s="69"/>
      <c r="AL80" s="69"/>
      <c r="AM80" s="69"/>
      <c r="AN80" s="69"/>
      <c r="AO80" s="69"/>
      <c r="AP80" s="69"/>
      <c r="AQ80" s="69"/>
      <c r="AR80" s="69"/>
      <c r="AS80" s="69"/>
      <c r="AT80" s="69"/>
      <c r="AU80" s="69"/>
      <c r="AV80" s="69"/>
      <c r="AW80" s="69"/>
      <c r="AX80" s="69"/>
      <c r="AY80" s="69"/>
      <c r="AZ80" s="69"/>
      <c r="BA80" s="69"/>
      <c r="BB80" s="69"/>
      <c r="BK80" s="9"/>
      <c r="BL80" s="9"/>
      <c r="BM80" s="9"/>
      <c r="BN80" s="9"/>
      <c r="BO80" s="9"/>
      <c r="BP80" s="9"/>
      <c r="BQ80" s="9"/>
      <c r="BR80" s="9"/>
      <c r="BS80" s="9"/>
    </row>
    <row r="81" spans="1:71" s="9" customFormat="1" ht="27.75" customHeight="1" x14ac:dyDescent="0.2">
      <c r="A81" s="70" t="s">
        <v>143</v>
      </c>
      <c r="B81" s="70"/>
      <c r="C81" s="70"/>
      <c r="D81" s="70"/>
      <c r="E81" s="70"/>
      <c r="F81" s="70"/>
      <c r="G81" s="70"/>
      <c r="H81" s="70"/>
      <c r="I81" s="70"/>
      <c r="J81" s="70"/>
      <c r="K81" s="70"/>
      <c r="L81" s="70"/>
      <c r="M81" s="70"/>
      <c r="N81" s="70"/>
      <c r="O81" s="70"/>
      <c r="P81" s="70"/>
      <c r="Q81" s="70"/>
      <c r="R81" s="70"/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54"/>
      <c r="AK81" s="54"/>
      <c r="AL81" s="54"/>
      <c r="AM81" s="54"/>
      <c r="AN81" s="54"/>
      <c r="AO81" s="54"/>
    </row>
    <row r="82" spans="1:71" ht="30" customHeight="1" x14ac:dyDescent="0.2">
      <c r="A82" s="71" t="s">
        <v>144</v>
      </c>
      <c r="B82" s="71"/>
      <c r="C82" s="71"/>
      <c r="D82" s="71"/>
      <c r="E82" s="71"/>
      <c r="F82" s="71"/>
      <c r="G82" s="71"/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43"/>
      <c r="AK82" s="43"/>
      <c r="AL82" s="43"/>
      <c r="AM82" s="43"/>
      <c r="AN82" s="43"/>
      <c r="AO82" s="43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  <c r="BA82" s="44"/>
      <c r="BB82" s="44"/>
      <c r="BC82" s="44"/>
      <c r="BD82" s="44"/>
      <c r="BE82" s="44"/>
      <c r="BF82" s="44"/>
      <c r="BG82" s="44"/>
      <c r="BH82" s="44"/>
      <c r="BI82" s="44"/>
      <c r="BJ82" s="44"/>
      <c r="BK82" s="44"/>
      <c r="BL82" s="44"/>
      <c r="BM82" s="44"/>
      <c r="BN82" s="44"/>
      <c r="BO82" s="44"/>
      <c r="BP82" s="44"/>
      <c r="BQ82" s="44"/>
      <c r="BR82" s="44"/>
      <c r="BS82" s="44"/>
    </row>
    <row r="83" spans="1:71" ht="12.75" x14ac:dyDescent="0.2"/>
    <row r="84" spans="1:71" ht="12.75" x14ac:dyDescent="0.2"/>
    <row r="85" spans="1:71" ht="12.75" x14ac:dyDescent="0.2"/>
    <row r="86" spans="1:71" ht="12.75" x14ac:dyDescent="0.2"/>
    <row r="87" spans="1:71" ht="12.75" x14ac:dyDescent="0.2"/>
    <row r="88" spans="1:71" ht="12.75" x14ac:dyDescent="0.2"/>
    <row r="89" spans="1:71" ht="12.75" x14ac:dyDescent="0.2"/>
    <row r="90" spans="1:71" ht="12.75" x14ac:dyDescent="0.2"/>
    <row r="91" spans="1:71" ht="12.75" x14ac:dyDescent="0.2"/>
    <row r="92" spans="1:71" ht="12.75" x14ac:dyDescent="0.2"/>
    <row r="93" spans="1:71" ht="12.75" x14ac:dyDescent="0.2"/>
    <row r="94" spans="1:71" ht="12.75" x14ac:dyDescent="0.2"/>
    <row r="95" spans="1:71" ht="12.75" x14ac:dyDescent="0.2"/>
    <row r="96" spans="1:71" ht="12.75" x14ac:dyDescent="0.2"/>
    <row r="97" ht="12.75" x14ac:dyDescent="0.2"/>
    <row r="98" ht="12.75" x14ac:dyDescent="0.2"/>
    <row r="99" ht="12.75" x14ac:dyDescent="0.2"/>
    <row r="100" ht="12.75" x14ac:dyDescent="0.2"/>
    <row r="101" ht="12.75" x14ac:dyDescent="0.2"/>
    <row r="102" ht="12.75" x14ac:dyDescent="0.2"/>
    <row r="103" ht="12.75" x14ac:dyDescent="0.2"/>
    <row r="104" ht="12.75" x14ac:dyDescent="0.2"/>
    <row r="105" ht="12.75" x14ac:dyDescent="0.2"/>
    <row r="106" ht="12.75" x14ac:dyDescent="0.2"/>
    <row r="107" ht="12.75" x14ac:dyDescent="0.2"/>
    <row r="108" ht="12.75" x14ac:dyDescent="0.2"/>
    <row r="109" ht="12.75" x14ac:dyDescent="0.2"/>
    <row r="110" ht="12.75" x14ac:dyDescent="0.2"/>
    <row r="111" ht="12.75" x14ac:dyDescent="0.2"/>
    <row r="112" ht="12.75" x14ac:dyDescent="0.2"/>
    <row r="113" ht="12.75" x14ac:dyDescent="0.2"/>
    <row r="114" ht="12.75" x14ac:dyDescent="0.2"/>
    <row r="115" ht="12.75" x14ac:dyDescent="0.2"/>
    <row r="116" ht="12.75" x14ac:dyDescent="0.2"/>
    <row r="117" ht="12.75" x14ac:dyDescent="0.2"/>
    <row r="118" ht="12.75" x14ac:dyDescent="0.2"/>
    <row r="119" ht="12.75" x14ac:dyDescent="0.2"/>
    <row r="120" ht="12.75" x14ac:dyDescent="0.2"/>
    <row r="121" ht="12.75" x14ac:dyDescent="0.2"/>
    <row r="122" ht="12.75" x14ac:dyDescent="0.2"/>
    <row r="123" ht="12.75" x14ac:dyDescent="0.2"/>
    <row r="124" ht="12.75" x14ac:dyDescent="0.2"/>
    <row r="125" ht="12.75" x14ac:dyDescent="0.2"/>
    <row r="126" ht="12.75" x14ac:dyDescent="0.2"/>
    <row r="127" ht="12.75" x14ac:dyDescent="0.2"/>
    <row r="128" ht="12.75" customHeight="1" x14ac:dyDescent="0.2"/>
    <row r="129" ht="12.75" customHeight="1" x14ac:dyDescent="0.2"/>
    <row r="130" ht="12.75" customHeight="1" x14ac:dyDescent="0.2"/>
  </sheetData>
  <mergeCells count="8">
    <mergeCell ref="A81:AI81"/>
    <mergeCell ref="A82:AI82"/>
    <mergeCell ref="A1:AI1"/>
    <mergeCell ref="A2:AI2"/>
    <mergeCell ref="A3:AI3"/>
    <mergeCell ref="A76:AI76"/>
    <mergeCell ref="A78:AR78"/>
    <mergeCell ref="A80:BB80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scale="1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9B6E6-DFCF-4F7D-B2EC-B6082939EDE2}">
  <dimension ref="A1:G14"/>
  <sheetViews>
    <sheetView zoomScale="80" zoomScaleNormal="80" workbookViewId="0">
      <pane xSplit="1" ySplit="2" topLeftCell="B3" activePane="bottomRight" state="frozen"/>
      <selection pane="topRight" activeCell="B1" sqref="B1"/>
      <selection pane="bottomLeft" activeCell="A3" sqref="A3"/>
      <selection pane="bottomRight" sqref="A1:A2"/>
    </sheetView>
  </sheetViews>
  <sheetFormatPr baseColWidth="10" defaultRowHeight="12.75" x14ac:dyDescent="0.2"/>
  <cols>
    <col min="1" max="1" width="57.140625" style="59" customWidth="1"/>
    <col min="2" max="7" width="14.28515625" style="59" customWidth="1"/>
    <col min="8" max="16384" width="11.42578125" style="59"/>
  </cols>
  <sheetData>
    <row r="1" spans="1:7" ht="30" customHeight="1" x14ac:dyDescent="0.2">
      <c r="A1" s="78" t="s">
        <v>198</v>
      </c>
      <c r="B1" s="77" t="s">
        <v>200</v>
      </c>
      <c r="C1" s="77"/>
      <c r="D1" s="77" t="s">
        <v>201</v>
      </c>
      <c r="E1" s="77"/>
      <c r="F1" s="77" t="s">
        <v>202</v>
      </c>
      <c r="G1" s="77"/>
    </row>
    <row r="2" spans="1:7" x14ac:dyDescent="0.2">
      <c r="A2" s="78"/>
      <c r="B2" s="67" t="s">
        <v>196</v>
      </c>
      <c r="C2" s="67" t="s">
        <v>197</v>
      </c>
      <c r="D2" s="67" t="s">
        <v>196</v>
      </c>
      <c r="E2" s="67" t="s">
        <v>197</v>
      </c>
      <c r="F2" s="67" t="s">
        <v>196</v>
      </c>
      <c r="G2" s="67" t="s">
        <v>197</v>
      </c>
    </row>
    <row r="3" spans="1:7" x14ac:dyDescent="0.2">
      <c r="A3" t="s">
        <v>108</v>
      </c>
      <c r="B3" s="79">
        <v>-0.23378401506075641</v>
      </c>
      <c r="C3" s="79">
        <v>-0.23323694198445699</v>
      </c>
      <c r="D3" s="79">
        <v>-0.10632128942626151</v>
      </c>
      <c r="E3" s="79">
        <v>-0.3201698897523948</v>
      </c>
      <c r="F3" s="79">
        <v>-0.2027765752886812</v>
      </c>
      <c r="G3" s="79">
        <v>-0.15023495391288644</v>
      </c>
    </row>
    <row r="4" spans="1:7" x14ac:dyDescent="0.2">
      <c r="A4" t="s">
        <v>109</v>
      </c>
      <c r="B4" s="79">
        <v>-3.822871805065986E-2</v>
      </c>
      <c r="C4" s="79">
        <v>-0.41713384078973326</v>
      </c>
      <c r="D4" s="80">
        <v>6.9150594091027529E-3</v>
      </c>
      <c r="E4" s="79">
        <v>-0.28201270981048954</v>
      </c>
      <c r="F4" s="80">
        <v>0.16824071277413899</v>
      </c>
      <c r="G4" s="80">
        <v>2.2868967269396467E-2</v>
      </c>
    </row>
    <row r="5" spans="1:7" x14ac:dyDescent="0.2">
      <c r="A5" t="s">
        <v>110</v>
      </c>
      <c r="B5" s="79">
        <v>-0.25865936439621873</v>
      </c>
      <c r="C5" s="79">
        <v>-0.47477532368621478</v>
      </c>
      <c r="D5" s="80">
        <v>3.4958370868241051E-3</v>
      </c>
      <c r="E5" s="79">
        <v>-0.23063721756791056</v>
      </c>
      <c r="F5" s="80">
        <v>0.12603258328677103</v>
      </c>
      <c r="G5" s="80">
        <v>0.21264534145722269</v>
      </c>
    </row>
    <row r="6" spans="1:7" x14ac:dyDescent="0.2">
      <c r="A6" t="s">
        <v>111</v>
      </c>
      <c r="B6" s="79">
        <v>-0.22413695782041565</v>
      </c>
      <c r="C6" s="79">
        <v>-0.38240258160826912</v>
      </c>
      <c r="D6" s="79">
        <v>-9.1702494461195272E-2</v>
      </c>
      <c r="E6" s="79">
        <v>-0.32725189805023958</v>
      </c>
      <c r="F6" s="79">
        <v>-9.1957679299688011E-2</v>
      </c>
      <c r="G6" s="79">
        <v>-0.22937210697037946</v>
      </c>
    </row>
    <row r="7" spans="1:7" x14ac:dyDescent="0.2">
      <c r="A7" t="s">
        <v>112</v>
      </c>
      <c r="B7" s="79">
        <v>-0.29479681024696081</v>
      </c>
      <c r="C7" s="79">
        <v>-0.6793573209761633</v>
      </c>
      <c r="D7" s="80">
        <v>3.8557226805795652E-2</v>
      </c>
      <c r="E7" s="79">
        <v>-0.52970250212782899</v>
      </c>
      <c r="F7" s="79">
        <v>-0.26139826019744439</v>
      </c>
      <c r="G7" s="79">
        <v>-0.49392013299553528</v>
      </c>
    </row>
    <row r="8" spans="1:7" x14ac:dyDescent="0.2">
      <c r="A8" t="s">
        <v>113</v>
      </c>
      <c r="B8" s="79">
        <v>-0.1613256240790687</v>
      </c>
      <c r="C8" s="79">
        <v>-0.38146093079742849</v>
      </c>
      <c r="D8" s="79">
        <v>-7.5212622036863186E-2</v>
      </c>
      <c r="E8" s="79">
        <v>-0.16095642388385645</v>
      </c>
      <c r="F8" s="79">
        <v>-7.6806748757011989E-2</v>
      </c>
      <c r="G8" s="79">
        <v>-0.23058796002272963</v>
      </c>
    </row>
    <row r="9" spans="1:7" x14ac:dyDescent="0.2">
      <c r="A9" s="45" t="s">
        <v>145</v>
      </c>
      <c r="B9" s="79">
        <v>-0.10794847404417962</v>
      </c>
      <c r="C9" s="79">
        <v>-0.46528639110826719</v>
      </c>
      <c r="D9" s="79">
        <v>-7.2582809228351364E-2</v>
      </c>
      <c r="E9" s="79">
        <v>-0.40224922973085508</v>
      </c>
      <c r="F9" s="80">
        <v>4.2714836555228342E-2</v>
      </c>
      <c r="G9" s="79">
        <v>-0.16817944750993785</v>
      </c>
    </row>
    <row r="10" spans="1:7" x14ac:dyDescent="0.2">
      <c r="A10" t="s">
        <v>115</v>
      </c>
      <c r="B10" s="80">
        <v>5.8355449792779623E-2</v>
      </c>
      <c r="C10" s="79">
        <v>-0.45198973218575411</v>
      </c>
      <c r="D10" s="80">
        <v>0.10267180545745069</v>
      </c>
      <c r="E10" s="79">
        <v>-0.44718527364823135</v>
      </c>
      <c r="F10" s="80">
        <v>7.3002603684476419E-2</v>
      </c>
      <c r="G10" s="79">
        <v>-0.26859668629631162</v>
      </c>
    </row>
    <row r="11" spans="1:7" x14ac:dyDescent="0.2">
      <c r="A11" t="s">
        <v>116</v>
      </c>
      <c r="B11" s="80">
        <v>1.8647578952991406E-2</v>
      </c>
      <c r="C11" s="79">
        <v>-0.38073881525957387</v>
      </c>
      <c r="D11" s="80">
        <v>6.8015003530537355E-2</v>
      </c>
      <c r="E11" s="79">
        <v>-0.15648873593517354</v>
      </c>
      <c r="F11" s="80">
        <v>0.1197695051739478</v>
      </c>
      <c r="G11" s="80">
        <v>7.1776378414000197E-2</v>
      </c>
    </row>
    <row r="12" spans="1:7" x14ac:dyDescent="0.2">
      <c r="A12" t="s">
        <v>117</v>
      </c>
      <c r="B12" s="79">
        <v>-2.4951749667784906E-2</v>
      </c>
      <c r="C12" s="79">
        <v>-0.50064868170658205</v>
      </c>
      <c r="D12" s="79">
        <v>-7.8628266784787737E-2</v>
      </c>
      <c r="E12" s="79">
        <v>-0.3535137173172781</v>
      </c>
      <c r="F12" s="79">
        <v>-0.10063753717648583</v>
      </c>
      <c r="G12" s="79">
        <v>-0.25412291405041609</v>
      </c>
    </row>
    <row r="13" spans="1:7" x14ac:dyDescent="0.2">
      <c r="A13" s="45" t="s">
        <v>199</v>
      </c>
      <c r="B13" s="79">
        <v>-0.18050978031621134</v>
      </c>
      <c r="C13" s="79">
        <v>-0.38968054973707422</v>
      </c>
      <c r="D13" s="79">
        <v>-0.15779969421883722</v>
      </c>
      <c r="E13" s="79">
        <v>-0.27610969730696377</v>
      </c>
      <c r="F13" s="79">
        <v>-6.9288640144095637E-2</v>
      </c>
      <c r="G13" s="79">
        <v>-0.3020833984655884</v>
      </c>
    </row>
    <row r="14" spans="1:7" x14ac:dyDescent="0.2">
      <c r="A14" s="68" t="s">
        <v>203</v>
      </c>
      <c r="B14" s="81">
        <f t="shared" ref="B14:G14" si="0">AVERAGE(B3:B13)</f>
        <v>-0.13157622408513497</v>
      </c>
      <c r="C14" s="81">
        <f t="shared" si="0"/>
        <v>-0.4324282827126833</v>
      </c>
      <c r="D14" s="81">
        <f t="shared" si="0"/>
        <v>-3.2962931260598703E-2</v>
      </c>
      <c r="E14" s="81">
        <f t="shared" si="0"/>
        <v>-0.31693429955738378</v>
      </c>
      <c r="F14" s="81">
        <f t="shared" si="0"/>
        <v>-2.482774539898586E-2</v>
      </c>
      <c r="G14" s="81">
        <f t="shared" si="0"/>
        <v>-0.16270971937119685</v>
      </c>
    </row>
  </sheetData>
  <mergeCells count="4">
    <mergeCell ref="B1:C1"/>
    <mergeCell ref="D1:E1"/>
    <mergeCell ref="F1:G1"/>
    <mergeCell ref="A1:A2"/>
  </mergeCells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Empleo Población</vt:lpstr>
      <vt:lpstr>Empleo Formales</vt:lpstr>
      <vt:lpstr>Empleo Informales</vt:lpstr>
      <vt:lpstr>Resumen</vt:lpstr>
      <vt:lpstr>'Empleo Informales'!Área_de_impresión</vt:lpstr>
      <vt:lpstr>'Empleo Población'!Área_de_impresión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VAXT</dc:creator>
  <cp:lastModifiedBy>Juan Menduiña</cp:lastModifiedBy>
  <cp:lastPrinted>2007-03-27T15:58:36Z</cp:lastPrinted>
  <dcterms:created xsi:type="dcterms:W3CDTF">2007-01-04T19:18:33Z</dcterms:created>
  <dcterms:modified xsi:type="dcterms:W3CDTF">2021-07-30T19:21:21Z</dcterms:modified>
</cp:coreProperties>
</file>