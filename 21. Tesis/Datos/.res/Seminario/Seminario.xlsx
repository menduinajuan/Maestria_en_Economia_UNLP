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3. Tesis\Datos\.res\Seminario\"/>
    </mc:Choice>
  </mc:AlternateContent>
  <xr:revisionPtr revIDLastSave="0" documentId="13_ncr:1_{93587E6D-07BA-44E7-9934-FB22507A5E27}" xr6:coauthVersionLast="47" xr6:coauthVersionMax="47" xr10:uidLastSave="{00000000-0000-0000-0000-000000000000}"/>
  <bookViews>
    <workbookView xWindow="-120" yWindow="-120" windowWidth="20730" windowHeight="11760" tabRatio="788" xr2:uid="{D138BB85-EBFC-4C99-9271-6C93ADEA9943}"/>
  </bookViews>
  <sheets>
    <sheet name="CIC" sheetId="7" r:id="rId1"/>
    <sheet name="KS" sheetId="3" r:id="rId2"/>
    <sheet name="IL" sheetId="5" r:id="rId3"/>
    <sheet name="PLF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3" l="1"/>
  <c r="I6" i="3"/>
  <c r="H6" i="3"/>
  <c r="G6" i="3"/>
  <c r="F6" i="3"/>
  <c r="E6" i="3"/>
  <c r="D6" i="3"/>
  <c r="C6" i="3"/>
</calcChain>
</file>

<file path=xl/sharedStrings.xml><?xml version="1.0" encoding="utf-8"?>
<sst xmlns="http://schemas.openxmlformats.org/spreadsheetml/2006/main" count="115" uniqueCount="30">
  <si>
    <t>Total nacional</t>
  </si>
  <si>
    <t>Principales ciudades</t>
  </si>
  <si>
    <t>Resto urbano</t>
  </si>
  <si>
    <t>Rural</t>
  </si>
  <si>
    <t>POBREZA (FGT0)</t>
  </si>
  <si>
    <t>INDIGENCIA (FGT0)</t>
  </si>
  <si>
    <t>2002-2018</t>
  </si>
  <si>
    <t>POBREZA (FGT1)</t>
  </si>
  <si>
    <t>INDIGENCIA (FGT1)</t>
  </si>
  <si>
    <t>POBREZA (FGT2)</t>
  </si>
  <si>
    <t>INDIGENCIA (FGT2)</t>
  </si>
  <si>
    <t>PERÍODO</t>
  </si>
  <si>
    <t>EFECTO</t>
  </si>
  <si>
    <t>Crecimiento</t>
  </si>
  <si>
    <t>Redistribución</t>
  </si>
  <si>
    <t>Línea</t>
  </si>
  <si>
    <t>Total</t>
  </si>
  <si>
    <t>2003-2015</t>
  </si>
  <si>
    <t>2004-2014</t>
  </si>
  <si>
    <t>2005-2015</t>
  </si>
  <si>
    <t>AÑO</t>
  </si>
  <si>
    <t>INFORMALIDAD LABORAL</t>
  </si>
  <si>
    <t>PARTICIPACIÓN LABORAL FEMENINA</t>
  </si>
  <si>
    <t>1. Los valores de 2002 son actualizados a valores de 2018, considerando como factores de actualización a los cocientes entre las líneas de pobreza promedio por área geográfica entre 2002 y 2018.</t>
  </si>
  <si>
    <t>2. Se observa un comportamiento semejante en todas las áreas geográficas: un crecimiento igualador.</t>
  </si>
  <si>
    <t>1. En amarillo, marco el período de referencia (2002-2018).</t>
  </si>
  <si>
    <t>2. En rojo, marco los que tienen un cambio de signo respecto al resultado del período 2002-2018.</t>
  </si>
  <si>
    <t>1. Recordar que no hay data de descuento jubilatorio en el período 2002-2005.</t>
  </si>
  <si>
    <t>2. No parece haber una gran caída en la informalidad laboral durante el período 2008-2018. De hecho, en Rural, aumenta.</t>
  </si>
  <si>
    <t>1. La PLF aumenta bastante durante el período 2002-2018.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</si>
</sst>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 style="medium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indexed="64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indexed="64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/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0" xfId="0" applyFont="1" applyAlignment="1">
      <alignment vertical="center"/>
    </xf>
    <xf numFmtId="0" fontId="1" fillId="0" borderId="6" xfId="0" applyFont="1" applyBorder="1" applyAlignment="1">
      <alignment horizontal="right" vertical="center"/>
    </xf>
    <xf numFmtId="0" fontId="1" fillId="0" borderId="2" xfId="0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8" xfId="0" applyNumberFormat="1" applyFont="1" applyBorder="1" applyAlignment="1">
      <alignment horizontal="right" vertical="center"/>
    </xf>
    <xf numFmtId="0" fontId="2" fillId="2" borderId="4" xfId="0" applyFont="1" applyFill="1" applyBorder="1" applyAlignment="1">
      <alignment horizontal="left" vertical="center"/>
    </xf>
    <xf numFmtId="164" fontId="2" fillId="2" borderId="0" xfId="0" applyNumberFormat="1" applyFont="1" applyFill="1" applyAlignment="1">
      <alignment horizontal="right" vertical="center"/>
    </xf>
    <xf numFmtId="164" fontId="2" fillId="2" borderId="8" xfId="0" applyNumberFormat="1" applyFont="1" applyFill="1" applyBorder="1" applyAlignment="1">
      <alignment horizontal="right" vertical="center"/>
    </xf>
    <xf numFmtId="0" fontId="2" fillId="2" borderId="10" xfId="0" applyFont="1" applyFill="1" applyBorder="1" applyAlignment="1">
      <alignment horizontal="left" vertical="center"/>
    </xf>
    <xf numFmtId="164" fontId="3" fillId="2" borderId="11" xfId="0" applyNumberFormat="1" applyFont="1" applyFill="1" applyBorder="1" applyAlignment="1">
      <alignment horizontal="right" vertical="center"/>
    </xf>
    <xf numFmtId="164" fontId="3" fillId="2" borderId="12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65" fontId="2" fillId="0" borderId="16" xfId="0" applyNumberFormat="1" applyFont="1" applyBorder="1" applyAlignment="1">
      <alignment horizontal="right" vertical="center"/>
    </xf>
    <xf numFmtId="165" fontId="2" fillId="0" borderId="14" xfId="0" applyNumberFormat="1" applyFont="1" applyBorder="1" applyAlignment="1">
      <alignment horizontal="right" vertical="center"/>
    </xf>
    <xf numFmtId="165" fontId="2" fillId="0" borderId="9" xfId="0" applyNumberFormat="1" applyFont="1" applyBorder="1" applyAlignment="1">
      <alignment horizontal="right" vertical="center"/>
    </xf>
    <xf numFmtId="165" fontId="2" fillId="0" borderId="17" xfId="0" applyNumberFormat="1" applyFont="1" applyBorder="1" applyAlignment="1">
      <alignment horizontal="right" vertical="center"/>
    </xf>
    <xf numFmtId="165" fontId="2" fillId="0" borderId="0" xfId="0" applyNumberFormat="1" applyFont="1" applyBorder="1" applyAlignment="1">
      <alignment horizontal="right" vertical="center"/>
    </xf>
    <xf numFmtId="165" fontId="2" fillId="0" borderId="8" xfId="0" applyNumberFormat="1" applyFont="1" applyBorder="1" applyAlignment="1">
      <alignment horizontal="right" vertical="center"/>
    </xf>
    <xf numFmtId="165" fontId="2" fillId="0" borderId="15" xfId="0" applyNumberFormat="1" applyFont="1" applyBorder="1" applyAlignment="1">
      <alignment horizontal="right" vertical="center"/>
    </xf>
    <xf numFmtId="165" fontId="2" fillId="0" borderId="6" xfId="0" applyNumberFormat="1" applyFont="1" applyBorder="1" applyAlignment="1">
      <alignment horizontal="right" vertical="center"/>
    </xf>
    <xf numFmtId="165" fontId="2" fillId="0" borderId="7" xfId="0" applyNumberFormat="1" applyFont="1" applyBorder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4" fontId="2" fillId="0" borderId="18" xfId="0" applyNumberFormat="1" applyFont="1" applyBorder="1" applyAlignment="1">
      <alignment horizontal="right" vertical="center"/>
    </xf>
    <xf numFmtId="164" fontId="2" fillId="0" borderId="19" xfId="0" applyNumberFormat="1" applyFont="1" applyBorder="1" applyAlignment="1">
      <alignment horizontal="right" vertical="center"/>
    </xf>
    <xf numFmtId="164" fontId="2" fillId="0" borderId="20" xfId="0" applyNumberFormat="1" applyFont="1" applyBorder="1" applyAlignment="1">
      <alignment horizontal="right" vertical="center"/>
    </xf>
    <xf numFmtId="164" fontId="2" fillId="0" borderId="17" xfId="0" applyNumberFormat="1" applyFont="1" applyBorder="1" applyAlignment="1">
      <alignment horizontal="right" vertical="center"/>
    </xf>
    <xf numFmtId="164" fontId="2" fillId="0" borderId="0" xfId="0" applyNumberFormat="1" applyFont="1" applyBorder="1" applyAlignment="1">
      <alignment horizontal="right" vertical="center"/>
    </xf>
    <xf numFmtId="164" fontId="2" fillId="0" borderId="15" xfId="0" applyNumberFormat="1" applyFont="1" applyBorder="1" applyAlignment="1">
      <alignment horizontal="right" vertical="center"/>
    </xf>
    <xf numFmtId="164" fontId="2" fillId="0" borderId="6" xfId="0" applyNumberFormat="1" applyFont="1" applyBorder="1" applyAlignment="1">
      <alignment horizontal="right" vertical="center"/>
    </xf>
    <xf numFmtId="164" fontId="2" fillId="0" borderId="7" xfId="0" applyNumberFormat="1" applyFont="1" applyBorder="1" applyAlignment="1">
      <alignment horizontal="right" vertical="center"/>
    </xf>
    <xf numFmtId="164" fontId="2" fillId="0" borderId="21" xfId="0" applyNumberFormat="1" applyFont="1" applyBorder="1" applyAlignment="1">
      <alignment horizontal="right" vertical="center"/>
    </xf>
    <xf numFmtId="164" fontId="2" fillId="0" borderId="11" xfId="0" applyNumberFormat="1" applyFont="1" applyBorder="1" applyAlignment="1">
      <alignment horizontal="right" vertical="center"/>
    </xf>
    <xf numFmtId="164" fontId="2" fillId="0" borderId="12" xfId="0" applyNumberFormat="1" applyFont="1" applyBorder="1" applyAlignment="1">
      <alignment horizontal="right" vertical="center"/>
    </xf>
    <xf numFmtId="164" fontId="4" fillId="0" borderId="0" xfId="0" applyNumberFormat="1" applyFont="1" applyBorder="1" applyAlignment="1">
      <alignment horizontal="right" vertical="center"/>
    </xf>
    <xf numFmtId="164" fontId="4" fillId="0" borderId="8" xfId="0" applyNumberFormat="1" applyFont="1" applyBorder="1" applyAlignment="1">
      <alignment horizontal="right" vertical="center"/>
    </xf>
    <xf numFmtId="0" fontId="1" fillId="0" borderId="1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485775</xdr:colOff>
      <xdr:row>19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ADE56AA-F5F0-4EF7-902E-57E185B5C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057775" cy="3657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13</xdr:col>
      <xdr:colOff>485775</xdr:colOff>
      <xdr:row>19</xdr:row>
      <xdr:rowOff>38100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2D623B-1F71-4199-B9E0-3C808D90F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0" y="0"/>
          <a:ext cx="5057775" cy="3657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13</xdr:col>
      <xdr:colOff>485775</xdr:colOff>
      <xdr:row>39</xdr:row>
      <xdr:rowOff>38100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19DCFB5-D2F7-4C33-8B88-1078DE905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0" y="3810000"/>
          <a:ext cx="5057775" cy="3657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6</xdr:col>
      <xdr:colOff>485775</xdr:colOff>
      <xdr:row>39</xdr:row>
      <xdr:rowOff>38100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3B4B6DE9-1838-432D-B6F1-87EEFDA1F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0"/>
          <a:ext cx="5057775" cy="3657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69000-AF01-4F25-90CE-09462E015DE2}">
  <dimension ref="O1:O2"/>
  <sheetViews>
    <sheetView tabSelected="1" zoomScale="80" zoomScaleNormal="80" workbookViewId="0"/>
  </sheetViews>
  <sheetFormatPr baseColWidth="10" defaultRowHeight="15" x14ac:dyDescent="0.25"/>
  <cols>
    <col min="1" max="16384" width="11.42578125" style="1"/>
  </cols>
  <sheetData>
    <row r="1" spans="15:15" x14ac:dyDescent="0.25">
      <c r="O1" s="1" t="s">
        <v>23</v>
      </c>
    </row>
    <row r="2" spans="15:15" x14ac:dyDescent="0.25">
      <c r="O2" s="1" t="s">
        <v>24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0597B-9690-49F6-B1E2-0E815871524A}">
  <dimension ref="A1:L56"/>
  <sheetViews>
    <sheetView zoomScale="80" zoomScaleNormal="80" workbookViewId="0">
      <selection sqref="A1:A2"/>
    </sheetView>
  </sheetViews>
  <sheetFormatPr baseColWidth="10" defaultRowHeight="15" x14ac:dyDescent="0.25"/>
  <cols>
    <col min="1" max="1" width="11.42578125" style="1" customWidth="1"/>
    <col min="2" max="2" width="14.140625" style="1" customWidth="1"/>
    <col min="3" max="3" width="17.85546875" style="1" customWidth="1"/>
    <col min="4" max="4" width="21.42578125" style="1" customWidth="1"/>
    <col min="5" max="5" width="14.28515625" style="1" customWidth="1"/>
    <col min="6" max="6" width="14.42578125" style="1" customWidth="1"/>
    <col min="7" max="7" width="17.5703125" style="1" customWidth="1"/>
    <col min="8" max="8" width="21.42578125" style="1" customWidth="1"/>
    <col min="9" max="9" width="14.42578125" style="1" customWidth="1"/>
    <col min="10" max="10" width="14.28515625" style="1" customWidth="1"/>
    <col min="11" max="16384" width="11.42578125" style="1"/>
  </cols>
  <sheetData>
    <row r="1" spans="1:12" ht="15.75" thickBot="1" x14ac:dyDescent="0.3">
      <c r="A1" s="44" t="s">
        <v>11</v>
      </c>
      <c r="B1" s="48" t="s">
        <v>12</v>
      </c>
      <c r="C1" s="46" t="s">
        <v>4</v>
      </c>
      <c r="D1" s="46"/>
      <c r="E1" s="46"/>
      <c r="F1" s="47"/>
      <c r="G1" s="46" t="s">
        <v>5</v>
      </c>
      <c r="H1" s="46"/>
      <c r="I1" s="46"/>
      <c r="J1" s="47"/>
      <c r="L1" s="1" t="s">
        <v>25</v>
      </c>
    </row>
    <row r="2" spans="1:12" ht="15.75" thickBot="1" x14ac:dyDescent="0.3">
      <c r="A2" s="43"/>
      <c r="B2" s="49"/>
      <c r="C2" s="2" t="s">
        <v>0</v>
      </c>
      <c r="D2" s="2" t="s">
        <v>1</v>
      </c>
      <c r="E2" s="2" t="s">
        <v>2</v>
      </c>
      <c r="F2" s="4" t="s">
        <v>3</v>
      </c>
      <c r="G2" s="2" t="s">
        <v>0</v>
      </c>
      <c r="H2" s="2" t="s">
        <v>1</v>
      </c>
      <c r="I2" s="2" t="s">
        <v>2</v>
      </c>
      <c r="J2" s="4" t="s">
        <v>3</v>
      </c>
      <c r="L2" s="1" t="s">
        <v>26</v>
      </c>
    </row>
    <row r="3" spans="1:12" x14ac:dyDescent="0.25">
      <c r="A3" s="50" t="s">
        <v>6</v>
      </c>
      <c r="B3" s="9" t="s">
        <v>13</v>
      </c>
      <c r="C3" s="10">
        <v>-43.387401580810547</v>
      </c>
      <c r="D3" s="10">
        <v>-37.790809631347656</v>
      </c>
      <c r="E3" s="10">
        <v>-48.848972320556641</v>
      </c>
      <c r="F3" s="11">
        <v>-46.143993377685547</v>
      </c>
      <c r="G3" s="10">
        <v>-24.864002227783203</v>
      </c>
      <c r="H3" s="10">
        <v>-14.008109092712402</v>
      </c>
      <c r="I3" s="10">
        <v>-31.795537948608398</v>
      </c>
      <c r="J3" s="11">
        <v>-37.101669311523438</v>
      </c>
    </row>
    <row r="4" spans="1:12" x14ac:dyDescent="0.25">
      <c r="A4" s="51"/>
      <c r="B4" s="9" t="s">
        <v>14</v>
      </c>
      <c r="C4" s="10">
        <v>-4.6706147193908691</v>
      </c>
      <c r="D4" s="10">
        <v>-6.3227577209472656</v>
      </c>
      <c r="E4" s="10">
        <v>-0.81654459238052368</v>
      </c>
      <c r="F4" s="11">
        <v>-5.7501511573791504</v>
      </c>
      <c r="G4" s="10">
        <v>-4.1657390594482422</v>
      </c>
      <c r="H4" s="10">
        <v>-3.1653573513031006</v>
      </c>
      <c r="I4" s="10">
        <v>-1.5430718660354614</v>
      </c>
      <c r="J4" s="11">
        <v>-6.2049288749694824</v>
      </c>
    </row>
    <row r="5" spans="1:12" x14ac:dyDescent="0.25">
      <c r="A5" s="51"/>
      <c r="B5" s="9" t="s">
        <v>15</v>
      </c>
      <c r="C5" s="10">
        <v>25.704093933105469</v>
      </c>
      <c r="D5" s="10">
        <v>24.39567756652832</v>
      </c>
      <c r="E5" s="10">
        <v>26.403324127197266</v>
      </c>
      <c r="F5" s="11">
        <v>27.042985916137695</v>
      </c>
      <c r="G5" s="10">
        <v>18.641866683959961</v>
      </c>
      <c r="H5" s="10">
        <v>12.585543632507324</v>
      </c>
      <c r="I5" s="10">
        <v>21.561456680297852</v>
      </c>
      <c r="J5" s="11">
        <v>25.867130279541016</v>
      </c>
    </row>
    <row r="6" spans="1:12" x14ac:dyDescent="0.25">
      <c r="A6" s="52"/>
      <c r="B6" s="12" t="s">
        <v>16</v>
      </c>
      <c r="C6" s="13">
        <f>SUM(C3:C5)</f>
        <v>-22.353922367095947</v>
      </c>
      <c r="D6" s="13">
        <f t="shared" ref="D6:F6" si="0">SUM(D3:D5)</f>
        <v>-19.717889785766602</v>
      </c>
      <c r="E6" s="13">
        <f t="shared" si="0"/>
        <v>-23.262192785739899</v>
      </c>
      <c r="F6" s="14">
        <f t="shared" si="0"/>
        <v>-24.851158618927002</v>
      </c>
      <c r="G6" s="13">
        <f>SUM(G3:G5)</f>
        <v>-10.387874603271484</v>
      </c>
      <c r="H6" s="13">
        <f t="shared" ref="H6:J6" si="1">SUM(H3:H5)</f>
        <v>-4.5879228115081787</v>
      </c>
      <c r="I6" s="13">
        <f t="shared" si="1"/>
        <v>-11.777153134346008</v>
      </c>
      <c r="J6" s="14">
        <f t="shared" si="1"/>
        <v>-17.439467906951904</v>
      </c>
    </row>
    <row r="7" spans="1:12" x14ac:dyDescent="0.25">
      <c r="A7" s="42" t="s">
        <v>17</v>
      </c>
      <c r="B7" s="5" t="s">
        <v>13</v>
      </c>
      <c r="C7" s="28">
        <v>-37.771800994873047</v>
      </c>
      <c r="D7" s="29">
        <v>-33.392692565917969</v>
      </c>
      <c r="E7" s="29">
        <v>-41.3330078125</v>
      </c>
      <c r="F7" s="30">
        <v>-39.219539642333984</v>
      </c>
      <c r="G7" s="28">
        <v>-19.762353897094727</v>
      </c>
      <c r="H7" s="29">
        <v>-10.633929252624512</v>
      </c>
      <c r="I7" s="29">
        <v>-23.581377029418945</v>
      </c>
      <c r="J7" s="30">
        <v>-30.045700073242188</v>
      </c>
    </row>
    <row r="8" spans="1:12" x14ac:dyDescent="0.25">
      <c r="A8" s="42"/>
      <c r="B8" s="5" t="s">
        <v>14</v>
      </c>
      <c r="C8" s="31">
        <v>-3.1550908088684082</v>
      </c>
      <c r="D8" s="32">
        <v>-6.4370689392089844</v>
      </c>
      <c r="E8" s="32">
        <v>-1.2475439310073853</v>
      </c>
      <c r="F8" s="8">
        <v>-0.92192447185516357</v>
      </c>
      <c r="G8" s="31">
        <v>-2.3741753101348877</v>
      </c>
      <c r="H8" s="32">
        <v>-2.9794948101043701</v>
      </c>
      <c r="I8" s="32">
        <v>-1.7877435684204102</v>
      </c>
      <c r="J8" s="8">
        <v>-2.2824156284332275</v>
      </c>
    </row>
    <row r="9" spans="1:12" x14ac:dyDescent="0.25">
      <c r="A9" s="42"/>
      <c r="B9" s="5" t="s">
        <v>15</v>
      </c>
      <c r="C9" s="31">
        <v>21.081926345825195</v>
      </c>
      <c r="D9" s="32">
        <v>18.749435424804688</v>
      </c>
      <c r="E9" s="32">
        <v>22.339103698730469</v>
      </c>
      <c r="F9" s="8">
        <v>24.095283508300781</v>
      </c>
      <c r="G9" s="31">
        <v>14.513930320739746</v>
      </c>
      <c r="H9" s="32">
        <v>9.0201549530029297</v>
      </c>
      <c r="I9" s="32">
        <v>16.847543716430664</v>
      </c>
      <c r="J9" s="8">
        <v>21.747982025146484</v>
      </c>
    </row>
    <row r="10" spans="1:12" x14ac:dyDescent="0.25">
      <c r="A10" s="45"/>
      <c r="B10" s="6" t="s">
        <v>16</v>
      </c>
      <c r="C10" s="36">
        <v>-19.844964981079102</v>
      </c>
      <c r="D10" s="37">
        <v>-21.080326080322266</v>
      </c>
      <c r="E10" s="37">
        <v>-20.241447448730469</v>
      </c>
      <c r="F10" s="38">
        <v>-16.046180725097656</v>
      </c>
      <c r="G10" s="36">
        <v>-7.6225986480712891</v>
      </c>
      <c r="H10" s="37">
        <v>-4.5932683944702148</v>
      </c>
      <c r="I10" s="37">
        <v>-8.521575927734375</v>
      </c>
      <c r="J10" s="38">
        <v>-10.580132484436035</v>
      </c>
    </row>
    <row r="11" spans="1:12" x14ac:dyDescent="0.25">
      <c r="A11" s="41" t="s">
        <v>18</v>
      </c>
      <c r="B11" s="5" t="s">
        <v>13</v>
      </c>
      <c r="C11" s="31">
        <v>-34.369277954101563</v>
      </c>
      <c r="D11" s="32">
        <v>-28.78486442565918</v>
      </c>
      <c r="E11" s="32">
        <v>-39.661624908447266</v>
      </c>
      <c r="F11" s="8">
        <v>-38.899787902832031</v>
      </c>
      <c r="G11" s="31">
        <v>-16.659893035888672</v>
      </c>
      <c r="H11" s="32">
        <v>-7.9020686149597168</v>
      </c>
      <c r="I11" s="32">
        <v>-20.680959701538086</v>
      </c>
      <c r="J11" s="8">
        <v>-29.478992462158203</v>
      </c>
    </row>
    <row r="12" spans="1:12" x14ac:dyDescent="0.25">
      <c r="A12" s="42"/>
      <c r="B12" s="5" t="s">
        <v>14</v>
      </c>
      <c r="C12" s="31">
        <v>-1.5151760578155518</v>
      </c>
      <c r="D12" s="32">
        <v>-4.5539331436157227</v>
      </c>
      <c r="E12" s="39">
        <v>1.6115819215774536</v>
      </c>
      <c r="F12" s="40">
        <v>2.5199782848358154</v>
      </c>
      <c r="G12" s="31">
        <v>-0.53946173191070557</v>
      </c>
      <c r="H12" s="32">
        <v>-1.8790708780288696</v>
      </c>
      <c r="I12" s="39">
        <v>1.9452018737792969</v>
      </c>
      <c r="J12" s="40">
        <v>1.8706090450286865</v>
      </c>
    </row>
    <row r="13" spans="1:12" x14ac:dyDescent="0.25">
      <c r="A13" s="42"/>
      <c r="B13" s="5" t="s">
        <v>15</v>
      </c>
      <c r="C13" s="31">
        <v>17.06135368347168</v>
      </c>
      <c r="D13" s="32">
        <v>14.996176719665527</v>
      </c>
      <c r="E13" s="32">
        <v>17.752603530883789</v>
      </c>
      <c r="F13" s="8">
        <v>19.51597785949707</v>
      </c>
      <c r="G13" s="31">
        <v>10.438494682312012</v>
      </c>
      <c r="H13" s="32">
        <v>5.9041695594787598</v>
      </c>
      <c r="I13" s="32">
        <v>12.150810241699219</v>
      </c>
      <c r="J13" s="8">
        <v>16.577356338500977</v>
      </c>
    </row>
    <row r="14" spans="1:12" x14ac:dyDescent="0.25">
      <c r="A14" s="45"/>
      <c r="B14" s="6" t="s">
        <v>16</v>
      </c>
      <c r="C14" s="36">
        <v>-18.823099136352539</v>
      </c>
      <c r="D14" s="37">
        <v>-18.342620849609375</v>
      </c>
      <c r="E14" s="37">
        <v>-20.297439575195313</v>
      </c>
      <c r="F14" s="38">
        <v>-16.863832473754883</v>
      </c>
      <c r="G14" s="36">
        <v>-6.7608609199523926</v>
      </c>
      <c r="H14" s="37">
        <v>-3.8769700527191162</v>
      </c>
      <c r="I14" s="37">
        <v>-6.5849466323852539</v>
      </c>
      <c r="J14" s="38">
        <v>-11.031025886535645</v>
      </c>
    </row>
    <row r="15" spans="1:12" x14ac:dyDescent="0.25">
      <c r="A15" s="41" t="s">
        <v>19</v>
      </c>
      <c r="B15" s="5" t="s">
        <v>13</v>
      </c>
      <c r="C15" s="31">
        <v>-30.966487884521484</v>
      </c>
      <c r="D15" s="32">
        <v>-25.906007766723633</v>
      </c>
      <c r="E15" s="32">
        <v>-35.248542785644531</v>
      </c>
      <c r="F15" s="8">
        <v>-35.411640167236328</v>
      </c>
      <c r="G15" s="31">
        <v>-14.901832580566406</v>
      </c>
      <c r="H15" s="32">
        <v>-6.9161334037780762</v>
      </c>
      <c r="I15" s="32">
        <v>-18.314750671386719</v>
      </c>
      <c r="J15" s="8">
        <v>-26.527029037475586</v>
      </c>
    </row>
    <row r="16" spans="1:12" x14ac:dyDescent="0.25">
      <c r="A16" s="42"/>
      <c r="B16" s="5" t="s">
        <v>14</v>
      </c>
      <c r="C16" s="31">
        <v>-3.9122552871704102</v>
      </c>
      <c r="D16" s="32">
        <v>-6.4967765808105469</v>
      </c>
      <c r="E16" s="32">
        <v>-1.2601219415664673</v>
      </c>
      <c r="F16" s="8">
        <v>-0.90501677989959717</v>
      </c>
      <c r="G16" s="31">
        <v>-2.1673953533172607</v>
      </c>
      <c r="H16" s="32">
        <v>-2.1057131290435791</v>
      </c>
      <c r="I16" s="32">
        <v>-0.83295345306396484</v>
      </c>
      <c r="J16" s="8">
        <v>-1.6523419618606567</v>
      </c>
    </row>
    <row r="17" spans="1:10" x14ac:dyDescent="0.25">
      <c r="A17" s="42"/>
      <c r="B17" s="5" t="s">
        <v>15</v>
      </c>
      <c r="C17" s="31">
        <v>17.775251388549805</v>
      </c>
      <c r="D17" s="32">
        <v>15.543971061706543</v>
      </c>
      <c r="E17" s="32">
        <v>18.980197906494141</v>
      </c>
      <c r="F17" s="8">
        <v>20.223623275756836</v>
      </c>
      <c r="G17" s="31">
        <v>11.213629722595215</v>
      </c>
      <c r="H17" s="32">
        <v>6.1073579788208008</v>
      </c>
      <c r="I17" s="32">
        <v>13.013516426086426</v>
      </c>
      <c r="J17" s="8">
        <v>18.373790740966797</v>
      </c>
    </row>
    <row r="18" spans="1:10" ht="15.75" thickBot="1" x14ac:dyDescent="0.3">
      <c r="A18" s="43"/>
      <c r="B18" s="7" t="s">
        <v>16</v>
      </c>
      <c r="C18" s="33">
        <v>-17.103492736816406</v>
      </c>
      <c r="D18" s="34">
        <v>-16.858814239501953</v>
      </c>
      <c r="E18" s="34">
        <v>-17.528467178344727</v>
      </c>
      <c r="F18" s="35">
        <v>-16.09303092956543</v>
      </c>
      <c r="G18" s="33">
        <v>-5.855597972869873</v>
      </c>
      <c r="H18" s="34">
        <v>-2.9144885540008545</v>
      </c>
      <c r="I18" s="34">
        <v>-6.134188175201416</v>
      </c>
      <c r="J18" s="35">
        <v>-9.8055810928344727</v>
      </c>
    </row>
    <row r="19" spans="1:10" ht="15.75" thickBot="1" x14ac:dyDescent="0.3"/>
    <row r="20" spans="1:10" ht="15.75" thickBot="1" x14ac:dyDescent="0.3">
      <c r="A20" s="44" t="s">
        <v>11</v>
      </c>
      <c r="B20" s="48" t="s">
        <v>12</v>
      </c>
      <c r="C20" s="46" t="s">
        <v>7</v>
      </c>
      <c r="D20" s="46"/>
      <c r="E20" s="46"/>
      <c r="F20" s="47"/>
      <c r="G20" s="46" t="s">
        <v>8</v>
      </c>
      <c r="H20" s="46"/>
      <c r="I20" s="46"/>
      <c r="J20" s="47"/>
    </row>
    <row r="21" spans="1:10" ht="15.75" thickBot="1" x14ac:dyDescent="0.3">
      <c r="A21" s="43"/>
      <c r="B21" s="49"/>
      <c r="C21" s="2" t="s">
        <v>0</v>
      </c>
      <c r="D21" s="2" t="s">
        <v>1</v>
      </c>
      <c r="E21" s="2" t="s">
        <v>2</v>
      </c>
      <c r="F21" s="4" t="s">
        <v>3</v>
      </c>
      <c r="G21" s="2" t="s">
        <v>0</v>
      </c>
      <c r="H21" s="2" t="s">
        <v>1</v>
      </c>
      <c r="I21" s="2" t="s">
        <v>2</v>
      </c>
      <c r="J21" s="4" t="s">
        <v>3</v>
      </c>
    </row>
    <row r="22" spans="1:10" x14ac:dyDescent="0.25">
      <c r="A22" s="50" t="s">
        <v>6</v>
      </c>
      <c r="B22" s="9" t="s">
        <v>13</v>
      </c>
      <c r="C22" s="10">
        <v>-24.418294906616211</v>
      </c>
      <c r="D22" s="10">
        <v>-17.880630493164063</v>
      </c>
      <c r="E22" s="10">
        <v>-31.004535675048828</v>
      </c>
      <c r="F22" s="11">
        <v>-28.608249664306641</v>
      </c>
      <c r="G22" s="10">
        <v>-10.401711463928223</v>
      </c>
      <c r="H22" s="10">
        <v>-4.7648720741271973</v>
      </c>
      <c r="I22" s="10">
        <v>-13.322770118713379</v>
      </c>
      <c r="J22" s="11">
        <v>-17.845603942871094</v>
      </c>
    </row>
    <row r="23" spans="1:10" x14ac:dyDescent="0.25">
      <c r="A23" s="51"/>
      <c r="B23" s="9" t="s">
        <v>14</v>
      </c>
      <c r="C23" s="10">
        <v>-3.3966588973999023</v>
      </c>
      <c r="D23" s="10">
        <v>-3.5102972984313965</v>
      </c>
      <c r="E23" s="10">
        <v>-1.0408922433853149</v>
      </c>
      <c r="F23" s="11">
        <v>-4.6843252182006836</v>
      </c>
      <c r="G23" s="10">
        <v>-2.0507667064666748</v>
      </c>
      <c r="H23" s="10">
        <v>-1.2299683094024658</v>
      </c>
      <c r="I23" s="10">
        <v>-0.90746003389358521</v>
      </c>
      <c r="J23" s="11">
        <v>-3.4558570384979248</v>
      </c>
    </row>
    <row r="24" spans="1:10" x14ac:dyDescent="0.25">
      <c r="A24" s="51"/>
      <c r="B24" s="9" t="s">
        <v>15</v>
      </c>
      <c r="C24" s="10">
        <v>15.940513610839844</v>
      </c>
      <c r="D24" s="10">
        <v>12.902850151062012</v>
      </c>
      <c r="E24" s="10">
        <v>18.058050155639648</v>
      </c>
      <c r="F24" s="11">
        <v>18.499326705932617</v>
      </c>
      <c r="G24" s="10">
        <v>8.4763250350952148</v>
      </c>
      <c r="H24" s="10">
        <v>4.5453033447265625</v>
      </c>
      <c r="I24" s="10">
        <v>10.061297416687012</v>
      </c>
      <c r="J24" s="11">
        <v>13.698092460632324</v>
      </c>
    </row>
    <row r="25" spans="1:10" x14ac:dyDescent="0.25">
      <c r="A25" s="52"/>
      <c r="B25" s="12" t="s">
        <v>16</v>
      </c>
      <c r="C25" s="13">
        <v>-11.87444019317627</v>
      </c>
      <c r="D25" s="13">
        <v>-8.4880776405334473</v>
      </c>
      <c r="E25" s="13">
        <v>-13.987377762794495</v>
      </c>
      <c r="F25" s="14">
        <v>-14.793248176574707</v>
      </c>
      <c r="G25" s="13">
        <v>-3.9761531352996826</v>
      </c>
      <c r="H25" s="13">
        <v>-1.4495370388031006</v>
      </c>
      <c r="I25" s="13">
        <v>-4.1689327359199524</v>
      </c>
      <c r="J25" s="14">
        <v>-7.6033685207366943</v>
      </c>
    </row>
    <row r="26" spans="1:10" x14ac:dyDescent="0.25">
      <c r="A26" s="42" t="s">
        <v>17</v>
      </c>
      <c r="B26" s="5" t="s">
        <v>13</v>
      </c>
      <c r="C26" s="28">
        <v>-20.206987380981445</v>
      </c>
      <c r="D26" s="29">
        <v>-14.890164375305176</v>
      </c>
      <c r="E26" s="29">
        <v>-24.694774627685547</v>
      </c>
      <c r="F26" s="30">
        <v>-23.071189880371094</v>
      </c>
      <c r="G26" s="28">
        <v>-7.8113055229187012</v>
      </c>
      <c r="H26" s="29">
        <v>-3.4807472229003906</v>
      </c>
      <c r="I26" s="29">
        <v>-9.1410961151123047</v>
      </c>
      <c r="J26" s="30">
        <v>-13.455601692199707</v>
      </c>
    </row>
    <row r="27" spans="1:10" x14ac:dyDescent="0.25">
      <c r="A27" s="42"/>
      <c r="B27" s="5" t="s">
        <v>14</v>
      </c>
      <c r="C27" s="31">
        <v>-1.9283088445663452</v>
      </c>
      <c r="D27" s="32">
        <v>-3.3612329959869385</v>
      </c>
      <c r="E27" s="32">
        <v>-1.0614670515060425</v>
      </c>
      <c r="F27" s="8">
        <v>-1.1681736707687378</v>
      </c>
      <c r="G27" s="31">
        <v>-1.0698846578598022</v>
      </c>
      <c r="H27" s="32">
        <v>-1.0587018728256226</v>
      </c>
      <c r="I27" s="32">
        <v>-0.93727219104766846</v>
      </c>
      <c r="J27" s="8">
        <v>-1.2938413619995117</v>
      </c>
    </row>
    <row r="28" spans="1:10" x14ac:dyDescent="0.25">
      <c r="A28" s="42"/>
      <c r="B28" s="5" t="s">
        <v>15</v>
      </c>
      <c r="C28" s="31">
        <v>12.095309257507324</v>
      </c>
      <c r="D28" s="32">
        <v>9.3420915603637695</v>
      </c>
      <c r="E28" s="32">
        <v>14.011946678161621</v>
      </c>
      <c r="F28" s="8">
        <v>14.751017570495605</v>
      </c>
      <c r="G28" s="31">
        <v>5.9972939491271973</v>
      </c>
      <c r="H28" s="32">
        <v>3.1167500019073486</v>
      </c>
      <c r="I28" s="32">
        <v>6.7646098136901855</v>
      </c>
      <c r="J28" s="8">
        <v>10.27474308013916</v>
      </c>
    </row>
    <row r="29" spans="1:10" x14ac:dyDescent="0.25">
      <c r="A29" s="45"/>
      <c r="B29" s="6" t="s">
        <v>16</v>
      </c>
      <c r="C29" s="36">
        <v>-10.039987564086914</v>
      </c>
      <c r="D29" s="37">
        <v>-8.909306526184082</v>
      </c>
      <c r="E29" s="37">
        <v>-11.744295120239258</v>
      </c>
      <c r="F29" s="38">
        <v>-9.488347053527832</v>
      </c>
      <c r="G29" s="36">
        <v>-2.8838961124420166</v>
      </c>
      <c r="H29" s="37">
        <v>-1.4226993322372437</v>
      </c>
      <c r="I29" s="37">
        <v>-3.3137586116790771</v>
      </c>
      <c r="J29" s="38">
        <v>-4.4746999740600586</v>
      </c>
    </row>
    <row r="30" spans="1:10" x14ac:dyDescent="0.25">
      <c r="A30" s="41" t="s">
        <v>18</v>
      </c>
      <c r="B30" s="5" t="s">
        <v>13</v>
      </c>
      <c r="C30" s="31">
        <v>-17.948734283447266</v>
      </c>
      <c r="D30" s="32">
        <v>-12.287174224853516</v>
      </c>
      <c r="E30" s="32">
        <v>-23.177385330200195</v>
      </c>
      <c r="F30" s="8">
        <v>-22.933355331420898</v>
      </c>
      <c r="G30" s="31">
        <v>-6.432960033416748</v>
      </c>
      <c r="H30" s="32">
        <v>-2.4940018653869629</v>
      </c>
      <c r="I30" s="32">
        <v>-7.7833590507507324</v>
      </c>
      <c r="J30" s="8">
        <v>-12.94325065612793</v>
      </c>
    </row>
    <row r="31" spans="1:10" x14ac:dyDescent="0.25">
      <c r="A31" s="42"/>
      <c r="B31" s="5" t="s">
        <v>14</v>
      </c>
      <c r="C31" s="31">
        <v>-0.59131699800491333</v>
      </c>
      <c r="D31" s="32">
        <v>-2.3272573947906494</v>
      </c>
      <c r="E31" s="39">
        <v>1.5572793483734131</v>
      </c>
      <c r="F31" s="40">
        <v>1.6914759874343872</v>
      </c>
      <c r="G31" s="31">
        <v>-0.10845857113599777</v>
      </c>
      <c r="H31" s="32">
        <v>-0.70633697509765625</v>
      </c>
      <c r="I31" s="39">
        <v>0.97502225637435913</v>
      </c>
      <c r="J31" s="40">
        <v>1.009920597076416</v>
      </c>
    </row>
    <row r="32" spans="1:10" x14ac:dyDescent="0.25">
      <c r="A32" s="42"/>
      <c r="B32" s="5" t="s">
        <v>15</v>
      </c>
      <c r="C32" s="31">
        <v>9.5555820465087891</v>
      </c>
      <c r="D32" s="32">
        <v>6.9916572570800781</v>
      </c>
      <c r="E32" s="32">
        <v>11.254127502441406</v>
      </c>
      <c r="F32" s="8">
        <v>11.98170280456543</v>
      </c>
      <c r="G32" s="31">
        <v>4.1480464935302734</v>
      </c>
      <c r="H32" s="32">
        <v>1.8712934255599976</v>
      </c>
      <c r="I32" s="32">
        <v>4.7041215896606445</v>
      </c>
      <c r="J32" s="8">
        <v>7.6948046684265137</v>
      </c>
    </row>
    <row r="33" spans="1:10" x14ac:dyDescent="0.25">
      <c r="A33" s="45"/>
      <c r="B33" s="6" t="s">
        <v>16</v>
      </c>
      <c r="C33" s="36">
        <v>-8.9844694137573242</v>
      </c>
      <c r="D33" s="37">
        <v>-7.6227741241455078</v>
      </c>
      <c r="E33" s="37">
        <v>-10.365979194641113</v>
      </c>
      <c r="F33" s="38">
        <v>-9.2601776123046875</v>
      </c>
      <c r="G33" s="36">
        <v>-2.3933722972869873</v>
      </c>
      <c r="H33" s="37">
        <v>-1.329045295715332</v>
      </c>
      <c r="I33" s="37">
        <v>-2.104215145111084</v>
      </c>
      <c r="J33" s="38">
        <v>-4.238525390625</v>
      </c>
    </row>
    <row r="34" spans="1:10" x14ac:dyDescent="0.25">
      <c r="A34" s="41" t="s">
        <v>19</v>
      </c>
      <c r="B34" s="5" t="s">
        <v>13</v>
      </c>
      <c r="C34" s="31">
        <v>-15.73386287689209</v>
      </c>
      <c r="D34" s="32">
        <v>-10.680503845214844</v>
      </c>
      <c r="E34" s="32">
        <v>-20.083053588867188</v>
      </c>
      <c r="F34" s="8">
        <v>-20.346368789672852</v>
      </c>
      <c r="G34" s="31">
        <v>-5.5834708213806152</v>
      </c>
      <c r="H34" s="32">
        <v>-2.1194772720336914</v>
      </c>
      <c r="I34" s="32">
        <v>-6.6217451095581055</v>
      </c>
      <c r="J34" s="8">
        <v>-11.362390518188477</v>
      </c>
    </row>
    <row r="35" spans="1:10" x14ac:dyDescent="0.25">
      <c r="A35" s="42"/>
      <c r="B35" s="5" t="s">
        <v>14</v>
      </c>
      <c r="C35" s="31">
        <v>-1.9720733165740967</v>
      </c>
      <c r="D35" s="32">
        <v>-2.8369853496551514</v>
      </c>
      <c r="E35" s="32">
        <v>-0.61811381578445435</v>
      </c>
      <c r="F35" s="8">
        <v>-0.79279839992523193</v>
      </c>
      <c r="G35" s="31">
        <v>-0.75862681865692139</v>
      </c>
      <c r="H35" s="32">
        <v>-0.56141519546508789</v>
      </c>
      <c r="I35" s="32">
        <v>-0.21167823672294617</v>
      </c>
      <c r="J35" s="8">
        <v>-0.76305657625198364</v>
      </c>
    </row>
    <row r="36" spans="1:10" x14ac:dyDescent="0.25">
      <c r="A36" s="42"/>
      <c r="B36" s="5" t="s">
        <v>15</v>
      </c>
      <c r="C36" s="31">
        <v>9.6265468597412109</v>
      </c>
      <c r="D36" s="32">
        <v>7.011141300201416</v>
      </c>
      <c r="E36" s="32">
        <v>11.460109710693359</v>
      </c>
      <c r="F36" s="8">
        <v>12.066279411315918</v>
      </c>
      <c r="G36" s="31">
        <v>4.3630356788635254</v>
      </c>
      <c r="H36" s="32">
        <v>1.9227662086486816</v>
      </c>
      <c r="I36" s="32">
        <v>4.8993496894836426</v>
      </c>
      <c r="J36" s="8">
        <v>8.2530088424682617</v>
      </c>
    </row>
    <row r="37" spans="1:10" ht="15.75" thickBot="1" x14ac:dyDescent="0.3">
      <c r="A37" s="43"/>
      <c r="B37" s="7" t="s">
        <v>16</v>
      </c>
      <c r="C37" s="33">
        <v>-8.0793886184692383</v>
      </c>
      <c r="D37" s="34">
        <v>-6.50634765625</v>
      </c>
      <c r="E37" s="34">
        <v>-9.241058349609375</v>
      </c>
      <c r="F37" s="35">
        <v>-9.0728874206542969</v>
      </c>
      <c r="G37" s="33">
        <v>-1.9790619611740112</v>
      </c>
      <c r="H37" s="34">
        <v>-0.75812637805938721</v>
      </c>
      <c r="I37" s="34">
        <v>-1.9340736865997314</v>
      </c>
      <c r="J37" s="35">
        <v>-3.8724374771118164</v>
      </c>
    </row>
    <row r="38" spans="1:10" ht="15.75" thickBot="1" x14ac:dyDescent="0.3"/>
    <row r="39" spans="1:10" ht="15.75" thickBot="1" x14ac:dyDescent="0.3">
      <c r="A39" s="44" t="s">
        <v>11</v>
      </c>
      <c r="B39" s="48" t="s">
        <v>12</v>
      </c>
      <c r="C39" s="46" t="s">
        <v>9</v>
      </c>
      <c r="D39" s="46"/>
      <c r="E39" s="46"/>
      <c r="F39" s="47"/>
      <c r="G39" s="46" t="s">
        <v>10</v>
      </c>
      <c r="H39" s="46"/>
      <c r="I39" s="46"/>
      <c r="J39" s="47"/>
    </row>
    <row r="40" spans="1:10" ht="15.75" thickBot="1" x14ac:dyDescent="0.3">
      <c r="A40" s="43"/>
      <c r="B40" s="49"/>
      <c r="C40" s="2" t="s">
        <v>0</v>
      </c>
      <c r="D40" s="2" t="s">
        <v>1</v>
      </c>
      <c r="E40" s="2" t="s">
        <v>2</v>
      </c>
      <c r="F40" s="4" t="s">
        <v>3</v>
      </c>
      <c r="G40" s="2" t="s">
        <v>0</v>
      </c>
      <c r="H40" s="2" t="s">
        <v>1</v>
      </c>
      <c r="I40" s="2" t="s">
        <v>2</v>
      </c>
      <c r="J40" s="4" t="s">
        <v>3</v>
      </c>
    </row>
    <row r="41" spans="1:10" x14ac:dyDescent="0.25">
      <c r="A41" s="50" t="s">
        <v>6</v>
      </c>
      <c r="B41" s="9" t="s">
        <v>13</v>
      </c>
      <c r="C41" s="10">
        <v>-16.032228469848633</v>
      </c>
      <c r="D41" s="10">
        <v>-10.518310546875</v>
      </c>
      <c r="E41" s="10">
        <v>-21.604747772216797</v>
      </c>
      <c r="F41" s="11">
        <v>-19.794448852539063</v>
      </c>
      <c r="G41" s="10">
        <v>-5.8477387428283691</v>
      </c>
      <c r="H41" s="10">
        <v>-2.3668787479400635</v>
      </c>
      <c r="I41" s="10">
        <v>-7.4333124160766602</v>
      </c>
      <c r="J41" s="11">
        <v>-10.787385940551758</v>
      </c>
    </row>
    <row r="42" spans="1:10" x14ac:dyDescent="0.25">
      <c r="A42" s="51"/>
      <c r="B42" s="9" t="s">
        <v>14</v>
      </c>
      <c r="C42" s="10">
        <v>-2.52813720703125</v>
      </c>
      <c r="D42" s="10">
        <v>-2.2934503555297852</v>
      </c>
      <c r="E42" s="10">
        <v>-0.96334874629974365</v>
      </c>
      <c r="F42" s="11">
        <v>-3.6524536609649658</v>
      </c>
      <c r="G42" s="10">
        <v>-1.2678928375244141</v>
      </c>
      <c r="H42" s="10">
        <v>-0.65605330467224121</v>
      </c>
      <c r="I42" s="10">
        <v>-0.63754457235336304</v>
      </c>
      <c r="J42" s="11">
        <v>-2.2579483985900879</v>
      </c>
    </row>
    <row r="43" spans="1:10" x14ac:dyDescent="0.25">
      <c r="A43" s="51"/>
      <c r="B43" s="9" t="s">
        <v>15</v>
      </c>
      <c r="C43" s="10">
        <v>11.110875129699707</v>
      </c>
      <c r="D43" s="10">
        <v>8.147679328918457</v>
      </c>
      <c r="E43" s="10">
        <v>13.326894760131836</v>
      </c>
      <c r="F43" s="11">
        <v>13.561458587646484</v>
      </c>
      <c r="G43" s="10">
        <v>4.9782724380493164</v>
      </c>
      <c r="H43" s="10">
        <v>2.3191170692443848</v>
      </c>
      <c r="I43" s="10">
        <v>5.901130199432373</v>
      </c>
      <c r="J43" s="11">
        <v>8.7391805648803711</v>
      </c>
    </row>
    <row r="44" spans="1:10" x14ac:dyDescent="0.25">
      <c r="A44" s="52"/>
      <c r="B44" s="12" t="s">
        <v>16</v>
      </c>
      <c r="C44" s="13">
        <v>-7.4494905471801758</v>
      </c>
      <c r="D44" s="13">
        <v>-4.6640815734863281</v>
      </c>
      <c r="E44" s="13">
        <v>-9.2412017583847046</v>
      </c>
      <c r="F44" s="14">
        <v>-9.8854439258575439</v>
      </c>
      <c r="G44" s="13">
        <v>-2.1373591423034668</v>
      </c>
      <c r="H44" s="13">
        <v>-0.70381498336791992</v>
      </c>
      <c r="I44" s="13">
        <v>-2.1697267889976501</v>
      </c>
      <c r="J44" s="14">
        <v>-4.3061537742614746</v>
      </c>
    </row>
    <row r="45" spans="1:10" x14ac:dyDescent="0.25">
      <c r="A45" s="42" t="s">
        <v>17</v>
      </c>
      <c r="B45" s="5" t="s">
        <v>13</v>
      </c>
      <c r="C45" s="28">
        <v>-12.783371925354004</v>
      </c>
      <c r="D45" s="29">
        <v>-8.4196319580078125</v>
      </c>
      <c r="E45" s="29">
        <v>-16.465230941772461</v>
      </c>
      <c r="F45" s="30">
        <v>-15.384548187255859</v>
      </c>
      <c r="G45" s="29">
        <v>-4.2388505935668945</v>
      </c>
      <c r="H45" s="29">
        <v>-1.7035907506942749</v>
      </c>
      <c r="I45" s="29">
        <v>-4.8144640922546387</v>
      </c>
      <c r="J45" s="30">
        <v>-7.786076545715332</v>
      </c>
    </row>
    <row r="46" spans="1:10" x14ac:dyDescent="0.25">
      <c r="A46" s="42"/>
      <c r="B46" s="5" t="s">
        <v>14</v>
      </c>
      <c r="C46" s="31">
        <v>-1.3522225618362427</v>
      </c>
      <c r="D46" s="32">
        <v>-2.0731964111328125</v>
      </c>
      <c r="E46" s="32">
        <v>-0.91421175003051758</v>
      </c>
      <c r="F46" s="8">
        <v>-1.0327112674713135</v>
      </c>
      <c r="G46" s="32">
        <v>-0.63457059860229492</v>
      </c>
      <c r="H46" s="32">
        <v>-0.5128217339515686</v>
      </c>
      <c r="I46" s="32">
        <v>-0.64975571632385254</v>
      </c>
      <c r="J46" s="8">
        <v>-0.88369113206863403</v>
      </c>
    </row>
    <row r="47" spans="1:10" x14ac:dyDescent="0.25">
      <c r="A47" s="42"/>
      <c r="B47" s="5" t="s">
        <v>15</v>
      </c>
      <c r="C47" s="31">
        <v>8.032928466796875</v>
      </c>
      <c r="D47" s="32">
        <v>5.669579029083252</v>
      </c>
      <c r="E47" s="32">
        <v>9.7870264053344727</v>
      </c>
      <c r="F47" s="8">
        <v>10.140814781188965</v>
      </c>
      <c r="G47" s="32">
        <v>3.3330109119415283</v>
      </c>
      <c r="H47" s="32">
        <v>1.5507524013519287</v>
      </c>
      <c r="I47" s="32">
        <v>3.667083740234375</v>
      </c>
      <c r="J47" s="8">
        <v>6.1312885284423828</v>
      </c>
    </row>
    <row r="48" spans="1:10" x14ac:dyDescent="0.25">
      <c r="A48" s="45"/>
      <c r="B48" s="6" t="s">
        <v>16</v>
      </c>
      <c r="C48" s="36">
        <v>-6.1026654243469238</v>
      </c>
      <c r="D48" s="37">
        <v>-4.8232498168945313</v>
      </c>
      <c r="E48" s="37">
        <v>-7.5924158096313477</v>
      </c>
      <c r="F48" s="38">
        <v>-6.2764444351196289</v>
      </c>
      <c r="G48" s="37">
        <v>-1.5404103994369507</v>
      </c>
      <c r="H48" s="37">
        <v>-0.66566014289855957</v>
      </c>
      <c r="I48" s="37">
        <v>-1.7971363067626953</v>
      </c>
      <c r="J48" s="38">
        <v>-2.5384788513183594</v>
      </c>
    </row>
    <row r="49" spans="1:10" x14ac:dyDescent="0.25">
      <c r="A49" s="41" t="s">
        <v>18</v>
      </c>
      <c r="B49" s="5" t="s">
        <v>13</v>
      </c>
      <c r="C49" s="31">
        <v>-11.173925399780273</v>
      </c>
      <c r="D49" s="32">
        <v>-6.7563920021057129</v>
      </c>
      <c r="E49" s="32">
        <v>-15.175010681152344</v>
      </c>
      <c r="F49" s="8">
        <v>-15.276305198669434</v>
      </c>
      <c r="G49" s="32">
        <v>-3.4525413513183594</v>
      </c>
      <c r="H49" s="32">
        <v>-1.2186398506164551</v>
      </c>
      <c r="I49" s="32">
        <v>-4.0409765243530273</v>
      </c>
      <c r="J49" s="8">
        <v>-7.4115509986877441</v>
      </c>
    </row>
    <row r="50" spans="1:10" x14ac:dyDescent="0.25">
      <c r="A50" s="42"/>
      <c r="B50" s="5" t="s">
        <v>14</v>
      </c>
      <c r="C50" s="31">
        <v>-0.26265060901641846</v>
      </c>
      <c r="D50" s="32">
        <v>-1.4296571016311646</v>
      </c>
      <c r="E50" s="39">
        <v>1.3182988166809082</v>
      </c>
      <c r="F50" s="40">
        <v>1.2599667310714722</v>
      </c>
      <c r="G50" s="39">
        <v>1.6648015007376671E-2</v>
      </c>
      <c r="H50" s="32">
        <v>-0.37734523415565491</v>
      </c>
      <c r="I50" s="39">
        <v>0.65809041261672974</v>
      </c>
      <c r="J50" s="40">
        <v>0.70960623025894165</v>
      </c>
    </row>
    <row r="51" spans="1:10" x14ac:dyDescent="0.25">
      <c r="A51" s="42"/>
      <c r="B51" s="5" t="s">
        <v>15</v>
      </c>
      <c r="C51" s="31">
        <v>6.1950235366821289</v>
      </c>
      <c r="D51" s="32">
        <v>4.0686683654785156</v>
      </c>
      <c r="E51" s="32">
        <v>7.7152562141418457</v>
      </c>
      <c r="F51" s="8">
        <v>8.14599609375</v>
      </c>
      <c r="G51" s="32">
        <v>2.2683010101318359</v>
      </c>
      <c r="H51" s="32">
        <v>0.92062413692474365</v>
      </c>
      <c r="I51" s="32">
        <v>2.4770975112915039</v>
      </c>
      <c r="J51" s="8">
        <v>4.5475625991821289</v>
      </c>
    </row>
    <row r="52" spans="1:10" x14ac:dyDescent="0.25">
      <c r="A52" s="45"/>
      <c r="B52" s="6" t="s">
        <v>16</v>
      </c>
      <c r="C52" s="36">
        <v>-5.2415523529052734</v>
      </c>
      <c r="D52" s="37">
        <v>-4.1173806190490723</v>
      </c>
      <c r="E52" s="37">
        <v>-6.1414556503295898</v>
      </c>
      <c r="F52" s="38">
        <v>-5.8703422546386719</v>
      </c>
      <c r="G52" s="37">
        <v>-1.1675922870635986</v>
      </c>
      <c r="H52" s="37">
        <v>-0.67536085844039917</v>
      </c>
      <c r="I52" s="37">
        <v>-0.90578842163085938</v>
      </c>
      <c r="J52" s="38">
        <v>-2.1543819904327393</v>
      </c>
    </row>
    <row r="53" spans="1:10" x14ac:dyDescent="0.25">
      <c r="A53" s="41" t="s">
        <v>19</v>
      </c>
      <c r="B53" s="5" t="s">
        <v>13</v>
      </c>
      <c r="C53" s="31">
        <v>-9.6234598159790039</v>
      </c>
      <c r="D53" s="32">
        <v>-5.7499933242797852</v>
      </c>
      <c r="E53" s="32">
        <v>-12.950374603271484</v>
      </c>
      <c r="F53" s="8">
        <v>-13.259540557861328</v>
      </c>
      <c r="G53" s="32">
        <v>-2.9408881664276123</v>
      </c>
      <c r="H53" s="32">
        <v>-1.0125678777694702</v>
      </c>
      <c r="I53" s="32">
        <v>-3.3354556560516357</v>
      </c>
      <c r="J53" s="8">
        <v>-6.4135041236877441</v>
      </c>
    </row>
    <row r="54" spans="1:10" x14ac:dyDescent="0.25">
      <c r="A54" s="42"/>
      <c r="B54" s="5" t="s">
        <v>14</v>
      </c>
      <c r="C54" s="31">
        <v>-1.1828718185424805</v>
      </c>
      <c r="D54" s="32">
        <v>-1.5332931280136108</v>
      </c>
      <c r="E54" s="32">
        <v>-0.35969817638397217</v>
      </c>
      <c r="F54" s="8">
        <v>-0.59889894723892212</v>
      </c>
      <c r="G54" s="32">
        <v>-0.33469489216804504</v>
      </c>
      <c r="H54" s="32">
        <v>-0.18776373565196991</v>
      </c>
      <c r="I54" s="39">
        <v>-1.6233900561928749E-2</v>
      </c>
      <c r="J54" s="8">
        <v>-0.43140265345573425</v>
      </c>
    </row>
    <row r="55" spans="1:10" x14ac:dyDescent="0.25">
      <c r="A55" s="42"/>
      <c r="B55" s="5" t="s">
        <v>15</v>
      </c>
      <c r="C55" s="31">
        <v>6.119020938873291</v>
      </c>
      <c r="D55" s="32">
        <v>3.9837770462036133</v>
      </c>
      <c r="E55" s="32">
        <v>7.6424136161804199</v>
      </c>
      <c r="F55" s="8">
        <v>8.1189861297607422</v>
      </c>
      <c r="G55" s="32">
        <v>2.3413066864013672</v>
      </c>
      <c r="H55" s="32">
        <v>0.92217963933944702</v>
      </c>
      <c r="I55" s="32">
        <v>2.5231168270111084</v>
      </c>
      <c r="J55" s="8">
        <v>4.7804756164550781</v>
      </c>
    </row>
    <row r="56" spans="1:10" ht="15.75" thickBot="1" x14ac:dyDescent="0.3">
      <c r="A56" s="43"/>
      <c r="B56" s="7" t="s">
        <v>16</v>
      </c>
      <c r="C56" s="33">
        <v>-4.6873106956481934</v>
      </c>
      <c r="D56" s="34">
        <v>-3.2995092868804932</v>
      </c>
      <c r="E56" s="34">
        <v>-5.6676597595214844</v>
      </c>
      <c r="F56" s="35">
        <v>-5.7394533157348633</v>
      </c>
      <c r="G56" s="34">
        <v>-0.93427634239196777</v>
      </c>
      <c r="H56" s="34">
        <v>-0.27815192937850952</v>
      </c>
      <c r="I56" s="34">
        <v>-0.82857275009155273</v>
      </c>
      <c r="J56" s="35">
        <v>-2.0644311904907227</v>
      </c>
    </row>
  </sheetData>
  <mergeCells count="24">
    <mergeCell ref="A41:A44"/>
    <mergeCell ref="A53:A56"/>
    <mergeCell ref="A45:A48"/>
    <mergeCell ref="A49:A52"/>
    <mergeCell ref="G20:J20"/>
    <mergeCell ref="A34:A37"/>
    <mergeCell ref="A39:A40"/>
    <mergeCell ref="B39:B40"/>
    <mergeCell ref="C39:F39"/>
    <mergeCell ref="G39:J39"/>
    <mergeCell ref="C20:F20"/>
    <mergeCell ref="A22:A25"/>
    <mergeCell ref="A26:A29"/>
    <mergeCell ref="A30:A33"/>
    <mergeCell ref="A20:A21"/>
    <mergeCell ref="B20:B21"/>
    <mergeCell ref="A15:A18"/>
    <mergeCell ref="A1:A2"/>
    <mergeCell ref="A11:A14"/>
    <mergeCell ref="C1:F1"/>
    <mergeCell ref="G1:J1"/>
    <mergeCell ref="B1:B2"/>
    <mergeCell ref="A3:A6"/>
    <mergeCell ref="A7:A10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801E8-E712-42D2-B4F5-6072636A7809}">
  <dimension ref="A1:G13"/>
  <sheetViews>
    <sheetView zoomScale="80" zoomScaleNormal="80" workbookViewId="0">
      <selection sqref="A1:A2"/>
    </sheetView>
  </sheetViews>
  <sheetFormatPr baseColWidth="10" defaultRowHeight="15" x14ac:dyDescent="0.25"/>
  <cols>
    <col min="1" max="1" width="11.42578125" style="1" customWidth="1"/>
    <col min="2" max="2" width="17.85546875" style="1" customWidth="1"/>
    <col min="3" max="3" width="21.42578125" style="1" customWidth="1"/>
    <col min="4" max="4" width="14.28515625" style="1" customWidth="1"/>
    <col min="5" max="5" width="14.42578125" style="1" customWidth="1"/>
    <col min="6" max="16384" width="11.42578125" style="1"/>
  </cols>
  <sheetData>
    <row r="1" spans="1:7" ht="15.75" thickBot="1" x14ac:dyDescent="0.3">
      <c r="A1" s="44" t="s">
        <v>20</v>
      </c>
      <c r="B1" s="46" t="s">
        <v>21</v>
      </c>
      <c r="C1" s="46"/>
      <c r="D1" s="46"/>
      <c r="E1" s="47"/>
      <c r="G1" s="1" t="s">
        <v>27</v>
      </c>
    </row>
    <row r="2" spans="1:7" ht="15.75" thickBot="1" x14ac:dyDescent="0.3">
      <c r="A2" s="43"/>
      <c r="B2" s="3" t="s">
        <v>0</v>
      </c>
      <c r="C2" s="3" t="s">
        <v>1</v>
      </c>
      <c r="D2" s="3" t="s">
        <v>2</v>
      </c>
      <c r="E2" s="4" t="s">
        <v>3</v>
      </c>
      <c r="G2" s="1" t="s">
        <v>28</v>
      </c>
    </row>
    <row r="3" spans="1:7" x14ac:dyDescent="0.25">
      <c r="A3" s="15">
        <v>2008</v>
      </c>
      <c r="B3" s="27">
        <v>0.39735528826713562</v>
      </c>
      <c r="C3" s="27">
        <v>0.29252445697784424</v>
      </c>
      <c r="D3" s="27">
        <v>0.46787184476852417</v>
      </c>
      <c r="E3" s="20">
        <v>0.53894871473312378</v>
      </c>
    </row>
    <row r="4" spans="1:7" x14ac:dyDescent="0.25">
      <c r="A4" s="16">
        <v>2009</v>
      </c>
      <c r="B4" s="27">
        <v>0.39898982644081116</v>
      </c>
      <c r="C4" s="27">
        <v>0.2955230176448822</v>
      </c>
      <c r="D4" s="27">
        <v>0.46505048871040344</v>
      </c>
      <c r="E4" s="23">
        <v>0.53331965208053589</v>
      </c>
    </row>
    <row r="5" spans="1:7" x14ac:dyDescent="0.25">
      <c r="A5" s="16">
        <v>2010</v>
      </c>
      <c r="B5" s="27">
        <v>0.40048360824584961</v>
      </c>
      <c r="C5" s="27">
        <v>0.29345628619194031</v>
      </c>
      <c r="D5" s="27">
        <v>0.47054621577262878</v>
      </c>
      <c r="E5" s="23">
        <v>0.53754973411560059</v>
      </c>
    </row>
    <row r="6" spans="1:7" x14ac:dyDescent="0.25">
      <c r="A6" s="16">
        <v>2011</v>
      </c>
      <c r="B6" s="27">
        <v>0.39782461524009705</v>
      </c>
      <c r="C6" s="27">
        <v>0.29476699233055115</v>
      </c>
      <c r="D6" s="27">
        <v>0.46639794111251831</v>
      </c>
      <c r="E6" s="23">
        <v>0.53000748157501221</v>
      </c>
    </row>
    <row r="7" spans="1:7" x14ac:dyDescent="0.25">
      <c r="A7" s="16">
        <v>2012</v>
      </c>
      <c r="B7" s="27">
        <v>0.3981720507144928</v>
      </c>
      <c r="C7" s="27">
        <v>0.29431867599487305</v>
      </c>
      <c r="D7" s="27">
        <v>0.45714116096496582</v>
      </c>
      <c r="E7" s="23">
        <v>0.54443365335464478</v>
      </c>
    </row>
    <row r="8" spans="1:7" x14ac:dyDescent="0.25">
      <c r="A8" s="16">
        <v>2013</v>
      </c>
      <c r="B8" s="27">
        <v>0.39426583051681519</v>
      </c>
      <c r="C8" s="27">
        <v>0.28708931803703308</v>
      </c>
      <c r="D8" s="27">
        <v>0.45405638217926025</v>
      </c>
      <c r="E8" s="23">
        <v>0.54919630289077759</v>
      </c>
    </row>
    <row r="9" spans="1:7" x14ac:dyDescent="0.25">
      <c r="A9" s="16">
        <v>2014</v>
      </c>
      <c r="B9" s="27">
        <v>0.39029765129089355</v>
      </c>
      <c r="C9" s="27">
        <v>0.27998286485671997</v>
      </c>
      <c r="D9" s="27">
        <v>0.45215162634849548</v>
      </c>
      <c r="E9" s="23">
        <v>0.55505430698394775</v>
      </c>
    </row>
    <row r="10" spans="1:7" x14ac:dyDescent="0.25">
      <c r="A10" s="16">
        <v>2015</v>
      </c>
      <c r="B10" s="27">
        <v>0.3913499116897583</v>
      </c>
      <c r="C10" s="27">
        <v>0.27707651257514954</v>
      </c>
      <c r="D10" s="27">
        <v>0.45180672407150269</v>
      </c>
      <c r="E10" s="23">
        <v>0.56451845169067383</v>
      </c>
    </row>
    <row r="11" spans="1:7" x14ac:dyDescent="0.25">
      <c r="A11" s="16">
        <v>2016</v>
      </c>
      <c r="B11" s="27">
        <v>0.39302772283554077</v>
      </c>
      <c r="C11" s="27">
        <v>0.27533099055290222</v>
      </c>
      <c r="D11" s="27">
        <v>0.45753848552703857</v>
      </c>
      <c r="E11" s="23">
        <v>0.56638509035110474</v>
      </c>
    </row>
    <row r="12" spans="1:7" x14ac:dyDescent="0.25">
      <c r="A12" s="16">
        <v>2017</v>
      </c>
      <c r="B12" s="27">
        <v>0.3879673182964325</v>
      </c>
      <c r="C12" s="27">
        <v>0.27556952834129333</v>
      </c>
      <c r="D12" s="27">
        <v>0.45067274570465088</v>
      </c>
      <c r="E12" s="23">
        <v>0.55129104852676392</v>
      </c>
    </row>
    <row r="13" spans="1:7" ht="15.75" thickBot="1" x14ac:dyDescent="0.3">
      <c r="A13" s="17">
        <v>2018</v>
      </c>
      <c r="B13" s="24">
        <v>0.389942467212677</v>
      </c>
      <c r="C13" s="25">
        <v>0.27367740869522095</v>
      </c>
      <c r="D13" s="25">
        <v>0.4546220600605011</v>
      </c>
      <c r="E13" s="26">
        <v>0.55542701482772827</v>
      </c>
    </row>
  </sheetData>
  <mergeCells count="2">
    <mergeCell ref="B1:E1"/>
    <mergeCell ref="A1:A2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7C6A3-2ED6-4ADF-8C7F-A237303C18F0}">
  <dimension ref="A1:G19"/>
  <sheetViews>
    <sheetView zoomScale="80" zoomScaleNormal="80" workbookViewId="0">
      <selection sqref="A1:A2"/>
    </sheetView>
  </sheetViews>
  <sheetFormatPr baseColWidth="10" defaultRowHeight="15" x14ac:dyDescent="0.25"/>
  <cols>
    <col min="1" max="1" width="11.42578125" style="1" customWidth="1"/>
    <col min="2" max="2" width="17.85546875" style="1" customWidth="1"/>
    <col min="3" max="3" width="21.42578125" style="1" customWidth="1"/>
    <col min="4" max="4" width="14.28515625" style="1" customWidth="1"/>
    <col min="5" max="5" width="14.42578125" style="1" customWidth="1"/>
    <col min="6" max="16384" width="11.42578125" style="1"/>
  </cols>
  <sheetData>
    <row r="1" spans="1:7" ht="15.75" thickBot="1" x14ac:dyDescent="0.3">
      <c r="A1" s="53" t="s">
        <v>20</v>
      </c>
      <c r="B1" s="46" t="s">
        <v>22</v>
      </c>
      <c r="C1" s="46"/>
      <c r="D1" s="46"/>
      <c r="E1" s="47"/>
      <c r="G1" s="1" t="s">
        <v>29</v>
      </c>
    </row>
    <row r="2" spans="1:7" ht="15.75" thickBot="1" x14ac:dyDescent="0.3">
      <c r="A2" s="54"/>
      <c r="B2" s="3" t="s">
        <v>0</v>
      </c>
      <c r="C2" s="3" t="s">
        <v>1</v>
      </c>
      <c r="D2" s="3" t="s">
        <v>2</v>
      </c>
      <c r="E2" s="4" t="s">
        <v>3</v>
      </c>
    </row>
    <row r="3" spans="1:7" x14ac:dyDescent="0.25">
      <c r="A3" s="15">
        <v>2002</v>
      </c>
      <c r="B3" s="18">
        <v>0.38043564558029175</v>
      </c>
      <c r="C3" s="19">
        <v>0.44464981555938721</v>
      </c>
      <c r="D3" s="19">
        <v>0.36122548580169678</v>
      </c>
      <c r="E3" s="20">
        <v>0.28359630703926086</v>
      </c>
    </row>
    <row r="4" spans="1:7" x14ac:dyDescent="0.25">
      <c r="A4" s="16">
        <v>2003</v>
      </c>
      <c r="B4" s="21">
        <v>0.39030399918556213</v>
      </c>
      <c r="C4" s="22">
        <v>0.4508616030216217</v>
      </c>
      <c r="D4" s="22">
        <v>0.37236133217811584</v>
      </c>
      <c r="E4" s="23">
        <v>0.29731321334838867</v>
      </c>
    </row>
    <row r="5" spans="1:7" x14ac:dyDescent="0.25">
      <c r="A5" s="16">
        <v>2004</v>
      </c>
      <c r="B5" s="21">
        <v>0.37844744324684143</v>
      </c>
      <c r="C5" s="22">
        <v>0.43708038330078125</v>
      </c>
      <c r="D5" s="22">
        <v>0.36404252052307129</v>
      </c>
      <c r="E5" s="23">
        <v>0.28323689103126526</v>
      </c>
    </row>
    <row r="6" spans="1:7" x14ac:dyDescent="0.25">
      <c r="A6" s="16">
        <v>2005</v>
      </c>
      <c r="B6" s="21">
        <v>0.37233015894889832</v>
      </c>
      <c r="C6" s="22">
        <v>0.43874248862266541</v>
      </c>
      <c r="D6" s="22">
        <v>0.35617420077323914</v>
      </c>
      <c r="E6" s="23">
        <v>0.26266491413116455</v>
      </c>
    </row>
    <row r="7" spans="1:7" x14ac:dyDescent="0.25">
      <c r="A7" s="16">
        <v>2006</v>
      </c>
      <c r="B7" s="21"/>
      <c r="C7" s="22"/>
      <c r="D7" s="22"/>
      <c r="E7" s="23"/>
    </row>
    <row r="8" spans="1:7" x14ac:dyDescent="0.25">
      <c r="A8" s="16">
        <v>2007</v>
      </c>
      <c r="B8" s="21"/>
      <c r="C8" s="22"/>
      <c r="D8" s="22"/>
      <c r="E8" s="23"/>
    </row>
    <row r="9" spans="1:7" x14ac:dyDescent="0.25">
      <c r="A9" s="16">
        <v>2008</v>
      </c>
      <c r="B9" s="21">
        <v>0.36513367295265198</v>
      </c>
      <c r="C9" s="22">
        <v>0.43731561303138733</v>
      </c>
      <c r="D9" s="22">
        <v>0.35915583372116089</v>
      </c>
      <c r="E9" s="23">
        <v>0.22560611367225647</v>
      </c>
    </row>
    <row r="10" spans="1:7" x14ac:dyDescent="0.25">
      <c r="A10" s="16">
        <v>2009</v>
      </c>
      <c r="B10" s="21">
        <v>0.39300423860549927</v>
      </c>
      <c r="C10" s="22">
        <v>0.46037450432777405</v>
      </c>
      <c r="D10" s="22">
        <v>0.38649910688400269</v>
      </c>
      <c r="E10" s="23">
        <v>0.26267868280410767</v>
      </c>
    </row>
    <row r="11" spans="1:7" x14ac:dyDescent="0.25">
      <c r="A11" s="16">
        <v>2010</v>
      </c>
      <c r="B11" s="21">
        <v>0.41047406196594238</v>
      </c>
      <c r="C11" s="22">
        <v>0.47593164443969727</v>
      </c>
      <c r="D11" s="22">
        <v>0.40048021078109741</v>
      </c>
      <c r="E11" s="23">
        <v>0.28772464394569397</v>
      </c>
    </row>
    <row r="12" spans="1:7" x14ac:dyDescent="0.25">
      <c r="A12" s="16">
        <v>2011</v>
      </c>
      <c r="B12" s="21">
        <v>0.41963443160057068</v>
      </c>
      <c r="C12" s="22">
        <v>0.48669666051864624</v>
      </c>
      <c r="D12" s="22">
        <v>0.41342708468437195</v>
      </c>
      <c r="E12" s="23">
        <v>0.28688576817512512</v>
      </c>
    </row>
    <row r="13" spans="1:7" x14ac:dyDescent="0.25">
      <c r="A13" s="16">
        <v>2012</v>
      </c>
      <c r="B13" s="21">
        <v>0.43204239010810852</v>
      </c>
      <c r="C13" s="22">
        <v>0.49524721503257751</v>
      </c>
      <c r="D13" s="22">
        <v>0.42217960953712463</v>
      </c>
      <c r="E13" s="23">
        <v>0.3120248019695282</v>
      </c>
    </row>
    <row r="14" spans="1:7" x14ac:dyDescent="0.25">
      <c r="A14" s="16">
        <v>2013</v>
      </c>
      <c r="B14" s="21">
        <v>0.43153738975524902</v>
      </c>
      <c r="C14" s="22">
        <v>0.49753645062446594</v>
      </c>
      <c r="D14" s="22">
        <v>0.42074123024940491</v>
      </c>
      <c r="E14" s="23">
        <v>0.3059329092502594</v>
      </c>
    </row>
    <row r="15" spans="1:7" x14ac:dyDescent="0.25">
      <c r="A15" s="16">
        <v>2014</v>
      </c>
      <c r="B15" s="21">
        <v>0.43369361758232117</v>
      </c>
      <c r="C15" s="22">
        <v>0.50147324800491333</v>
      </c>
      <c r="D15" s="22">
        <v>0.42209553718566895</v>
      </c>
      <c r="E15" s="23">
        <v>0.30447894334793091</v>
      </c>
    </row>
    <row r="16" spans="1:7" x14ac:dyDescent="0.25">
      <c r="A16" s="16">
        <v>2015</v>
      </c>
      <c r="B16" s="21">
        <v>0.4406147301197052</v>
      </c>
      <c r="C16" s="22">
        <v>0.50398707389831543</v>
      </c>
      <c r="D16" s="22">
        <v>0.42970401048660278</v>
      </c>
      <c r="E16" s="23">
        <v>0.31905567646026611</v>
      </c>
    </row>
    <row r="17" spans="1:5" x14ac:dyDescent="0.25">
      <c r="A17" s="16">
        <v>2016</v>
      </c>
      <c r="B17" s="21">
        <v>0.43989390134811401</v>
      </c>
      <c r="C17" s="22">
        <v>0.50085341930389404</v>
      </c>
      <c r="D17" s="22">
        <v>0.42700961232185364</v>
      </c>
      <c r="E17" s="23">
        <v>0.32581779360771179</v>
      </c>
    </row>
    <row r="18" spans="1:5" x14ac:dyDescent="0.25">
      <c r="A18" s="16">
        <v>2017</v>
      </c>
      <c r="B18" s="21">
        <v>0.4401487410068512</v>
      </c>
      <c r="C18" s="22">
        <v>0.49500542879104614</v>
      </c>
      <c r="D18" s="22">
        <v>0.43243405222892761</v>
      </c>
      <c r="E18" s="23">
        <v>0.32939767837524414</v>
      </c>
    </row>
    <row r="19" spans="1:5" ht="15.75" thickBot="1" x14ac:dyDescent="0.3">
      <c r="A19" s="17">
        <v>2018</v>
      </c>
      <c r="B19" s="24">
        <v>0.43557983636856079</v>
      </c>
      <c r="C19" s="25">
        <v>0.49075967073440552</v>
      </c>
      <c r="D19" s="25">
        <v>0.43141219019889832</v>
      </c>
      <c r="E19" s="26">
        <v>0.31966760754585266</v>
      </c>
    </row>
  </sheetData>
  <mergeCells count="2">
    <mergeCell ref="B1:E1"/>
    <mergeCell ref="A1:A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CIC</vt:lpstr>
      <vt:lpstr>KS</vt:lpstr>
      <vt:lpstr>IL</vt:lpstr>
      <vt:lpstr>PLF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Menduiña</dc:creator>
  <cp:lastModifiedBy>Juan Menduiña</cp:lastModifiedBy>
  <dcterms:created xsi:type="dcterms:W3CDTF">2021-08-31T00:38:34Z</dcterms:created>
  <dcterms:modified xsi:type="dcterms:W3CDTF">2021-10-26T20:24:34Z</dcterms:modified>
</cp:coreProperties>
</file>