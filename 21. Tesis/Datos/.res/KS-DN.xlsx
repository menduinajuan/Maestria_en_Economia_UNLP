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"/>
    </mc:Choice>
  </mc:AlternateContent>
  <xr:revisionPtr revIDLastSave="0" documentId="13_ncr:1_{A43FDA36-DAA8-4C2C-B757-C9808B299F43}" xr6:coauthVersionLast="47" xr6:coauthVersionMax="47" xr10:uidLastSave="{00000000-0000-0000-0000-000000000000}"/>
  <bookViews>
    <workbookView xWindow="-120" yWindow="-120" windowWidth="20730" windowHeight="11760" tabRatio="788" xr2:uid="{D138BB85-EBFC-4C99-9271-6C93ADEA9943}"/>
  </bookViews>
  <sheets>
    <sheet name="Tabla 1" sheetId="4" r:id="rId1"/>
    <sheet name="Tabla 2" sheetId="3" r:id="rId2"/>
    <sheet name="Tabla 3" sheetId="5" r:id="rId3"/>
    <sheet name="Tabla 4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1" i="4" l="1"/>
  <c r="T31" i="4"/>
  <c r="S31" i="4"/>
  <c r="R31" i="4"/>
  <c r="Q31" i="4"/>
  <c r="P31" i="4"/>
  <c r="O31" i="4"/>
  <c r="N31" i="4"/>
  <c r="U30" i="4"/>
  <c r="T30" i="4"/>
  <c r="S30" i="4"/>
  <c r="R30" i="4"/>
  <c r="Q30" i="4"/>
  <c r="P30" i="4"/>
  <c r="O30" i="4"/>
  <c r="N30" i="4"/>
  <c r="U29" i="4"/>
  <c r="U32" i="4" s="1"/>
  <c r="T29" i="4"/>
  <c r="T32" i="4" s="1"/>
  <c r="S29" i="4"/>
  <c r="S32" i="4" s="1"/>
  <c r="R29" i="4"/>
  <c r="R32" i="4" s="1"/>
  <c r="Q29" i="4"/>
  <c r="Q32" i="4" s="1"/>
  <c r="P29" i="4"/>
  <c r="P32" i="4" s="1"/>
  <c r="O29" i="4"/>
  <c r="O32" i="4" s="1"/>
  <c r="N29" i="4"/>
  <c r="N32" i="4" s="1"/>
  <c r="J28" i="4"/>
  <c r="I28" i="4"/>
  <c r="H28" i="4"/>
  <c r="G28" i="4"/>
  <c r="F28" i="4"/>
  <c r="E28" i="4"/>
  <c r="D28" i="4"/>
  <c r="C28" i="4"/>
  <c r="U27" i="4"/>
  <c r="T27" i="4"/>
  <c r="S27" i="4"/>
  <c r="R27" i="4"/>
  <c r="Q27" i="4"/>
  <c r="P27" i="4"/>
  <c r="O27" i="4"/>
  <c r="N27" i="4"/>
  <c r="U26" i="4"/>
  <c r="T26" i="4"/>
  <c r="S26" i="4"/>
  <c r="R26" i="4"/>
  <c r="Q26" i="4"/>
  <c r="P26" i="4"/>
  <c r="O26" i="4"/>
  <c r="N26" i="4"/>
  <c r="U25" i="4"/>
  <c r="U28" i="4" s="1"/>
  <c r="T25" i="4"/>
  <c r="T28" i="4" s="1"/>
  <c r="S25" i="4"/>
  <c r="S28" i="4" s="1"/>
  <c r="R25" i="4"/>
  <c r="R28" i="4" s="1"/>
  <c r="Q25" i="4"/>
  <c r="Q28" i="4" s="1"/>
  <c r="P25" i="4"/>
  <c r="P28" i="4" s="1"/>
  <c r="O25" i="4"/>
  <c r="O28" i="4" s="1"/>
  <c r="N25" i="4"/>
  <c r="N28" i="4" s="1"/>
  <c r="U20" i="4"/>
  <c r="T20" i="4"/>
  <c r="S20" i="4"/>
  <c r="R20" i="4"/>
  <c r="Q20" i="4"/>
  <c r="P20" i="4"/>
  <c r="O20" i="4"/>
  <c r="N20" i="4"/>
  <c r="U19" i="4"/>
  <c r="T19" i="4"/>
  <c r="S19" i="4"/>
  <c r="R19" i="4"/>
  <c r="Q19" i="4"/>
  <c r="P19" i="4"/>
  <c r="O19" i="4"/>
  <c r="N19" i="4"/>
  <c r="U18" i="4"/>
  <c r="U21" i="4" s="1"/>
  <c r="T18" i="4"/>
  <c r="T21" i="4" s="1"/>
  <c r="S18" i="4"/>
  <c r="S21" i="4" s="1"/>
  <c r="R18" i="4"/>
  <c r="R21" i="4" s="1"/>
  <c r="Q18" i="4"/>
  <c r="Q21" i="4" s="1"/>
  <c r="P18" i="4"/>
  <c r="P21" i="4" s="1"/>
  <c r="O18" i="4"/>
  <c r="O21" i="4" s="1"/>
  <c r="N18" i="4"/>
  <c r="N21" i="4" s="1"/>
  <c r="J17" i="4"/>
  <c r="I17" i="4"/>
  <c r="H17" i="4"/>
  <c r="G17" i="4"/>
  <c r="F17" i="4"/>
  <c r="E17" i="4"/>
  <c r="D17" i="4"/>
  <c r="C17" i="4"/>
  <c r="U16" i="4"/>
  <c r="T16" i="4"/>
  <c r="S16" i="4"/>
  <c r="R16" i="4"/>
  <c r="Q16" i="4"/>
  <c r="P16" i="4"/>
  <c r="O16" i="4"/>
  <c r="N16" i="4"/>
  <c r="U15" i="4"/>
  <c r="T15" i="4"/>
  <c r="S15" i="4"/>
  <c r="R15" i="4"/>
  <c r="Q15" i="4"/>
  <c r="P15" i="4"/>
  <c r="O15" i="4"/>
  <c r="N15" i="4"/>
  <c r="U14" i="4"/>
  <c r="U17" i="4" s="1"/>
  <c r="T14" i="4"/>
  <c r="T17" i="4" s="1"/>
  <c r="S14" i="4"/>
  <c r="S17" i="4" s="1"/>
  <c r="R14" i="4"/>
  <c r="R17" i="4" s="1"/>
  <c r="Q14" i="4"/>
  <c r="Q17" i="4" s="1"/>
  <c r="P14" i="4"/>
  <c r="P17" i="4" s="1"/>
  <c r="O14" i="4"/>
  <c r="O17" i="4" s="1"/>
  <c r="N14" i="4"/>
  <c r="N17" i="4" s="1"/>
  <c r="U9" i="4"/>
  <c r="T9" i="4"/>
  <c r="S9" i="4"/>
  <c r="R9" i="4"/>
  <c r="Q9" i="4"/>
  <c r="P9" i="4"/>
  <c r="O9" i="4"/>
  <c r="N9" i="4"/>
  <c r="U8" i="4"/>
  <c r="T8" i="4"/>
  <c r="S8" i="4"/>
  <c r="R8" i="4"/>
  <c r="Q8" i="4"/>
  <c r="P8" i="4"/>
  <c r="O8" i="4"/>
  <c r="N8" i="4"/>
  <c r="U7" i="4"/>
  <c r="U10" i="4" s="1"/>
  <c r="T7" i="4"/>
  <c r="T10" i="4" s="1"/>
  <c r="S7" i="4"/>
  <c r="S10" i="4" s="1"/>
  <c r="R7" i="4"/>
  <c r="R10" i="4" s="1"/>
  <c r="Q7" i="4"/>
  <c r="Q10" i="4" s="1"/>
  <c r="P7" i="4"/>
  <c r="P10" i="4" s="1"/>
  <c r="O7" i="4"/>
  <c r="O10" i="4" s="1"/>
  <c r="N7" i="4"/>
  <c r="N10" i="4" s="1"/>
  <c r="J6" i="4"/>
  <c r="I6" i="4"/>
  <c r="H6" i="4"/>
  <c r="G6" i="4"/>
  <c r="F6" i="4"/>
  <c r="E6" i="4"/>
  <c r="D6" i="4"/>
  <c r="C6" i="4"/>
  <c r="U5" i="4"/>
  <c r="T5" i="4"/>
  <c r="S5" i="4"/>
  <c r="R5" i="4"/>
  <c r="Q5" i="4"/>
  <c r="P5" i="4"/>
  <c r="O5" i="4"/>
  <c r="N5" i="4"/>
  <c r="U4" i="4"/>
  <c r="T4" i="4"/>
  <c r="S4" i="4"/>
  <c r="R4" i="4"/>
  <c r="Q4" i="4"/>
  <c r="P4" i="4"/>
  <c r="O4" i="4"/>
  <c r="N4" i="4"/>
  <c r="U3" i="4"/>
  <c r="U6" i="4" s="1"/>
  <c r="T3" i="4"/>
  <c r="T6" i="4" s="1"/>
  <c r="S3" i="4"/>
  <c r="S6" i="4" s="1"/>
  <c r="R3" i="4"/>
  <c r="R6" i="4" s="1"/>
  <c r="Q3" i="4"/>
  <c r="Q6" i="4" s="1"/>
  <c r="P3" i="4"/>
  <c r="P6" i="4" s="1"/>
  <c r="O3" i="4"/>
  <c r="O6" i="4" s="1"/>
  <c r="N3" i="4"/>
  <c r="N6" i="4" s="1"/>
</calcChain>
</file>

<file path=xl/sharedStrings.xml><?xml version="1.0" encoding="utf-8"?>
<sst xmlns="http://schemas.openxmlformats.org/spreadsheetml/2006/main" count="318" uniqueCount="24">
  <si>
    <t>2002-2018</t>
  </si>
  <si>
    <t>PERÍODO</t>
  </si>
  <si>
    <t>EFECTO</t>
  </si>
  <si>
    <t>Crecimiento</t>
  </si>
  <si>
    <t>Redistribución</t>
  </si>
  <si>
    <t>Línea</t>
  </si>
  <si>
    <t>Total</t>
  </si>
  <si>
    <t>2005-2015</t>
  </si>
  <si>
    <t>Composición</t>
  </si>
  <si>
    <t>Estructura</t>
  </si>
  <si>
    <t>TOTAL NACIONAL</t>
  </si>
  <si>
    <t>PRINCIPALES CIUDADES</t>
  </si>
  <si>
    <t>RESTO URBANO</t>
  </si>
  <si>
    <t>RURAL</t>
  </si>
  <si>
    <t>POBREZA (FGT0)</t>
  </si>
  <si>
    <t>INDIGENCIA (FGT0)</t>
  </si>
  <si>
    <t>Total nacional</t>
  </si>
  <si>
    <t>Principales ciudades</t>
  </si>
  <si>
    <t>Resto urbano</t>
  </si>
  <si>
    <t>Rural</t>
  </si>
  <si>
    <t>POBREZA (FGT1)</t>
  </si>
  <si>
    <t>INDIGENCIA (FGT1)</t>
  </si>
  <si>
    <t>POBREZA (FGT2)</t>
  </si>
  <si>
    <t>INDIGENCIA (FGT2)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</si>
</sst>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#,##0.0"/>
  </numFmts>
  <fonts count="8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name val="Calibri"/>
    </font>
    <font>
      <sz val="11"/>
      <name val="Calibri"/>
      <family val="2"/>
    </font>
    <font>
      <b/>
      <sz val="1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55">
    <xf numFmtId="0" fontId="0" fillId="0" borderId="0" xfId="0"/>
    <xf numFmtId="0" fontId="2" fillId="0" borderId="0" xfId="0" applyFont="1" applyAlignment="1">
      <alignment vertical="center"/>
    </xf>
    <xf numFmtId="0" fontId="1" fillId="0" borderId="6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3" fillId="0" borderId="0" xfId="0" applyNumberFormat="1" applyFont="1" applyAlignment="1">
      <alignment horizontal="right" vertical="center"/>
    </xf>
    <xf numFmtId="164" fontId="3" fillId="0" borderId="8" xfId="0" applyNumberFormat="1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64" fontId="3" fillId="0" borderId="10" xfId="0" applyNumberFormat="1" applyFont="1" applyBorder="1" applyAlignment="1">
      <alignment horizontal="right" vertical="center"/>
    </xf>
    <xf numFmtId="164" fontId="3" fillId="0" borderId="11" xfId="0" applyNumberFormat="1" applyFont="1" applyBorder="1" applyAlignment="1">
      <alignment horizontal="right" vertical="center"/>
    </xf>
    <xf numFmtId="164" fontId="3" fillId="0" borderId="13" xfId="0" applyNumberFormat="1" applyFont="1" applyBorder="1" applyAlignment="1">
      <alignment horizontal="right" vertical="center"/>
    </xf>
    <xf numFmtId="164" fontId="3" fillId="0" borderId="6" xfId="0" applyNumberFormat="1" applyFont="1" applyBorder="1" applyAlignment="1">
      <alignment horizontal="right" vertical="center"/>
    </xf>
    <xf numFmtId="164" fontId="3" fillId="0" borderId="7" xfId="0" applyNumberFormat="1" applyFont="1" applyBorder="1" applyAlignment="1">
      <alignment horizontal="right" vertical="center"/>
    </xf>
    <xf numFmtId="0" fontId="6" fillId="0" borderId="6" xfId="0" applyFont="1" applyBorder="1" applyAlignment="1">
      <alignment horizontal="right" vertical="center"/>
    </xf>
    <xf numFmtId="0" fontId="6" fillId="0" borderId="3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14" xfId="0" applyFont="1" applyBorder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164" fontId="2" fillId="0" borderId="8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165" fontId="2" fillId="0" borderId="15" xfId="0" applyNumberFormat="1" applyFont="1" applyBorder="1" applyAlignment="1">
      <alignment horizontal="right" vertical="center"/>
    </xf>
    <xf numFmtId="165" fontId="2" fillId="0" borderId="14" xfId="0" applyNumberFormat="1" applyFont="1" applyBorder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5" fontId="2" fillId="0" borderId="8" xfId="0" applyNumberFormat="1" applyFont="1" applyBorder="1" applyAlignment="1">
      <alignment horizontal="right" vertical="center"/>
    </xf>
    <xf numFmtId="165" fontId="3" fillId="0" borderId="16" xfId="0" applyNumberFormat="1" applyFont="1" applyBorder="1" applyAlignment="1">
      <alignment horizontal="right" vertical="center"/>
    </xf>
    <xf numFmtId="165" fontId="3" fillId="0" borderId="6" xfId="0" applyNumberFormat="1" applyFont="1" applyBorder="1" applyAlignment="1">
      <alignment horizontal="right" vertical="center"/>
    </xf>
    <xf numFmtId="165" fontId="3" fillId="0" borderId="7" xfId="0" applyNumberFormat="1" applyFont="1" applyBorder="1" applyAlignment="1">
      <alignment horizontal="right" vertical="center"/>
    </xf>
    <xf numFmtId="164" fontId="2" fillId="0" borderId="17" xfId="0" applyNumberFormat="1" applyFont="1" applyBorder="1" applyAlignment="1">
      <alignment horizontal="right" vertical="center"/>
    </xf>
    <xf numFmtId="165" fontId="3" fillId="0" borderId="18" xfId="0" applyNumberFormat="1" applyFont="1" applyBorder="1" applyAlignment="1">
      <alignment horizontal="right" vertical="center"/>
    </xf>
    <xf numFmtId="165" fontId="3" fillId="0" borderId="10" xfId="0" applyNumberFormat="1" applyFont="1" applyBorder="1" applyAlignment="1">
      <alignment horizontal="right" vertical="center"/>
    </xf>
    <xf numFmtId="165" fontId="3" fillId="0" borderId="11" xfId="0" applyNumberFormat="1" applyFont="1" applyBorder="1" applyAlignment="1">
      <alignment horizontal="right" vertical="center"/>
    </xf>
    <xf numFmtId="166" fontId="3" fillId="0" borderId="10" xfId="0" applyNumberFormat="1" applyFont="1" applyBorder="1" applyAlignment="1">
      <alignment horizontal="right" vertical="center"/>
    </xf>
    <xf numFmtId="166" fontId="3" fillId="0" borderId="11" xfId="0" applyNumberFormat="1" applyFont="1" applyBorder="1" applyAlignment="1">
      <alignment horizontal="right" vertical="center"/>
    </xf>
    <xf numFmtId="164" fontId="3" fillId="0" borderId="0" xfId="0" applyNumberFormat="1" applyFont="1" applyFill="1" applyAlignment="1">
      <alignment horizontal="right" vertical="center"/>
    </xf>
    <xf numFmtId="164" fontId="3" fillId="0" borderId="8" xfId="0" applyNumberFormat="1" applyFont="1" applyFill="1" applyBorder="1" applyAlignment="1">
      <alignment horizontal="right" vertical="center"/>
    </xf>
    <xf numFmtId="164" fontId="3" fillId="0" borderId="10" xfId="0" applyNumberFormat="1" applyFont="1" applyFill="1" applyBorder="1" applyAlignment="1">
      <alignment horizontal="right" vertical="center"/>
    </xf>
    <xf numFmtId="164" fontId="3" fillId="0" borderId="11" xfId="0" applyNumberFormat="1" applyFont="1" applyFill="1" applyBorder="1" applyAlignment="1">
      <alignment horizontal="right" vertical="center"/>
    </xf>
    <xf numFmtId="164" fontId="3" fillId="0" borderId="13" xfId="0" applyNumberFormat="1" applyFont="1" applyFill="1" applyBorder="1" applyAlignment="1">
      <alignment horizontal="right" vertical="center"/>
    </xf>
    <xf numFmtId="164" fontId="3" fillId="0" borderId="6" xfId="0" applyNumberFormat="1" applyFont="1" applyFill="1" applyBorder="1" applyAlignment="1">
      <alignment horizontal="right" vertical="center"/>
    </xf>
    <xf numFmtId="164" fontId="3" fillId="0" borderId="7" xfId="0" applyNumberFormat="1" applyFont="1" applyFill="1" applyBorder="1" applyAlignment="1">
      <alignment horizontal="righ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64" fontId="7" fillId="0" borderId="0" xfId="0" applyNumberFormat="1" applyFont="1" applyFill="1" applyAlignment="1">
      <alignment horizontal="right" vertical="center"/>
    </xf>
  </cellXfs>
  <cellStyles count="3">
    <cellStyle name="Normal" xfId="0" builtinId="0"/>
    <cellStyle name="Normal 2" xfId="1" xr:uid="{885C548D-E06A-434B-B88A-BC989AA67BE1}"/>
    <cellStyle name="Normal 3" xfId="2" xr:uid="{7F6229F9-A073-44DC-A611-1F76374179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1'!$B$3</c:f>
              <c:strCache>
                <c:ptCount val="1"/>
                <c:pt idx="0">
                  <c:v>Crecimiento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1'!$C$2:$F$2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1'!$C$3:$F$3</c:f>
              <c:numCache>
                <c:formatCode>0.0</c:formatCode>
                <c:ptCount val="4"/>
                <c:pt idx="0">
                  <c:v>-43.387401580810547</c:v>
                </c:pt>
                <c:pt idx="1">
                  <c:v>-37.790809631347656</c:v>
                </c:pt>
                <c:pt idx="2">
                  <c:v>-48.848972320556641</c:v>
                </c:pt>
                <c:pt idx="3">
                  <c:v>-46.143993377685547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32-473A-8135-2B2973FE6766}"/>
            </c:ext>
          </c:extLst>
        </c:ser>
        <c:ser>
          <c:idx val="1"/>
          <c:order val="1"/>
          <c:tx>
            <c:strRef>
              <c:f>'Tabla 1'!$B$4</c:f>
              <c:strCache>
                <c:ptCount val="1"/>
                <c:pt idx="0">
                  <c:v>Redistribución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1'!$C$2:$F$2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1'!$C$4:$F$4</c:f>
              <c:numCache>
                <c:formatCode>0.0</c:formatCode>
                <c:ptCount val="4"/>
                <c:pt idx="0">
                  <c:v>-4.6706147193908691</c:v>
                </c:pt>
                <c:pt idx="1">
                  <c:v>-6.3227577209472656</c:v>
                </c:pt>
                <c:pt idx="2">
                  <c:v>-0.81654459238052368</c:v>
                </c:pt>
                <c:pt idx="3">
                  <c:v>-5.7501511573791504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32-473A-8135-2B2973FE6766}"/>
            </c:ext>
          </c:extLst>
        </c:ser>
        <c:ser>
          <c:idx val="2"/>
          <c:order val="2"/>
          <c:tx>
            <c:strRef>
              <c:f>'Tabla 1'!$B$5</c:f>
              <c:strCache>
                <c:ptCount val="1"/>
                <c:pt idx="0">
                  <c:v>Línea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1'!$C$2:$F$2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1'!$C$5:$F$5</c:f>
              <c:numCache>
                <c:formatCode>0.0</c:formatCode>
                <c:ptCount val="4"/>
                <c:pt idx="0">
                  <c:v>25.704093933105469</c:v>
                </c:pt>
                <c:pt idx="1">
                  <c:v>24.39567756652832</c:v>
                </c:pt>
                <c:pt idx="2">
                  <c:v>26.403324127197266</c:v>
                </c:pt>
                <c:pt idx="3">
                  <c:v>27.042985916137695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32-473A-8135-2B2973FE676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13256816"/>
        <c:axId val="413259440"/>
      </c:barChart>
      <c:catAx>
        <c:axId val="413256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3259440"/>
        <c:crosses val="autoZero"/>
        <c:auto val="1"/>
        <c:lblAlgn val="ctr"/>
        <c:lblOffset val="100"/>
        <c:noMultiLvlLbl val="0"/>
      </c:catAx>
      <c:valAx>
        <c:axId val="413259440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3256816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1'!$B$3</c:f>
              <c:strCache>
                <c:ptCount val="1"/>
                <c:pt idx="0">
                  <c:v>Crecimiento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1'!$G$2:$J$2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1'!$G$3:$J$3</c:f>
              <c:numCache>
                <c:formatCode>0.0</c:formatCode>
                <c:ptCount val="4"/>
                <c:pt idx="0">
                  <c:v>-24.864002227783203</c:v>
                </c:pt>
                <c:pt idx="1">
                  <c:v>-14.008109092712402</c:v>
                </c:pt>
                <c:pt idx="2">
                  <c:v>-31.795537948608398</c:v>
                </c:pt>
                <c:pt idx="3">
                  <c:v>-37.101669311523438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6F-4F21-96BD-54848F213275}"/>
            </c:ext>
          </c:extLst>
        </c:ser>
        <c:ser>
          <c:idx val="1"/>
          <c:order val="1"/>
          <c:tx>
            <c:strRef>
              <c:f>'Tabla 1'!$B$4</c:f>
              <c:strCache>
                <c:ptCount val="1"/>
                <c:pt idx="0">
                  <c:v>Redistribución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1'!$G$2:$J$2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1'!$G$4:$J$4</c:f>
              <c:numCache>
                <c:formatCode>0.0</c:formatCode>
                <c:ptCount val="4"/>
                <c:pt idx="0">
                  <c:v>-4.1657390594482422</c:v>
                </c:pt>
                <c:pt idx="1">
                  <c:v>-3.1653573513031006</c:v>
                </c:pt>
                <c:pt idx="2">
                  <c:v>-1.5430718660354614</c:v>
                </c:pt>
                <c:pt idx="3">
                  <c:v>-6.2049288749694824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6F-4F21-96BD-54848F213275}"/>
            </c:ext>
          </c:extLst>
        </c:ser>
        <c:ser>
          <c:idx val="2"/>
          <c:order val="2"/>
          <c:tx>
            <c:strRef>
              <c:f>'Tabla 1'!$B$5</c:f>
              <c:strCache>
                <c:ptCount val="1"/>
                <c:pt idx="0">
                  <c:v>Línea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1'!$G$2:$J$2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1'!$G$5:$J$5</c:f>
              <c:numCache>
                <c:formatCode>0.0</c:formatCode>
                <c:ptCount val="4"/>
                <c:pt idx="0">
                  <c:v>18.641866683959961</c:v>
                </c:pt>
                <c:pt idx="1">
                  <c:v>12.585543632507324</c:v>
                </c:pt>
                <c:pt idx="2">
                  <c:v>21.561456680297852</c:v>
                </c:pt>
                <c:pt idx="3">
                  <c:v>25.867130279541016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6F-4F21-96BD-54848F21327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13256816"/>
        <c:axId val="413259440"/>
      </c:barChart>
      <c:catAx>
        <c:axId val="413256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3259440"/>
        <c:crosses val="autoZero"/>
        <c:auto val="1"/>
        <c:lblAlgn val="ctr"/>
        <c:lblOffset val="100"/>
        <c:noMultiLvlLbl val="0"/>
      </c:catAx>
      <c:valAx>
        <c:axId val="413259440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3256816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1'!$B$14</c:f>
              <c:strCache>
                <c:ptCount val="1"/>
                <c:pt idx="0">
                  <c:v>Crecimiento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1'!$G$13:$J$13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1'!$C$14:$F$14</c:f>
              <c:numCache>
                <c:formatCode>0.0</c:formatCode>
                <c:ptCount val="4"/>
                <c:pt idx="0">
                  <c:v>-24.418294906616211</c:v>
                </c:pt>
                <c:pt idx="1">
                  <c:v>-17.880630493164063</c:v>
                </c:pt>
                <c:pt idx="2">
                  <c:v>-31.004535675048828</c:v>
                </c:pt>
                <c:pt idx="3">
                  <c:v>-28.608249664306641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E9-4B6A-885C-C9471D9D1C71}"/>
            </c:ext>
          </c:extLst>
        </c:ser>
        <c:ser>
          <c:idx val="1"/>
          <c:order val="1"/>
          <c:tx>
            <c:strRef>
              <c:f>'Tabla 1'!$B$15</c:f>
              <c:strCache>
                <c:ptCount val="1"/>
                <c:pt idx="0">
                  <c:v>Redistribución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1'!$G$13:$J$13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1'!$C$15:$F$15</c:f>
              <c:numCache>
                <c:formatCode>0.0</c:formatCode>
                <c:ptCount val="4"/>
                <c:pt idx="0">
                  <c:v>-3.3966588973999023</c:v>
                </c:pt>
                <c:pt idx="1">
                  <c:v>-3.5102972984313965</c:v>
                </c:pt>
                <c:pt idx="2">
                  <c:v>-1.0408922433853149</c:v>
                </c:pt>
                <c:pt idx="3">
                  <c:v>-4.6843252182006836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E9-4B6A-885C-C9471D9D1C71}"/>
            </c:ext>
          </c:extLst>
        </c:ser>
        <c:ser>
          <c:idx val="2"/>
          <c:order val="2"/>
          <c:tx>
            <c:strRef>
              <c:f>'Tabla 1'!$B$16</c:f>
              <c:strCache>
                <c:ptCount val="1"/>
                <c:pt idx="0">
                  <c:v>Línea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1'!$G$13:$J$13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1'!$C$16:$F$16</c:f>
              <c:numCache>
                <c:formatCode>0.0</c:formatCode>
                <c:ptCount val="4"/>
                <c:pt idx="0">
                  <c:v>15.940513610839844</c:v>
                </c:pt>
                <c:pt idx="1">
                  <c:v>12.902850151062012</c:v>
                </c:pt>
                <c:pt idx="2">
                  <c:v>18.058050155639648</c:v>
                </c:pt>
                <c:pt idx="3">
                  <c:v>18.499326705932617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E9-4B6A-885C-C9471D9D1C7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17000168"/>
        <c:axId val="316992952"/>
      </c:barChart>
      <c:catAx>
        <c:axId val="317000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316992952"/>
        <c:crosses val="autoZero"/>
        <c:auto val="1"/>
        <c:lblAlgn val="ctr"/>
        <c:lblOffset val="100"/>
        <c:noMultiLvlLbl val="0"/>
      </c:catAx>
      <c:valAx>
        <c:axId val="316992952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31700016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1'!$B$14</c:f>
              <c:strCache>
                <c:ptCount val="1"/>
                <c:pt idx="0">
                  <c:v>Crecimiento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1'!$C$13:$F$13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1'!$G$14:$J$14</c:f>
              <c:numCache>
                <c:formatCode>0.0</c:formatCode>
                <c:ptCount val="4"/>
                <c:pt idx="0">
                  <c:v>-10.401711463928223</c:v>
                </c:pt>
                <c:pt idx="1">
                  <c:v>-4.7648720741271973</c:v>
                </c:pt>
                <c:pt idx="2">
                  <c:v>-13.322770118713379</c:v>
                </c:pt>
                <c:pt idx="3">
                  <c:v>-17.845603942871094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2C-40E3-BE1E-408E17ABA322}"/>
            </c:ext>
          </c:extLst>
        </c:ser>
        <c:ser>
          <c:idx val="1"/>
          <c:order val="1"/>
          <c:tx>
            <c:strRef>
              <c:f>'Tabla 1'!$B$15</c:f>
              <c:strCache>
                <c:ptCount val="1"/>
                <c:pt idx="0">
                  <c:v>Redistribución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1'!$C$13:$F$13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1'!$G$15:$J$15</c:f>
              <c:numCache>
                <c:formatCode>0.0</c:formatCode>
                <c:ptCount val="4"/>
                <c:pt idx="0">
                  <c:v>-2.0507667064666748</c:v>
                </c:pt>
                <c:pt idx="1">
                  <c:v>-1.2299683094024658</c:v>
                </c:pt>
                <c:pt idx="2">
                  <c:v>-0.90746003389358521</c:v>
                </c:pt>
                <c:pt idx="3">
                  <c:v>-3.4558570384979248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2C-40E3-BE1E-408E17ABA322}"/>
            </c:ext>
          </c:extLst>
        </c:ser>
        <c:ser>
          <c:idx val="2"/>
          <c:order val="2"/>
          <c:tx>
            <c:strRef>
              <c:f>'Tabla 1'!$B$16</c:f>
              <c:strCache>
                <c:ptCount val="1"/>
                <c:pt idx="0">
                  <c:v>Línea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1'!$C$13:$F$13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1'!$G$16:$J$16</c:f>
              <c:numCache>
                <c:formatCode>0.0</c:formatCode>
                <c:ptCount val="4"/>
                <c:pt idx="0">
                  <c:v>8.4763250350952148</c:v>
                </c:pt>
                <c:pt idx="1">
                  <c:v>4.5453033447265625</c:v>
                </c:pt>
                <c:pt idx="2">
                  <c:v>10.061297416687012</c:v>
                </c:pt>
                <c:pt idx="3">
                  <c:v>13.698092460632324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2C-40E3-BE1E-408E17ABA32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18472656"/>
        <c:axId val="418473640"/>
      </c:barChart>
      <c:catAx>
        <c:axId val="418472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473640"/>
        <c:crosses val="autoZero"/>
        <c:auto val="1"/>
        <c:lblAlgn val="ctr"/>
        <c:lblOffset val="100"/>
        <c:noMultiLvlLbl val="0"/>
      </c:catAx>
      <c:valAx>
        <c:axId val="418473640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472656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1'!$B$25</c:f>
              <c:strCache>
                <c:ptCount val="1"/>
                <c:pt idx="0">
                  <c:v>Crecimiento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1'!$C$24:$F$24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1'!$C$25:$F$25</c:f>
              <c:numCache>
                <c:formatCode>0.0</c:formatCode>
                <c:ptCount val="4"/>
                <c:pt idx="0">
                  <c:v>-16.032228469848633</c:v>
                </c:pt>
                <c:pt idx="1">
                  <c:v>-10.518310546875</c:v>
                </c:pt>
                <c:pt idx="2">
                  <c:v>-21.604747772216797</c:v>
                </c:pt>
                <c:pt idx="3">
                  <c:v>-19.794448852539063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E7-414F-ADF3-39176A7EBA4C}"/>
            </c:ext>
          </c:extLst>
        </c:ser>
        <c:ser>
          <c:idx val="1"/>
          <c:order val="1"/>
          <c:tx>
            <c:strRef>
              <c:f>'Tabla 1'!$B$26</c:f>
              <c:strCache>
                <c:ptCount val="1"/>
                <c:pt idx="0">
                  <c:v>Redistribución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1'!$C$24:$F$24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1'!$C$26:$F$26</c:f>
              <c:numCache>
                <c:formatCode>0.0</c:formatCode>
                <c:ptCount val="4"/>
                <c:pt idx="0">
                  <c:v>-2.52813720703125</c:v>
                </c:pt>
                <c:pt idx="1">
                  <c:v>-2.2934503555297852</c:v>
                </c:pt>
                <c:pt idx="2">
                  <c:v>-0.96334874629974365</c:v>
                </c:pt>
                <c:pt idx="3">
                  <c:v>-3.6524536609649658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E7-414F-ADF3-39176A7EBA4C}"/>
            </c:ext>
          </c:extLst>
        </c:ser>
        <c:ser>
          <c:idx val="2"/>
          <c:order val="2"/>
          <c:tx>
            <c:strRef>
              <c:f>'Tabla 1'!$B$27</c:f>
              <c:strCache>
                <c:ptCount val="1"/>
                <c:pt idx="0">
                  <c:v>Línea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1'!$C$24:$F$24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1'!$C$27:$F$27</c:f>
              <c:numCache>
                <c:formatCode>0.0</c:formatCode>
                <c:ptCount val="4"/>
                <c:pt idx="0">
                  <c:v>11.110875129699707</c:v>
                </c:pt>
                <c:pt idx="1">
                  <c:v>8.147679328918457</c:v>
                </c:pt>
                <c:pt idx="2">
                  <c:v>13.326894760131836</c:v>
                </c:pt>
                <c:pt idx="3">
                  <c:v>13.561458587646484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E7-414F-ADF3-39176A7EBA4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27310176"/>
        <c:axId val="527308208"/>
      </c:barChart>
      <c:catAx>
        <c:axId val="52731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27308208"/>
        <c:crosses val="autoZero"/>
        <c:auto val="1"/>
        <c:lblAlgn val="ctr"/>
        <c:lblOffset val="100"/>
        <c:noMultiLvlLbl val="0"/>
      </c:catAx>
      <c:valAx>
        <c:axId val="527308208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27310176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1'!$B$25</c:f>
              <c:strCache>
                <c:ptCount val="1"/>
                <c:pt idx="0">
                  <c:v>Crecimiento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1'!$G$24:$J$24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1'!$G$25:$J$25</c:f>
              <c:numCache>
                <c:formatCode>0.0</c:formatCode>
                <c:ptCount val="4"/>
                <c:pt idx="0">
                  <c:v>-5.8477387428283691</c:v>
                </c:pt>
                <c:pt idx="1">
                  <c:v>-2.3668787479400635</c:v>
                </c:pt>
                <c:pt idx="2">
                  <c:v>-7.4333124160766602</c:v>
                </c:pt>
                <c:pt idx="3">
                  <c:v>-10.787385940551758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73-41CA-AC48-EE8A53E1FB02}"/>
            </c:ext>
          </c:extLst>
        </c:ser>
        <c:ser>
          <c:idx val="1"/>
          <c:order val="1"/>
          <c:tx>
            <c:strRef>
              <c:f>'Tabla 1'!$B$26</c:f>
              <c:strCache>
                <c:ptCount val="1"/>
                <c:pt idx="0">
                  <c:v>Redistribución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1'!$G$24:$J$24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1'!$G$26:$J$26</c:f>
              <c:numCache>
                <c:formatCode>0.0</c:formatCode>
                <c:ptCount val="4"/>
                <c:pt idx="0">
                  <c:v>-1.2678928375244141</c:v>
                </c:pt>
                <c:pt idx="1">
                  <c:v>-0.65605330467224121</c:v>
                </c:pt>
                <c:pt idx="2">
                  <c:v>-0.63754457235336304</c:v>
                </c:pt>
                <c:pt idx="3">
                  <c:v>-2.2579483985900879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73-41CA-AC48-EE8A53E1FB02}"/>
            </c:ext>
          </c:extLst>
        </c:ser>
        <c:ser>
          <c:idx val="2"/>
          <c:order val="2"/>
          <c:tx>
            <c:strRef>
              <c:f>'Tabla 1'!$B$27</c:f>
              <c:strCache>
                <c:ptCount val="1"/>
                <c:pt idx="0">
                  <c:v>Línea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1'!$G$24:$J$24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1'!$G$27:$J$27</c:f>
              <c:numCache>
                <c:formatCode>0.0</c:formatCode>
                <c:ptCount val="4"/>
                <c:pt idx="0">
                  <c:v>4.9782724380493164</c:v>
                </c:pt>
                <c:pt idx="1">
                  <c:v>2.3191170692443848</c:v>
                </c:pt>
                <c:pt idx="2">
                  <c:v>5.901130199432373</c:v>
                </c:pt>
                <c:pt idx="3">
                  <c:v>8.7391805648803711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73-41CA-AC48-EE8A53E1FB0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14378136"/>
        <c:axId val="514378464"/>
      </c:barChart>
      <c:catAx>
        <c:axId val="514378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14378464"/>
        <c:crosses val="autoZero"/>
        <c:auto val="1"/>
        <c:lblAlgn val="ctr"/>
        <c:lblOffset val="100"/>
        <c:noMultiLvlLbl val="0"/>
      </c:catAx>
      <c:valAx>
        <c:axId val="514378464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14378136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1'!$B$3</c:f>
              <c:strCache>
                <c:ptCount val="1"/>
                <c:pt idx="0">
                  <c:v>Crecimiento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1'!$C$2:$F$2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1'!$C$7:$F$7</c:f>
              <c:numCache>
                <c:formatCode>0.0</c:formatCode>
                <c:ptCount val="4"/>
                <c:pt idx="0">
                  <c:v>-30.966487884521484</c:v>
                </c:pt>
                <c:pt idx="1">
                  <c:v>-25.906007766723633</c:v>
                </c:pt>
                <c:pt idx="2">
                  <c:v>-35.248542785644531</c:v>
                </c:pt>
                <c:pt idx="3">
                  <c:v>-35.411640167236328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C0-4EF1-B538-BC04E99CA2E5}"/>
            </c:ext>
          </c:extLst>
        </c:ser>
        <c:ser>
          <c:idx val="1"/>
          <c:order val="1"/>
          <c:tx>
            <c:strRef>
              <c:f>'Tabla 1'!$B$4</c:f>
              <c:strCache>
                <c:ptCount val="1"/>
                <c:pt idx="0">
                  <c:v>Redistribución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1'!$C$2:$F$2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1'!$C$8:$F$8</c:f>
              <c:numCache>
                <c:formatCode>0.0</c:formatCode>
                <c:ptCount val="4"/>
                <c:pt idx="0">
                  <c:v>-3.9122552871704102</c:v>
                </c:pt>
                <c:pt idx="1">
                  <c:v>-6.4967765808105469</c:v>
                </c:pt>
                <c:pt idx="2">
                  <c:v>-1.2601219415664673</c:v>
                </c:pt>
                <c:pt idx="3">
                  <c:v>-0.90501677989959717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C0-4EF1-B538-BC04E99CA2E5}"/>
            </c:ext>
          </c:extLst>
        </c:ser>
        <c:ser>
          <c:idx val="2"/>
          <c:order val="2"/>
          <c:tx>
            <c:strRef>
              <c:f>'Tabla 1'!$B$5</c:f>
              <c:strCache>
                <c:ptCount val="1"/>
                <c:pt idx="0">
                  <c:v>Línea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1'!$C$2:$F$2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1'!$C$9:$F$9</c:f>
              <c:numCache>
                <c:formatCode>0.0</c:formatCode>
                <c:ptCount val="4"/>
                <c:pt idx="0">
                  <c:v>17.775251388549805</c:v>
                </c:pt>
                <c:pt idx="1">
                  <c:v>15.543971061706543</c:v>
                </c:pt>
                <c:pt idx="2">
                  <c:v>18.980197906494141</c:v>
                </c:pt>
                <c:pt idx="3">
                  <c:v>20.223623275756836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C0-4EF1-B538-BC04E99CA2E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13256816"/>
        <c:axId val="413259440"/>
      </c:barChart>
      <c:catAx>
        <c:axId val="413256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3259440"/>
        <c:crosses val="autoZero"/>
        <c:auto val="1"/>
        <c:lblAlgn val="ctr"/>
        <c:lblOffset val="100"/>
        <c:noMultiLvlLbl val="0"/>
      </c:catAx>
      <c:valAx>
        <c:axId val="413259440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3256816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1'!$B$3</c:f>
              <c:strCache>
                <c:ptCount val="1"/>
                <c:pt idx="0">
                  <c:v>Crecimiento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1'!$G$2:$J$2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1'!$G$7:$J$7</c:f>
              <c:numCache>
                <c:formatCode>0.0</c:formatCode>
                <c:ptCount val="4"/>
                <c:pt idx="0">
                  <c:v>-14.901832580566406</c:v>
                </c:pt>
                <c:pt idx="1">
                  <c:v>-6.9161334037780762</c:v>
                </c:pt>
                <c:pt idx="2">
                  <c:v>-18.314750671386719</c:v>
                </c:pt>
                <c:pt idx="3">
                  <c:v>-26.527029037475586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78-4AFD-A5F9-B229FA58C385}"/>
            </c:ext>
          </c:extLst>
        </c:ser>
        <c:ser>
          <c:idx val="1"/>
          <c:order val="1"/>
          <c:tx>
            <c:strRef>
              <c:f>'Tabla 1'!$B$4</c:f>
              <c:strCache>
                <c:ptCount val="1"/>
                <c:pt idx="0">
                  <c:v>Redistribución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1'!$G$2:$J$2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1'!$G$8:$J$8</c:f>
              <c:numCache>
                <c:formatCode>0.0</c:formatCode>
                <c:ptCount val="4"/>
                <c:pt idx="0">
                  <c:v>-2.1673953533172607</c:v>
                </c:pt>
                <c:pt idx="1">
                  <c:v>-2.1057131290435791</c:v>
                </c:pt>
                <c:pt idx="2">
                  <c:v>-0.83295345306396484</c:v>
                </c:pt>
                <c:pt idx="3">
                  <c:v>-1.6523419618606567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78-4AFD-A5F9-B229FA58C385}"/>
            </c:ext>
          </c:extLst>
        </c:ser>
        <c:ser>
          <c:idx val="2"/>
          <c:order val="2"/>
          <c:tx>
            <c:strRef>
              <c:f>'Tabla 1'!$B$5</c:f>
              <c:strCache>
                <c:ptCount val="1"/>
                <c:pt idx="0">
                  <c:v>Línea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1'!$G$2:$J$2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1'!$G$9:$J$9</c:f>
              <c:numCache>
                <c:formatCode>0.0</c:formatCode>
                <c:ptCount val="4"/>
                <c:pt idx="0">
                  <c:v>11.213629722595215</c:v>
                </c:pt>
                <c:pt idx="1">
                  <c:v>6.1073579788208008</c:v>
                </c:pt>
                <c:pt idx="2">
                  <c:v>13.013516426086426</c:v>
                </c:pt>
                <c:pt idx="3">
                  <c:v>18.373790740966797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78-4AFD-A5F9-B229FA58C38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13256816"/>
        <c:axId val="413259440"/>
      </c:barChart>
      <c:catAx>
        <c:axId val="413256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3259440"/>
        <c:crosses val="autoZero"/>
        <c:auto val="1"/>
        <c:lblAlgn val="ctr"/>
        <c:lblOffset val="100"/>
        <c:noMultiLvlLbl val="0"/>
      </c:catAx>
      <c:valAx>
        <c:axId val="413259440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3256816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1'!$B$14</c:f>
              <c:strCache>
                <c:ptCount val="1"/>
                <c:pt idx="0">
                  <c:v>Crecimiento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1'!$G$13:$J$13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1'!$C$18:$F$18</c:f>
              <c:numCache>
                <c:formatCode>0.0</c:formatCode>
                <c:ptCount val="4"/>
                <c:pt idx="0">
                  <c:v>-15.73386287689209</c:v>
                </c:pt>
                <c:pt idx="1">
                  <c:v>-10.680503845214844</c:v>
                </c:pt>
                <c:pt idx="2">
                  <c:v>-20.083053588867188</c:v>
                </c:pt>
                <c:pt idx="3">
                  <c:v>-20.346368789672852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87-4F79-BCB7-D3C55F061A1A}"/>
            </c:ext>
          </c:extLst>
        </c:ser>
        <c:ser>
          <c:idx val="1"/>
          <c:order val="1"/>
          <c:tx>
            <c:strRef>
              <c:f>'Tabla 1'!$B$15</c:f>
              <c:strCache>
                <c:ptCount val="1"/>
                <c:pt idx="0">
                  <c:v>Redistribución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1'!$G$13:$J$13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1'!$C$19:$F$19</c:f>
              <c:numCache>
                <c:formatCode>0.0</c:formatCode>
                <c:ptCount val="4"/>
                <c:pt idx="0">
                  <c:v>-1.9720733165740967</c:v>
                </c:pt>
                <c:pt idx="1">
                  <c:v>-2.8369853496551514</c:v>
                </c:pt>
                <c:pt idx="2">
                  <c:v>-0.61811381578445435</c:v>
                </c:pt>
                <c:pt idx="3">
                  <c:v>-0.79279839992523193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87-4F79-BCB7-D3C55F061A1A}"/>
            </c:ext>
          </c:extLst>
        </c:ser>
        <c:ser>
          <c:idx val="2"/>
          <c:order val="2"/>
          <c:tx>
            <c:strRef>
              <c:f>'Tabla 1'!$B$16</c:f>
              <c:strCache>
                <c:ptCount val="1"/>
                <c:pt idx="0">
                  <c:v>Línea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1'!$G$13:$J$13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1'!$C$20:$F$20</c:f>
              <c:numCache>
                <c:formatCode>0.0</c:formatCode>
                <c:ptCount val="4"/>
                <c:pt idx="0">
                  <c:v>9.6265468597412109</c:v>
                </c:pt>
                <c:pt idx="1">
                  <c:v>7.011141300201416</c:v>
                </c:pt>
                <c:pt idx="2">
                  <c:v>11.460109710693359</c:v>
                </c:pt>
                <c:pt idx="3">
                  <c:v>12.066279411315918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87-4F79-BCB7-D3C55F061A1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17000168"/>
        <c:axId val="316992952"/>
      </c:barChart>
      <c:catAx>
        <c:axId val="317000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316992952"/>
        <c:crosses val="autoZero"/>
        <c:auto val="1"/>
        <c:lblAlgn val="ctr"/>
        <c:lblOffset val="100"/>
        <c:noMultiLvlLbl val="0"/>
      </c:catAx>
      <c:valAx>
        <c:axId val="316992952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31700016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1'!$B$14</c:f>
              <c:strCache>
                <c:ptCount val="1"/>
                <c:pt idx="0">
                  <c:v>Crecimiento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1'!$C$13:$F$13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1'!$G$18:$J$18</c:f>
              <c:numCache>
                <c:formatCode>0.0</c:formatCode>
                <c:ptCount val="4"/>
                <c:pt idx="0">
                  <c:v>-5.5834708213806152</c:v>
                </c:pt>
                <c:pt idx="1">
                  <c:v>-2.1194772720336914</c:v>
                </c:pt>
                <c:pt idx="2">
                  <c:v>-6.6217451095581055</c:v>
                </c:pt>
                <c:pt idx="3">
                  <c:v>-11.362390518188477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92-4080-AC2E-9C006C84B460}"/>
            </c:ext>
          </c:extLst>
        </c:ser>
        <c:ser>
          <c:idx val="1"/>
          <c:order val="1"/>
          <c:tx>
            <c:strRef>
              <c:f>'Tabla 1'!$B$15</c:f>
              <c:strCache>
                <c:ptCount val="1"/>
                <c:pt idx="0">
                  <c:v>Redistribución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1'!$C$13:$F$13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1'!$G$19:$J$19</c:f>
              <c:numCache>
                <c:formatCode>0.0</c:formatCode>
                <c:ptCount val="4"/>
                <c:pt idx="0">
                  <c:v>-0.75862681865692139</c:v>
                </c:pt>
                <c:pt idx="1">
                  <c:v>-0.56141519546508789</c:v>
                </c:pt>
                <c:pt idx="2">
                  <c:v>-0.21167823672294617</c:v>
                </c:pt>
                <c:pt idx="3">
                  <c:v>-0.76305657625198364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92-4080-AC2E-9C006C84B460}"/>
            </c:ext>
          </c:extLst>
        </c:ser>
        <c:ser>
          <c:idx val="2"/>
          <c:order val="2"/>
          <c:tx>
            <c:strRef>
              <c:f>'Tabla 1'!$B$16</c:f>
              <c:strCache>
                <c:ptCount val="1"/>
                <c:pt idx="0">
                  <c:v>Línea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1'!$C$13:$F$13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1'!$G$20:$J$20</c:f>
              <c:numCache>
                <c:formatCode>0.0</c:formatCode>
                <c:ptCount val="4"/>
                <c:pt idx="0">
                  <c:v>4.3630356788635254</c:v>
                </c:pt>
                <c:pt idx="1">
                  <c:v>1.9227662086486816</c:v>
                </c:pt>
                <c:pt idx="2">
                  <c:v>4.8993496894836426</c:v>
                </c:pt>
                <c:pt idx="3">
                  <c:v>8.2530088424682617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92-4080-AC2E-9C006C84B46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18472656"/>
        <c:axId val="418473640"/>
      </c:barChart>
      <c:catAx>
        <c:axId val="418472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473640"/>
        <c:crosses val="autoZero"/>
        <c:auto val="1"/>
        <c:lblAlgn val="ctr"/>
        <c:lblOffset val="100"/>
        <c:noMultiLvlLbl val="0"/>
      </c:catAx>
      <c:valAx>
        <c:axId val="418473640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472656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1'!$B$25</c:f>
              <c:strCache>
                <c:ptCount val="1"/>
                <c:pt idx="0">
                  <c:v>Crecimiento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1'!$C$24:$F$24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1'!$C$29:$F$29</c:f>
              <c:numCache>
                <c:formatCode>0.0</c:formatCode>
                <c:ptCount val="4"/>
                <c:pt idx="0">
                  <c:v>-9.6234598159790039</c:v>
                </c:pt>
                <c:pt idx="1">
                  <c:v>-5.7499933242797852</c:v>
                </c:pt>
                <c:pt idx="2">
                  <c:v>-12.950374603271484</c:v>
                </c:pt>
                <c:pt idx="3">
                  <c:v>-13.259540557861328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B0-48C2-BB85-9623C240C109}"/>
            </c:ext>
          </c:extLst>
        </c:ser>
        <c:ser>
          <c:idx val="1"/>
          <c:order val="1"/>
          <c:tx>
            <c:strRef>
              <c:f>'Tabla 1'!$B$26</c:f>
              <c:strCache>
                <c:ptCount val="1"/>
                <c:pt idx="0">
                  <c:v>Redistribución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1'!$C$24:$F$24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1'!$C$30:$F$30</c:f>
              <c:numCache>
                <c:formatCode>0.0</c:formatCode>
                <c:ptCount val="4"/>
                <c:pt idx="0">
                  <c:v>-1.1828718185424805</c:v>
                </c:pt>
                <c:pt idx="1">
                  <c:v>-1.5332931280136108</c:v>
                </c:pt>
                <c:pt idx="2">
                  <c:v>-0.35969817638397217</c:v>
                </c:pt>
                <c:pt idx="3">
                  <c:v>-0.59889894723892212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B0-48C2-BB85-9623C240C109}"/>
            </c:ext>
          </c:extLst>
        </c:ser>
        <c:ser>
          <c:idx val="2"/>
          <c:order val="2"/>
          <c:tx>
            <c:strRef>
              <c:f>'Tabla 1'!$B$27</c:f>
              <c:strCache>
                <c:ptCount val="1"/>
                <c:pt idx="0">
                  <c:v>Línea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1'!$C$24:$F$24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1'!$C$31:$F$31</c:f>
              <c:numCache>
                <c:formatCode>0.0</c:formatCode>
                <c:ptCount val="4"/>
                <c:pt idx="0">
                  <c:v>6.119020938873291</c:v>
                </c:pt>
                <c:pt idx="1">
                  <c:v>3.9837770462036133</c:v>
                </c:pt>
                <c:pt idx="2">
                  <c:v>7.6424136161804199</c:v>
                </c:pt>
                <c:pt idx="3">
                  <c:v>8.1189861297607422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B0-48C2-BB85-9623C240C10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27310176"/>
        <c:axId val="527308208"/>
      </c:barChart>
      <c:catAx>
        <c:axId val="52731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27308208"/>
        <c:crosses val="autoZero"/>
        <c:auto val="1"/>
        <c:lblAlgn val="ctr"/>
        <c:lblOffset val="100"/>
        <c:noMultiLvlLbl val="0"/>
      </c:catAx>
      <c:valAx>
        <c:axId val="527308208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27310176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1'!$B$25</c:f>
              <c:strCache>
                <c:ptCount val="1"/>
                <c:pt idx="0">
                  <c:v>Crecimiento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1'!$G$24:$J$24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1'!$G$29:$J$29</c:f>
              <c:numCache>
                <c:formatCode>0.0</c:formatCode>
                <c:ptCount val="4"/>
                <c:pt idx="0">
                  <c:v>-2.9408881664276123</c:v>
                </c:pt>
                <c:pt idx="1">
                  <c:v>-1.0125678777694702</c:v>
                </c:pt>
                <c:pt idx="2">
                  <c:v>-3.3354556560516357</c:v>
                </c:pt>
                <c:pt idx="3">
                  <c:v>-6.4135041236877441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CF-41EE-9706-7F64CB91C63F}"/>
            </c:ext>
          </c:extLst>
        </c:ser>
        <c:ser>
          <c:idx val="1"/>
          <c:order val="1"/>
          <c:tx>
            <c:strRef>
              <c:f>'Tabla 1'!$B$26</c:f>
              <c:strCache>
                <c:ptCount val="1"/>
                <c:pt idx="0">
                  <c:v>Redistribución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1'!$G$24:$J$24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1'!$G$30:$J$30</c:f>
              <c:numCache>
                <c:formatCode>0.0</c:formatCode>
                <c:ptCount val="4"/>
                <c:pt idx="0">
                  <c:v>-0.33469489216804504</c:v>
                </c:pt>
                <c:pt idx="1">
                  <c:v>-0.18776373565196991</c:v>
                </c:pt>
                <c:pt idx="2">
                  <c:v>-1.6233900561928749E-2</c:v>
                </c:pt>
                <c:pt idx="3">
                  <c:v>-0.43140265345573425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CF-41EE-9706-7F64CB91C63F}"/>
            </c:ext>
          </c:extLst>
        </c:ser>
        <c:ser>
          <c:idx val="2"/>
          <c:order val="2"/>
          <c:tx>
            <c:strRef>
              <c:f>'Tabla 1'!$B$27</c:f>
              <c:strCache>
                <c:ptCount val="1"/>
                <c:pt idx="0">
                  <c:v>Línea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1'!$G$24:$J$24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1'!$G$31:$J$31</c:f>
              <c:numCache>
                <c:formatCode>0.0</c:formatCode>
                <c:ptCount val="4"/>
                <c:pt idx="0">
                  <c:v>2.3413066864013672</c:v>
                </c:pt>
                <c:pt idx="1">
                  <c:v>0.92217963933944702</c:v>
                </c:pt>
                <c:pt idx="2">
                  <c:v>2.5231168270111084</c:v>
                </c:pt>
                <c:pt idx="3">
                  <c:v>4.7804756164550781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CF-41EE-9706-7F64CB91C63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14378136"/>
        <c:axId val="514378464"/>
      </c:barChart>
      <c:catAx>
        <c:axId val="514378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14378464"/>
        <c:crosses val="autoZero"/>
        <c:auto val="1"/>
        <c:lblAlgn val="ctr"/>
        <c:lblOffset val="100"/>
        <c:noMultiLvlLbl val="0"/>
      </c:catAx>
      <c:valAx>
        <c:axId val="514378464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14378136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32</xdr:row>
      <xdr:rowOff>188117</xdr:rowOff>
    </xdr:from>
    <xdr:to>
      <xdr:col>4</xdr:col>
      <xdr:colOff>250031</xdr:colOff>
      <xdr:row>47</xdr:row>
      <xdr:rowOff>73817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F81226D-19EF-40BD-8669-D9EAE77F48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11906</xdr:colOff>
      <xdr:row>33</xdr:row>
      <xdr:rowOff>11905</xdr:rowOff>
    </xdr:from>
    <xdr:to>
      <xdr:col>9</xdr:col>
      <xdr:colOff>59531</xdr:colOff>
      <xdr:row>47</xdr:row>
      <xdr:rowOff>88105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F27C016-92E1-4824-A49F-94DCF24567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17858</xdr:colOff>
      <xdr:row>47</xdr:row>
      <xdr:rowOff>188118</xdr:rowOff>
    </xdr:from>
    <xdr:to>
      <xdr:col>4</xdr:col>
      <xdr:colOff>267889</xdr:colOff>
      <xdr:row>62</xdr:row>
      <xdr:rowOff>73818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0065592-664E-404D-BE14-A2F5489C65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5953</xdr:colOff>
      <xdr:row>47</xdr:row>
      <xdr:rowOff>188118</xdr:rowOff>
    </xdr:from>
    <xdr:to>
      <xdr:col>9</xdr:col>
      <xdr:colOff>53578</xdr:colOff>
      <xdr:row>62</xdr:row>
      <xdr:rowOff>73818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25F0270-4939-464E-9802-4519BF071B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62</xdr:row>
      <xdr:rowOff>188117</xdr:rowOff>
    </xdr:from>
    <xdr:to>
      <xdr:col>4</xdr:col>
      <xdr:colOff>250031</xdr:colOff>
      <xdr:row>77</xdr:row>
      <xdr:rowOff>73817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D71E43A-4874-422B-B5C2-7D33143E43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2</xdr:colOff>
      <xdr:row>62</xdr:row>
      <xdr:rowOff>188118</xdr:rowOff>
    </xdr:from>
    <xdr:to>
      <xdr:col>9</xdr:col>
      <xdr:colOff>47627</xdr:colOff>
      <xdr:row>77</xdr:row>
      <xdr:rowOff>73818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89D9289-D238-4FEF-BB54-704C67A310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0</xdr:colOff>
      <xdr:row>33</xdr:row>
      <xdr:rowOff>0</xdr:rowOff>
    </xdr:from>
    <xdr:to>
      <xdr:col>14</xdr:col>
      <xdr:colOff>904875</xdr:colOff>
      <xdr:row>47</xdr:row>
      <xdr:rowOff>76200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2C7DE248-8AF3-4462-BFD3-C1460F569B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0</xdr:colOff>
      <xdr:row>33</xdr:row>
      <xdr:rowOff>0</xdr:rowOff>
    </xdr:from>
    <xdr:to>
      <xdr:col>19</xdr:col>
      <xdr:colOff>35719</xdr:colOff>
      <xdr:row>47</xdr:row>
      <xdr:rowOff>76200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28EF9AF2-A50F-4FC3-82E5-CEF5CAC445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0</xdr:colOff>
      <xdr:row>48</xdr:row>
      <xdr:rowOff>0</xdr:rowOff>
    </xdr:from>
    <xdr:to>
      <xdr:col>14</xdr:col>
      <xdr:colOff>904875</xdr:colOff>
      <xdr:row>62</xdr:row>
      <xdr:rowOff>76200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DC871BA1-B370-4BCC-BBD7-949CF6B62D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0</xdr:colOff>
      <xdr:row>48</xdr:row>
      <xdr:rowOff>0</xdr:rowOff>
    </xdr:from>
    <xdr:to>
      <xdr:col>19</xdr:col>
      <xdr:colOff>35719</xdr:colOff>
      <xdr:row>62</xdr:row>
      <xdr:rowOff>76200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70987C29-E2C6-4ADE-AB6B-F6E8F0106E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0</xdr:colOff>
      <xdr:row>63</xdr:row>
      <xdr:rowOff>0</xdr:rowOff>
    </xdr:from>
    <xdr:to>
      <xdr:col>14</xdr:col>
      <xdr:colOff>904875</xdr:colOff>
      <xdr:row>77</xdr:row>
      <xdr:rowOff>76200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1DD1637F-D225-44F8-BC11-BE2731BF8A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0</xdr:colOff>
      <xdr:row>63</xdr:row>
      <xdr:rowOff>0</xdr:rowOff>
    </xdr:from>
    <xdr:to>
      <xdr:col>19</xdr:col>
      <xdr:colOff>35719</xdr:colOff>
      <xdr:row>77</xdr:row>
      <xdr:rowOff>76200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38D12C47-F4E2-4571-8666-92E0ADDEB8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EA66D-FC6B-4460-8400-113363AB2B1F}">
  <dimension ref="A1:U32"/>
  <sheetViews>
    <sheetView tabSelected="1" zoomScale="80" zoomScaleNormal="80" workbookViewId="0">
      <selection sqref="A1:A2"/>
    </sheetView>
  </sheetViews>
  <sheetFormatPr baseColWidth="10" defaultRowHeight="15"/>
  <cols>
    <col min="1" max="1" width="11.42578125" style="1" customWidth="1"/>
    <col min="2" max="2" width="14.140625" style="1" customWidth="1"/>
    <col min="3" max="3" width="17.85546875" style="1" customWidth="1"/>
    <col min="4" max="4" width="21.42578125" style="1" customWidth="1"/>
    <col min="5" max="5" width="14.28515625" style="1" customWidth="1"/>
    <col min="6" max="6" width="14.42578125" style="1" customWidth="1"/>
    <col min="7" max="7" width="17.5703125" style="1" customWidth="1"/>
    <col min="8" max="8" width="21.42578125" style="1" customWidth="1"/>
    <col min="9" max="9" width="14.42578125" style="1" customWidth="1"/>
    <col min="10" max="10" width="14.28515625" style="1" customWidth="1"/>
    <col min="11" max="12" width="11.42578125" style="1"/>
    <col min="13" max="13" width="14.28515625" style="1" customWidth="1"/>
    <col min="14" max="14" width="17.85546875" style="1" customWidth="1"/>
    <col min="15" max="15" width="21.42578125" style="1" customWidth="1"/>
    <col min="16" max="16" width="14.42578125" style="1" customWidth="1"/>
    <col min="17" max="17" width="14.28515625" style="1" customWidth="1"/>
    <col min="18" max="18" width="17.85546875" style="1" customWidth="1"/>
    <col min="19" max="19" width="21.42578125" style="1" customWidth="1"/>
    <col min="20" max="21" width="14.28515625" style="1" customWidth="1"/>
    <col min="22" max="16384" width="11.42578125" style="1"/>
  </cols>
  <sheetData>
    <row r="1" spans="1:21" ht="15.75" thickBot="1">
      <c r="A1" s="47" t="s">
        <v>1</v>
      </c>
      <c r="B1" s="49" t="s">
        <v>2</v>
      </c>
      <c r="C1" s="42" t="s">
        <v>14</v>
      </c>
      <c r="D1" s="42"/>
      <c r="E1" s="42"/>
      <c r="F1" s="43"/>
      <c r="G1" s="42" t="s">
        <v>15</v>
      </c>
      <c r="H1" s="42"/>
      <c r="I1" s="42"/>
      <c r="J1" s="43"/>
      <c r="L1" s="47" t="s">
        <v>1</v>
      </c>
      <c r="M1" s="49" t="s">
        <v>2</v>
      </c>
      <c r="N1" s="42" t="s">
        <v>14</v>
      </c>
      <c r="O1" s="42"/>
      <c r="P1" s="42"/>
      <c r="Q1" s="43"/>
      <c r="R1" s="42" t="s">
        <v>15</v>
      </c>
      <c r="S1" s="42"/>
      <c r="T1" s="42"/>
      <c r="U1" s="43"/>
    </row>
    <row r="2" spans="1:21" ht="15.75" thickBot="1">
      <c r="A2" s="48"/>
      <c r="B2" s="50"/>
      <c r="C2" s="2" t="s">
        <v>16</v>
      </c>
      <c r="D2" s="2" t="s">
        <v>17</v>
      </c>
      <c r="E2" s="2" t="s">
        <v>18</v>
      </c>
      <c r="F2" s="3" t="s">
        <v>19</v>
      </c>
      <c r="G2" s="2" t="s">
        <v>16</v>
      </c>
      <c r="H2" s="2" t="s">
        <v>17</v>
      </c>
      <c r="I2" s="2" t="s">
        <v>18</v>
      </c>
      <c r="J2" s="3" t="s">
        <v>19</v>
      </c>
      <c r="L2" s="45"/>
      <c r="M2" s="51"/>
      <c r="N2" s="17" t="s">
        <v>16</v>
      </c>
      <c r="O2" s="17" t="s">
        <v>17</v>
      </c>
      <c r="P2" s="17" t="s">
        <v>18</v>
      </c>
      <c r="Q2" s="18" t="s">
        <v>19</v>
      </c>
      <c r="R2" s="17" t="s">
        <v>16</v>
      </c>
      <c r="S2" s="17" t="s">
        <v>17</v>
      </c>
      <c r="T2" s="17" t="s">
        <v>18</v>
      </c>
      <c r="U2" s="18" t="s">
        <v>19</v>
      </c>
    </row>
    <row r="3" spans="1:21">
      <c r="A3" s="44" t="s">
        <v>0</v>
      </c>
      <c r="B3" s="4" t="s">
        <v>3</v>
      </c>
      <c r="C3" s="19">
        <v>-43.387401580810547</v>
      </c>
      <c r="D3" s="19">
        <v>-37.790809631347656</v>
      </c>
      <c r="E3" s="19">
        <v>-48.848972320556641</v>
      </c>
      <c r="F3" s="20">
        <v>-46.143993377685547</v>
      </c>
      <c r="G3" s="19">
        <v>-24.864002227783203</v>
      </c>
      <c r="H3" s="19">
        <v>-14.008109092712402</v>
      </c>
      <c r="I3" s="19">
        <v>-31.795537948608398</v>
      </c>
      <c r="J3" s="20">
        <v>-37.101669311523438</v>
      </c>
      <c r="L3" s="47" t="s">
        <v>0</v>
      </c>
      <c r="M3" s="21" t="s">
        <v>3</v>
      </c>
      <c r="N3" s="22">
        <f t="shared" ref="N3:U5" si="0">C3/C$6</f>
        <v>1.9409301360317424</v>
      </c>
      <c r="O3" s="22">
        <f t="shared" si="0"/>
        <v>1.9165747471936387</v>
      </c>
      <c r="P3" s="22">
        <f t="shared" si="0"/>
        <v>2.0999298204811478</v>
      </c>
      <c r="Q3" s="23">
        <f t="shared" si="0"/>
        <v>1.8568145689006876</v>
      </c>
      <c r="R3" s="22">
        <f t="shared" si="0"/>
        <v>2.3935601051588269</v>
      </c>
      <c r="S3" s="22">
        <f t="shared" si="0"/>
        <v>3.05325736029712</v>
      </c>
      <c r="T3" s="22">
        <f t="shared" si="0"/>
        <v>2.6997643306413561</v>
      </c>
      <c r="U3" s="23">
        <f t="shared" si="0"/>
        <v>2.1274542038483628</v>
      </c>
    </row>
    <row r="4" spans="1:21">
      <c r="A4" s="45"/>
      <c r="B4" s="4" t="s">
        <v>4</v>
      </c>
      <c r="C4" s="19">
        <v>-4.6706147193908691</v>
      </c>
      <c r="D4" s="19">
        <v>-6.3227577209472656</v>
      </c>
      <c r="E4" s="19">
        <v>-0.81654459238052368</v>
      </c>
      <c r="F4" s="20">
        <v>-5.7501511573791504</v>
      </c>
      <c r="G4" s="19">
        <v>-4.1657390594482422</v>
      </c>
      <c r="H4" s="19">
        <v>-3.1653573513031006</v>
      </c>
      <c r="I4" s="19">
        <v>-1.5430718660354614</v>
      </c>
      <c r="J4" s="20">
        <v>-6.2049288749694824</v>
      </c>
      <c r="L4" s="45"/>
      <c r="M4" s="4" t="s">
        <v>4</v>
      </c>
      <c r="N4" s="24">
        <f t="shared" si="0"/>
        <v>0.20893938176442009</v>
      </c>
      <c r="O4" s="24">
        <f t="shared" si="0"/>
        <v>0.32066097283449474</v>
      </c>
      <c r="P4" s="24">
        <f t="shared" si="0"/>
        <v>3.5101789410028394E-2</v>
      </c>
      <c r="Q4" s="25">
        <f t="shared" si="0"/>
        <v>0.2313836246250407</v>
      </c>
      <c r="R4" s="24">
        <f t="shared" si="0"/>
        <v>0.40101938255360858</v>
      </c>
      <c r="S4" s="24">
        <f t="shared" si="0"/>
        <v>0.68993256455039598</v>
      </c>
      <c r="T4" s="24">
        <f t="shared" si="0"/>
        <v>0.1310224846729183</v>
      </c>
      <c r="U4" s="25">
        <f t="shared" si="0"/>
        <v>0.35579806150484722</v>
      </c>
    </row>
    <row r="5" spans="1:21">
      <c r="A5" s="45"/>
      <c r="B5" s="4" t="s">
        <v>5</v>
      </c>
      <c r="C5" s="19">
        <v>25.704093933105469</v>
      </c>
      <c r="D5" s="19">
        <v>24.39567756652832</v>
      </c>
      <c r="E5" s="19">
        <v>26.403324127197266</v>
      </c>
      <c r="F5" s="20">
        <v>27.042985916137695</v>
      </c>
      <c r="G5" s="19">
        <v>18.641866683959961</v>
      </c>
      <c r="H5" s="19">
        <v>12.585543632507324</v>
      </c>
      <c r="I5" s="19">
        <v>21.561456680297852</v>
      </c>
      <c r="J5" s="20">
        <v>25.867130279541016</v>
      </c>
      <c r="L5" s="45"/>
      <c r="M5" s="4" t="s">
        <v>5</v>
      </c>
      <c r="N5" s="24">
        <f t="shared" si="0"/>
        <v>-1.1498695177961624</v>
      </c>
      <c r="O5" s="24">
        <f t="shared" si="0"/>
        <v>-1.2372357200281334</v>
      </c>
      <c r="P5" s="24">
        <f t="shared" si="0"/>
        <v>-1.1350316098911764</v>
      </c>
      <c r="Q5" s="25">
        <f t="shared" si="0"/>
        <v>-1.0881981935257283</v>
      </c>
      <c r="R5" s="24">
        <f t="shared" si="0"/>
        <v>-1.7945794877124357</v>
      </c>
      <c r="S5" s="24">
        <f t="shared" si="0"/>
        <v>-2.743189924847516</v>
      </c>
      <c r="T5" s="24">
        <f t="shared" si="0"/>
        <v>-1.8307868153142743</v>
      </c>
      <c r="U5" s="25">
        <f t="shared" si="0"/>
        <v>-1.4832522653532101</v>
      </c>
    </row>
    <row r="6" spans="1:21" ht="15.75" thickBot="1">
      <c r="A6" s="46"/>
      <c r="B6" s="5" t="s">
        <v>6</v>
      </c>
      <c r="C6" s="10">
        <f>SUM(C3:C5)</f>
        <v>-22.353922367095947</v>
      </c>
      <c r="D6" s="10">
        <f t="shared" ref="D6:F6" si="1">SUM(D3:D5)</f>
        <v>-19.717889785766602</v>
      </c>
      <c r="E6" s="10">
        <f t="shared" si="1"/>
        <v>-23.262192785739899</v>
      </c>
      <c r="F6" s="11">
        <f t="shared" si="1"/>
        <v>-24.851158618927002</v>
      </c>
      <c r="G6" s="10">
        <f>SUM(G3:G5)</f>
        <v>-10.387874603271484</v>
      </c>
      <c r="H6" s="10">
        <f t="shared" ref="H6:J6" si="2">SUM(H3:H5)</f>
        <v>-4.5879228115081787</v>
      </c>
      <c r="I6" s="10">
        <f t="shared" si="2"/>
        <v>-11.777153134346008</v>
      </c>
      <c r="J6" s="11">
        <f t="shared" si="2"/>
        <v>-17.439467906951904</v>
      </c>
      <c r="L6" s="48"/>
      <c r="M6" s="6" t="s">
        <v>6</v>
      </c>
      <c r="N6" s="26">
        <f>SUM(N3:N5)</f>
        <v>1.0000000000000002</v>
      </c>
      <c r="O6" s="27">
        <f t="shared" ref="O6:Q6" si="3">SUM(O3:O5)</f>
        <v>1.0000000000000002</v>
      </c>
      <c r="P6" s="27">
        <f t="shared" si="3"/>
        <v>1</v>
      </c>
      <c r="Q6" s="28">
        <f t="shared" si="3"/>
        <v>0.99999999999999978</v>
      </c>
      <c r="R6" s="27">
        <f>SUM(R3:R5)</f>
        <v>0.99999999999999978</v>
      </c>
      <c r="S6" s="27">
        <f t="shared" ref="S6:U6" si="4">SUM(S3:S5)</f>
        <v>1</v>
      </c>
      <c r="T6" s="27">
        <f t="shared" si="4"/>
        <v>1.0000000000000002</v>
      </c>
      <c r="U6" s="28">
        <f t="shared" si="4"/>
        <v>0.99999999999999978</v>
      </c>
    </row>
    <row r="7" spans="1:21">
      <c r="A7" s="45" t="s">
        <v>7</v>
      </c>
      <c r="B7" s="4" t="s">
        <v>3</v>
      </c>
      <c r="C7" s="19">
        <v>-30.966487884521484</v>
      </c>
      <c r="D7" s="19">
        <v>-25.906007766723633</v>
      </c>
      <c r="E7" s="19">
        <v>-35.248542785644531</v>
      </c>
      <c r="F7" s="19">
        <v>-35.411640167236328</v>
      </c>
      <c r="G7" s="29">
        <v>-14.901832580566406</v>
      </c>
      <c r="H7" s="19">
        <v>-6.9161334037780762</v>
      </c>
      <c r="I7" s="19">
        <v>-18.314750671386719</v>
      </c>
      <c r="J7" s="20">
        <v>-26.527029037475586</v>
      </c>
      <c r="L7" s="45" t="s">
        <v>7</v>
      </c>
      <c r="M7" s="4" t="s">
        <v>3</v>
      </c>
      <c r="N7" s="24">
        <f t="shared" ref="N7:U9" si="5">C7/C$10</f>
        <v>1.8105359157351562</v>
      </c>
      <c r="O7" s="24">
        <f t="shared" si="5"/>
        <v>1.5366447128898997</v>
      </c>
      <c r="P7" s="24">
        <f t="shared" si="5"/>
        <v>2.0109312712289982</v>
      </c>
      <c r="Q7" s="25">
        <f t="shared" si="5"/>
        <v>2.2004332386001679</v>
      </c>
      <c r="R7" s="24">
        <f t="shared" si="5"/>
        <v>2.5448865597688743</v>
      </c>
      <c r="S7" s="24">
        <f t="shared" si="5"/>
        <v>2.3730178642437889</v>
      </c>
      <c r="T7" s="24">
        <f t="shared" si="5"/>
        <v>2.9856845190089647</v>
      </c>
      <c r="U7" s="25">
        <f t="shared" si="5"/>
        <v>2.7052990318809846</v>
      </c>
    </row>
    <row r="8" spans="1:21">
      <c r="A8" s="45"/>
      <c r="B8" s="4" t="s">
        <v>4</v>
      </c>
      <c r="C8" s="19">
        <v>-3.9122552871704102</v>
      </c>
      <c r="D8" s="19">
        <v>-6.4967765808105469</v>
      </c>
      <c r="E8" s="19">
        <v>-1.2601219415664673</v>
      </c>
      <c r="F8" s="20">
        <v>-0.90501677989959717</v>
      </c>
      <c r="G8" s="19">
        <v>-2.1673953533172607</v>
      </c>
      <c r="H8" s="19">
        <v>-2.1057131290435791</v>
      </c>
      <c r="I8" s="19">
        <v>-0.83295345306396484</v>
      </c>
      <c r="J8" s="20">
        <v>-1.6523419618606567</v>
      </c>
      <c r="L8" s="45"/>
      <c r="M8" s="4" t="s">
        <v>4</v>
      </c>
      <c r="N8" s="24">
        <f t="shared" si="5"/>
        <v>0.22874013789879422</v>
      </c>
      <c r="O8" s="24">
        <f t="shared" si="5"/>
        <v>0.3853637918133011</v>
      </c>
      <c r="P8" s="24">
        <f t="shared" si="5"/>
        <v>7.1890024880399431E-2</v>
      </c>
      <c r="Q8" s="25">
        <f t="shared" si="5"/>
        <v>5.6236564998886504E-2</v>
      </c>
      <c r="R8" s="24">
        <f t="shared" si="5"/>
        <v>0.37014073769395134</v>
      </c>
      <c r="S8" s="24">
        <f t="shared" si="5"/>
        <v>0.72249833548084053</v>
      </c>
      <c r="T8" s="24">
        <f t="shared" si="5"/>
        <v>0.1357887024775882</v>
      </c>
      <c r="U8" s="25">
        <f t="shared" si="5"/>
        <v>0.16851035611424622</v>
      </c>
    </row>
    <row r="9" spans="1:21">
      <c r="A9" s="45"/>
      <c r="B9" s="4" t="s">
        <v>5</v>
      </c>
      <c r="C9" s="19">
        <v>17.775251388549805</v>
      </c>
      <c r="D9" s="19">
        <v>15.543971061706543</v>
      </c>
      <c r="E9" s="19">
        <v>18.980197906494141</v>
      </c>
      <c r="F9" s="20">
        <v>20.223623275756836</v>
      </c>
      <c r="G9" s="19">
        <v>11.213629722595215</v>
      </c>
      <c r="H9" s="19">
        <v>6.1073579788208008</v>
      </c>
      <c r="I9" s="19">
        <v>13.013516426086426</v>
      </c>
      <c r="J9" s="20">
        <v>18.373790740966797</v>
      </c>
      <c r="L9" s="45"/>
      <c r="M9" s="4" t="s">
        <v>5</v>
      </c>
      <c r="N9" s="24">
        <f t="shared" si="5"/>
        <v>-1.0392761093929892</v>
      </c>
      <c r="O9" s="24">
        <f t="shared" si="5"/>
        <v>-0.92200856127149222</v>
      </c>
      <c r="P9" s="24">
        <f t="shared" si="5"/>
        <v>-1.0828213165120868</v>
      </c>
      <c r="Q9" s="25">
        <f t="shared" si="5"/>
        <v>-1.2566696332263214</v>
      </c>
      <c r="R9" s="24">
        <f t="shared" si="5"/>
        <v>-1.9150272567464752</v>
      </c>
      <c r="S9" s="24">
        <f t="shared" si="5"/>
        <v>-2.0955161997246292</v>
      </c>
      <c r="T9" s="24">
        <f t="shared" si="5"/>
        <v>-2.1214732992209075</v>
      </c>
      <c r="U9" s="25">
        <f t="shared" si="5"/>
        <v>-1.8738094730962584</v>
      </c>
    </row>
    <row r="10" spans="1:21" ht="15.75" thickBot="1">
      <c r="A10" s="48"/>
      <c r="B10" s="6" t="s">
        <v>6</v>
      </c>
      <c r="C10" s="13">
        <v>-17.103492736816406</v>
      </c>
      <c r="D10" s="13">
        <v>-16.858814239501953</v>
      </c>
      <c r="E10" s="13">
        <v>-17.528467178344727</v>
      </c>
      <c r="F10" s="14">
        <v>-16.09303092956543</v>
      </c>
      <c r="G10" s="13">
        <v>-5.855597972869873</v>
      </c>
      <c r="H10" s="13">
        <v>-2.9144885540008545</v>
      </c>
      <c r="I10" s="13">
        <v>-6.134188175201416</v>
      </c>
      <c r="J10" s="14">
        <v>-9.8055810928344727</v>
      </c>
      <c r="L10" s="48"/>
      <c r="M10" s="6" t="s">
        <v>6</v>
      </c>
      <c r="N10" s="27">
        <f>SUM(N7:N9)</f>
        <v>0.99999994424096106</v>
      </c>
      <c r="O10" s="27">
        <f t="shared" ref="O10:Q10" si="6">SUM(O7:O9)</f>
        <v>0.9999999434317085</v>
      </c>
      <c r="P10" s="27">
        <f t="shared" si="6"/>
        <v>0.99999997959731068</v>
      </c>
      <c r="Q10" s="28">
        <f t="shared" si="6"/>
        <v>1.000000170372733</v>
      </c>
      <c r="R10" s="27">
        <f>SUM(R7:R9)</f>
        <v>1.0000000407163505</v>
      </c>
      <c r="S10" s="27">
        <f t="shared" ref="S10:U10" si="7">SUM(S7:S9)</f>
        <v>1.0000000000000004</v>
      </c>
      <c r="T10" s="27">
        <f t="shared" si="7"/>
        <v>0.99999992226564549</v>
      </c>
      <c r="U10" s="28">
        <f t="shared" si="7"/>
        <v>0.99999991489897222</v>
      </c>
    </row>
    <row r="11" spans="1:21" ht="15.75" thickBot="1"/>
    <row r="12" spans="1:21" ht="15.75" thickBot="1">
      <c r="A12" s="47" t="s">
        <v>1</v>
      </c>
      <c r="B12" s="49" t="s">
        <v>2</v>
      </c>
      <c r="C12" s="42" t="s">
        <v>20</v>
      </c>
      <c r="D12" s="42"/>
      <c r="E12" s="42"/>
      <c r="F12" s="43"/>
      <c r="G12" s="42" t="s">
        <v>21</v>
      </c>
      <c r="H12" s="42"/>
      <c r="I12" s="42"/>
      <c r="J12" s="43"/>
      <c r="L12" s="47" t="s">
        <v>1</v>
      </c>
      <c r="M12" s="49" t="s">
        <v>2</v>
      </c>
      <c r="N12" s="42" t="s">
        <v>20</v>
      </c>
      <c r="O12" s="42"/>
      <c r="P12" s="42"/>
      <c r="Q12" s="43"/>
      <c r="R12" s="42" t="s">
        <v>21</v>
      </c>
      <c r="S12" s="42"/>
      <c r="T12" s="42"/>
      <c r="U12" s="43"/>
    </row>
    <row r="13" spans="1:21" ht="15.75" thickBot="1">
      <c r="A13" s="48"/>
      <c r="B13" s="50"/>
      <c r="C13" s="2" t="s">
        <v>16</v>
      </c>
      <c r="D13" s="2" t="s">
        <v>17</v>
      </c>
      <c r="E13" s="2" t="s">
        <v>18</v>
      </c>
      <c r="F13" s="3" t="s">
        <v>19</v>
      </c>
      <c r="G13" s="2" t="s">
        <v>16</v>
      </c>
      <c r="H13" s="2" t="s">
        <v>17</v>
      </c>
      <c r="I13" s="2" t="s">
        <v>18</v>
      </c>
      <c r="J13" s="3" t="s">
        <v>19</v>
      </c>
      <c r="L13" s="48"/>
      <c r="M13" s="50"/>
      <c r="N13" s="2" t="s">
        <v>16</v>
      </c>
      <c r="O13" s="2" t="s">
        <v>17</v>
      </c>
      <c r="P13" s="2" t="s">
        <v>18</v>
      </c>
      <c r="Q13" s="3" t="s">
        <v>19</v>
      </c>
      <c r="R13" s="2" t="s">
        <v>16</v>
      </c>
      <c r="S13" s="2" t="s">
        <v>17</v>
      </c>
      <c r="T13" s="2" t="s">
        <v>18</v>
      </c>
      <c r="U13" s="3" t="s">
        <v>19</v>
      </c>
    </row>
    <row r="14" spans="1:21">
      <c r="A14" s="44" t="s">
        <v>0</v>
      </c>
      <c r="B14" s="4" t="s">
        <v>3</v>
      </c>
      <c r="C14" s="19">
        <v>-24.418294906616211</v>
      </c>
      <c r="D14" s="19">
        <v>-17.880630493164063</v>
      </c>
      <c r="E14" s="19">
        <v>-31.004535675048828</v>
      </c>
      <c r="F14" s="20">
        <v>-28.608249664306641</v>
      </c>
      <c r="G14" s="19">
        <v>-10.401711463928223</v>
      </c>
      <c r="H14" s="19">
        <v>-4.7648720741271973</v>
      </c>
      <c r="I14" s="19">
        <v>-13.322770118713379</v>
      </c>
      <c r="J14" s="20">
        <v>-17.845603942871094</v>
      </c>
      <c r="L14" s="44" t="s">
        <v>0</v>
      </c>
      <c r="M14" s="4" t="s">
        <v>3</v>
      </c>
      <c r="N14" s="24">
        <f t="shared" ref="N14:U16" si="8">C14/C$17</f>
        <v>2.0563744066561012</v>
      </c>
      <c r="O14" s="24">
        <f t="shared" si="8"/>
        <v>2.1065583104209593</v>
      </c>
      <c r="P14" s="24">
        <f t="shared" si="8"/>
        <v>2.2166081592161508</v>
      </c>
      <c r="Q14" s="25">
        <f t="shared" si="8"/>
        <v>1.9338720829147016</v>
      </c>
      <c r="R14" s="24">
        <f t="shared" si="8"/>
        <v>2.6160238577290724</v>
      </c>
      <c r="S14" s="24">
        <f t="shared" si="8"/>
        <v>3.2871682106595959</v>
      </c>
      <c r="T14" s="24">
        <f t="shared" si="8"/>
        <v>3.1957268113066504</v>
      </c>
      <c r="U14" s="25">
        <f t="shared" si="8"/>
        <v>2.3470655005344954</v>
      </c>
    </row>
    <row r="15" spans="1:21">
      <c r="A15" s="45"/>
      <c r="B15" s="4" t="s">
        <v>4</v>
      </c>
      <c r="C15" s="19">
        <v>-3.3966588973999023</v>
      </c>
      <c r="D15" s="19">
        <v>-3.5102972984313965</v>
      </c>
      <c r="E15" s="19">
        <v>-1.0408922433853149</v>
      </c>
      <c r="F15" s="20">
        <v>-4.6843252182006836</v>
      </c>
      <c r="G15" s="19">
        <v>-2.0507667064666748</v>
      </c>
      <c r="H15" s="19">
        <v>-1.2299683094024658</v>
      </c>
      <c r="I15" s="19">
        <v>-0.90746003389358521</v>
      </c>
      <c r="J15" s="20">
        <v>-3.4558570384979248</v>
      </c>
      <c r="L15" s="45"/>
      <c r="M15" s="4" t="s">
        <v>4</v>
      </c>
      <c r="N15" s="24">
        <f t="shared" si="8"/>
        <v>0.28604791822959502</v>
      </c>
      <c r="O15" s="24">
        <f t="shared" si="8"/>
        <v>0.41355621933387332</v>
      </c>
      <c r="P15" s="24">
        <f t="shared" si="8"/>
        <v>7.441653904236574E-2</v>
      </c>
      <c r="Q15" s="25">
        <f t="shared" si="8"/>
        <v>0.31665291910794624</v>
      </c>
      <c r="R15" s="24">
        <f t="shared" si="8"/>
        <v>0.51576653028282038</v>
      </c>
      <c r="S15" s="24">
        <f t="shared" si="8"/>
        <v>0.8485249265641841</v>
      </c>
      <c r="T15" s="24">
        <f t="shared" si="8"/>
        <v>0.21767202576208927</v>
      </c>
      <c r="U15" s="25">
        <f t="shared" si="8"/>
        <v>0.45451657762908027</v>
      </c>
    </row>
    <row r="16" spans="1:21">
      <c r="A16" s="45"/>
      <c r="B16" s="4" t="s">
        <v>5</v>
      </c>
      <c r="C16" s="19">
        <v>15.940513610839844</v>
      </c>
      <c r="D16" s="19">
        <v>12.902850151062012</v>
      </c>
      <c r="E16" s="19">
        <v>18.058050155639648</v>
      </c>
      <c r="F16" s="20">
        <v>18.499326705932617</v>
      </c>
      <c r="G16" s="19">
        <v>8.4763250350952148</v>
      </c>
      <c r="H16" s="19">
        <v>4.5453033447265625</v>
      </c>
      <c r="I16" s="19">
        <v>10.061297416687012</v>
      </c>
      <c r="J16" s="20">
        <v>13.698092460632324</v>
      </c>
      <c r="L16" s="45"/>
      <c r="M16" s="4" t="s">
        <v>5</v>
      </c>
      <c r="N16" s="24">
        <f t="shared" si="8"/>
        <v>-1.3424223248856963</v>
      </c>
      <c r="O16" s="24">
        <f t="shared" si="8"/>
        <v>-1.5201145297548329</v>
      </c>
      <c r="P16" s="24">
        <f t="shared" si="8"/>
        <v>-1.2910246982585167</v>
      </c>
      <c r="Q16" s="25">
        <f t="shared" si="8"/>
        <v>-1.2505250020226479</v>
      </c>
      <c r="R16" s="24">
        <f t="shared" si="8"/>
        <v>-2.1317903880118929</v>
      </c>
      <c r="S16" s="24">
        <f t="shared" si="8"/>
        <v>-3.1356931372237797</v>
      </c>
      <c r="T16" s="24">
        <f t="shared" si="8"/>
        <v>-2.4133988370687396</v>
      </c>
      <c r="U16" s="25">
        <f t="shared" si="8"/>
        <v>-1.8015820781635754</v>
      </c>
    </row>
    <row r="17" spans="1:21">
      <c r="A17" s="46"/>
      <c r="B17" s="5" t="s">
        <v>6</v>
      </c>
      <c r="C17" s="10">
        <f>SUM(C14:C16)</f>
        <v>-11.87444019317627</v>
      </c>
      <c r="D17" s="10">
        <f t="shared" ref="D17:F17" si="9">SUM(D14:D16)</f>
        <v>-8.4880776405334473</v>
      </c>
      <c r="E17" s="10">
        <f t="shared" si="9"/>
        <v>-13.987377762794495</v>
      </c>
      <c r="F17" s="11">
        <f t="shared" si="9"/>
        <v>-14.793248176574707</v>
      </c>
      <c r="G17" s="10">
        <f>SUM(G14:G16)</f>
        <v>-3.9761531352996826</v>
      </c>
      <c r="H17" s="10">
        <f t="shared" ref="H17:J17" si="10">SUM(H14:H16)</f>
        <v>-1.4495370388031006</v>
      </c>
      <c r="I17" s="10">
        <f t="shared" si="10"/>
        <v>-4.1689327359199524</v>
      </c>
      <c r="J17" s="11">
        <f t="shared" si="10"/>
        <v>-7.6033685207366943</v>
      </c>
      <c r="L17" s="46"/>
      <c r="M17" s="5" t="s">
        <v>6</v>
      </c>
      <c r="N17" s="30">
        <f>SUM(N14:N16)</f>
        <v>0.99999999999999978</v>
      </c>
      <c r="O17" s="31">
        <f t="shared" ref="O17:Q17" si="11">SUM(O14:O16)</f>
        <v>0.99999999999999956</v>
      </c>
      <c r="P17" s="31">
        <f t="shared" si="11"/>
        <v>0.99999999999999978</v>
      </c>
      <c r="Q17" s="32">
        <f t="shared" si="11"/>
        <v>1</v>
      </c>
      <c r="R17" s="31">
        <f>SUM(R14:R16)</f>
        <v>1</v>
      </c>
      <c r="S17" s="31">
        <f t="shared" ref="S17:U17" si="12">SUM(S14:S16)</f>
        <v>1</v>
      </c>
      <c r="T17" s="31">
        <f t="shared" si="12"/>
        <v>1</v>
      </c>
      <c r="U17" s="32">
        <f t="shared" si="12"/>
        <v>1.0000000000000004</v>
      </c>
    </row>
    <row r="18" spans="1:21">
      <c r="A18" s="45" t="s">
        <v>7</v>
      </c>
      <c r="B18" s="4" t="s">
        <v>3</v>
      </c>
      <c r="C18" s="19">
        <v>-15.73386287689209</v>
      </c>
      <c r="D18" s="19">
        <v>-10.680503845214844</v>
      </c>
      <c r="E18" s="19">
        <v>-20.083053588867188</v>
      </c>
      <c r="F18" s="20">
        <v>-20.346368789672852</v>
      </c>
      <c r="G18" s="19">
        <v>-5.5834708213806152</v>
      </c>
      <c r="H18" s="19">
        <v>-2.1194772720336914</v>
      </c>
      <c r="I18" s="19">
        <v>-6.6217451095581055</v>
      </c>
      <c r="J18" s="20">
        <v>-11.362390518188477</v>
      </c>
      <c r="L18" s="45" t="s">
        <v>7</v>
      </c>
      <c r="M18" s="4" t="s">
        <v>3</v>
      </c>
      <c r="N18" s="24">
        <f t="shared" ref="N18:U20" si="13">C18/C$21</f>
        <v>1.9474076096457291</v>
      </c>
      <c r="O18" s="24">
        <f t="shared" si="13"/>
        <v>1.6415513602251408</v>
      </c>
      <c r="P18" s="24">
        <f t="shared" si="13"/>
        <v>2.1732417250364087</v>
      </c>
      <c r="Q18" s="25">
        <f t="shared" si="13"/>
        <v>2.2425461538687936</v>
      </c>
      <c r="R18" s="24">
        <f t="shared" si="13"/>
        <v>2.8212713552780384</v>
      </c>
      <c r="S18" s="24">
        <f t="shared" si="13"/>
        <v>2.7956780470546612</v>
      </c>
      <c r="T18" s="24">
        <f t="shared" si="13"/>
        <v>3.423729486336017</v>
      </c>
      <c r="U18" s="25">
        <f t="shared" si="13"/>
        <v>2.9341701668125832</v>
      </c>
    </row>
    <row r="19" spans="1:21">
      <c r="A19" s="45"/>
      <c r="B19" s="4" t="s">
        <v>4</v>
      </c>
      <c r="C19" s="19">
        <v>-1.9720733165740967</v>
      </c>
      <c r="D19" s="19">
        <v>-2.8369853496551514</v>
      </c>
      <c r="E19" s="19">
        <v>-0.61811381578445435</v>
      </c>
      <c r="F19" s="20">
        <v>-0.79279839992523193</v>
      </c>
      <c r="G19" s="19">
        <v>-0.75862681865692139</v>
      </c>
      <c r="H19" s="19">
        <v>-0.56141519546508789</v>
      </c>
      <c r="I19" s="19">
        <v>-0.21167823672294617</v>
      </c>
      <c r="J19" s="20">
        <v>-0.76305657625198364</v>
      </c>
      <c r="L19" s="45"/>
      <c r="M19" s="4" t="s">
        <v>4</v>
      </c>
      <c r="N19" s="24">
        <f t="shared" si="13"/>
        <v>0.24408694886466986</v>
      </c>
      <c r="O19" s="24">
        <f t="shared" si="13"/>
        <v>0.43603347062617259</v>
      </c>
      <c r="P19" s="24">
        <f t="shared" si="13"/>
        <v>6.6887773283087468E-2</v>
      </c>
      <c r="Q19" s="25">
        <f t="shared" si="13"/>
        <v>8.7381046757004602E-2</v>
      </c>
      <c r="R19" s="24">
        <f t="shared" si="13"/>
        <v>0.38332646149537014</v>
      </c>
      <c r="S19" s="24">
        <f t="shared" si="13"/>
        <v>0.7405298268372742</v>
      </c>
      <c r="T19" s="24">
        <f t="shared" si="13"/>
        <v>0.1094468314157641</v>
      </c>
      <c r="U19" s="25">
        <f t="shared" si="13"/>
        <v>0.19704813331707935</v>
      </c>
    </row>
    <row r="20" spans="1:21">
      <c r="A20" s="45"/>
      <c r="B20" s="4" t="s">
        <v>5</v>
      </c>
      <c r="C20" s="19">
        <v>9.6265468597412109</v>
      </c>
      <c r="D20" s="19">
        <v>7.011141300201416</v>
      </c>
      <c r="E20" s="19">
        <v>11.460109710693359</v>
      </c>
      <c r="F20" s="20">
        <v>12.066279411315918</v>
      </c>
      <c r="G20" s="19">
        <v>4.3630356788635254</v>
      </c>
      <c r="H20" s="19">
        <v>1.9227662086486816</v>
      </c>
      <c r="I20" s="19">
        <v>4.8993496894836426</v>
      </c>
      <c r="J20" s="20">
        <v>8.2530088424682617</v>
      </c>
      <c r="L20" s="45"/>
      <c r="M20" s="4" t="s">
        <v>5</v>
      </c>
      <c r="N20" s="24">
        <f t="shared" si="13"/>
        <v>-1.1914944699819507</v>
      </c>
      <c r="O20" s="24">
        <f t="shared" si="13"/>
        <v>-1.0775847942073171</v>
      </c>
      <c r="P20" s="24">
        <f t="shared" si="13"/>
        <v>-1.2401295692692802</v>
      </c>
      <c r="Q20" s="25">
        <f t="shared" si="13"/>
        <v>-1.3299271612085926</v>
      </c>
      <c r="R20" s="24">
        <f t="shared" si="13"/>
        <v>-2.2045978167734086</v>
      </c>
      <c r="S20" s="24">
        <f t="shared" si="13"/>
        <v>-2.5362080311339112</v>
      </c>
      <c r="T20" s="24">
        <f t="shared" si="13"/>
        <v>-2.5331763331608745</v>
      </c>
      <c r="U20" s="25">
        <f t="shared" si="13"/>
        <v>-2.1312181000333701</v>
      </c>
    </row>
    <row r="21" spans="1:21" ht="15.75" thickBot="1">
      <c r="A21" s="48"/>
      <c r="B21" s="6" t="s">
        <v>6</v>
      </c>
      <c r="C21" s="13">
        <v>-8.0793886184692383</v>
      </c>
      <c r="D21" s="13">
        <v>-6.50634765625</v>
      </c>
      <c r="E21" s="13">
        <v>-9.241058349609375</v>
      </c>
      <c r="F21" s="14">
        <v>-9.0728874206542969</v>
      </c>
      <c r="G21" s="13">
        <v>-1.9790619611740112</v>
      </c>
      <c r="H21" s="13">
        <v>-0.75812637805938721</v>
      </c>
      <c r="I21" s="13">
        <v>-1.9340736865997314</v>
      </c>
      <c r="J21" s="14">
        <v>-3.8724374771118164</v>
      </c>
      <c r="L21" s="48"/>
      <c r="M21" s="6" t="s">
        <v>6</v>
      </c>
      <c r="N21" s="27">
        <f>SUM(N18:N20)</f>
        <v>1.0000000885284481</v>
      </c>
      <c r="O21" s="27">
        <f t="shared" ref="O21:Q21" si="14">SUM(O18:O20)</f>
        <v>1.0000000366439963</v>
      </c>
      <c r="P21" s="27">
        <f t="shared" si="14"/>
        <v>0.99999992905021573</v>
      </c>
      <c r="Q21" s="28">
        <f t="shared" si="14"/>
        <v>1.0000000394172057</v>
      </c>
      <c r="R21" s="27">
        <f>SUM(R18:R20)</f>
        <v>1</v>
      </c>
      <c r="S21" s="27">
        <f t="shared" ref="S21:U21" si="15">SUM(S18:S20)</f>
        <v>0.99999984275802412</v>
      </c>
      <c r="T21" s="27">
        <f t="shared" si="15"/>
        <v>0.99999998459090644</v>
      </c>
      <c r="U21" s="28">
        <f t="shared" si="15"/>
        <v>1.0000002000962924</v>
      </c>
    </row>
    <row r="22" spans="1:21" ht="15.75" thickBot="1"/>
    <row r="23" spans="1:21" ht="15.75" thickBot="1">
      <c r="A23" s="47" t="s">
        <v>1</v>
      </c>
      <c r="B23" s="49" t="s">
        <v>2</v>
      </c>
      <c r="C23" s="42" t="s">
        <v>22</v>
      </c>
      <c r="D23" s="42"/>
      <c r="E23" s="42"/>
      <c r="F23" s="43"/>
      <c r="G23" s="42" t="s">
        <v>23</v>
      </c>
      <c r="H23" s="42"/>
      <c r="I23" s="42"/>
      <c r="J23" s="43"/>
      <c r="L23" s="47" t="s">
        <v>1</v>
      </c>
      <c r="M23" s="49" t="s">
        <v>2</v>
      </c>
      <c r="N23" s="42" t="s">
        <v>22</v>
      </c>
      <c r="O23" s="42"/>
      <c r="P23" s="42"/>
      <c r="Q23" s="43"/>
      <c r="R23" s="42" t="s">
        <v>23</v>
      </c>
      <c r="S23" s="42"/>
      <c r="T23" s="42"/>
      <c r="U23" s="43"/>
    </row>
    <row r="24" spans="1:21" ht="15.75" thickBot="1">
      <c r="A24" s="48"/>
      <c r="B24" s="50"/>
      <c r="C24" s="2" t="s">
        <v>16</v>
      </c>
      <c r="D24" s="2" t="s">
        <v>17</v>
      </c>
      <c r="E24" s="2" t="s">
        <v>18</v>
      </c>
      <c r="F24" s="3" t="s">
        <v>19</v>
      </c>
      <c r="G24" s="2" t="s">
        <v>16</v>
      </c>
      <c r="H24" s="2" t="s">
        <v>17</v>
      </c>
      <c r="I24" s="2" t="s">
        <v>18</v>
      </c>
      <c r="J24" s="3" t="s">
        <v>19</v>
      </c>
      <c r="L24" s="48"/>
      <c r="M24" s="50"/>
      <c r="N24" s="2" t="s">
        <v>16</v>
      </c>
      <c r="O24" s="2" t="s">
        <v>17</v>
      </c>
      <c r="P24" s="2" t="s">
        <v>18</v>
      </c>
      <c r="Q24" s="3" t="s">
        <v>19</v>
      </c>
      <c r="R24" s="2" t="s">
        <v>16</v>
      </c>
      <c r="S24" s="2" t="s">
        <v>17</v>
      </c>
      <c r="T24" s="2" t="s">
        <v>18</v>
      </c>
      <c r="U24" s="3" t="s">
        <v>19</v>
      </c>
    </row>
    <row r="25" spans="1:21">
      <c r="A25" s="44" t="s">
        <v>0</v>
      </c>
      <c r="B25" s="4" t="s">
        <v>3</v>
      </c>
      <c r="C25" s="19">
        <v>-16.032228469848633</v>
      </c>
      <c r="D25" s="19">
        <v>-10.518310546875</v>
      </c>
      <c r="E25" s="19">
        <v>-21.604747772216797</v>
      </c>
      <c r="F25" s="20">
        <v>-19.794448852539063</v>
      </c>
      <c r="G25" s="19">
        <v>-5.8477387428283691</v>
      </c>
      <c r="H25" s="19">
        <v>-2.3668787479400635</v>
      </c>
      <c r="I25" s="19">
        <v>-7.4333124160766602</v>
      </c>
      <c r="J25" s="20">
        <v>-10.787385940551758</v>
      </c>
      <c r="L25" s="44" t="s">
        <v>0</v>
      </c>
      <c r="M25" s="4" t="s">
        <v>3</v>
      </c>
      <c r="N25" s="24">
        <f t="shared" ref="N25:U27" si="16">C25/C$28</f>
        <v>2.1521241443708181</v>
      </c>
      <c r="O25" s="24">
        <f t="shared" si="16"/>
        <v>2.2551729383696708</v>
      </c>
      <c r="P25" s="24">
        <f t="shared" si="16"/>
        <v>2.3378721011706545</v>
      </c>
      <c r="Q25" s="25">
        <f t="shared" si="16"/>
        <v>2.0023834034162435</v>
      </c>
      <c r="R25" s="24">
        <f t="shared" si="16"/>
        <v>2.7359645026835153</v>
      </c>
      <c r="S25" s="24">
        <f t="shared" si="16"/>
        <v>3.3629274793412227</v>
      </c>
      <c r="T25" s="24">
        <f t="shared" si="16"/>
        <v>3.4259209287408168</v>
      </c>
      <c r="U25" s="25">
        <f t="shared" si="16"/>
        <v>2.5051093170498411</v>
      </c>
    </row>
    <row r="26" spans="1:21">
      <c r="A26" s="45"/>
      <c r="B26" s="4" t="s">
        <v>4</v>
      </c>
      <c r="C26" s="19">
        <v>-2.52813720703125</v>
      </c>
      <c r="D26" s="19">
        <v>-2.2934503555297852</v>
      </c>
      <c r="E26" s="19">
        <v>-0.96334874629974365</v>
      </c>
      <c r="F26" s="20">
        <v>-3.6524536609649658</v>
      </c>
      <c r="G26" s="19">
        <v>-1.2678928375244141</v>
      </c>
      <c r="H26" s="19">
        <v>-0.65605330467224121</v>
      </c>
      <c r="I26" s="19">
        <v>-0.63754457235336304</v>
      </c>
      <c r="J26" s="20">
        <v>-2.2579483985900879</v>
      </c>
      <c r="L26" s="45"/>
      <c r="M26" s="4" t="s">
        <v>4</v>
      </c>
      <c r="N26" s="24">
        <f t="shared" si="16"/>
        <v>0.33937048325918273</v>
      </c>
      <c r="O26" s="24">
        <f t="shared" si="16"/>
        <v>0.4917260385339845</v>
      </c>
      <c r="P26" s="24">
        <f t="shared" si="16"/>
        <v>0.10424496418181547</v>
      </c>
      <c r="Q26" s="25">
        <f t="shared" si="16"/>
        <v>0.36947796056089838</v>
      </c>
      <c r="R26" s="24">
        <f t="shared" si="16"/>
        <v>0.59320533102264938</v>
      </c>
      <c r="S26" s="24">
        <f t="shared" si="16"/>
        <v>0.93213887197011935</v>
      </c>
      <c r="T26" s="24">
        <f t="shared" si="16"/>
        <v>0.29383633717676033</v>
      </c>
      <c r="U26" s="25">
        <f t="shared" si="16"/>
        <v>0.52435387052041271</v>
      </c>
    </row>
    <row r="27" spans="1:21">
      <c r="A27" s="45"/>
      <c r="B27" s="4" t="s">
        <v>5</v>
      </c>
      <c r="C27" s="19">
        <v>11.110875129699707</v>
      </c>
      <c r="D27" s="19">
        <v>8.147679328918457</v>
      </c>
      <c r="E27" s="19">
        <v>13.326894760131836</v>
      </c>
      <c r="F27" s="20">
        <v>13.561458587646484</v>
      </c>
      <c r="G27" s="19">
        <v>4.9782724380493164</v>
      </c>
      <c r="H27" s="19">
        <v>2.3191170692443848</v>
      </c>
      <c r="I27" s="19">
        <v>5.901130199432373</v>
      </c>
      <c r="J27" s="20">
        <v>8.7391805648803711</v>
      </c>
      <c r="L27" s="45"/>
      <c r="M27" s="4" t="s">
        <v>5</v>
      </c>
      <c r="N27" s="24">
        <f t="shared" si="16"/>
        <v>-1.4914946276300007</v>
      </c>
      <c r="O27" s="24">
        <f t="shared" si="16"/>
        <v>-1.7468989769036551</v>
      </c>
      <c r="P27" s="24">
        <f t="shared" si="16"/>
        <v>-1.44211706535247</v>
      </c>
      <c r="Q27" s="25">
        <f t="shared" si="16"/>
        <v>-1.371861363977142</v>
      </c>
      <c r="R27" s="24">
        <f t="shared" si="16"/>
        <v>-2.3291698337061648</v>
      </c>
      <c r="S27" s="24">
        <f t="shared" si="16"/>
        <v>-3.2950663513113421</v>
      </c>
      <c r="T27" s="24">
        <f t="shared" si="16"/>
        <v>-2.7197572659175773</v>
      </c>
      <c r="U27" s="25">
        <f t="shared" si="16"/>
        <v>-2.0294631875702538</v>
      </c>
    </row>
    <row r="28" spans="1:21">
      <c r="A28" s="46"/>
      <c r="B28" s="5" t="s">
        <v>6</v>
      </c>
      <c r="C28" s="33">
        <f>SUM(C25:C27)</f>
        <v>-7.4494905471801758</v>
      </c>
      <c r="D28" s="33">
        <f t="shared" ref="D28:F28" si="17">SUM(D25:D27)</f>
        <v>-4.6640815734863281</v>
      </c>
      <c r="E28" s="33">
        <f t="shared" si="17"/>
        <v>-9.2412017583847046</v>
      </c>
      <c r="F28" s="34">
        <f t="shared" si="17"/>
        <v>-9.8854439258575439</v>
      </c>
      <c r="G28" s="33">
        <f>SUM(G25:G27)</f>
        <v>-2.1373591423034668</v>
      </c>
      <c r="H28" s="33">
        <f t="shared" ref="H28:J28" si="18">SUM(H25:H27)</f>
        <v>-0.70381498336791992</v>
      </c>
      <c r="I28" s="33">
        <f t="shared" si="18"/>
        <v>-2.1697267889976501</v>
      </c>
      <c r="J28" s="34">
        <f t="shared" si="18"/>
        <v>-4.3061537742614746</v>
      </c>
      <c r="L28" s="46"/>
      <c r="M28" s="5" t="s">
        <v>6</v>
      </c>
      <c r="N28" s="30">
        <f>SUM(N25:N27)</f>
        <v>1</v>
      </c>
      <c r="O28" s="31">
        <f t="shared" ref="O28:Q28" si="19">SUM(O25:O27)</f>
        <v>1</v>
      </c>
      <c r="P28" s="31">
        <f t="shared" si="19"/>
        <v>0.99999999999999978</v>
      </c>
      <c r="Q28" s="32">
        <f t="shared" si="19"/>
        <v>0.99999999999999978</v>
      </c>
      <c r="R28" s="31">
        <f>SUM(R25:R27)</f>
        <v>1</v>
      </c>
      <c r="S28" s="31">
        <f t="shared" ref="S28:U28" si="20">SUM(S25:S27)</f>
        <v>1</v>
      </c>
      <c r="T28" s="31">
        <f t="shared" si="20"/>
        <v>1</v>
      </c>
      <c r="U28" s="32">
        <f t="shared" si="20"/>
        <v>1</v>
      </c>
    </row>
    <row r="29" spans="1:21">
      <c r="A29" s="45" t="s">
        <v>7</v>
      </c>
      <c r="B29" s="4" t="s">
        <v>3</v>
      </c>
      <c r="C29" s="19">
        <v>-9.6234598159790039</v>
      </c>
      <c r="D29" s="19">
        <v>-5.7499933242797852</v>
      </c>
      <c r="E29" s="19">
        <v>-12.950374603271484</v>
      </c>
      <c r="F29" s="20">
        <v>-13.259540557861328</v>
      </c>
      <c r="G29" s="19">
        <v>-2.9408881664276123</v>
      </c>
      <c r="H29" s="19">
        <v>-1.0125678777694702</v>
      </c>
      <c r="I29" s="19">
        <v>-3.3354556560516357</v>
      </c>
      <c r="J29" s="20">
        <v>-6.4135041236877441</v>
      </c>
      <c r="L29" s="45" t="s">
        <v>7</v>
      </c>
      <c r="M29" s="4" t="s">
        <v>3</v>
      </c>
      <c r="N29" s="24">
        <f t="shared" ref="N29:U31" si="21">C29/C$32</f>
        <v>2.053087674540893</v>
      </c>
      <c r="O29" s="24">
        <f t="shared" si="21"/>
        <v>1.7426813578439997</v>
      </c>
      <c r="P29" s="24">
        <f t="shared" si="21"/>
        <v>2.2849597810657696</v>
      </c>
      <c r="Q29" s="25">
        <f t="shared" si="21"/>
        <v>2.3102445178027575</v>
      </c>
      <c r="R29" s="24">
        <f t="shared" si="21"/>
        <v>3.1477712032162186</v>
      </c>
      <c r="S29" s="24">
        <f t="shared" si="21"/>
        <v>3.6403410180612714</v>
      </c>
      <c r="T29" s="24">
        <f t="shared" si="21"/>
        <v>4.0255435092248524</v>
      </c>
      <c r="U29" s="25">
        <f t="shared" si="21"/>
        <v>3.1066688748115801</v>
      </c>
    </row>
    <row r="30" spans="1:21">
      <c r="A30" s="45"/>
      <c r="B30" s="4" t="s">
        <v>4</v>
      </c>
      <c r="C30" s="19">
        <v>-1.1828718185424805</v>
      </c>
      <c r="D30" s="19">
        <v>-1.5332931280136108</v>
      </c>
      <c r="E30" s="19">
        <v>-0.35969817638397217</v>
      </c>
      <c r="F30" s="20">
        <v>-0.59889894723892212</v>
      </c>
      <c r="G30" s="19">
        <v>-0.33469489216804504</v>
      </c>
      <c r="H30" s="19">
        <v>-0.18776373565196991</v>
      </c>
      <c r="I30" s="19">
        <v>-1.6233900561928749E-2</v>
      </c>
      <c r="J30" s="20">
        <v>-0.43140265345573425</v>
      </c>
      <c r="L30" s="45"/>
      <c r="M30" s="4" t="s">
        <v>4</v>
      </c>
      <c r="N30" s="24">
        <f t="shared" si="21"/>
        <v>0.25235617934195953</v>
      </c>
      <c r="O30" s="24">
        <f t="shared" si="21"/>
        <v>0.46470338304859149</v>
      </c>
      <c r="P30" s="24">
        <f t="shared" si="21"/>
        <v>6.3465026421123977E-2</v>
      </c>
      <c r="Q30" s="25">
        <f t="shared" si="21"/>
        <v>0.10434773388556447</v>
      </c>
      <c r="R30" s="24">
        <f t="shared" si="21"/>
        <v>0.35823971664651938</v>
      </c>
      <c r="S30" s="24">
        <f t="shared" si="21"/>
        <v>0.67504020580227853</v>
      </c>
      <c r="T30" s="24">
        <f t="shared" si="21"/>
        <v>1.9592607360228768E-2</v>
      </c>
      <c r="U30" s="25">
        <f t="shared" si="21"/>
        <v>0.20896925770298419</v>
      </c>
    </row>
    <row r="31" spans="1:21">
      <c r="A31" s="45"/>
      <c r="B31" s="4" t="s">
        <v>5</v>
      </c>
      <c r="C31" s="19">
        <v>6.119020938873291</v>
      </c>
      <c r="D31" s="19">
        <v>3.9837770462036133</v>
      </c>
      <c r="E31" s="19">
        <v>7.6424136161804199</v>
      </c>
      <c r="F31" s="20">
        <v>8.1189861297607422</v>
      </c>
      <c r="G31" s="19">
        <v>2.3413066864013672</v>
      </c>
      <c r="H31" s="19">
        <v>0.92217963933944702</v>
      </c>
      <c r="I31" s="19">
        <v>2.5231168270111084</v>
      </c>
      <c r="J31" s="20">
        <v>4.7804756164550781</v>
      </c>
      <c r="L31" s="45"/>
      <c r="M31" s="4" t="s">
        <v>5</v>
      </c>
      <c r="N31" s="24">
        <f t="shared" si="21"/>
        <v>-1.3054438538828523</v>
      </c>
      <c r="O31" s="24">
        <f t="shared" si="21"/>
        <v>-1.2073847047631916</v>
      </c>
      <c r="P31" s="24">
        <f t="shared" si="21"/>
        <v>-1.3484249126531305</v>
      </c>
      <c r="Q31" s="25">
        <f t="shared" si="21"/>
        <v>-1.4145922413032486</v>
      </c>
      <c r="R31" s="24">
        <f t="shared" si="21"/>
        <v>-2.506010887963908</v>
      </c>
      <c r="S31" s="24">
        <f t="shared" si="21"/>
        <v>-3.3153810631474849</v>
      </c>
      <c r="T31" s="24">
        <f t="shared" si="21"/>
        <v>-3.0451361413132618</v>
      </c>
      <c r="U31" s="25">
        <f t="shared" si="21"/>
        <v>-2.3156381469506582</v>
      </c>
    </row>
    <row r="32" spans="1:21" ht="15.75" thickBot="1">
      <c r="A32" s="48"/>
      <c r="B32" s="6" t="s">
        <v>6</v>
      </c>
      <c r="C32" s="13">
        <v>-4.6873106956481934</v>
      </c>
      <c r="D32" s="13">
        <v>-3.2995092868804932</v>
      </c>
      <c r="E32" s="13">
        <v>-5.6676597595214844</v>
      </c>
      <c r="F32" s="14">
        <v>-5.7394533157348633</v>
      </c>
      <c r="G32" s="13">
        <v>-0.93427634239196777</v>
      </c>
      <c r="H32" s="13">
        <v>-0.27815192937850952</v>
      </c>
      <c r="I32" s="13">
        <v>-0.82857275009155273</v>
      </c>
      <c r="J32" s="14">
        <v>-2.0644311904907227</v>
      </c>
      <c r="L32" s="48"/>
      <c r="M32" s="6" t="s">
        <v>6</v>
      </c>
      <c r="N32" s="27">
        <f>SUM(N29:N31)</f>
        <v>1.0000000000000004</v>
      </c>
      <c r="O32" s="27">
        <f t="shared" ref="O32:Q32" si="22">SUM(O29:O31)</f>
        <v>1.0000000361293995</v>
      </c>
      <c r="P32" s="27">
        <f t="shared" si="22"/>
        <v>0.99999989483376295</v>
      </c>
      <c r="Q32" s="28">
        <f t="shared" si="22"/>
        <v>1.0000000103850735</v>
      </c>
      <c r="R32" s="27">
        <f>SUM(R29:R31)</f>
        <v>1.0000000318988298</v>
      </c>
      <c r="S32" s="27">
        <f t="shared" ref="S32:U32" si="23">SUM(S29:S31)</f>
        <v>1.0000001607160653</v>
      </c>
      <c r="T32" s="27">
        <f t="shared" si="23"/>
        <v>0.99999997527181961</v>
      </c>
      <c r="U32" s="28">
        <f t="shared" si="23"/>
        <v>0.9999999855639059</v>
      </c>
    </row>
  </sheetData>
  <mergeCells count="36">
    <mergeCell ref="N23:Q23"/>
    <mergeCell ref="R23:U23"/>
    <mergeCell ref="A25:A28"/>
    <mergeCell ref="L25:L28"/>
    <mergeCell ref="A29:A32"/>
    <mergeCell ref="L29:L32"/>
    <mergeCell ref="A23:A24"/>
    <mergeCell ref="B23:B24"/>
    <mergeCell ref="C23:F23"/>
    <mergeCell ref="G23:J23"/>
    <mergeCell ref="L23:L24"/>
    <mergeCell ref="M23:M24"/>
    <mergeCell ref="N12:Q12"/>
    <mergeCell ref="R12:U12"/>
    <mergeCell ref="A14:A17"/>
    <mergeCell ref="L14:L17"/>
    <mergeCell ref="A18:A21"/>
    <mergeCell ref="L18:L21"/>
    <mergeCell ref="A12:A13"/>
    <mergeCell ref="B12:B13"/>
    <mergeCell ref="C12:F12"/>
    <mergeCell ref="G12:J12"/>
    <mergeCell ref="L12:L13"/>
    <mergeCell ref="M12:M13"/>
    <mergeCell ref="N1:Q1"/>
    <mergeCell ref="R1:U1"/>
    <mergeCell ref="A3:A6"/>
    <mergeCell ref="L3:L6"/>
    <mergeCell ref="A7:A10"/>
    <mergeCell ref="L7:L10"/>
    <mergeCell ref="A1:A2"/>
    <mergeCell ref="B1:B2"/>
    <mergeCell ref="C1:F1"/>
    <mergeCell ref="G1:J1"/>
    <mergeCell ref="L1:L2"/>
    <mergeCell ref="M1:M2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0597B-9690-49F6-B1E2-0E815871524A}">
  <dimension ref="A1:U22"/>
  <sheetViews>
    <sheetView zoomScale="80" zoomScaleNormal="80" workbookViewId="0">
      <selection sqref="A1:A3"/>
    </sheetView>
  </sheetViews>
  <sheetFormatPr baseColWidth="10" defaultRowHeight="15"/>
  <cols>
    <col min="1" max="1" width="11.42578125" style="1" customWidth="1"/>
    <col min="2" max="2" width="14.140625" style="1" customWidth="1"/>
    <col min="3" max="3" width="14.28515625" style="1" customWidth="1"/>
    <col min="4" max="4" width="17.85546875" style="1" customWidth="1"/>
    <col min="5" max="7" width="14.28515625" style="1" customWidth="1"/>
    <col min="8" max="8" width="17.85546875" style="1" customWidth="1"/>
    <col min="9" max="11" width="14.28515625" style="1" customWidth="1"/>
    <col min="12" max="12" width="17.85546875" style="1" customWidth="1"/>
    <col min="13" max="15" width="14.28515625" style="1" customWidth="1"/>
    <col min="16" max="16" width="17.85546875" style="1" customWidth="1"/>
    <col min="17" max="18" width="14.28515625" style="1" customWidth="1"/>
    <col min="19" max="16384" width="11.42578125" style="1"/>
  </cols>
  <sheetData>
    <row r="1" spans="1:21" ht="15.75" thickBot="1">
      <c r="A1" s="47" t="s">
        <v>1</v>
      </c>
      <c r="B1" s="47" t="s">
        <v>2</v>
      </c>
      <c r="C1" s="42" t="s">
        <v>14</v>
      </c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3"/>
    </row>
    <row r="2" spans="1:21" ht="15.75" thickBot="1">
      <c r="A2" s="45"/>
      <c r="B2" s="45"/>
      <c r="C2" s="42" t="s">
        <v>10</v>
      </c>
      <c r="D2" s="42"/>
      <c r="E2" s="42"/>
      <c r="F2" s="43"/>
      <c r="G2" s="42" t="s">
        <v>11</v>
      </c>
      <c r="H2" s="42"/>
      <c r="I2" s="42"/>
      <c r="J2" s="43"/>
      <c r="K2" s="42" t="s">
        <v>12</v>
      </c>
      <c r="L2" s="42"/>
      <c r="M2" s="42"/>
      <c r="N2" s="43"/>
      <c r="O2" s="42" t="s">
        <v>13</v>
      </c>
      <c r="P2" s="42"/>
      <c r="Q2" s="42"/>
      <c r="R2" s="43"/>
    </row>
    <row r="3" spans="1:21" ht="15.75" thickBot="1">
      <c r="A3" s="48"/>
      <c r="B3" s="48"/>
      <c r="C3" s="2" t="s">
        <v>3</v>
      </c>
      <c r="D3" s="2" t="s">
        <v>4</v>
      </c>
      <c r="E3" s="2" t="s">
        <v>5</v>
      </c>
      <c r="F3" s="3" t="s">
        <v>6</v>
      </c>
      <c r="G3" s="2" t="s">
        <v>3</v>
      </c>
      <c r="H3" s="2" t="s">
        <v>4</v>
      </c>
      <c r="I3" s="2" t="s">
        <v>5</v>
      </c>
      <c r="J3" s="3" t="s">
        <v>6</v>
      </c>
      <c r="K3" s="2" t="s">
        <v>3</v>
      </c>
      <c r="L3" s="2" t="s">
        <v>4</v>
      </c>
      <c r="M3" s="2" t="s">
        <v>5</v>
      </c>
      <c r="N3" s="3" t="s">
        <v>6</v>
      </c>
      <c r="O3" s="2" t="s">
        <v>3</v>
      </c>
      <c r="P3" s="2" t="s">
        <v>4</v>
      </c>
      <c r="Q3" s="2" t="s">
        <v>5</v>
      </c>
      <c r="R3" s="3" t="s">
        <v>6</v>
      </c>
    </row>
    <row r="4" spans="1:21">
      <c r="A4" s="44" t="s">
        <v>0</v>
      </c>
      <c r="B4" s="4" t="s">
        <v>6</v>
      </c>
      <c r="C4" s="7">
        <v>-43.387401580810547</v>
      </c>
      <c r="D4" s="7">
        <v>-4.6706147193908691</v>
      </c>
      <c r="E4" s="7">
        <v>25.704093933105469</v>
      </c>
      <c r="F4" s="8">
        <v>-22.353923797607422</v>
      </c>
      <c r="G4" s="7">
        <v>-37.790809631347656</v>
      </c>
      <c r="H4" s="7">
        <v>-6.3227577209472656</v>
      </c>
      <c r="I4" s="7">
        <v>24.39567756652832</v>
      </c>
      <c r="J4" s="8">
        <v>-19.717889785766602</v>
      </c>
      <c r="K4" s="7">
        <v>-48.848972320556641</v>
      </c>
      <c r="L4" s="7">
        <v>-0.81654459238052368</v>
      </c>
      <c r="M4" s="7">
        <v>26.403324127197266</v>
      </c>
      <c r="N4" s="8">
        <v>-23.26219367980957</v>
      </c>
      <c r="O4" s="7">
        <v>-46.143993377685547</v>
      </c>
      <c r="P4" s="7">
        <v>-5.7501511573791504</v>
      </c>
      <c r="Q4" s="7">
        <v>27.042985916137695</v>
      </c>
      <c r="R4" s="8">
        <v>-24.851158142089844</v>
      </c>
      <c r="S4" s="9"/>
      <c r="T4" s="9"/>
      <c r="U4" s="9"/>
    </row>
    <row r="5" spans="1:21">
      <c r="A5" s="45"/>
      <c r="B5" s="4" t="s">
        <v>8</v>
      </c>
      <c r="C5" s="7">
        <v>-22.741909027099609</v>
      </c>
      <c r="D5" s="7">
        <v>4.8612399101257324</v>
      </c>
      <c r="E5" s="7">
        <v>-3.0800914764404297</v>
      </c>
      <c r="F5" s="8">
        <v>-20.960762023925781</v>
      </c>
      <c r="G5" s="7">
        <v>-15.111348152160645</v>
      </c>
      <c r="H5" s="7">
        <v>2.9641628265380859</v>
      </c>
      <c r="I5" s="7">
        <v>-2.5861825942993164</v>
      </c>
      <c r="J5" s="8">
        <v>-14.733368873596191</v>
      </c>
      <c r="K5" s="7">
        <v>-23.756820678710938</v>
      </c>
      <c r="L5" s="7">
        <v>4.7076501846313477</v>
      </c>
      <c r="M5" s="7">
        <v>-3.3672113418579102</v>
      </c>
      <c r="N5" s="8">
        <v>-22.416383743286133</v>
      </c>
      <c r="O5" s="7">
        <v>-28.149665832519531</v>
      </c>
      <c r="P5" s="7">
        <v>10.354589462280273</v>
      </c>
      <c r="Q5" s="7">
        <v>-0.23672199249267578</v>
      </c>
      <c r="R5" s="8">
        <v>-18.031797409057617</v>
      </c>
      <c r="S5" s="9"/>
      <c r="T5" s="9"/>
      <c r="U5" s="9"/>
    </row>
    <row r="6" spans="1:21">
      <c r="A6" s="46"/>
      <c r="B6" s="5" t="s">
        <v>9</v>
      </c>
      <c r="C6" s="10">
        <v>-20.645492553710938</v>
      </c>
      <c r="D6" s="10">
        <v>-9.5318546295166016</v>
      </c>
      <c r="E6" s="10">
        <v>28.784185409545898</v>
      </c>
      <c r="F6" s="11">
        <v>-1.3931608200073242</v>
      </c>
      <c r="G6" s="10">
        <v>-22.679462432861328</v>
      </c>
      <c r="H6" s="10">
        <v>-9.2869205474853516</v>
      </c>
      <c r="I6" s="10">
        <v>26.981861114501953</v>
      </c>
      <c r="J6" s="11">
        <v>-4.9845213890075684</v>
      </c>
      <c r="K6" s="10">
        <v>-25.092151641845703</v>
      </c>
      <c r="L6" s="10">
        <v>-5.5241947174072266</v>
      </c>
      <c r="M6" s="10">
        <v>29.770534515380859</v>
      </c>
      <c r="N6" s="11">
        <v>-0.8458101749420166</v>
      </c>
      <c r="O6" s="10">
        <v>-17.994327545166016</v>
      </c>
      <c r="P6" s="10">
        <v>-16.104740142822266</v>
      </c>
      <c r="Q6" s="10">
        <v>27.279708862304688</v>
      </c>
      <c r="R6" s="11">
        <v>-6.8193602561950684</v>
      </c>
      <c r="S6" s="9"/>
      <c r="T6" s="9"/>
      <c r="U6" s="9"/>
    </row>
    <row r="7" spans="1:21">
      <c r="A7" s="45" t="s">
        <v>7</v>
      </c>
      <c r="B7" s="4" t="s">
        <v>6</v>
      </c>
      <c r="C7" s="7">
        <v>-30.966487884521484</v>
      </c>
      <c r="D7" s="7">
        <v>-3.9122552871704102</v>
      </c>
      <c r="E7" s="7">
        <v>17.775251388549805</v>
      </c>
      <c r="F7" s="12">
        <v>-17.103492736816406</v>
      </c>
      <c r="G7" s="7">
        <v>-25.906007766723633</v>
      </c>
      <c r="H7" s="7">
        <v>-6.4967765808105469</v>
      </c>
      <c r="I7" s="7">
        <v>15.543971061706543</v>
      </c>
      <c r="J7" s="12">
        <v>-16.858814239501953</v>
      </c>
      <c r="K7" s="7">
        <v>-35.248542785644531</v>
      </c>
      <c r="L7" s="35">
        <v>-1.2601219415664673</v>
      </c>
      <c r="M7" s="7">
        <v>18.980197906494141</v>
      </c>
      <c r="N7" s="12">
        <v>-17.528467178344727</v>
      </c>
      <c r="O7" s="7">
        <v>-35.411640167236328</v>
      </c>
      <c r="P7" s="7">
        <v>-0.90501677989959717</v>
      </c>
      <c r="Q7" s="7">
        <v>20.223623275756836</v>
      </c>
      <c r="R7" s="12">
        <v>-16.09303092956543</v>
      </c>
      <c r="S7" s="9"/>
      <c r="T7" s="9"/>
      <c r="U7" s="9"/>
    </row>
    <row r="8" spans="1:21">
      <c r="A8" s="45"/>
      <c r="B8" s="4" t="s">
        <v>8</v>
      </c>
      <c r="C8" s="7">
        <v>-17.720588684082031</v>
      </c>
      <c r="D8" s="7">
        <v>4.4027228355407715</v>
      </c>
      <c r="E8" s="7">
        <v>-1.053924560546875</v>
      </c>
      <c r="F8" s="8">
        <v>-14.371791839599609</v>
      </c>
      <c r="G8" s="7">
        <v>-11.278242111206055</v>
      </c>
      <c r="H8" s="7">
        <v>2.6998851299285889</v>
      </c>
      <c r="I8" s="7">
        <v>-1.9381656646728516</v>
      </c>
      <c r="J8" s="8">
        <v>-10.516523361206055</v>
      </c>
      <c r="K8" s="7">
        <v>-19.929832458496094</v>
      </c>
      <c r="L8" s="7">
        <v>5.0669121742248535</v>
      </c>
      <c r="M8" s="7">
        <v>-0.68040561676025391</v>
      </c>
      <c r="N8" s="8">
        <v>-15.543327331542969</v>
      </c>
      <c r="O8" s="7">
        <v>-19.585380554199219</v>
      </c>
      <c r="P8" s="7">
        <v>9.0479869842529297</v>
      </c>
      <c r="Q8" s="7">
        <v>-1.4836130142211914</v>
      </c>
      <c r="R8" s="8">
        <v>-12.021003723144531</v>
      </c>
      <c r="S8" s="9"/>
      <c r="T8" s="9"/>
      <c r="U8" s="9"/>
    </row>
    <row r="9" spans="1:21" ht="15.75" thickBot="1">
      <c r="A9" s="48"/>
      <c r="B9" s="6" t="s">
        <v>9</v>
      </c>
      <c r="C9" s="13">
        <v>-13.245898246765137</v>
      </c>
      <c r="D9" s="13">
        <v>-8.3149776458740234</v>
      </c>
      <c r="E9" s="13">
        <v>18.82917594909668</v>
      </c>
      <c r="F9" s="14">
        <v>-2.7317008972167969</v>
      </c>
      <c r="G9" s="13">
        <v>-14.627765655517578</v>
      </c>
      <c r="H9" s="13">
        <v>-9.1966619491577148</v>
      </c>
      <c r="I9" s="13">
        <v>17.482135772705078</v>
      </c>
      <c r="J9" s="14">
        <v>-6.3422913551330566</v>
      </c>
      <c r="K9" s="13">
        <v>-15.318710327148438</v>
      </c>
      <c r="L9" s="13">
        <v>-6.3270339965820313</v>
      </c>
      <c r="M9" s="13">
        <v>19.660602569580078</v>
      </c>
      <c r="N9" s="14">
        <v>-1.9851400852203369</v>
      </c>
      <c r="O9" s="13">
        <v>-15.826259613037109</v>
      </c>
      <c r="P9" s="13">
        <v>-9.9530029296875</v>
      </c>
      <c r="Q9" s="13">
        <v>21.707237243652344</v>
      </c>
      <c r="R9" s="14">
        <v>-4.0720272064208984</v>
      </c>
      <c r="S9" s="9"/>
      <c r="T9" s="9"/>
      <c r="U9" s="9"/>
    </row>
    <row r="10" spans="1:21" ht="15.75" thickBot="1"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</row>
    <row r="11" spans="1:21" ht="15.75" thickBot="1">
      <c r="A11" s="47" t="s">
        <v>1</v>
      </c>
      <c r="B11" s="47" t="s">
        <v>2</v>
      </c>
      <c r="C11" s="52" t="s">
        <v>15</v>
      </c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3"/>
      <c r="S11" s="9"/>
      <c r="T11" s="9"/>
      <c r="U11" s="9"/>
    </row>
    <row r="12" spans="1:21" ht="15.75" thickBot="1">
      <c r="A12" s="45"/>
      <c r="B12" s="45"/>
      <c r="C12" s="52" t="s">
        <v>10</v>
      </c>
      <c r="D12" s="52"/>
      <c r="E12" s="52"/>
      <c r="F12" s="53"/>
      <c r="G12" s="52" t="s">
        <v>11</v>
      </c>
      <c r="H12" s="52"/>
      <c r="I12" s="52"/>
      <c r="J12" s="53"/>
      <c r="K12" s="52" t="s">
        <v>12</v>
      </c>
      <c r="L12" s="52"/>
      <c r="M12" s="52"/>
      <c r="N12" s="53"/>
      <c r="O12" s="52" t="s">
        <v>13</v>
      </c>
      <c r="P12" s="52"/>
      <c r="Q12" s="52"/>
      <c r="R12" s="53"/>
      <c r="S12" s="9"/>
      <c r="T12" s="9"/>
      <c r="U12" s="9"/>
    </row>
    <row r="13" spans="1:21" ht="15.75" thickBot="1">
      <c r="A13" s="48"/>
      <c r="B13" s="48"/>
      <c r="C13" s="15" t="s">
        <v>3</v>
      </c>
      <c r="D13" s="15" t="s">
        <v>4</v>
      </c>
      <c r="E13" s="15" t="s">
        <v>5</v>
      </c>
      <c r="F13" s="16" t="s">
        <v>6</v>
      </c>
      <c r="G13" s="15" t="s">
        <v>3</v>
      </c>
      <c r="H13" s="15" t="s">
        <v>4</v>
      </c>
      <c r="I13" s="15" t="s">
        <v>5</v>
      </c>
      <c r="J13" s="16" t="s">
        <v>6</v>
      </c>
      <c r="K13" s="15" t="s">
        <v>3</v>
      </c>
      <c r="L13" s="15" t="s">
        <v>4</v>
      </c>
      <c r="M13" s="15" t="s">
        <v>5</v>
      </c>
      <c r="N13" s="16" t="s">
        <v>6</v>
      </c>
      <c r="O13" s="15" t="s">
        <v>3</v>
      </c>
      <c r="P13" s="15" t="s">
        <v>4</v>
      </c>
      <c r="Q13" s="15" t="s">
        <v>5</v>
      </c>
      <c r="R13" s="16" t="s">
        <v>6</v>
      </c>
      <c r="S13" s="9"/>
      <c r="T13" s="9"/>
      <c r="U13" s="9"/>
    </row>
    <row r="14" spans="1:21">
      <c r="A14" s="44" t="s">
        <v>0</v>
      </c>
      <c r="B14" s="4" t="s">
        <v>6</v>
      </c>
      <c r="C14" s="7">
        <v>-24.864002227783203</v>
      </c>
      <c r="D14" s="7">
        <v>-4.1657390594482422</v>
      </c>
      <c r="E14" s="7">
        <v>18.641866683959961</v>
      </c>
      <c r="F14" s="8">
        <v>-10.387874603271484</v>
      </c>
      <c r="G14" s="7">
        <v>-14.008109092712402</v>
      </c>
      <c r="H14" s="7">
        <v>-3.1653573513031006</v>
      </c>
      <c r="I14" s="7">
        <v>12.585543632507324</v>
      </c>
      <c r="J14" s="8">
        <v>-4.587923526763916</v>
      </c>
      <c r="K14" s="7">
        <v>-31.795537948608398</v>
      </c>
      <c r="L14" s="35">
        <v>-1.5430718660354614</v>
      </c>
      <c r="M14" s="7">
        <v>21.561456680297852</v>
      </c>
      <c r="N14" s="8">
        <v>-11.777152061462402</v>
      </c>
      <c r="O14" s="7">
        <v>-37.101669311523438</v>
      </c>
      <c r="P14" s="7">
        <v>-6.2049288749694824</v>
      </c>
      <c r="Q14" s="7">
        <v>25.867130279541016</v>
      </c>
      <c r="R14" s="8">
        <v>-17.439470291137695</v>
      </c>
      <c r="S14" s="9"/>
      <c r="T14" s="9"/>
      <c r="U14" s="9"/>
    </row>
    <row r="15" spans="1:21">
      <c r="A15" s="45"/>
      <c r="B15" s="4" t="s">
        <v>8</v>
      </c>
      <c r="C15" s="7">
        <v>-15.664299964904785</v>
      </c>
      <c r="D15" s="7">
        <v>-1.2761712074279785E-2</v>
      </c>
      <c r="E15" s="7">
        <v>4.737645149230957</v>
      </c>
      <c r="F15" s="8">
        <v>-10.939416885375977</v>
      </c>
      <c r="G15" s="7">
        <v>-5.8871979713439941</v>
      </c>
      <c r="H15" s="7">
        <v>0.92627739906311035</v>
      </c>
      <c r="I15" s="7">
        <v>1.5662007331848145</v>
      </c>
      <c r="J15" s="8">
        <v>-3.3947207927703857</v>
      </c>
      <c r="K15" s="7">
        <v>-17.94685173034668</v>
      </c>
      <c r="L15" s="7">
        <v>2.3862032890319824</v>
      </c>
      <c r="M15" s="7">
        <v>4.0564837455749512</v>
      </c>
      <c r="N15" s="8">
        <v>-11.50416374206543</v>
      </c>
      <c r="O15" s="7">
        <v>-21.776071548461914</v>
      </c>
      <c r="P15" s="7">
        <v>7.7702999114990234</v>
      </c>
      <c r="Q15" s="7">
        <v>1.7909812927246094</v>
      </c>
      <c r="R15" s="8">
        <v>-12.21479320526123</v>
      </c>
      <c r="S15" s="9"/>
      <c r="T15" s="9"/>
      <c r="U15" s="9"/>
    </row>
    <row r="16" spans="1:21">
      <c r="A16" s="46"/>
      <c r="B16" s="5" t="s">
        <v>9</v>
      </c>
      <c r="C16" s="10">
        <v>-9.199702262878418</v>
      </c>
      <c r="D16" s="10">
        <v>-4.152977466583252</v>
      </c>
      <c r="E16" s="10">
        <v>13.904221534729004</v>
      </c>
      <c r="F16" s="11">
        <v>0.55154204368591309</v>
      </c>
      <c r="G16" s="10">
        <v>-8.12091064453125</v>
      </c>
      <c r="H16" s="10">
        <v>-4.0916347503662109</v>
      </c>
      <c r="I16" s="10">
        <v>11.019342422485352</v>
      </c>
      <c r="J16" s="11">
        <v>-1.1932028532028198</v>
      </c>
      <c r="K16" s="10">
        <v>-13.848686218261719</v>
      </c>
      <c r="L16" s="10">
        <v>-3.9292750358581543</v>
      </c>
      <c r="M16" s="10">
        <v>17.504972457885742</v>
      </c>
      <c r="N16" s="11">
        <v>-0.27298831939697266</v>
      </c>
      <c r="O16" s="10">
        <v>-15.325597763061523</v>
      </c>
      <c r="P16" s="10">
        <v>-13.975228309631348</v>
      </c>
      <c r="Q16" s="10">
        <v>24.076148986816406</v>
      </c>
      <c r="R16" s="11">
        <v>-5.2246766090393066</v>
      </c>
      <c r="S16" s="9"/>
      <c r="T16" s="9"/>
      <c r="U16" s="9"/>
    </row>
    <row r="17" spans="1:21">
      <c r="A17" s="45" t="s">
        <v>7</v>
      </c>
      <c r="B17" s="4" t="s">
        <v>6</v>
      </c>
      <c r="C17" s="7">
        <v>-14.901832580566406</v>
      </c>
      <c r="D17" s="7">
        <v>-2.1673953533172607</v>
      </c>
      <c r="E17" s="7">
        <v>11.213629722595215</v>
      </c>
      <c r="F17" s="12">
        <v>-5.855597972869873</v>
      </c>
      <c r="G17" s="7">
        <v>-6.9161334037780762</v>
      </c>
      <c r="H17" s="7">
        <v>-2.1057131290435791</v>
      </c>
      <c r="I17" s="7">
        <v>6.1073579788208008</v>
      </c>
      <c r="J17" s="12">
        <v>-2.9144885540008545</v>
      </c>
      <c r="K17" s="7">
        <v>-18.314750671386719</v>
      </c>
      <c r="L17" s="7">
        <v>-0.83295345306396484</v>
      </c>
      <c r="M17" s="7">
        <v>13.013516426086426</v>
      </c>
      <c r="N17" s="12">
        <v>-6.134188175201416</v>
      </c>
      <c r="O17" s="7">
        <v>-26.527029037475586</v>
      </c>
      <c r="P17" s="7">
        <v>-1.6523419618606567</v>
      </c>
      <c r="Q17" s="7">
        <v>18.373790740966797</v>
      </c>
      <c r="R17" s="12">
        <v>-9.8055810928344727</v>
      </c>
      <c r="S17" s="9"/>
      <c r="T17" s="9"/>
      <c r="U17" s="9"/>
    </row>
    <row r="18" spans="1:21">
      <c r="A18" s="45"/>
      <c r="B18" s="4" t="s">
        <v>8</v>
      </c>
      <c r="C18" s="7">
        <v>-9.8600177764892578</v>
      </c>
      <c r="D18" s="7">
        <v>0.89967113733291626</v>
      </c>
      <c r="E18" s="7">
        <v>2.6085798740386963</v>
      </c>
      <c r="F18" s="8">
        <v>-6.3517661094665527</v>
      </c>
      <c r="G18" s="7">
        <v>-3.0284695625305176</v>
      </c>
      <c r="H18" s="7">
        <v>0.81494110822677612</v>
      </c>
      <c r="I18" s="7">
        <v>0.2634575366973877</v>
      </c>
      <c r="J18" s="8">
        <v>-1.950070858001709</v>
      </c>
      <c r="K18" s="7">
        <v>-11.200898170471191</v>
      </c>
      <c r="L18" s="7">
        <v>2.5416922569274902</v>
      </c>
      <c r="M18" s="7">
        <v>2.4349966049194336</v>
      </c>
      <c r="N18" s="8">
        <v>-6.2242093086242676</v>
      </c>
      <c r="O18" s="7">
        <v>-14.868816375732422</v>
      </c>
      <c r="P18" s="7">
        <v>6.5093092918395996</v>
      </c>
      <c r="Q18" s="7">
        <v>0.25001811981201172</v>
      </c>
      <c r="R18" s="8">
        <v>-8.1094903945922852</v>
      </c>
      <c r="S18" s="9"/>
      <c r="T18" s="9"/>
      <c r="U18" s="9"/>
    </row>
    <row r="19" spans="1:21" ht="15.75" thickBot="1">
      <c r="A19" s="48"/>
      <c r="B19" s="6" t="s">
        <v>9</v>
      </c>
      <c r="C19" s="13">
        <v>-5.0418148040771484</v>
      </c>
      <c r="D19" s="13">
        <v>-3.0670664310455322</v>
      </c>
      <c r="E19" s="13">
        <v>8.6050500869750977</v>
      </c>
      <c r="F19" s="14">
        <v>0.49616828560829163</v>
      </c>
      <c r="G19" s="13">
        <v>-3.8876638412475586</v>
      </c>
      <c r="H19" s="13">
        <v>-2.920654296875</v>
      </c>
      <c r="I19" s="13">
        <v>5.8439006805419922</v>
      </c>
      <c r="J19" s="14">
        <v>-0.96441775560379028</v>
      </c>
      <c r="K19" s="13">
        <v>-7.1138525009155273</v>
      </c>
      <c r="L19" s="13">
        <v>-3.3746457099914551</v>
      </c>
      <c r="M19" s="13">
        <v>10.578519821166992</v>
      </c>
      <c r="N19" s="14">
        <v>9.0021252632141113E-2</v>
      </c>
      <c r="O19" s="13">
        <v>-11.658212661743164</v>
      </c>
      <c r="P19" s="13">
        <v>-8.161651611328125</v>
      </c>
      <c r="Q19" s="13">
        <v>18.123771667480469</v>
      </c>
      <c r="R19" s="14">
        <v>-1.6960910558700562</v>
      </c>
      <c r="S19" s="9"/>
      <c r="T19" s="9"/>
      <c r="U19" s="9"/>
    </row>
    <row r="20" spans="1:21"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</row>
    <row r="21" spans="1:21"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</row>
    <row r="22" spans="1:21"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</row>
  </sheetData>
  <mergeCells count="18">
    <mergeCell ref="B1:B3"/>
    <mergeCell ref="C1:R1"/>
    <mergeCell ref="A11:A13"/>
    <mergeCell ref="B11:B13"/>
    <mergeCell ref="C11:R11"/>
    <mergeCell ref="O2:R2"/>
    <mergeCell ref="C12:F12"/>
    <mergeCell ref="G12:J12"/>
    <mergeCell ref="K12:N12"/>
    <mergeCell ref="O12:R12"/>
    <mergeCell ref="G2:J2"/>
    <mergeCell ref="K2:N2"/>
    <mergeCell ref="C2:F2"/>
    <mergeCell ref="A7:A9"/>
    <mergeCell ref="A4:A6"/>
    <mergeCell ref="A14:A16"/>
    <mergeCell ref="A17:A19"/>
    <mergeCell ref="A1:A3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D97B1-2E61-4038-BC1B-A5F02991EC3B}">
  <dimension ref="A1:U22"/>
  <sheetViews>
    <sheetView zoomScale="80" zoomScaleNormal="80" workbookViewId="0">
      <selection sqref="A1:A3"/>
    </sheetView>
  </sheetViews>
  <sheetFormatPr baseColWidth="10" defaultRowHeight="15"/>
  <cols>
    <col min="1" max="1" width="11.42578125" style="1" customWidth="1"/>
    <col min="2" max="2" width="14.140625" style="1" customWidth="1"/>
    <col min="3" max="3" width="14.28515625" style="1" customWidth="1"/>
    <col min="4" max="4" width="17.85546875" style="1" customWidth="1"/>
    <col min="5" max="7" width="14.28515625" style="1" customWidth="1"/>
    <col min="8" max="8" width="17.85546875" style="1" customWidth="1"/>
    <col min="9" max="11" width="14.28515625" style="1" customWidth="1"/>
    <col min="12" max="12" width="17.85546875" style="1" customWidth="1"/>
    <col min="13" max="15" width="14.28515625" style="1" customWidth="1"/>
    <col min="16" max="16" width="17.85546875" style="1" customWidth="1"/>
    <col min="17" max="18" width="14.28515625" style="1" customWidth="1"/>
    <col min="19" max="16384" width="11.42578125" style="1"/>
  </cols>
  <sheetData>
    <row r="1" spans="1:21" ht="15.75" thickBot="1">
      <c r="A1" s="47" t="s">
        <v>1</v>
      </c>
      <c r="B1" s="47" t="s">
        <v>2</v>
      </c>
      <c r="C1" s="42" t="s">
        <v>20</v>
      </c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3"/>
    </row>
    <row r="2" spans="1:21" ht="15.75" thickBot="1">
      <c r="A2" s="45"/>
      <c r="B2" s="45"/>
      <c r="C2" s="42" t="s">
        <v>10</v>
      </c>
      <c r="D2" s="42"/>
      <c r="E2" s="42"/>
      <c r="F2" s="43"/>
      <c r="G2" s="42" t="s">
        <v>11</v>
      </c>
      <c r="H2" s="42"/>
      <c r="I2" s="42"/>
      <c r="J2" s="43"/>
      <c r="K2" s="42" t="s">
        <v>12</v>
      </c>
      <c r="L2" s="42"/>
      <c r="M2" s="42"/>
      <c r="N2" s="43"/>
      <c r="O2" s="42" t="s">
        <v>13</v>
      </c>
      <c r="P2" s="42"/>
      <c r="Q2" s="42"/>
      <c r="R2" s="43"/>
    </row>
    <row r="3" spans="1:21" ht="15.75" thickBot="1">
      <c r="A3" s="48"/>
      <c r="B3" s="48"/>
      <c r="C3" s="2" t="s">
        <v>3</v>
      </c>
      <c r="D3" s="2" t="s">
        <v>4</v>
      </c>
      <c r="E3" s="2" t="s">
        <v>5</v>
      </c>
      <c r="F3" s="3" t="s">
        <v>6</v>
      </c>
      <c r="G3" s="2" t="s">
        <v>3</v>
      </c>
      <c r="H3" s="2" t="s">
        <v>4</v>
      </c>
      <c r="I3" s="2" t="s">
        <v>5</v>
      </c>
      <c r="J3" s="3" t="s">
        <v>6</v>
      </c>
      <c r="K3" s="2" t="s">
        <v>3</v>
      </c>
      <c r="L3" s="2" t="s">
        <v>4</v>
      </c>
      <c r="M3" s="2" t="s">
        <v>5</v>
      </c>
      <c r="N3" s="3" t="s">
        <v>6</v>
      </c>
      <c r="O3" s="2" t="s">
        <v>3</v>
      </c>
      <c r="P3" s="2" t="s">
        <v>4</v>
      </c>
      <c r="Q3" s="2" t="s">
        <v>5</v>
      </c>
      <c r="R3" s="3" t="s">
        <v>6</v>
      </c>
    </row>
    <row r="4" spans="1:21">
      <c r="A4" s="44" t="s">
        <v>0</v>
      </c>
      <c r="B4" s="4" t="s">
        <v>6</v>
      </c>
      <c r="C4" s="35">
        <v>-24.418294906616211</v>
      </c>
      <c r="D4" s="35">
        <v>-3.3966588973999023</v>
      </c>
      <c r="E4" s="35">
        <v>15.940513610839844</v>
      </c>
      <c r="F4" s="36">
        <v>-11.874439239501953</v>
      </c>
      <c r="G4" s="35">
        <v>-17.880630493164063</v>
      </c>
      <c r="H4" s="35">
        <v>-3.5102972984313965</v>
      </c>
      <c r="I4" s="35">
        <v>12.902850151062012</v>
      </c>
      <c r="J4" s="36">
        <v>-8.4880771636962891</v>
      </c>
      <c r="K4" s="35">
        <v>-31.004535675048828</v>
      </c>
      <c r="L4" s="35">
        <v>-1.0408922433853149</v>
      </c>
      <c r="M4" s="35">
        <v>18.058050155639648</v>
      </c>
      <c r="N4" s="36">
        <v>-13.987378120422363</v>
      </c>
      <c r="O4" s="35">
        <v>-28.608249664306641</v>
      </c>
      <c r="P4" s="35">
        <v>-4.6843252182006836</v>
      </c>
      <c r="Q4" s="35">
        <v>18.499326705932617</v>
      </c>
      <c r="R4" s="36">
        <v>-14.793248176574707</v>
      </c>
      <c r="S4" s="9"/>
      <c r="T4" s="9"/>
      <c r="U4" s="9"/>
    </row>
    <row r="5" spans="1:21">
      <c r="A5" s="45"/>
      <c r="B5" s="4" t="s">
        <v>8</v>
      </c>
      <c r="C5" s="35">
        <v>-13.962465286254883</v>
      </c>
      <c r="D5" s="35">
        <v>1.7904912233352661</v>
      </c>
      <c r="E5" s="35">
        <v>1.2586636543273926</v>
      </c>
      <c r="F5" s="36">
        <v>-10.913309097290039</v>
      </c>
      <c r="G5" s="35">
        <v>-7.2009372711181641</v>
      </c>
      <c r="H5" s="35">
        <v>1.4075883626937866</v>
      </c>
      <c r="I5" s="35">
        <v>-9.5473289489746094E-2</v>
      </c>
      <c r="J5" s="36">
        <v>-5.8888211250305176</v>
      </c>
      <c r="K5" s="35">
        <v>-16.47028923034668</v>
      </c>
      <c r="L5" s="35">
        <v>2.687913179397583</v>
      </c>
      <c r="M5" s="35">
        <v>1.038750171661377</v>
      </c>
      <c r="N5" s="36">
        <v>-12.743625640869141</v>
      </c>
      <c r="O5" s="35">
        <v>-16.910888671875</v>
      </c>
      <c r="P5" s="35">
        <v>5.9387874603271484</v>
      </c>
      <c r="Q5" s="35">
        <v>1.2153992652893066</v>
      </c>
      <c r="R5" s="36">
        <v>-9.7567024230957031</v>
      </c>
      <c r="S5" s="9"/>
      <c r="T5" s="9"/>
      <c r="U5" s="9"/>
    </row>
    <row r="6" spans="1:21">
      <c r="A6" s="46"/>
      <c r="B6" s="5" t="s">
        <v>9</v>
      </c>
      <c r="C6" s="37">
        <v>-10.455829620361328</v>
      </c>
      <c r="D6" s="37">
        <v>-5.1871500015258789</v>
      </c>
      <c r="E6" s="37">
        <v>14.681850433349609</v>
      </c>
      <c r="F6" s="38">
        <v>-0.96113026142120361</v>
      </c>
      <c r="G6" s="37">
        <v>-10.679693222045898</v>
      </c>
      <c r="H6" s="37">
        <v>-4.9178857803344727</v>
      </c>
      <c r="I6" s="37">
        <v>12.998323440551758</v>
      </c>
      <c r="J6" s="38">
        <v>-2.5992560386657715</v>
      </c>
      <c r="K6" s="37">
        <v>-14.534246444702148</v>
      </c>
      <c r="L6" s="37">
        <v>-3.7288055419921875</v>
      </c>
      <c r="M6" s="37">
        <v>17.01930046081543</v>
      </c>
      <c r="N6" s="38">
        <v>-1.2437527179718018</v>
      </c>
      <c r="O6" s="37">
        <v>-11.697360992431641</v>
      </c>
      <c r="P6" s="37">
        <v>-10.623112678527832</v>
      </c>
      <c r="Q6" s="37">
        <v>17.283927917480469</v>
      </c>
      <c r="R6" s="38">
        <v>-5.0365457534790039</v>
      </c>
      <c r="S6" s="9"/>
      <c r="T6" s="9"/>
      <c r="U6" s="9"/>
    </row>
    <row r="7" spans="1:21">
      <c r="A7" s="45" t="s">
        <v>7</v>
      </c>
      <c r="B7" s="4" t="s">
        <v>6</v>
      </c>
      <c r="C7" s="35">
        <v>-15.73386287689209</v>
      </c>
      <c r="D7" s="35">
        <v>-1.9720733165740967</v>
      </c>
      <c r="E7" s="35">
        <v>9.6265468597412109</v>
      </c>
      <c r="F7" s="39">
        <v>-8.0793886184692383</v>
      </c>
      <c r="G7" s="35">
        <v>-10.680503845214844</v>
      </c>
      <c r="H7" s="35">
        <v>-2.8369853496551514</v>
      </c>
      <c r="I7" s="35">
        <v>7.011141300201416</v>
      </c>
      <c r="J7" s="39">
        <v>-6.50634765625</v>
      </c>
      <c r="K7" s="35">
        <v>-20.083053588867188</v>
      </c>
      <c r="L7" s="35">
        <v>-0.61811381578445435</v>
      </c>
      <c r="M7" s="35">
        <v>11.460109710693359</v>
      </c>
      <c r="N7" s="39">
        <v>-9.241058349609375</v>
      </c>
      <c r="O7" s="35">
        <v>-20.346368789672852</v>
      </c>
      <c r="P7" s="54">
        <v>-0.79279839992523193</v>
      </c>
      <c r="Q7" s="35">
        <v>12.066279411315918</v>
      </c>
      <c r="R7" s="39">
        <v>-9.0728874206542969</v>
      </c>
      <c r="S7" s="9"/>
      <c r="T7" s="9"/>
      <c r="U7" s="9"/>
    </row>
    <row r="8" spans="1:21">
      <c r="A8" s="45"/>
      <c r="B8" s="4" t="s">
        <v>8</v>
      </c>
      <c r="C8" s="35">
        <v>-9.5256557464599609</v>
      </c>
      <c r="D8" s="35">
        <v>1.9811552762985229</v>
      </c>
      <c r="E8" s="35">
        <v>0.63797283172607422</v>
      </c>
      <c r="F8" s="36">
        <v>-6.906527042388916</v>
      </c>
      <c r="G8" s="35">
        <v>-4.5584826469421387</v>
      </c>
      <c r="H8" s="35">
        <v>1.2529244422912598</v>
      </c>
      <c r="I8" s="35">
        <v>-0.5068051815032959</v>
      </c>
      <c r="J8" s="36">
        <v>-3.8123629093170166</v>
      </c>
      <c r="K8" s="35">
        <v>-11.826558113098145</v>
      </c>
      <c r="L8" s="35">
        <v>3.0536627769470215</v>
      </c>
      <c r="M8" s="35">
        <v>0.93477821350097656</v>
      </c>
      <c r="N8" s="36">
        <v>-7.8381175994873047</v>
      </c>
      <c r="O8" s="35">
        <v>-11.353955268859863</v>
      </c>
      <c r="P8" s="35">
        <v>4.8745245933532715</v>
      </c>
      <c r="Q8" s="35">
        <v>-0.12432861328125</v>
      </c>
      <c r="R8" s="36">
        <v>-6.603759765625</v>
      </c>
      <c r="S8" s="9"/>
      <c r="T8" s="9"/>
      <c r="U8" s="9"/>
    </row>
    <row r="9" spans="1:21" ht="15.75" thickBot="1">
      <c r="A9" s="48"/>
      <c r="B9" s="6" t="s">
        <v>9</v>
      </c>
      <c r="C9" s="40">
        <v>-6.2082071304321289</v>
      </c>
      <c r="D9" s="40">
        <v>-3.9532284736633301</v>
      </c>
      <c r="E9" s="40">
        <v>8.9885740280151367</v>
      </c>
      <c r="F9" s="41">
        <v>-1.1728616952896118</v>
      </c>
      <c r="G9" s="40">
        <v>-6.1220211982727051</v>
      </c>
      <c r="H9" s="40">
        <v>-4.089909553527832</v>
      </c>
      <c r="I9" s="40">
        <v>7.5179462432861328</v>
      </c>
      <c r="J9" s="41">
        <v>-2.6939847469329834</v>
      </c>
      <c r="K9" s="40">
        <v>-8.256495475769043</v>
      </c>
      <c r="L9" s="40">
        <v>-3.6717765331268311</v>
      </c>
      <c r="M9" s="40">
        <v>10.525331497192383</v>
      </c>
      <c r="N9" s="41">
        <v>-1.4029407501220703</v>
      </c>
      <c r="O9" s="40">
        <v>-8.9924135208129883</v>
      </c>
      <c r="P9" s="40">
        <v>-5.667323112487793</v>
      </c>
      <c r="Q9" s="40">
        <v>12.190608024597168</v>
      </c>
      <c r="R9" s="41">
        <v>-2.4691276550292969</v>
      </c>
      <c r="S9" s="9"/>
      <c r="T9" s="9"/>
      <c r="U9" s="9"/>
    </row>
    <row r="10" spans="1:21" ht="15.75" thickBot="1"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</row>
    <row r="11" spans="1:21" ht="15.75" thickBot="1">
      <c r="A11" s="47" t="s">
        <v>1</v>
      </c>
      <c r="B11" s="47" t="s">
        <v>2</v>
      </c>
      <c r="C11" s="52" t="s">
        <v>21</v>
      </c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3"/>
      <c r="S11" s="9"/>
      <c r="T11" s="9"/>
      <c r="U11" s="9"/>
    </row>
    <row r="12" spans="1:21" ht="15.75" thickBot="1">
      <c r="A12" s="45"/>
      <c r="B12" s="45"/>
      <c r="C12" s="52" t="s">
        <v>10</v>
      </c>
      <c r="D12" s="52"/>
      <c r="E12" s="52"/>
      <c r="F12" s="53"/>
      <c r="G12" s="52" t="s">
        <v>11</v>
      </c>
      <c r="H12" s="52"/>
      <c r="I12" s="52"/>
      <c r="J12" s="53"/>
      <c r="K12" s="52" t="s">
        <v>12</v>
      </c>
      <c r="L12" s="52"/>
      <c r="M12" s="52"/>
      <c r="N12" s="53"/>
      <c r="O12" s="52" t="s">
        <v>13</v>
      </c>
      <c r="P12" s="52"/>
      <c r="Q12" s="52"/>
      <c r="R12" s="53"/>
      <c r="S12" s="9"/>
      <c r="T12" s="9"/>
      <c r="U12" s="9"/>
    </row>
    <row r="13" spans="1:21" ht="15.75" thickBot="1">
      <c r="A13" s="48"/>
      <c r="B13" s="48"/>
      <c r="C13" s="15" t="s">
        <v>3</v>
      </c>
      <c r="D13" s="15" t="s">
        <v>4</v>
      </c>
      <c r="E13" s="15" t="s">
        <v>5</v>
      </c>
      <c r="F13" s="16" t="s">
        <v>6</v>
      </c>
      <c r="G13" s="15" t="s">
        <v>3</v>
      </c>
      <c r="H13" s="15" t="s">
        <v>4</v>
      </c>
      <c r="I13" s="15" t="s">
        <v>5</v>
      </c>
      <c r="J13" s="16" t="s">
        <v>6</v>
      </c>
      <c r="K13" s="15" t="s">
        <v>3</v>
      </c>
      <c r="L13" s="15" t="s">
        <v>4</v>
      </c>
      <c r="M13" s="15" t="s">
        <v>5</v>
      </c>
      <c r="N13" s="16" t="s">
        <v>6</v>
      </c>
      <c r="O13" s="15" t="s">
        <v>3</v>
      </c>
      <c r="P13" s="15" t="s">
        <v>4</v>
      </c>
      <c r="Q13" s="15" t="s">
        <v>5</v>
      </c>
      <c r="R13" s="16" t="s">
        <v>6</v>
      </c>
      <c r="S13" s="9"/>
      <c r="T13" s="9"/>
      <c r="U13" s="9"/>
    </row>
    <row r="14" spans="1:21">
      <c r="A14" s="44" t="s">
        <v>0</v>
      </c>
      <c r="B14" s="4" t="s">
        <v>6</v>
      </c>
      <c r="C14" s="35">
        <v>-10.401711463928223</v>
      </c>
      <c r="D14" s="35">
        <v>-2.0507667064666748</v>
      </c>
      <c r="E14" s="35">
        <v>8.4763250350952148</v>
      </c>
      <c r="F14" s="36">
        <v>-3.9761531352996826</v>
      </c>
      <c r="G14" s="35">
        <v>-4.7648720741271973</v>
      </c>
      <c r="H14" s="35">
        <v>-1.2299683094024658</v>
      </c>
      <c r="I14" s="35">
        <v>4.5453033447265625</v>
      </c>
      <c r="J14" s="36">
        <v>-1.4495371580123901</v>
      </c>
      <c r="K14" s="35">
        <v>-13.322770118713379</v>
      </c>
      <c r="L14" s="35">
        <v>-0.90746003389358521</v>
      </c>
      <c r="M14" s="35">
        <v>10.061297416687012</v>
      </c>
      <c r="N14" s="36">
        <v>-4.1689329147338867</v>
      </c>
      <c r="O14" s="35">
        <v>-17.845603942871094</v>
      </c>
      <c r="P14" s="35">
        <v>-3.4558570384979248</v>
      </c>
      <c r="Q14" s="35">
        <v>13.698092460632324</v>
      </c>
      <c r="R14" s="36">
        <v>-7.6033682823181152</v>
      </c>
      <c r="S14" s="9"/>
      <c r="T14" s="9"/>
      <c r="U14" s="9"/>
    </row>
    <row r="15" spans="1:21">
      <c r="A15" s="45"/>
      <c r="B15" s="4" t="s">
        <v>8</v>
      </c>
      <c r="C15" s="35">
        <v>-7.0411553382873535</v>
      </c>
      <c r="D15" s="35">
        <v>-0.72908461093902588</v>
      </c>
      <c r="E15" s="35">
        <v>3.3332686424255371</v>
      </c>
      <c r="F15" s="36">
        <v>-4.4369716644287109</v>
      </c>
      <c r="G15" s="35">
        <v>-2.0701723098754883</v>
      </c>
      <c r="H15" s="35">
        <v>1.4529258012771606E-2</v>
      </c>
      <c r="I15" s="35">
        <v>0.78268849849700928</v>
      </c>
      <c r="J15" s="36">
        <v>-1.2729547023773193</v>
      </c>
      <c r="K15" s="35">
        <v>-7.988184928894043</v>
      </c>
      <c r="L15" s="35">
        <v>0.43904262781143188</v>
      </c>
      <c r="M15" s="35">
        <v>3.2080070972442627</v>
      </c>
      <c r="N15" s="36">
        <v>-4.3411350250244141</v>
      </c>
      <c r="O15" s="35">
        <v>-10.330726623535156</v>
      </c>
      <c r="P15" s="35">
        <v>3.2550535202026367</v>
      </c>
      <c r="Q15" s="35">
        <v>1.5387916564941406</v>
      </c>
      <c r="R15" s="36">
        <v>-5.5368804931640625</v>
      </c>
      <c r="S15" s="9"/>
      <c r="T15" s="9"/>
      <c r="U15" s="9"/>
    </row>
    <row r="16" spans="1:21">
      <c r="A16" s="46"/>
      <c r="B16" s="5" t="s">
        <v>9</v>
      </c>
      <c r="C16" s="37">
        <v>-3.3605561256408691</v>
      </c>
      <c r="D16" s="37">
        <v>-1.3216820955276489</v>
      </c>
      <c r="E16" s="37">
        <v>5.1430563926696777</v>
      </c>
      <c r="F16" s="38">
        <v>0.46081852912902832</v>
      </c>
      <c r="G16" s="37">
        <v>-2.694699764251709</v>
      </c>
      <c r="H16" s="37">
        <v>-1.244497537612915</v>
      </c>
      <c r="I16" s="37">
        <v>3.7626147270202637</v>
      </c>
      <c r="J16" s="38">
        <v>-0.17658242583274841</v>
      </c>
      <c r="K16" s="37">
        <v>-5.3345851898193359</v>
      </c>
      <c r="L16" s="37">
        <v>-1.3465026617050171</v>
      </c>
      <c r="M16" s="37">
        <v>6.8532905578613281</v>
      </c>
      <c r="N16" s="38">
        <v>0.17220196127891541</v>
      </c>
      <c r="O16" s="37">
        <v>-7.5148777961730957</v>
      </c>
      <c r="P16" s="37">
        <v>-6.7109107971191406</v>
      </c>
      <c r="Q16" s="37">
        <v>12.159300804138184</v>
      </c>
      <c r="R16" s="38">
        <v>-2.0664875507354736</v>
      </c>
      <c r="S16" s="9"/>
      <c r="T16" s="9"/>
      <c r="U16" s="9"/>
    </row>
    <row r="17" spans="1:21">
      <c r="A17" s="45" t="s">
        <v>7</v>
      </c>
      <c r="B17" s="4" t="s">
        <v>6</v>
      </c>
      <c r="C17" s="35">
        <v>-5.5834708213806152</v>
      </c>
      <c r="D17" s="35">
        <v>-0.75862681865692139</v>
      </c>
      <c r="E17" s="35">
        <v>4.3630356788635254</v>
      </c>
      <c r="F17" s="39">
        <v>-1.9790619611740112</v>
      </c>
      <c r="G17" s="35">
        <v>-2.1194772720336914</v>
      </c>
      <c r="H17" s="35">
        <v>-0.56141519546508789</v>
      </c>
      <c r="I17" s="35">
        <v>1.9227662086486816</v>
      </c>
      <c r="J17" s="39">
        <v>-0.75812637805938721</v>
      </c>
      <c r="K17" s="35">
        <v>-6.6217451095581055</v>
      </c>
      <c r="L17" s="35">
        <v>-0.21167823672294617</v>
      </c>
      <c r="M17" s="35">
        <v>4.8993496894836426</v>
      </c>
      <c r="N17" s="39">
        <v>-1.9340736865997314</v>
      </c>
      <c r="O17" s="35">
        <v>-11.362390518188477</v>
      </c>
      <c r="P17" s="35">
        <v>-0.76305657625198364</v>
      </c>
      <c r="Q17" s="35">
        <v>8.2530088424682617</v>
      </c>
      <c r="R17" s="39">
        <v>-3.8724374771118164</v>
      </c>
      <c r="S17" s="9"/>
      <c r="T17" s="9"/>
      <c r="U17" s="9"/>
    </row>
    <row r="18" spans="1:21">
      <c r="A18" s="45"/>
      <c r="B18" s="4" t="s">
        <v>8</v>
      </c>
      <c r="C18" s="35">
        <v>-3.8328204154968262</v>
      </c>
      <c r="D18" s="35">
        <v>9.6173882484436035E-3</v>
      </c>
      <c r="E18" s="35">
        <v>1.3685684204101563</v>
      </c>
      <c r="F18" s="36">
        <v>-2.454634428024292</v>
      </c>
      <c r="G18" s="35">
        <v>-0.93837666511535645</v>
      </c>
      <c r="H18" s="35">
        <v>9.2131286859512329E-2</v>
      </c>
      <c r="I18" s="35">
        <v>0.12357842922210693</v>
      </c>
      <c r="J18" s="36">
        <v>-0.72266703844070435</v>
      </c>
      <c r="K18" s="35">
        <v>-4.1551303863525391</v>
      </c>
      <c r="L18" s="35">
        <v>0.61503350734710693</v>
      </c>
      <c r="M18" s="35">
        <v>1.2139846086502075</v>
      </c>
      <c r="N18" s="36">
        <v>-2.3261122703552246</v>
      </c>
      <c r="O18" s="35">
        <v>-6.4093351364135742</v>
      </c>
      <c r="P18" s="35">
        <v>2.2856600284576416</v>
      </c>
      <c r="Q18" s="35">
        <v>0.3937385082244873</v>
      </c>
      <c r="R18" s="36">
        <v>-3.7299361228942871</v>
      </c>
      <c r="S18" s="9"/>
      <c r="T18" s="9"/>
      <c r="U18" s="9"/>
    </row>
    <row r="19" spans="1:21" ht="15.75" thickBot="1">
      <c r="A19" s="48"/>
      <c r="B19" s="6" t="s">
        <v>9</v>
      </c>
      <c r="C19" s="40">
        <v>-1.7506504058837891</v>
      </c>
      <c r="D19" s="40">
        <v>-0.76824420690536499</v>
      </c>
      <c r="E19" s="40">
        <v>2.9944672584533691</v>
      </c>
      <c r="F19" s="41">
        <v>0.47557258605957031</v>
      </c>
      <c r="G19" s="40">
        <v>-1.181100606918335</v>
      </c>
      <c r="H19" s="40">
        <v>-0.65354645252227783</v>
      </c>
      <c r="I19" s="40">
        <v>1.7991877794265747</v>
      </c>
      <c r="J19" s="41">
        <v>-3.5459317266941071E-2</v>
      </c>
      <c r="K19" s="40">
        <v>-2.4666149616241455</v>
      </c>
      <c r="L19" s="40">
        <v>-0.82671177387237549</v>
      </c>
      <c r="M19" s="40">
        <v>3.6853652000427246</v>
      </c>
      <c r="N19" s="41">
        <v>0.39203846454620361</v>
      </c>
      <c r="O19" s="40">
        <v>-4.9530553817749023</v>
      </c>
      <c r="P19" s="40">
        <v>-3.0487165451049805</v>
      </c>
      <c r="Q19" s="40">
        <v>7.8592700958251953</v>
      </c>
      <c r="R19" s="41">
        <v>-0.14250136911869049</v>
      </c>
      <c r="S19" s="9"/>
      <c r="T19" s="9"/>
      <c r="U19" s="9"/>
    </row>
    <row r="20" spans="1:21"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</row>
    <row r="21" spans="1:21"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</row>
    <row r="22" spans="1:21"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</row>
  </sheetData>
  <mergeCells count="18">
    <mergeCell ref="A1:A3"/>
    <mergeCell ref="B1:B3"/>
    <mergeCell ref="C1:R1"/>
    <mergeCell ref="C2:F2"/>
    <mergeCell ref="G2:J2"/>
    <mergeCell ref="K2:N2"/>
    <mergeCell ref="O2:R2"/>
    <mergeCell ref="B11:B13"/>
    <mergeCell ref="C11:R11"/>
    <mergeCell ref="C12:F12"/>
    <mergeCell ref="G12:J12"/>
    <mergeCell ref="K12:N12"/>
    <mergeCell ref="O12:R12"/>
    <mergeCell ref="A14:A16"/>
    <mergeCell ref="A17:A19"/>
    <mergeCell ref="A4:A6"/>
    <mergeCell ref="A7:A9"/>
    <mergeCell ref="A11:A13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AC3BC-2F02-4123-82DF-B98DBD353AE2}">
  <dimension ref="A1:U22"/>
  <sheetViews>
    <sheetView zoomScale="80" zoomScaleNormal="80" workbookViewId="0">
      <selection sqref="A1:A3"/>
    </sheetView>
  </sheetViews>
  <sheetFormatPr baseColWidth="10" defaultRowHeight="15"/>
  <cols>
    <col min="1" max="1" width="11.42578125" style="1" customWidth="1"/>
    <col min="2" max="2" width="14.140625" style="1" customWidth="1"/>
    <col min="3" max="3" width="14.28515625" style="1" customWidth="1"/>
    <col min="4" max="4" width="17.85546875" style="1" customWidth="1"/>
    <col min="5" max="7" width="14.28515625" style="1" customWidth="1"/>
    <col min="8" max="8" width="17.85546875" style="1" customWidth="1"/>
    <col min="9" max="11" width="14.28515625" style="1" customWidth="1"/>
    <col min="12" max="12" width="17.85546875" style="1" customWidth="1"/>
    <col min="13" max="15" width="14.28515625" style="1" customWidth="1"/>
    <col min="16" max="16" width="17.85546875" style="1" customWidth="1"/>
    <col min="17" max="18" width="14.28515625" style="1" customWidth="1"/>
    <col min="19" max="16384" width="11.42578125" style="1"/>
  </cols>
  <sheetData>
    <row r="1" spans="1:21" ht="15.75" thickBot="1">
      <c r="A1" s="47" t="s">
        <v>1</v>
      </c>
      <c r="B1" s="47" t="s">
        <v>2</v>
      </c>
      <c r="C1" s="42" t="s">
        <v>22</v>
      </c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3"/>
    </row>
    <row r="2" spans="1:21" ht="15.75" thickBot="1">
      <c r="A2" s="45"/>
      <c r="B2" s="45"/>
      <c r="C2" s="42" t="s">
        <v>10</v>
      </c>
      <c r="D2" s="42"/>
      <c r="E2" s="42"/>
      <c r="F2" s="43"/>
      <c r="G2" s="42" t="s">
        <v>11</v>
      </c>
      <c r="H2" s="42"/>
      <c r="I2" s="42"/>
      <c r="J2" s="43"/>
      <c r="K2" s="42" t="s">
        <v>12</v>
      </c>
      <c r="L2" s="42"/>
      <c r="M2" s="42"/>
      <c r="N2" s="43"/>
      <c r="O2" s="42" t="s">
        <v>13</v>
      </c>
      <c r="P2" s="42"/>
      <c r="Q2" s="42"/>
      <c r="R2" s="43"/>
    </row>
    <row r="3" spans="1:21" ht="15.75" thickBot="1">
      <c r="A3" s="48"/>
      <c r="B3" s="48"/>
      <c r="C3" s="2" t="s">
        <v>3</v>
      </c>
      <c r="D3" s="2" t="s">
        <v>4</v>
      </c>
      <c r="E3" s="2" t="s">
        <v>5</v>
      </c>
      <c r="F3" s="3" t="s">
        <v>6</v>
      </c>
      <c r="G3" s="2" t="s">
        <v>3</v>
      </c>
      <c r="H3" s="2" t="s">
        <v>4</v>
      </c>
      <c r="I3" s="2" t="s">
        <v>5</v>
      </c>
      <c r="J3" s="3" t="s">
        <v>6</v>
      </c>
      <c r="K3" s="2" t="s">
        <v>3</v>
      </c>
      <c r="L3" s="2" t="s">
        <v>4</v>
      </c>
      <c r="M3" s="2" t="s">
        <v>5</v>
      </c>
      <c r="N3" s="3" t="s">
        <v>6</v>
      </c>
      <c r="O3" s="2" t="s">
        <v>3</v>
      </c>
      <c r="P3" s="2" t="s">
        <v>4</v>
      </c>
      <c r="Q3" s="2" t="s">
        <v>5</v>
      </c>
      <c r="R3" s="3" t="s">
        <v>6</v>
      </c>
    </row>
    <row r="4" spans="1:21">
      <c r="A4" s="44" t="s">
        <v>0</v>
      </c>
      <c r="B4" s="4" t="s">
        <v>6</v>
      </c>
      <c r="C4" s="35">
        <v>-16.032228469848633</v>
      </c>
      <c r="D4" s="35">
        <v>-2.52813720703125</v>
      </c>
      <c r="E4" s="35">
        <v>11.110875129699707</v>
      </c>
      <c r="F4" s="36">
        <v>-7.449491024017334</v>
      </c>
      <c r="G4" s="35">
        <v>-10.518310546875</v>
      </c>
      <c r="H4" s="35">
        <v>-2.2934503555297852</v>
      </c>
      <c r="I4" s="35">
        <v>8.147679328918457</v>
      </c>
      <c r="J4" s="36">
        <v>-4.6640810966491699</v>
      </c>
      <c r="K4" s="35">
        <v>-21.604747772216797</v>
      </c>
      <c r="L4" s="35">
        <v>-0.96334874629974365</v>
      </c>
      <c r="M4" s="35">
        <v>13.326894760131836</v>
      </c>
      <c r="N4" s="36">
        <v>-9.2412004470825195</v>
      </c>
      <c r="O4" s="35">
        <v>-19.794448852539063</v>
      </c>
      <c r="P4" s="35">
        <v>-3.6524536609649658</v>
      </c>
      <c r="Q4" s="35">
        <v>13.561458587646484</v>
      </c>
      <c r="R4" s="36">
        <v>-9.8854436874389648</v>
      </c>
      <c r="S4" s="9"/>
      <c r="T4" s="9"/>
      <c r="U4" s="9"/>
    </row>
    <row r="5" spans="1:21">
      <c r="A5" s="45"/>
      <c r="B5" s="4" t="s">
        <v>8</v>
      </c>
      <c r="C5" s="35">
        <v>-9.6355934143066406</v>
      </c>
      <c r="D5" s="35">
        <v>0.63242316246032715</v>
      </c>
      <c r="E5" s="35">
        <v>2.0330007076263428</v>
      </c>
      <c r="F5" s="36">
        <v>-6.9701700210571289</v>
      </c>
      <c r="G5" s="35">
        <v>-4.2858901023864746</v>
      </c>
      <c r="H5" s="35">
        <v>0.65072190761566162</v>
      </c>
      <c r="I5" s="35">
        <v>0.38846087455749512</v>
      </c>
      <c r="J5" s="36">
        <v>-3.246706485748291</v>
      </c>
      <c r="K5" s="35">
        <v>-12.024538993835449</v>
      </c>
      <c r="L5" s="35">
        <v>1.5585532188415527</v>
      </c>
      <c r="M5" s="35">
        <v>2.1248819828033447</v>
      </c>
      <c r="N5" s="36">
        <v>-8.3411026000976563</v>
      </c>
      <c r="O5" s="35">
        <v>-11.529524803161621</v>
      </c>
      <c r="P5" s="35">
        <v>3.7855460643768311</v>
      </c>
      <c r="Q5" s="35">
        <v>1.2686285972595215</v>
      </c>
      <c r="R5" s="36">
        <v>-6.4753499031066895</v>
      </c>
      <c r="S5" s="9"/>
      <c r="T5" s="9"/>
      <c r="U5" s="9"/>
    </row>
    <row r="6" spans="1:21">
      <c r="A6" s="46"/>
      <c r="B6" s="5" t="s">
        <v>9</v>
      </c>
      <c r="C6" s="37">
        <v>-6.3966350555419922</v>
      </c>
      <c r="D6" s="37">
        <v>-3.1605603694915771</v>
      </c>
      <c r="E6" s="37">
        <v>9.0778741836547852</v>
      </c>
      <c r="F6" s="38">
        <v>-0.47932100296020508</v>
      </c>
      <c r="G6" s="37">
        <v>-6.2324204444885254</v>
      </c>
      <c r="H6" s="37">
        <v>-2.9441723823547363</v>
      </c>
      <c r="I6" s="37">
        <v>7.7592182159423828</v>
      </c>
      <c r="J6" s="38">
        <v>-1.4173744916915894</v>
      </c>
      <c r="K6" s="37">
        <v>-9.5802087783813477</v>
      </c>
      <c r="L6" s="37">
        <v>-2.5219018459320068</v>
      </c>
      <c r="M6" s="37">
        <v>11.20201301574707</v>
      </c>
      <c r="N6" s="38">
        <v>-0.90009814500808716</v>
      </c>
      <c r="O6" s="37">
        <v>-8.2649240493774414</v>
      </c>
      <c r="P6" s="37">
        <v>-7.4379997253417969</v>
      </c>
      <c r="Q6" s="37">
        <v>12.292829513549805</v>
      </c>
      <c r="R6" s="38">
        <v>-3.4100937843322754</v>
      </c>
      <c r="S6" s="9"/>
      <c r="T6" s="9"/>
      <c r="U6" s="9"/>
    </row>
    <row r="7" spans="1:21">
      <c r="A7" s="45" t="s">
        <v>7</v>
      </c>
      <c r="B7" s="4" t="s">
        <v>6</v>
      </c>
      <c r="C7" s="35">
        <v>-9.6234598159790039</v>
      </c>
      <c r="D7" s="35">
        <v>-1.1828718185424805</v>
      </c>
      <c r="E7" s="35">
        <v>6.119020938873291</v>
      </c>
      <c r="F7" s="39">
        <v>-4.6873106956481934</v>
      </c>
      <c r="G7" s="35">
        <v>-5.7499933242797852</v>
      </c>
      <c r="H7" s="35">
        <v>-1.5332931280136108</v>
      </c>
      <c r="I7" s="35">
        <v>3.9837770462036133</v>
      </c>
      <c r="J7" s="39">
        <v>-3.2995092868804932</v>
      </c>
      <c r="K7" s="35">
        <v>-12.950374603271484</v>
      </c>
      <c r="L7" s="35">
        <v>-0.35969817638397217</v>
      </c>
      <c r="M7" s="35">
        <v>7.6424136161804199</v>
      </c>
      <c r="N7" s="39">
        <v>-5.6676597595214844</v>
      </c>
      <c r="O7" s="35">
        <v>-13.259540557861328</v>
      </c>
      <c r="P7" s="35">
        <v>-0.59889894723892212</v>
      </c>
      <c r="Q7" s="35">
        <v>8.1189861297607422</v>
      </c>
      <c r="R7" s="39">
        <v>-5.7394533157348633</v>
      </c>
      <c r="S7" s="9"/>
      <c r="T7" s="9"/>
      <c r="U7" s="9"/>
    </row>
    <row r="8" spans="1:21">
      <c r="A8" s="45"/>
      <c r="B8" s="4" t="s">
        <v>8</v>
      </c>
      <c r="C8" s="35">
        <v>-6.0211639404296875</v>
      </c>
      <c r="D8" s="35">
        <v>0.9775814414024353</v>
      </c>
      <c r="E8" s="35">
        <v>0.85551190376281738</v>
      </c>
      <c r="F8" s="36">
        <v>-4.1880707740783691</v>
      </c>
      <c r="G8" s="35">
        <v>-2.4567482471466064</v>
      </c>
      <c r="H8" s="35">
        <v>0.62587451934814453</v>
      </c>
      <c r="I8" s="35">
        <v>-0.13921582698822021</v>
      </c>
      <c r="J8" s="36">
        <v>-1.9700895547866821</v>
      </c>
      <c r="K8" s="35">
        <v>-7.820063591003418</v>
      </c>
      <c r="L8" s="35">
        <v>1.8506748676300049</v>
      </c>
      <c r="M8" s="35">
        <v>1.10445237159729</v>
      </c>
      <c r="N8" s="36">
        <v>-4.864936351776123</v>
      </c>
      <c r="O8" s="35">
        <v>-7.435387134552002</v>
      </c>
      <c r="P8" s="35">
        <v>2.89178466796875</v>
      </c>
      <c r="Q8" s="35">
        <v>0.18547177314758301</v>
      </c>
      <c r="R8" s="36">
        <v>-4.358130931854248</v>
      </c>
      <c r="S8" s="9"/>
      <c r="T8" s="9"/>
      <c r="U8" s="9"/>
    </row>
    <row r="9" spans="1:21" ht="15.75" thickBot="1">
      <c r="A9" s="48"/>
      <c r="B9" s="6" t="s">
        <v>9</v>
      </c>
      <c r="C9" s="40">
        <v>-3.6022958755493164</v>
      </c>
      <c r="D9" s="40">
        <v>-2.1604533195495605</v>
      </c>
      <c r="E9" s="40">
        <v>5.2635087966918945</v>
      </c>
      <c r="F9" s="41">
        <v>-0.49924010038375854</v>
      </c>
      <c r="G9" s="40">
        <v>-3.2932450771331787</v>
      </c>
      <c r="H9" s="40">
        <v>-2.1591677665710449</v>
      </c>
      <c r="I9" s="40">
        <v>4.122992992401123</v>
      </c>
      <c r="J9" s="41">
        <v>-1.329419732093811</v>
      </c>
      <c r="K9" s="40">
        <v>-5.1303110122680664</v>
      </c>
      <c r="L9" s="40">
        <v>-2.2103731632232666</v>
      </c>
      <c r="M9" s="40">
        <v>6.5379610061645508</v>
      </c>
      <c r="N9" s="41">
        <v>-0.80272328853607178</v>
      </c>
      <c r="O9" s="40">
        <v>-5.8241534233093262</v>
      </c>
      <c r="P9" s="40">
        <v>-3.4906835556030273</v>
      </c>
      <c r="Q9" s="40">
        <v>7.9335145950317383</v>
      </c>
      <c r="R9" s="41">
        <v>-1.3813223838806152</v>
      </c>
      <c r="S9" s="9"/>
      <c r="T9" s="9"/>
      <c r="U9" s="9"/>
    </row>
    <row r="10" spans="1:21" ht="15.75" thickBot="1"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</row>
    <row r="11" spans="1:21" ht="15.75" thickBot="1">
      <c r="A11" s="47" t="s">
        <v>1</v>
      </c>
      <c r="B11" s="47" t="s">
        <v>2</v>
      </c>
      <c r="C11" s="52" t="s">
        <v>23</v>
      </c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3"/>
      <c r="S11" s="9"/>
      <c r="T11" s="9"/>
      <c r="U11" s="9"/>
    </row>
    <row r="12" spans="1:21" ht="15.75" thickBot="1">
      <c r="A12" s="45"/>
      <c r="B12" s="45"/>
      <c r="C12" s="52" t="s">
        <v>10</v>
      </c>
      <c r="D12" s="52"/>
      <c r="E12" s="52"/>
      <c r="F12" s="53"/>
      <c r="G12" s="52" t="s">
        <v>11</v>
      </c>
      <c r="H12" s="52"/>
      <c r="I12" s="52"/>
      <c r="J12" s="53"/>
      <c r="K12" s="52" t="s">
        <v>12</v>
      </c>
      <c r="L12" s="52"/>
      <c r="M12" s="52"/>
      <c r="N12" s="53"/>
      <c r="O12" s="52" t="s">
        <v>13</v>
      </c>
      <c r="P12" s="52"/>
      <c r="Q12" s="52"/>
      <c r="R12" s="53"/>
      <c r="S12" s="9"/>
      <c r="T12" s="9"/>
      <c r="U12" s="9"/>
    </row>
    <row r="13" spans="1:21" ht="15.75" thickBot="1">
      <c r="A13" s="48"/>
      <c r="B13" s="48"/>
      <c r="C13" s="15" t="s">
        <v>3</v>
      </c>
      <c r="D13" s="15" t="s">
        <v>4</v>
      </c>
      <c r="E13" s="15" t="s">
        <v>5</v>
      </c>
      <c r="F13" s="16" t="s">
        <v>6</v>
      </c>
      <c r="G13" s="15" t="s">
        <v>3</v>
      </c>
      <c r="H13" s="15" t="s">
        <v>4</v>
      </c>
      <c r="I13" s="15" t="s">
        <v>5</v>
      </c>
      <c r="J13" s="16" t="s">
        <v>6</v>
      </c>
      <c r="K13" s="15" t="s">
        <v>3</v>
      </c>
      <c r="L13" s="15" t="s">
        <v>4</v>
      </c>
      <c r="M13" s="15" t="s">
        <v>5</v>
      </c>
      <c r="N13" s="16" t="s">
        <v>6</v>
      </c>
      <c r="O13" s="15" t="s">
        <v>3</v>
      </c>
      <c r="P13" s="15" t="s">
        <v>4</v>
      </c>
      <c r="Q13" s="15" t="s">
        <v>5</v>
      </c>
      <c r="R13" s="16" t="s">
        <v>6</v>
      </c>
      <c r="S13" s="9"/>
      <c r="T13" s="9"/>
      <c r="U13" s="9"/>
    </row>
    <row r="14" spans="1:21">
      <c r="A14" s="44" t="s">
        <v>0</v>
      </c>
      <c r="B14" s="4" t="s">
        <v>6</v>
      </c>
      <c r="C14" s="35">
        <v>-5.8477387428283691</v>
      </c>
      <c r="D14" s="35">
        <v>-1.2678928375244141</v>
      </c>
      <c r="E14" s="35">
        <v>4.9782724380493164</v>
      </c>
      <c r="F14" s="36">
        <v>-2.1373591423034668</v>
      </c>
      <c r="G14" s="35">
        <v>-2.3668787479400635</v>
      </c>
      <c r="H14" s="35">
        <v>-0.65605330467224121</v>
      </c>
      <c r="I14" s="35">
        <v>2.3191170692443848</v>
      </c>
      <c r="J14" s="36">
        <v>-0.70381486415863037</v>
      </c>
      <c r="K14" s="35">
        <v>-7.4333124160766602</v>
      </c>
      <c r="L14" s="35">
        <v>-0.63754457235336304</v>
      </c>
      <c r="M14" s="35">
        <v>5.901130199432373</v>
      </c>
      <c r="N14" s="36">
        <v>-2.1697268486022949</v>
      </c>
      <c r="O14" s="35">
        <v>-10.787385940551758</v>
      </c>
      <c r="P14" s="35">
        <v>-2.2579483985900879</v>
      </c>
      <c r="Q14" s="35">
        <v>8.7391805648803711</v>
      </c>
      <c r="R14" s="36">
        <v>-4.3061532974243164</v>
      </c>
      <c r="S14" s="9"/>
      <c r="T14" s="9"/>
      <c r="U14" s="9"/>
    </row>
    <row r="15" spans="1:21">
      <c r="A15" s="45"/>
      <c r="B15" s="4" t="s">
        <v>8</v>
      </c>
      <c r="C15" s="35">
        <v>-4.0932607650756836</v>
      </c>
      <c r="D15" s="35">
        <v>-0.72618931531906128</v>
      </c>
      <c r="E15" s="35">
        <v>2.2790865898132324</v>
      </c>
      <c r="F15" s="36">
        <v>-2.5403635501861572</v>
      </c>
      <c r="G15" s="35">
        <v>-1.0511753559112549</v>
      </c>
      <c r="H15" s="35">
        <v>-0.15934509038925171</v>
      </c>
      <c r="I15" s="35">
        <v>0.45482844114303589</v>
      </c>
      <c r="J15" s="36">
        <v>-0.7556917667388916</v>
      </c>
      <c r="K15" s="35">
        <v>-4.5937619209289551</v>
      </c>
      <c r="L15" s="35">
        <v>-8.0763399600982666E-2</v>
      </c>
      <c r="M15" s="35">
        <v>2.214423656463623</v>
      </c>
      <c r="N15" s="36">
        <v>-2.4601020812988281</v>
      </c>
      <c r="O15" s="35">
        <v>-6.1444191932678223</v>
      </c>
      <c r="P15" s="35">
        <v>1.7174195051193237</v>
      </c>
      <c r="Q15" s="35">
        <v>1.1341166496276855</v>
      </c>
      <c r="R15" s="36">
        <v>-3.2928829193115234</v>
      </c>
      <c r="S15" s="9"/>
      <c r="T15" s="9"/>
      <c r="U15" s="9"/>
    </row>
    <row r="16" spans="1:21">
      <c r="A16" s="46"/>
      <c r="B16" s="5" t="s">
        <v>9</v>
      </c>
      <c r="C16" s="37">
        <v>-1.7544779777526855</v>
      </c>
      <c r="D16" s="37">
        <v>-0.54170352220535278</v>
      </c>
      <c r="E16" s="37">
        <v>2.699185848236084</v>
      </c>
      <c r="F16" s="38">
        <v>0.40300440788269043</v>
      </c>
      <c r="G16" s="37">
        <v>-1.3157033920288086</v>
      </c>
      <c r="H16" s="37">
        <v>-0.4967082142829895</v>
      </c>
      <c r="I16" s="37">
        <v>1.8642885684967041</v>
      </c>
      <c r="J16" s="38">
        <v>5.187690258026123E-2</v>
      </c>
      <c r="K16" s="37">
        <v>-2.839550256729126</v>
      </c>
      <c r="L16" s="37">
        <v>-0.55678117275238037</v>
      </c>
      <c r="M16" s="37">
        <v>3.68670654296875</v>
      </c>
      <c r="N16" s="38">
        <v>0.29037514328956604</v>
      </c>
      <c r="O16" s="37">
        <v>-4.6429667472839355</v>
      </c>
      <c r="P16" s="37">
        <v>-3.9753680229187012</v>
      </c>
      <c r="Q16" s="37">
        <v>7.6050639152526855</v>
      </c>
      <c r="R16" s="38">
        <v>-1.013270378112793</v>
      </c>
      <c r="S16" s="9"/>
      <c r="T16" s="9"/>
      <c r="U16" s="9"/>
    </row>
    <row r="17" spans="1:21">
      <c r="A17" s="45" t="s">
        <v>7</v>
      </c>
      <c r="B17" s="4" t="s">
        <v>6</v>
      </c>
      <c r="C17" s="35">
        <v>-2.9408881664276123</v>
      </c>
      <c r="D17" s="35">
        <v>-0.33469489216804504</v>
      </c>
      <c r="E17" s="35">
        <v>2.3413066864013672</v>
      </c>
      <c r="F17" s="39">
        <v>-0.93427634239196777</v>
      </c>
      <c r="G17" s="35">
        <v>-1.0125678777694702</v>
      </c>
      <c r="H17" s="35">
        <v>-0.18776373565196991</v>
      </c>
      <c r="I17" s="35">
        <v>0.92217963933944702</v>
      </c>
      <c r="J17" s="39">
        <v>-0.27815192937850952</v>
      </c>
      <c r="K17" s="35">
        <v>-3.3354556560516357</v>
      </c>
      <c r="L17" s="35">
        <v>-1.6233900561928749E-2</v>
      </c>
      <c r="M17" s="35">
        <v>2.5231168270111084</v>
      </c>
      <c r="N17" s="39">
        <v>-0.82857275009155273</v>
      </c>
      <c r="O17" s="35">
        <v>-6.4135041236877441</v>
      </c>
      <c r="P17" s="35">
        <v>-0.43140265345573425</v>
      </c>
      <c r="Q17" s="35">
        <v>4.7804756164550781</v>
      </c>
      <c r="R17" s="39">
        <v>-2.0644311904907227</v>
      </c>
      <c r="S17" s="9"/>
      <c r="T17" s="9"/>
      <c r="U17" s="9"/>
    </row>
    <row r="18" spans="1:21">
      <c r="A18" s="45"/>
      <c r="B18" s="4" t="s">
        <v>8</v>
      </c>
      <c r="C18" s="35">
        <v>-2.0529422760009766</v>
      </c>
      <c r="D18" s="35">
        <v>-0.12113343179225922</v>
      </c>
      <c r="E18" s="35">
        <v>0.82126754522323608</v>
      </c>
      <c r="F18" s="36">
        <v>-1.3528082370758057</v>
      </c>
      <c r="G18" s="35">
        <v>-0.45434391498565674</v>
      </c>
      <c r="H18" s="35">
        <v>-3.9759058505296707E-2</v>
      </c>
      <c r="I18" s="35">
        <v>7.0327341556549072E-2</v>
      </c>
      <c r="J18" s="36">
        <v>-0.42377555370330811</v>
      </c>
      <c r="K18" s="35">
        <v>-2.1135311126708984</v>
      </c>
      <c r="L18" s="35">
        <v>0.15636663138866425</v>
      </c>
      <c r="M18" s="35">
        <v>0.67874479293823242</v>
      </c>
      <c r="N18" s="36">
        <v>-1.2784197330474854</v>
      </c>
      <c r="O18" s="35">
        <v>-3.6013901233673096</v>
      </c>
      <c r="P18" s="35">
        <v>1.0763081312179565</v>
      </c>
      <c r="Q18" s="35">
        <v>0.31423580646514893</v>
      </c>
      <c r="R18" s="36">
        <v>-2.2108461856842041</v>
      </c>
      <c r="S18" s="9"/>
      <c r="T18" s="9"/>
      <c r="U18" s="9"/>
    </row>
    <row r="19" spans="1:21" ht="15.75" thickBot="1">
      <c r="A19" s="48"/>
      <c r="B19" s="6" t="s">
        <v>9</v>
      </c>
      <c r="C19" s="40">
        <v>-0.88794583082199097</v>
      </c>
      <c r="D19" s="40">
        <v>-0.21356146037578583</v>
      </c>
      <c r="E19" s="40">
        <v>1.5200390815734863</v>
      </c>
      <c r="F19" s="41">
        <v>0.41853183507919312</v>
      </c>
      <c r="G19" s="40">
        <v>-0.55822396278381348</v>
      </c>
      <c r="H19" s="40">
        <v>-0.1480046808719635</v>
      </c>
      <c r="I19" s="40">
        <v>0.85185229778289795</v>
      </c>
      <c r="J19" s="41">
        <v>0.14562362432479858</v>
      </c>
      <c r="K19" s="40">
        <v>-1.2219245433807373</v>
      </c>
      <c r="L19" s="40">
        <v>-0.17260053753852844</v>
      </c>
      <c r="M19" s="40">
        <v>1.844372034072876</v>
      </c>
      <c r="N19" s="41">
        <v>0.44984692335128784</v>
      </c>
      <c r="O19" s="40">
        <v>-2.8121140003204346</v>
      </c>
      <c r="P19" s="40">
        <v>-1.5077106952667236</v>
      </c>
      <c r="Q19" s="40">
        <v>4.4662399291992188</v>
      </c>
      <c r="R19" s="41">
        <v>0.14641498029232025</v>
      </c>
      <c r="S19" s="9"/>
      <c r="T19" s="9"/>
      <c r="U19" s="9"/>
    </row>
    <row r="20" spans="1:21"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</row>
    <row r="21" spans="1:21"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</row>
    <row r="22" spans="1:21"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</row>
  </sheetData>
  <mergeCells count="18">
    <mergeCell ref="A1:A3"/>
    <mergeCell ref="B1:B3"/>
    <mergeCell ref="C1:R1"/>
    <mergeCell ref="C2:F2"/>
    <mergeCell ref="G2:J2"/>
    <mergeCell ref="K2:N2"/>
    <mergeCell ref="O2:R2"/>
    <mergeCell ref="B11:B13"/>
    <mergeCell ref="C11:R11"/>
    <mergeCell ref="C12:F12"/>
    <mergeCell ref="G12:J12"/>
    <mergeCell ref="K12:N12"/>
    <mergeCell ref="O12:R12"/>
    <mergeCell ref="A14:A16"/>
    <mergeCell ref="A17:A19"/>
    <mergeCell ref="A4:A6"/>
    <mergeCell ref="A7:A9"/>
    <mergeCell ref="A11:A1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Tabla 1</vt:lpstr>
      <vt:lpstr>Tabla 2</vt:lpstr>
      <vt:lpstr>Tabla 3</vt:lpstr>
      <vt:lpstr>Tabla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Menduiña</dc:creator>
  <cp:lastModifiedBy>Juan Menduiña</cp:lastModifiedBy>
  <dcterms:created xsi:type="dcterms:W3CDTF">2021-08-31T00:38:34Z</dcterms:created>
  <dcterms:modified xsi:type="dcterms:W3CDTF">2022-01-31T15:36:27Z</dcterms:modified>
</cp:coreProperties>
</file>