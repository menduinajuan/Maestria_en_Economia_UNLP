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"/>
    </mc:Choice>
  </mc:AlternateContent>
  <xr:revisionPtr revIDLastSave="0" documentId="13_ncr:1_{3D143C50-7DE1-4B1B-A235-A93581EFFF3E}" xr6:coauthVersionLast="47" xr6:coauthVersionMax="47" xr10:uidLastSave="{00000000-0000-0000-0000-000000000000}"/>
  <bookViews>
    <workbookView xWindow="-120" yWindow="-120" windowWidth="20730" windowHeight="11760" tabRatio="787" xr2:uid="{5EA8B1AC-5731-408A-B209-BA8D700D8F11}"/>
  </bookViews>
  <sheets>
    <sheet name="Tabla 1" sheetId="2" r:id="rId1"/>
    <sheet name="Tabla 2" sheetId="10" r:id="rId2"/>
    <sheet name="Tabla 3" sheetId="6" r:id="rId3"/>
    <sheet name="Tabla 4" sheetId="8" r:id="rId4"/>
    <sheet name="Tabla 5" sheetId="9" r:id="rId5"/>
    <sheet name="Tabla 6" sheetId="7" r:id="rId6"/>
    <sheet name="Tabla 7" sheetId="13" r:id="rId7"/>
    <sheet name="Tabla 8" sheetId="12" r:id="rId8"/>
    <sheet name="Tabla 9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J9" i="7"/>
  <c r="K9" i="7"/>
  <c r="L9" i="7"/>
  <c r="M9" i="7"/>
  <c r="B9" i="7"/>
  <c r="M4" i="7"/>
  <c r="L4" i="7"/>
  <c r="K4" i="7"/>
  <c r="J4" i="7"/>
  <c r="I4" i="7"/>
  <c r="H4" i="7"/>
  <c r="G4" i="7"/>
  <c r="F4" i="7"/>
  <c r="E4" i="7"/>
  <c r="D4" i="7"/>
  <c r="C4" i="7"/>
  <c r="B4" i="7"/>
  <c r="C8" i="7"/>
  <c r="D8" i="7"/>
  <c r="E8" i="7"/>
  <c r="F8" i="7"/>
  <c r="G8" i="7"/>
  <c r="H8" i="7"/>
  <c r="I8" i="7"/>
  <c r="J8" i="7"/>
  <c r="K8" i="7"/>
  <c r="L8" i="7"/>
  <c r="M8" i="7"/>
  <c r="B8" i="7"/>
  <c r="B3" i="7"/>
  <c r="M3" i="7"/>
  <c r="L3" i="7"/>
  <c r="K3" i="7"/>
  <c r="J3" i="7"/>
  <c r="I3" i="7"/>
  <c r="H3" i="7"/>
  <c r="G3" i="7"/>
  <c r="F3" i="7"/>
  <c r="C3" i="7"/>
  <c r="D3" i="7"/>
  <c r="E3" i="7"/>
  <c r="C5" i="12"/>
  <c r="H5" i="13"/>
  <c r="G8" i="13"/>
  <c r="F12" i="13"/>
  <c r="G13" i="13"/>
  <c r="F16" i="13"/>
  <c r="G17" i="13"/>
  <c r="E18" i="13"/>
  <c r="F18" i="13" s="1"/>
  <c r="E17" i="13"/>
  <c r="F17" i="13" s="1"/>
  <c r="E16" i="13"/>
  <c r="H16" i="13" s="1"/>
  <c r="E15" i="13"/>
  <c r="G15" i="13" s="1"/>
  <c r="E14" i="13"/>
  <c r="F14" i="13" s="1"/>
  <c r="E13" i="13"/>
  <c r="F13" i="13" s="1"/>
  <c r="E12" i="13"/>
  <c r="H12" i="13" s="1"/>
  <c r="E11" i="13"/>
  <c r="G11" i="13" s="1"/>
  <c r="E10" i="13"/>
  <c r="F10" i="13" s="1"/>
  <c r="E9" i="13"/>
  <c r="G9" i="13" s="1"/>
  <c r="E8" i="13"/>
  <c r="E7" i="13"/>
  <c r="G7" i="13" s="1"/>
  <c r="E6" i="13"/>
  <c r="G6" i="13" s="1"/>
  <c r="E5" i="13"/>
  <c r="G5" i="13" s="1"/>
  <c r="E4" i="13"/>
  <c r="H4" i="13" s="1"/>
  <c r="K15" i="14" l="1"/>
  <c r="G15" i="14"/>
  <c r="C15" i="14"/>
  <c r="G15" i="12"/>
  <c r="C15" i="12"/>
  <c r="K15" i="12"/>
  <c r="L16" i="14"/>
  <c r="H16" i="14"/>
  <c r="D16" i="14"/>
  <c r="H16" i="12"/>
  <c r="D16" i="12"/>
  <c r="L16" i="12"/>
  <c r="L4" i="14"/>
  <c r="H4" i="14"/>
  <c r="D4" i="14"/>
  <c r="L4" i="12"/>
  <c r="H4" i="12"/>
  <c r="D4" i="12"/>
  <c r="J13" i="12"/>
  <c r="J13" i="14"/>
  <c r="F13" i="14"/>
  <c r="B13" i="14"/>
  <c r="F13" i="12"/>
  <c r="B13" i="12"/>
  <c r="J17" i="12"/>
  <c r="J17" i="14"/>
  <c r="B17" i="12"/>
  <c r="F17" i="14"/>
  <c r="B17" i="14"/>
  <c r="F17" i="12"/>
  <c r="K11" i="14"/>
  <c r="G11" i="14"/>
  <c r="C11" i="14"/>
  <c r="G11" i="12"/>
  <c r="C11" i="12"/>
  <c r="K11" i="12"/>
  <c r="L12" i="14"/>
  <c r="H12" i="14"/>
  <c r="D12" i="14"/>
  <c r="H12" i="12"/>
  <c r="D12" i="12"/>
  <c r="L12" i="12"/>
  <c r="K6" i="12"/>
  <c r="K6" i="14"/>
  <c r="G6" i="14"/>
  <c r="C6" i="14"/>
  <c r="G6" i="12"/>
  <c r="C6" i="12"/>
  <c r="J14" i="14"/>
  <c r="F14" i="14"/>
  <c r="B14" i="14"/>
  <c r="F14" i="12"/>
  <c r="B14" i="12"/>
  <c r="J14" i="12"/>
  <c r="J18" i="14"/>
  <c r="F18" i="14"/>
  <c r="B18" i="14"/>
  <c r="F18" i="12"/>
  <c r="B18" i="12"/>
  <c r="J18" i="12"/>
  <c r="C5" i="14"/>
  <c r="G5" i="12"/>
  <c r="K5" i="12"/>
  <c r="K5" i="14"/>
  <c r="C9" i="14"/>
  <c r="G9" i="12"/>
  <c r="C9" i="12"/>
  <c r="K9" i="12"/>
  <c r="K9" i="14"/>
  <c r="G4" i="13"/>
  <c r="H17" i="13"/>
  <c r="G16" i="13"/>
  <c r="F15" i="13"/>
  <c r="H13" i="13"/>
  <c r="G12" i="13"/>
  <c r="F11" i="13"/>
  <c r="F9" i="13"/>
  <c r="G9" i="14"/>
  <c r="F6" i="13"/>
  <c r="H6" i="13"/>
  <c r="H19" i="13" s="1"/>
  <c r="J10" i="14"/>
  <c r="F10" i="14"/>
  <c r="B10" i="14"/>
  <c r="F10" i="12"/>
  <c r="B10" i="12"/>
  <c r="H18" i="13"/>
  <c r="C17" i="14"/>
  <c r="G17" i="12"/>
  <c r="C17" i="12"/>
  <c r="K17" i="12"/>
  <c r="K17" i="14"/>
  <c r="B16" i="14"/>
  <c r="F16" i="12"/>
  <c r="B16" i="12"/>
  <c r="J16" i="12"/>
  <c r="J16" i="14"/>
  <c r="H14" i="13"/>
  <c r="C13" i="14"/>
  <c r="G13" i="12"/>
  <c r="C13" i="12"/>
  <c r="K13" i="12"/>
  <c r="K13" i="14"/>
  <c r="B12" i="14"/>
  <c r="F12" i="12"/>
  <c r="B12" i="12"/>
  <c r="J12" i="12"/>
  <c r="J12" i="14"/>
  <c r="H10" i="13"/>
  <c r="G8" i="14"/>
  <c r="C8" i="14"/>
  <c r="G8" i="12"/>
  <c r="K8" i="12"/>
  <c r="H5" i="14"/>
  <c r="D5" i="12"/>
  <c r="D5" i="14"/>
  <c r="H5" i="12"/>
  <c r="L5" i="12"/>
  <c r="C8" i="12"/>
  <c r="J10" i="12"/>
  <c r="G13" i="14"/>
  <c r="K8" i="14"/>
  <c r="K7" i="14"/>
  <c r="G7" i="14"/>
  <c r="C7" i="14"/>
  <c r="G7" i="12"/>
  <c r="C7" i="12"/>
  <c r="F4" i="13"/>
  <c r="G18" i="13"/>
  <c r="I18" i="13" s="1"/>
  <c r="H15" i="13"/>
  <c r="G14" i="13"/>
  <c r="H11" i="13"/>
  <c r="G10" i="13"/>
  <c r="H7" i="13"/>
  <c r="F5" i="13"/>
  <c r="G17" i="14"/>
  <c r="F12" i="14"/>
  <c r="H8" i="13"/>
  <c r="F8" i="13"/>
  <c r="H9" i="13"/>
  <c r="F7" i="13"/>
  <c r="K7" i="12"/>
  <c r="F16" i="14"/>
  <c r="G5" i="14"/>
  <c r="L5" i="14"/>
  <c r="I6" i="13"/>
  <c r="I10" i="13"/>
  <c r="I14" i="13"/>
  <c r="G12" i="14" l="1"/>
  <c r="C12" i="14"/>
  <c r="G12" i="12"/>
  <c r="K12" i="12"/>
  <c r="M12" i="12" s="1"/>
  <c r="C12" i="12"/>
  <c r="K12" i="14"/>
  <c r="M12" i="14" s="1"/>
  <c r="I12" i="13"/>
  <c r="B8" i="14"/>
  <c r="F8" i="12"/>
  <c r="B8" i="12"/>
  <c r="J8" i="12"/>
  <c r="J8" i="14"/>
  <c r="F8" i="14"/>
  <c r="J5" i="12"/>
  <c r="M5" i="12" s="1"/>
  <c r="J5" i="14"/>
  <c r="M5" i="14" s="1"/>
  <c r="F5" i="14"/>
  <c r="I5" i="14" s="1"/>
  <c r="B5" i="14"/>
  <c r="E5" i="14" s="1"/>
  <c r="F5" i="12"/>
  <c r="I5" i="12" s="1"/>
  <c r="B5" i="12"/>
  <c r="E5" i="12" s="1"/>
  <c r="K14" i="12"/>
  <c r="M14" i="12" s="1"/>
  <c r="K14" i="14"/>
  <c r="C14" i="12"/>
  <c r="E14" i="12" s="1"/>
  <c r="G14" i="14"/>
  <c r="C14" i="14"/>
  <c r="E14" i="14" s="1"/>
  <c r="G14" i="12"/>
  <c r="D18" i="14"/>
  <c r="H18" i="12"/>
  <c r="D18" i="12"/>
  <c r="L18" i="12"/>
  <c r="L18" i="14"/>
  <c r="H18" i="14"/>
  <c r="H13" i="14"/>
  <c r="D13" i="14"/>
  <c r="E13" i="14" s="1"/>
  <c r="H13" i="12"/>
  <c r="I13" i="12" s="1"/>
  <c r="L13" i="12"/>
  <c r="M13" i="12" s="1"/>
  <c r="L13" i="14"/>
  <c r="M13" i="14" s="1"/>
  <c r="D13" i="12"/>
  <c r="E13" i="12" s="1"/>
  <c r="G4" i="14"/>
  <c r="C4" i="14"/>
  <c r="K4" i="12"/>
  <c r="G4" i="12"/>
  <c r="G19" i="13"/>
  <c r="C4" i="12"/>
  <c r="K4" i="14"/>
  <c r="H9" i="14"/>
  <c r="D9" i="14"/>
  <c r="H9" i="12"/>
  <c r="L9" i="12"/>
  <c r="D9" i="12"/>
  <c r="L9" i="14"/>
  <c r="L11" i="12"/>
  <c r="L11" i="14"/>
  <c r="H11" i="14"/>
  <c r="D11" i="14"/>
  <c r="H11" i="12"/>
  <c r="D11" i="12"/>
  <c r="M10" i="12"/>
  <c r="J6" i="14"/>
  <c r="F6" i="14"/>
  <c r="B6" i="14"/>
  <c r="E6" i="14" s="1"/>
  <c r="F6" i="12"/>
  <c r="B6" i="12"/>
  <c r="J6" i="12"/>
  <c r="H17" i="14"/>
  <c r="I17" i="14" s="1"/>
  <c r="D17" i="14"/>
  <c r="H17" i="12"/>
  <c r="I17" i="12" s="1"/>
  <c r="L17" i="12"/>
  <c r="L17" i="14"/>
  <c r="M17" i="14" s="1"/>
  <c r="D17" i="12"/>
  <c r="E17" i="12" s="1"/>
  <c r="E12" i="14"/>
  <c r="M7" i="12"/>
  <c r="L8" i="14"/>
  <c r="H8" i="14"/>
  <c r="D8" i="14"/>
  <c r="H8" i="12"/>
  <c r="D8" i="12"/>
  <c r="L8" i="12"/>
  <c r="L7" i="12"/>
  <c r="L7" i="14"/>
  <c r="H7" i="14"/>
  <c r="D7" i="14"/>
  <c r="H7" i="12"/>
  <c r="D7" i="12"/>
  <c r="L15" i="12"/>
  <c r="M15" i="12" s="1"/>
  <c r="L15" i="14"/>
  <c r="D15" i="12"/>
  <c r="H15" i="14"/>
  <c r="D15" i="14"/>
  <c r="H15" i="12"/>
  <c r="E12" i="12"/>
  <c r="D14" i="14"/>
  <c r="H14" i="12"/>
  <c r="I14" i="12" s="1"/>
  <c r="D14" i="12"/>
  <c r="L14" i="12"/>
  <c r="L14" i="14"/>
  <c r="M14" i="14" s="1"/>
  <c r="H14" i="14"/>
  <c r="I14" i="14" s="1"/>
  <c r="J9" i="12"/>
  <c r="J9" i="14"/>
  <c r="M9" i="14" s="1"/>
  <c r="F9" i="14"/>
  <c r="I9" i="14" s="1"/>
  <c r="B9" i="12"/>
  <c r="B9" i="14"/>
  <c r="F9" i="12"/>
  <c r="I9" i="12" s="1"/>
  <c r="F15" i="14"/>
  <c r="I15" i="14" s="1"/>
  <c r="B15" i="14"/>
  <c r="E15" i="14" s="1"/>
  <c r="F15" i="12"/>
  <c r="I15" i="12" s="1"/>
  <c r="J15" i="12"/>
  <c r="B15" i="12"/>
  <c r="E15" i="12" s="1"/>
  <c r="J15" i="14"/>
  <c r="M15" i="14" s="1"/>
  <c r="E17" i="14"/>
  <c r="M17" i="12"/>
  <c r="I13" i="14"/>
  <c r="B4" i="12"/>
  <c r="J4" i="14"/>
  <c r="F4" i="14"/>
  <c r="J4" i="12"/>
  <c r="B4" i="14"/>
  <c r="F4" i="12"/>
  <c r="F19" i="13"/>
  <c r="I19" i="13" s="1"/>
  <c r="F7" i="14"/>
  <c r="I7" i="14" s="1"/>
  <c r="B7" i="14"/>
  <c r="F7" i="12"/>
  <c r="I7" i="12" s="1"/>
  <c r="J7" i="12"/>
  <c r="B7" i="12"/>
  <c r="J7" i="14"/>
  <c r="I12" i="14"/>
  <c r="K10" i="12"/>
  <c r="K10" i="14"/>
  <c r="G10" i="14"/>
  <c r="C10" i="14"/>
  <c r="G10" i="12"/>
  <c r="C10" i="12"/>
  <c r="K18" i="12"/>
  <c r="K18" i="14"/>
  <c r="M18" i="14" s="1"/>
  <c r="C18" i="12"/>
  <c r="G18" i="14"/>
  <c r="C18" i="14"/>
  <c r="G18" i="12"/>
  <c r="I18" i="12" s="1"/>
  <c r="E7" i="14"/>
  <c r="D10" i="14"/>
  <c r="H10" i="12"/>
  <c r="I10" i="12" s="1"/>
  <c r="D10" i="12"/>
  <c r="E10" i="12" s="1"/>
  <c r="L10" i="12"/>
  <c r="L10" i="14"/>
  <c r="H10" i="14"/>
  <c r="I12" i="12"/>
  <c r="D6" i="14"/>
  <c r="H6" i="12"/>
  <c r="D6" i="12"/>
  <c r="D19" i="12" s="1"/>
  <c r="L6" i="12"/>
  <c r="L6" i="14"/>
  <c r="H6" i="14"/>
  <c r="H19" i="14" s="1"/>
  <c r="F11" i="14"/>
  <c r="B11" i="14"/>
  <c r="E11" i="14" s="1"/>
  <c r="F11" i="12"/>
  <c r="I11" i="12" s="1"/>
  <c r="J11" i="12"/>
  <c r="M11" i="12" s="1"/>
  <c r="J11" i="14"/>
  <c r="B11" i="12"/>
  <c r="G16" i="14"/>
  <c r="I16" i="14" s="1"/>
  <c r="C16" i="14"/>
  <c r="E16" i="14" s="1"/>
  <c r="G16" i="12"/>
  <c r="I16" i="12" s="1"/>
  <c r="K16" i="12"/>
  <c r="M16" i="12" s="1"/>
  <c r="K16" i="14"/>
  <c r="M16" i="14" s="1"/>
  <c r="C16" i="12"/>
  <c r="E16" i="12" s="1"/>
  <c r="M18" i="12"/>
  <c r="I11" i="14"/>
  <c r="L19" i="14"/>
  <c r="I17" i="13"/>
  <c r="I16" i="13"/>
  <c r="I13" i="13"/>
  <c r="I15" i="13"/>
  <c r="I11" i="13"/>
  <c r="I9" i="13"/>
  <c r="I8" i="13"/>
  <c r="I5" i="13"/>
  <c r="I7" i="13"/>
  <c r="I4" i="13"/>
  <c r="M10" i="14" l="1"/>
  <c r="M8" i="14"/>
  <c r="I18" i="14"/>
  <c r="E10" i="14"/>
  <c r="M11" i="14"/>
  <c r="E18" i="14"/>
  <c r="I10" i="14"/>
  <c r="E9" i="14"/>
  <c r="H19" i="12"/>
  <c r="E11" i="12"/>
  <c r="L19" i="12"/>
  <c r="E18" i="12"/>
  <c r="M9" i="12"/>
  <c r="I4" i="12"/>
  <c r="F19" i="12"/>
  <c r="I19" i="12" s="1"/>
  <c r="D19" i="14"/>
  <c r="M7" i="14"/>
  <c r="E4" i="14"/>
  <c r="B19" i="14"/>
  <c r="B19" i="12"/>
  <c r="E4" i="12"/>
  <c r="E8" i="14"/>
  <c r="M6" i="12"/>
  <c r="I6" i="14"/>
  <c r="K19" i="14"/>
  <c r="K19" i="12"/>
  <c r="M8" i="12"/>
  <c r="M4" i="14"/>
  <c r="J19" i="14"/>
  <c r="M19" i="14" s="1"/>
  <c r="G19" i="12"/>
  <c r="E7" i="12"/>
  <c r="M4" i="12"/>
  <c r="J19" i="12"/>
  <c r="E6" i="12"/>
  <c r="M6" i="14"/>
  <c r="C19" i="12"/>
  <c r="C19" i="14"/>
  <c r="E8" i="12"/>
  <c r="I4" i="14"/>
  <c r="F19" i="14"/>
  <c r="I19" i="14" s="1"/>
  <c r="E9" i="12"/>
  <c r="I6" i="12"/>
  <c r="G19" i="14"/>
  <c r="I8" i="14"/>
  <c r="I8" i="12"/>
  <c r="M19" i="12" l="1"/>
  <c r="E19" i="12"/>
  <c r="E19" i="14"/>
</calcChain>
</file>

<file path=xl/sharedStrings.xml><?xml version="1.0" encoding="utf-8"?>
<sst xmlns="http://schemas.openxmlformats.org/spreadsheetml/2006/main" count="149" uniqueCount="23">
  <si>
    <t>Incidencia (FGT0)</t>
  </si>
  <si>
    <t>Brecha (FGT1)</t>
  </si>
  <si>
    <t>Principales ciudades</t>
  </si>
  <si>
    <t>Rural</t>
  </si>
  <si>
    <t>Resto urbano</t>
  </si>
  <si>
    <t>INDIGENCIA</t>
  </si>
  <si>
    <t>POBREZA</t>
  </si>
  <si>
    <t>POBREZA (FGT0)</t>
  </si>
  <si>
    <t>INDIGENCIA (FGT0)</t>
  </si>
  <si>
    <t>Total Nacional</t>
  </si>
  <si>
    <t>AÑO</t>
  </si>
  <si>
    <t>Total nacional</t>
  </si>
  <si>
    <t>2002-2018</t>
  </si>
  <si>
    <t>POBREZA (FGT1)</t>
  </si>
  <si>
    <t>INDIGENCIA (FGT1)</t>
  </si>
  <si>
    <t>POBREZA (FGT2)</t>
  </si>
  <si>
    <t>INDIGENCIA (FGT2)</t>
  </si>
  <si>
    <t>POBLACIÓN</t>
  </si>
  <si>
    <t>Total</t>
  </si>
  <si>
    <t>Porcentaje</t>
  </si>
  <si>
    <t>PERÍODO</t>
  </si>
  <si>
    <t>Severidad (FGT2)</t>
  </si>
  <si>
    <t>2005-2015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</si>
</sst>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0" fontId="1" fillId="0" borderId="0" xfId="0" applyNumberFormat="1" applyFont="1" applyBorder="1" applyAlignment="1">
      <alignment horizontal="right" vertical="center"/>
    </xf>
    <xf numFmtId="10" fontId="1" fillId="0" borderId="5" xfId="0" applyNumberFormat="1" applyFont="1" applyBorder="1" applyAlignment="1">
      <alignment horizontal="right" vertical="center"/>
    </xf>
    <xf numFmtId="10" fontId="1" fillId="0" borderId="6" xfId="0" applyNumberFormat="1" applyFont="1" applyBorder="1" applyAlignment="1">
      <alignment horizontal="right" vertical="center"/>
    </xf>
    <xf numFmtId="10" fontId="1" fillId="0" borderId="7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165" fontId="1" fillId="0" borderId="2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3" fillId="0" borderId="6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Normal" xfId="0" builtinId="0"/>
    <cellStyle name="Normal 2" xfId="1" xr:uid="{37BFA9F5-30AE-413F-951F-364C74BAB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3'!$B$2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3'!$B$3:$B$17</c:f>
              <c:numCache>
                <c:formatCode>#,##0.0</c:formatCode>
                <c:ptCount val="15"/>
                <c:pt idx="0">
                  <c:v>49.368686676025391</c:v>
                </c:pt>
                <c:pt idx="1">
                  <c:v>47.694141387939453</c:v>
                </c:pt>
                <c:pt idx="2">
                  <c:v>47.356250762939453</c:v>
                </c:pt>
                <c:pt idx="3">
                  <c:v>44.952667236328125</c:v>
                </c:pt>
                <c:pt idx="4">
                  <c:v>42.004955291748047</c:v>
                </c:pt>
                <c:pt idx="5">
                  <c:v>40.217781066894531</c:v>
                </c:pt>
                <c:pt idx="6">
                  <c:v>37.174510955810547</c:v>
                </c:pt>
                <c:pt idx="7">
                  <c:v>34.039176940917969</c:v>
                </c:pt>
                <c:pt idx="8">
                  <c:v>32.734790802001953</c:v>
                </c:pt>
                <c:pt idx="9">
                  <c:v>30.571781158447266</c:v>
                </c:pt>
                <c:pt idx="10">
                  <c:v>28.533149719238281</c:v>
                </c:pt>
                <c:pt idx="11">
                  <c:v>27.849176406860352</c:v>
                </c:pt>
                <c:pt idx="12">
                  <c:v>28.024290084838867</c:v>
                </c:pt>
                <c:pt idx="13">
                  <c:v>26.913917541503906</c:v>
                </c:pt>
                <c:pt idx="14">
                  <c:v>27.014764785766602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8-4A60-A70D-72C23ACDAE6C}"/>
            </c:ext>
          </c:extLst>
        </c:ser>
        <c:ser>
          <c:idx val="1"/>
          <c:order val="1"/>
          <c:tx>
            <c:strRef>
              <c:f>'Tabla 3'!$C$2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3'!$C$3:$C$17</c:f>
              <c:numCache>
                <c:formatCode>#,##0.0</c:formatCode>
                <c:ptCount val="15"/>
                <c:pt idx="0">
                  <c:v>35.907802581787109</c:v>
                </c:pt>
                <c:pt idx="1">
                  <c:v>36.431411743164063</c:v>
                </c:pt>
                <c:pt idx="2">
                  <c:v>34.227439880371094</c:v>
                </c:pt>
                <c:pt idx="3">
                  <c:v>32.20989990234375</c:v>
                </c:pt>
                <c:pt idx="4">
                  <c:v>26.928564071655273</c:v>
                </c:pt>
                <c:pt idx="5">
                  <c:v>25.561538696289063</c:v>
                </c:pt>
                <c:pt idx="6">
                  <c:v>23.225870132446289</c:v>
                </c:pt>
                <c:pt idx="7">
                  <c:v>20.597190856933594</c:v>
                </c:pt>
                <c:pt idx="8">
                  <c:v>18.941196441650391</c:v>
                </c:pt>
                <c:pt idx="9">
                  <c:v>17.501565933227539</c:v>
                </c:pt>
                <c:pt idx="10">
                  <c:v>15.884819030761719</c:v>
                </c:pt>
                <c:pt idx="11">
                  <c:v>15.35108470916748</c:v>
                </c:pt>
                <c:pt idx="12">
                  <c:v>15.917905807495117</c:v>
                </c:pt>
                <c:pt idx="13">
                  <c:v>15.897193908691406</c:v>
                </c:pt>
                <c:pt idx="14">
                  <c:v>16.189910888671875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8-4A60-A70D-72C23ACDAE6C}"/>
            </c:ext>
          </c:extLst>
        </c:ser>
        <c:ser>
          <c:idx val="2"/>
          <c:order val="2"/>
          <c:tx>
            <c:strRef>
              <c:f>'Tabla 3'!$D$2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3'!$D$3:$D$17</c:f>
              <c:numCache>
                <c:formatCode>#,##0.0</c:formatCode>
                <c:ptCount val="15"/>
                <c:pt idx="0">
                  <c:v>59.349861145019531</c:v>
                </c:pt>
                <c:pt idx="1">
                  <c:v>57.020992279052734</c:v>
                </c:pt>
                <c:pt idx="2">
                  <c:v>57.594173431396484</c:v>
                </c:pt>
                <c:pt idx="3">
                  <c:v>54.308010101318359</c:v>
                </c:pt>
                <c:pt idx="4">
                  <c:v>52.141876220703125</c:v>
                </c:pt>
                <c:pt idx="5">
                  <c:v>50.665260314941406</c:v>
                </c:pt>
                <c:pt idx="6">
                  <c:v>47.352413177490234</c:v>
                </c:pt>
                <c:pt idx="7">
                  <c:v>43.783294677734375</c:v>
                </c:pt>
                <c:pt idx="8">
                  <c:v>42.158107757568359</c:v>
                </c:pt>
                <c:pt idx="9">
                  <c:v>40.411880493164063</c:v>
                </c:pt>
                <c:pt idx="10">
                  <c:v>37.296733856201172</c:v>
                </c:pt>
                <c:pt idx="11">
                  <c:v>36.779544830322266</c:v>
                </c:pt>
                <c:pt idx="12">
                  <c:v>37.818168640136719</c:v>
                </c:pt>
                <c:pt idx="13">
                  <c:v>36.583896636962891</c:v>
                </c:pt>
                <c:pt idx="14">
                  <c:v>36.087665557861328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8-4A60-A70D-72C23ACDAE6C}"/>
            </c:ext>
          </c:extLst>
        </c:ser>
        <c:ser>
          <c:idx val="3"/>
          <c:order val="3"/>
          <c:tx>
            <c:strRef>
              <c:f>'Tabla 3'!$E$2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3'!$E$3:$E$17</c:f>
              <c:numCache>
                <c:formatCode>#,##0.0</c:formatCode>
                <c:ptCount val="15"/>
                <c:pt idx="0">
                  <c:v>60.916786193847656</c:v>
                </c:pt>
                <c:pt idx="1">
                  <c:v>56.340629577636719</c:v>
                </c:pt>
                <c:pt idx="2">
                  <c:v>58.292533874511719</c:v>
                </c:pt>
                <c:pt idx="3">
                  <c:v>56.387481689453125</c:v>
                </c:pt>
                <c:pt idx="4">
                  <c:v>57.095619201660156</c:v>
                </c:pt>
                <c:pt idx="5">
                  <c:v>54.25628662109375</c:v>
                </c:pt>
                <c:pt idx="6">
                  <c:v>50.34149169921875</c:v>
                </c:pt>
                <c:pt idx="7">
                  <c:v>46.909652709960938</c:v>
                </c:pt>
                <c:pt idx="8">
                  <c:v>46.794525146484375</c:v>
                </c:pt>
                <c:pt idx="9">
                  <c:v>42.761981964111328</c:v>
                </c:pt>
                <c:pt idx="10">
                  <c:v>41.428699493408203</c:v>
                </c:pt>
                <c:pt idx="11">
                  <c:v>40.294448852539063</c:v>
                </c:pt>
                <c:pt idx="12">
                  <c:v>38.560688018798828</c:v>
                </c:pt>
                <c:pt idx="13">
                  <c:v>35.964435577392578</c:v>
                </c:pt>
                <c:pt idx="14">
                  <c:v>36.065628051757813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8-4A60-A70D-72C23ACDA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3'!$B$2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3'!$F$3:$F$17</c:f>
              <c:numCache>
                <c:formatCode>#,##0.0</c:formatCode>
                <c:ptCount val="15"/>
                <c:pt idx="0">
                  <c:v>17.637813568115234</c:v>
                </c:pt>
                <c:pt idx="1">
                  <c:v>15.564229965209961</c:v>
                </c:pt>
                <c:pt idx="2">
                  <c:v>14.843342781066895</c:v>
                </c:pt>
                <c:pt idx="3">
                  <c:v>13.797229766845703</c:v>
                </c:pt>
                <c:pt idx="4">
                  <c:v>16.41334342956543</c:v>
                </c:pt>
                <c:pt idx="5">
                  <c:v>14.427791595458984</c:v>
                </c:pt>
                <c:pt idx="6">
                  <c:v>12.27851676940918</c:v>
                </c:pt>
                <c:pt idx="7">
                  <c:v>10.621200561523438</c:v>
                </c:pt>
                <c:pt idx="8">
                  <c:v>10.396331787109375</c:v>
                </c:pt>
                <c:pt idx="9">
                  <c:v>9.0640411376953125</c:v>
                </c:pt>
                <c:pt idx="10">
                  <c:v>8.0824813842773438</c:v>
                </c:pt>
                <c:pt idx="11">
                  <c:v>7.9416317939758301</c:v>
                </c:pt>
                <c:pt idx="12">
                  <c:v>8.456242561340332</c:v>
                </c:pt>
                <c:pt idx="13">
                  <c:v>7.3836374282836914</c:v>
                </c:pt>
                <c:pt idx="14">
                  <c:v>7.2499384880065918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D-4273-ADB1-1D44F89E1EEC}"/>
            </c:ext>
          </c:extLst>
        </c:ser>
        <c:ser>
          <c:idx val="1"/>
          <c:order val="1"/>
          <c:tx>
            <c:strRef>
              <c:f>'Tabla 3'!$C$2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3'!$G$3:$G$17</c:f>
              <c:numCache>
                <c:formatCode>#,##0.0</c:formatCode>
                <c:ptCount val="15"/>
                <c:pt idx="0">
                  <c:v>7.4407234191894531</c:v>
                </c:pt>
                <c:pt idx="1">
                  <c:v>7.3150067329406738</c:v>
                </c:pt>
                <c:pt idx="2">
                  <c:v>6.5363078117370605</c:v>
                </c:pt>
                <c:pt idx="3">
                  <c:v>5.6362271308898926</c:v>
                </c:pt>
                <c:pt idx="4">
                  <c:v>5.5752291679382324</c:v>
                </c:pt>
                <c:pt idx="5">
                  <c:v>5.2337636947631836</c:v>
                </c:pt>
                <c:pt idx="6">
                  <c:v>4.6380691528320313</c:v>
                </c:pt>
                <c:pt idx="7">
                  <c:v>3.4709594249725342</c:v>
                </c:pt>
                <c:pt idx="8">
                  <c:v>3.3154363632202148</c:v>
                </c:pt>
                <c:pt idx="9">
                  <c:v>3.003565788269043</c:v>
                </c:pt>
                <c:pt idx="10">
                  <c:v>2.6593377590179443</c:v>
                </c:pt>
                <c:pt idx="11">
                  <c:v>2.7217385768890381</c:v>
                </c:pt>
                <c:pt idx="12">
                  <c:v>2.9238207340240479</c:v>
                </c:pt>
                <c:pt idx="13">
                  <c:v>2.7685081958770752</c:v>
                </c:pt>
                <c:pt idx="14">
                  <c:v>2.8528001308441162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D-4273-ADB1-1D44F89E1EEC}"/>
            </c:ext>
          </c:extLst>
        </c:ser>
        <c:ser>
          <c:idx val="2"/>
          <c:order val="2"/>
          <c:tx>
            <c:strRef>
              <c:f>'Tabla 3'!$D$2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3'!$H$3:$H$17</c:f>
              <c:numCache>
                <c:formatCode>#,##0.0</c:formatCode>
                <c:ptCount val="15"/>
                <c:pt idx="0">
                  <c:v>19.552263259887695</c:v>
                </c:pt>
                <c:pt idx="1">
                  <c:v>16.638545989990234</c:v>
                </c:pt>
                <c:pt idx="2">
                  <c:v>15.176298141479492</c:v>
                </c:pt>
                <c:pt idx="3">
                  <c:v>14.251157760620117</c:v>
                </c:pt>
                <c:pt idx="4">
                  <c:v>19.194358825683594</c:v>
                </c:pt>
                <c:pt idx="5">
                  <c:v>16.445438385009766</c:v>
                </c:pt>
                <c:pt idx="6">
                  <c:v>13.24906063079834</c:v>
                </c:pt>
                <c:pt idx="7">
                  <c:v>11.892560958862305</c:v>
                </c:pt>
                <c:pt idx="8">
                  <c:v>11.364069938659668</c:v>
                </c:pt>
                <c:pt idx="9">
                  <c:v>10.338157653808594</c:v>
                </c:pt>
                <c:pt idx="10">
                  <c:v>8.5913524627685547</c:v>
                </c:pt>
                <c:pt idx="11">
                  <c:v>8.1169700622558594</c:v>
                </c:pt>
                <c:pt idx="12">
                  <c:v>9.4415283203125</c:v>
                </c:pt>
                <c:pt idx="13">
                  <c:v>8.369166374206543</c:v>
                </c:pt>
                <c:pt idx="14">
                  <c:v>7.7751116752624512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2D-4273-ADB1-1D44F89E1EEC}"/>
            </c:ext>
          </c:extLst>
        </c:ser>
        <c:ser>
          <c:idx val="3"/>
          <c:order val="3"/>
          <c:tx>
            <c:strRef>
              <c:f>'Tabla 3'!$E$2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3'!$I$3:$I$17</c:f>
              <c:numCache>
                <c:formatCode>#,##0.0</c:formatCode>
                <c:ptCount val="15"/>
                <c:pt idx="0">
                  <c:v>32.80767822265625</c:v>
                </c:pt>
                <c:pt idx="1">
                  <c:v>28.586454391479492</c:v>
                </c:pt>
                <c:pt idx="2">
                  <c:v>29.047744750976563</c:v>
                </c:pt>
                <c:pt idx="3">
                  <c:v>27.81190299987793</c:v>
                </c:pt>
                <c:pt idx="4">
                  <c:v>32.962203979492188</c:v>
                </c:pt>
                <c:pt idx="5">
                  <c:v>29.048913955688477</c:v>
                </c:pt>
                <c:pt idx="6">
                  <c:v>25.471567153930664</c:v>
                </c:pt>
                <c:pt idx="7">
                  <c:v>22.610340118408203</c:v>
                </c:pt>
                <c:pt idx="8">
                  <c:v>22.751810073852539</c:v>
                </c:pt>
                <c:pt idx="9">
                  <c:v>19.130285263061523</c:v>
                </c:pt>
                <c:pt idx="10">
                  <c:v>18.016717910766602</c:v>
                </c:pt>
                <c:pt idx="11">
                  <c:v>18.006320953369141</c:v>
                </c:pt>
                <c:pt idx="12">
                  <c:v>18.094327926635742</c:v>
                </c:pt>
                <c:pt idx="13">
                  <c:v>15.377017974853516</c:v>
                </c:pt>
                <c:pt idx="14">
                  <c:v>15.368209838867188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2D-4273-ADB1-1D44F89E1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4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4'!$B$2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4'!$B$3:$B$17</c:f>
              <c:numCache>
                <c:formatCode>#,##0.0</c:formatCode>
                <c:ptCount val="15"/>
                <c:pt idx="0">
                  <c:v>21.707021713256836</c:v>
                </c:pt>
                <c:pt idx="1">
                  <c:v>20.340766906738281</c:v>
                </c:pt>
                <c:pt idx="2">
                  <c:v>19.819868087768555</c:v>
                </c:pt>
                <c:pt idx="3">
                  <c:v>18.380168914794922</c:v>
                </c:pt>
                <c:pt idx="4">
                  <c:v>18.363204956054688</c:v>
                </c:pt>
                <c:pt idx="5">
                  <c:v>16.738040924072266</c:v>
                </c:pt>
                <c:pt idx="6">
                  <c:v>15.118712425231934</c:v>
                </c:pt>
                <c:pt idx="7">
                  <c:v>13.368127822875977</c:v>
                </c:pt>
                <c:pt idx="8">
                  <c:v>12.888945579528809</c:v>
                </c:pt>
                <c:pt idx="9">
                  <c:v>11.79701042175293</c:v>
                </c:pt>
                <c:pt idx="10">
                  <c:v>10.835399627685547</c:v>
                </c:pt>
                <c:pt idx="11">
                  <c:v>10.300780296325684</c:v>
                </c:pt>
                <c:pt idx="12">
                  <c:v>10.341764450073242</c:v>
                </c:pt>
                <c:pt idx="13">
                  <c:v>9.7049779891967773</c:v>
                </c:pt>
                <c:pt idx="14">
                  <c:v>9.8325824737548828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5-49D0-A08B-C163DF9A5E5E}"/>
            </c:ext>
          </c:extLst>
        </c:ser>
        <c:ser>
          <c:idx val="1"/>
          <c:order val="1"/>
          <c:tx>
            <c:strRef>
              <c:f>'Tabla 4'!$C$2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4'!$C$3:$C$17</c:f>
              <c:numCache>
                <c:formatCode>#,##0.0</c:formatCode>
                <c:ptCount val="15"/>
                <c:pt idx="0">
                  <c:v>13.82574462890625</c:v>
                </c:pt>
                <c:pt idx="1">
                  <c:v>14.021664619445801</c:v>
                </c:pt>
                <c:pt idx="2">
                  <c:v>12.871612548828125</c:v>
                </c:pt>
                <c:pt idx="3">
                  <c:v>11.618705749511719</c:v>
                </c:pt>
                <c:pt idx="4">
                  <c:v>9.6745786666870117</c:v>
                </c:pt>
                <c:pt idx="5">
                  <c:v>9.1323995590209961</c:v>
                </c:pt>
                <c:pt idx="6">
                  <c:v>8.2836952209472656</c:v>
                </c:pt>
                <c:pt idx="7">
                  <c:v>6.8817615509033203</c:v>
                </c:pt>
                <c:pt idx="8">
                  <c:v>6.3695249557495117</c:v>
                </c:pt>
                <c:pt idx="9">
                  <c:v>5.9308576583862305</c:v>
                </c:pt>
                <c:pt idx="10">
                  <c:v>5.2488384246826172</c:v>
                </c:pt>
                <c:pt idx="11">
                  <c:v>5.112358570098877</c:v>
                </c:pt>
                <c:pt idx="12">
                  <c:v>5.194526195526123</c:v>
                </c:pt>
                <c:pt idx="13">
                  <c:v>5.1392221450805664</c:v>
                </c:pt>
                <c:pt idx="14">
                  <c:v>5.3376679420471191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5-49D0-A08B-C163DF9A5E5E}"/>
            </c:ext>
          </c:extLst>
        </c:ser>
        <c:ser>
          <c:idx val="2"/>
          <c:order val="2"/>
          <c:tx>
            <c:strRef>
              <c:f>'Tabla 4'!$D$2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4'!$D$3:$D$17</c:f>
              <c:numCache>
                <c:formatCode>#,##0.0</c:formatCode>
                <c:ptCount val="15"/>
                <c:pt idx="0">
                  <c:v>27.427787780761719</c:v>
                </c:pt>
                <c:pt idx="1">
                  <c:v>25.61369514465332</c:v>
                </c:pt>
                <c:pt idx="2">
                  <c:v>24.994251251220703</c:v>
                </c:pt>
                <c:pt idx="3">
                  <c:v>23.11046028137207</c:v>
                </c:pt>
                <c:pt idx="4">
                  <c:v>24.377931594848633</c:v>
                </c:pt>
                <c:pt idx="5">
                  <c:v>22.140453338623047</c:v>
                </c:pt>
                <c:pt idx="6">
                  <c:v>19.826812744140625</c:v>
                </c:pt>
                <c:pt idx="7">
                  <c:v>18.073257446289063</c:v>
                </c:pt>
                <c:pt idx="8">
                  <c:v>17.377151489257813</c:v>
                </c:pt>
                <c:pt idx="9">
                  <c:v>16.219566345214844</c:v>
                </c:pt>
                <c:pt idx="10">
                  <c:v>14.62827205657959</c:v>
                </c:pt>
                <c:pt idx="11">
                  <c:v>13.869400978088379</c:v>
                </c:pt>
                <c:pt idx="12">
                  <c:v>14.43464469909668</c:v>
                </c:pt>
                <c:pt idx="13">
                  <c:v>13.717391014099121</c:v>
                </c:pt>
                <c:pt idx="14">
                  <c:v>13.440409660339355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85-49D0-A08B-C163DF9A5E5E}"/>
            </c:ext>
          </c:extLst>
        </c:ser>
        <c:ser>
          <c:idx val="3"/>
          <c:order val="3"/>
          <c:tx>
            <c:strRef>
              <c:f>'Tabla 4'!$E$2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4'!$E$3:$E$17</c:f>
              <c:numCache>
                <c:formatCode>#,##0.0</c:formatCode>
                <c:ptCount val="15"/>
                <c:pt idx="0">
                  <c:v>28.608436584472656</c:v>
                </c:pt>
                <c:pt idx="1">
                  <c:v>25.145542144775391</c:v>
                </c:pt>
                <c:pt idx="2">
                  <c:v>25.896905899047852</c:v>
                </c:pt>
                <c:pt idx="3">
                  <c:v>24.730081558227539</c:v>
                </c:pt>
                <c:pt idx="4">
                  <c:v>26.841516494750977</c:v>
                </c:pt>
                <c:pt idx="5">
                  <c:v>24.047670364379883</c:v>
                </c:pt>
                <c:pt idx="6">
                  <c:v>21.933364868164063</c:v>
                </c:pt>
                <c:pt idx="7">
                  <c:v>19.574563980102539</c:v>
                </c:pt>
                <c:pt idx="8">
                  <c:v>19.488533020019531</c:v>
                </c:pt>
                <c:pt idx="9">
                  <c:v>17.259958267211914</c:v>
                </c:pt>
                <c:pt idx="10">
                  <c:v>16.636728286743164</c:v>
                </c:pt>
                <c:pt idx="11">
                  <c:v>15.657194137573242</c:v>
                </c:pt>
                <c:pt idx="12">
                  <c:v>14.919822692871094</c:v>
                </c:pt>
                <c:pt idx="13">
                  <c:v>13.449283599853516</c:v>
                </c:pt>
                <c:pt idx="14">
                  <c:v>13.815189361572266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5-49D0-A08B-C163DF9A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4'!$B$2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4'!$F$3:$F$17</c:f>
              <c:numCache>
                <c:formatCode>#,##0.0</c:formatCode>
                <c:ptCount val="15"/>
                <c:pt idx="0">
                  <c:v>6.7014412879943848</c:v>
                </c:pt>
                <c:pt idx="1">
                  <c:v>5.737144947052002</c:v>
                </c:pt>
                <c:pt idx="2">
                  <c:v>5.3722748756408691</c:v>
                </c:pt>
                <c:pt idx="3">
                  <c:v>4.832310676574707</c:v>
                </c:pt>
                <c:pt idx="4">
                  <c:v>6.7177672386169434</c:v>
                </c:pt>
                <c:pt idx="5">
                  <c:v>5.4795660972595215</c:v>
                </c:pt>
                <c:pt idx="6">
                  <c:v>4.6093907356262207</c:v>
                </c:pt>
                <c:pt idx="7">
                  <c:v>3.7947773933410645</c:v>
                </c:pt>
                <c:pt idx="8">
                  <c:v>3.7822487354278564</c:v>
                </c:pt>
                <c:pt idx="9">
                  <c:v>3.3075382709503174</c:v>
                </c:pt>
                <c:pt idx="10">
                  <c:v>2.9789025783538818</c:v>
                </c:pt>
                <c:pt idx="11">
                  <c:v>2.8532488346099854</c:v>
                </c:pt>
                <c:pt idx="12">
                  <c:v>3.1126213073730469</c:v>
                </c:pt>
                <c:pt idx="13">
                  <c:v>2.6750195026397705</c:v>
                </c:pt>
                <c:pt idx="14">
                  <c:v>2.725287914276123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B-4F79-B74E-201921A25513}"/>
            </c:ext>
          </c:extLst>
        </c:ser>
        <c:ser>
          <c:idx val="1"/>
          <c:order val="1"/>
          <c:tx>
            <c:strRef>
              <c:f>'Tabla 4'!$C$2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4'!$G$3:$G$17</c:f>
              <c:numCache>
                <c:formatCode>#,##0.0</c:formatCode>
                <c:ptCount val="15"/>
                <c:pt idx="0">
                  <c:v>2.7041831016540527</c:v>
                </c:pt>
                <c:pt idx="1">
                  <c:v>2.5989482402801514</c:v>
                </c:pt>
                <c:pt idx="2">
                  <c:v>2.4179980754852295</c:v>
                </c:pt>
                <c:pt idx="3">
                  <c:v>1.9343752861022949</c:v>
                </c:pt>
                <c:pt idx="4">
                  <c:v>2.0906219482421875</c:v>
                </c:pt>
                <c:pt idx="5">
                  <c:v>1.9772406816482544</c:v>
                </c:pt>
                <c:pt idx="6">
                  <c:v>1.8083381652832031</c:v>
                </c:pt>
                <c:pt idx="7">
                  <c:v>1.2857649326324463</c:v>
                </c:pt>
                <c:pt idx="8">
                  <c:v>1.2282640933990479</c:v>
                </c:pt>
                <c:pt idx="9">
                  <c:v>1.2313377857208252</c:v>
                </c:pt>
                <c:pt idx="10">
                  <c:v>1.0889527797698975</c:v>
                </c:pt>
                <c:pt idx="11">
                  <c:v>1.1762490272521973</c:v>
                </c:pt>
                <c:pt idx="12">
                  <c:v>1.2303003072738647</c:v>
                </c:pt>
                <c:pt idx="13">
                  <c:v>1.1936614513397217</c:v>
                </c:pt>
                <c:pt idx="14">
                  <c:v>1.254645824432373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B-4F79-B74E-201921A25513}"/>
            </c:ext>
          </c:extLst>
        </c:ser>
        <c:ser>
          <c:idx val="2"/>
          <c:order val="2"/>
          <c:tx>
            <c:strRef>
              <c:f>'Tabla 4'!$D$2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4'!$H$3:$H$17</c:f>
              <c:numCache>
                <c:formatCode>#,##0.0</c:formatCode>
                <c:ptCount val="15"/>
                <c:pt idx="0">
                  <c:v>6.9257144927978516</c:v>
                </c:pt>
                <c:pt idx="1">
                  <c:v>6.0322360992431641</c:v>
                </c:pt>
                <c:pt idx="2">
                  <c:v>5.158909797668457</c:v>
                </c:pt>
                <c:pt idx="3">
                  <c:v>4.6525511741638184</c:v>
                </c:pt>
                <c:pt idx="4">
                  <c:v>7.6234173774719238</c:v>
                </c:pt>
                <c:pt idx="5">
                  <c:v>5.982670783996582</c:v>
                </c:pt>
                <c:pt idx="6">
                  <c:v>4.6438188552856445</c:v>
                </c:pt>
                <c:pt idx="7">
                  <c:v>4.0746164321899414</c:v>
                </c:pt>
                <c:pt idx="8">
                  <c:v>3.9957082271575928</c:v>
                </c:pt>
                <c:pt idx="9">
                  <c:v>3.6075971126556396</c:v>
                </c:pt>
                <c:pt idx="10">
                  <c:v>3.0546944141387939</c:v>
                </c:pt>
                <c:pt idx="11">
                  <c:v>2.7184772491455078</c:v>
                </c:pt>
                <c:pt idx="12">
                  <c:v>3.3947010040283203</c:v>
                </c:pt>
                <c:pt idx="13">
                  <c:v>2.925546407699585</c:v>
                </c:pt>
                <c:pt idx="14">
                  <c:v>2.7567813396453857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B-4F79-B74E-201921A25513}"/>
            </c:ext>
          </c:extLst>
        </c:ser>
        <c:ser>
          <c:idx val="3"/>
          <c:order val="3"/>
          <c:tx>
            <c:strRef>
              <c:f>'Tabla 4'!$E$2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4'!$I$3:$I$17</c:f>
              <c:numCache>
                <c:formatCode>#,##0.0</c:formatCode>
                <c:ptCount val="15"/>
                <c:pt idx="0">
                  <c:v>13.246451377868652</c:v>
                </c:pt>
                <c:pt idx="1">
                  <c:v>10.823101997375488</c:v>
                </c:pt>
                <c:pt idx="2">
                  <c:v>10.817176818847656</c:v>
                </c:pt>
                <c:pt idx="3">
                  <c:v>10.220839500427246</c:v>
                </c:pt>
                <c:pt idx="4">
                  <c:v>14.139316558837891</c:v>
                </c:pt>
                <c:pt idx="5">
                  <c:v>11.389569282531738</c:v>
                </c:pt>
                <c:pt idx="6">
                  <c:v>9.863520622253418</c:v>
                </c:pt>
                <c:pt idx="7">
                  <c:v>8.2203617095947266</c:v>
                </c:pt>
                <c:pt idx="8">
                  <c:v>8.4187345504760742</c:v>
                </c:pt>
                <c:pt idx="9">
                  <c:v>6.9391460418701172</c:v>
                </c:pt>
                <c:pt idx="10">
                  <c:v>6.5786514282226563</c:v>
                </c:pt>
                <c:pt idx="11">
                  <c:v>6.3484025001525879</c:v>
                </c:pt>
                <c:pt idx="12">
                  <c:v>6.465273380279541</c:v>
                </c:pt>
                <c:pt idx="13">
                  <c:v>5.330930233001709</c:v>
                </c:pt>
                <c:pt idx="14">
                  <c:v>5.6430830955505371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4B-4F79-B74E-201921A25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18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5'!$B$2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5'!$B$3:$B$17</c:f>
              <c:numCache>
                <c:formatCode>#,##0.0</c:formatCode>
                <c:ptCount val="15"/>
                <c:pt idx="0">
                  <c:v>12.646281242370605</c:v>
                </c:pt>
                <c:pt idx="1">
                  <c:v>11.536758422851563</c:v>
                </c:pt>
                <c:pt idx="2">
                  <c:v>11.06525707244873</c:v>
                </c:pt>
                <c:pt idx="3">
                  <c:v>10.121403694152832</c:v>
                </c:pt>
                <c:pt idx="4">
                  <c:v>10.821671485900879</c:v>
                </c:pt>
                <c:pt idx="5">
                  <c:v>9.5029335021972656</c:v>
                </c:pt>
                <c:pt idx="6">
                  <c:v>8.4541292190551758</c:v>
                </c:pt>
                <c:pt idx="7">
                  <c:v>7.2484850883483887</c:v>
                </c:pt>
                <c:pt idx="8">
                  <c:v>7.0461273193359375</c:v>
                </c:pt>
                <c:pt idx="9">
                  <c:v>6.4046993255615234</c:v>
                </c:pt>
                <c:pt idx="10">
                  <c:v>5.8237042427062988</c:v>
                </c:pt>
                <c:pt idx="11">
                  <c:v>5.4340925216674805</c:v>
                </c:pt>
                <c:pt idx="12">
                  <c:v>5.4973363876342773</c:v>
                </c:pt>
                <c:pt idx="13">
                  <c:v>5.0725679397583008</c:v>
                </c:pt>
                <c:pt idx="14">
                  <c:v>5.1967906951904297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2-4311-B5D1-57E46FBF4F19}"/>
            </c:ext>
          </c:extLst>
        </c:ser>
        <c:ser>
          <c:idx val="1"/>
          <c:order val="1"/>
          <c:tx>
            <c:strRef>
              <c:f>'Tabla 5'!$C$2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5'!$C$3:$C$17</c:f>
              <c:numCache>
                <c:formatCode>#,##0.0</c:formatCode>
                <c:ptCount val="15"/>
                <c:pt idx="0">
                  <c:v>7.4270291328430176</c:v>
                </c:pt>
                <c:pt idx="1">
                  <c:v>7.4626688957214355</c:v>
                </c:pt>
                <c:pt idx="2">
                  <c:v>6.791351318359375</c:v>
                </c:pt>
                <c:pt idx="3">
                  <c:v>5.9389281272888184</c:v>
                </c:pt>
                <c:pt idx="4">
                  <c:v>5.0564618110656738</c:v>
                </c:pt>
                <c:pt idx="5">
                  <c:v>4.7965655326843262</c:v>
                </c:pt>
                <c:pt idx="6">
                  <c:v>4.3747501373291016</c:v>
                </c:pt>
                <c:pt idx="7">
                  <c:v>3.4479198455810547</c:v>
                </c:pt>
                <c:pt idx="8">
                  <c:v>3.2051980495452881</c:v>
                </c:pt>
                <c:pt idx="9">
                  <c:v>3.045499324798584</c:v>
                </c:pt>
                <c:pt idx="10">
                  <c:v>2.6739704608917236</c:v>
                </c:pt>
                <c:pt idx="11">
                  <c:v>2.6394188404083252</c:v>
                </c:pt>
                <c:pt idx="12">
                  <c:v>2.6558010578155518</c:v>
                </c:pt>
                <c:pt idx="13">
                  <c:v>2.6248531341552734</c:v>
                </c:pt>
                <c:pt idx="14">
                  <c:v>2.7629482746124268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22-4311-B5D1-57E46FBF4F19}"/>
            </c:ext>
          </c:extLst>
        </c:ser>
        <c:ser>
          <c:idx val="2"/>
          <c:order val="2"/>
          <c:tx>
            <c:strRef>
              <c:f>'Tabla 5'!$D$2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5'!$D$3:$D$17</c:f>
              <c:numCache>
                <c:formatCode>#,##0.0</c:formatCode>
                <c:ptCount val="15"/>
                <c:pt idx="0">
                  <c:v>16.290250778198242</c:v>
                </c:pt>
                <c:pt idx="1">
                  <c:v>14.830615997314453</c:v>
                </c:pt>
                <c:pt idx="2">
                  <c:v>14.047096252441406</c:v>
                </c:pt>
                <c:pt idx="3">
                  <c:v>12.90585994720459</c:v>
                </c:pt>
                <c:pt idx="4">
                  <c:v>14.745810508728027</c:v>
                </c:pt>
                <c:pt idx="5">
                  <c:v>12.797422409057617</c:v>
                </c:pt>
                <c:pt idx="6">
                  <c:v>11.10440731048584</c:v>
                </c:pt>
                <c:pt idx="7">
                  <c:v>9.9877338409423828</c:v>
                </c:pt>
                <c:pt idx="8">
                  <c:v>9.6195011138916016</c:v>
                </c:pt>
                <c:pt idx="9">
                  <c:v>8.9180202484130859</c:v>
                </c:pt>
                <c:pt idx="10">
                  <c:v>7.9056406021118164</c:v>
                </c:pt>
                <c:pt idx="11">
                  <c:v>7.2382006645202637</c:v>
                </c:pt>
                <c:pt idx="12">
                  <c:v>7.7273812294006348</c:v>
                </c:pt>
                <c:pt idx="13">
                  <c:v>7.2179555892944336</c:v>
                </c:pt>
                <c:pt idx="14">
                  <c:v>7.0490498542785645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22-4311-B5D1-57E46FBF4F19}"/>
            </c:ext>
          </c:extLst>
        </c:ser>
        <c:ser>
          <c:idx val="3"/>
          <c:order val="3"/>
          <c:tx>
            <c:strRef>
              <c:f>'Tabla 5'!$E$2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5'!$E$3:$E$17</c:f>
              <c:numCache>
                <c:formatCode>#,##0.0</c:formatCode>
                <c:ptCount val="15"/>
                <c:pt idx="0">
                  <c:v>17.380990982055664</c:v>
                </c:pt>
                <c:pt idx="1">
                  <c:v>14.757376670837402</c:v>
                </c:pt>
                <c:pt idx="2">
                  <c:v>15.041489601135254</c:v>
                </c:pt>
                <c:pt idx="3">
                  <c:v>14.220385551452637</c:v>
                </c:pt>
                <c:pt idx="4">
                  <c:v>16.531894683837891</c:v>
                </c:pt>
                <c:pt idx="5">
                  <c:v>14.088325500488281</c:v>
                </c:pt>
                <c:pt idx="6">
                  <c:v>12.728764533996582</c:v>
                </c:pt>
                <c:pt idx="7">
                  <c:v>10.908215522766113</c:v>
                </c:pt>
                <c:pt idx="8">
                  <c:v>11.028373718261719</c:v>
                </c:pt>
                <c:pt idx="9">
                  <c:v>9.5587978363037109</c:v>
                </c:pt>
                <c:pt idx="10">
                  <c:v>9.171147346496582</c:v>
                </c:pt>
                <c:pt idx="11">
                  <c:v>8.4809322357177734</c:v>
                </c:pt>
                <c:pt idx="12">
                  <c:v>8.0653257369995117</c:v>
                </c:pt>
                <c:pt idx="13">
                  <c:v>7.0876846313476563</c:v>
                </c:pt>
                <c:pt idx="14">
                  <c:v>7.4955477714538574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22-4311-B5D1-57E46FBF4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5'!$B$2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5'!$F$3:$F$17</c:f>
              <c:numCache>
                <c:formatCode>#,##0.0</c:formatCode>
                <c:ptCount val="15"/>
                <c:pt idx="0">
                  <c:v>3.6983346939086914</c:v>
                </c:pt>
                <c:pt idx="1">
                  <c:v>3.11244797706604</c:v>
                </c:pt>
                <c:pt idx="2">
                  <c:v>2.8364865779876709</c:v>
                </c:pt>
                <c:pt idx="3">
                  <c:v>2.5063140392303467</c:v>
                </c:pt>
                <c:pt idx="4">
                  <c:v>3.9523298740386963</c:v>
                </c:pt>
                <c:pt idx="5">
                  <c:v>3.0474379062652588</c:v>
                </c:pt>
                <c:pt idx="6">
                  <c:v>2.5390057563781738</c:v>
                </c:pt>
                <c:pt idx="7">
                  <c:v>2.0224745273590088</c:v>
                </c:pt>
                <c:pt idx="8">
                  <c:v>2.0719451904296875</c:v>
                </c:pt>
                <c:pt idx="9">
                  <c:v>1.8294616937637329</c:v>
                </c:pt>
                <c:pt idx="10">
                  <c:v>1.6688942909240723</c:v>
                </c:pt>
                <c:pt idx="11">
                  <c:v>1.5720375776290894</c:v>
                </c:pt>
                <c:pt idx="12">
                  <c:v>1.7354797124862671</c:v>
                </c:pt>
                <c:pt idx="13">
                  <c:v>1.5000764131546021</c:v>
                </c:pt>
                <c:pt idx="14">
                  <c:v>1.5609755516052246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9-40F5-82E6-75F5AC69FBB1}"/>
            </c:ext>
          </c:extLst>
        </c:ser>
        <c:ser>
          <c:idx val="1"/>
          <c:order val="1"/>
          <c:tx>
            <c:strRef>
              <c:f>'Tabla 5'!$C$2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5'!$G$3:$G$17</c:f>
              <c:numCache>
                <c:formatCode>#,##0.0</c:formatCode>
                <c:ptCount val="15"/>
                <c:pt idx="0">
                  <c:v>1.556721568107605</c:v>
                </c:pt>
                <c:pt idx="1">
                  <c:v>1.4516253471374512</c:v>
                </c:pt>
                <c:pt idx="2">
                  <c:v>1.3803051710128784</c:v>
                </c:pt>
                <c:pt idx="3">
                  <c:v>1.0641170740127563</c:v>
                </c:pt>
                <c:pt idx="4">
                  <c:v>1.2543526887893677</c:v>
                </c:pt>
                <c:pt idx="5">
                  <c:v>1.1929848194122314</c:v>
                </c:pt>
                <c:pt idx="6">
                  <c:v>1.0946974754333496</c:v>
                </c:pt>
                <c:pt idx="7">
                  <c:v>0.75957298278808594</c:v>
                </c:pt>
                <c:pt idx="8">
                  <c:v>0.72233831882476807</c:v>
                </c:pt>
                <c:pt idx="9">
                  <c:v>0.77509611845016479</c:v>
                </c:pt>
                <c:pt idx="10">
                  <c:v>0.70494425296783447</c:v>
                </c:pt>
                <c:pt idx="11">
                  <c:v>0.78596514463424683</c:v>
                </c:pt>
                <c:pt idx="12">
                  <c:v>0.79174906015396118</c:v>
                </c:pt>
                <c:pt idx="13">
                  <c:v>0.80452847480773926</c:v>
                </c:pt>
                <c:pt idx="14">
                  <c:v>0.85290676355361938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9-40F5-82E6-75F5AC69FBB1}"/>
            </c:ext>
          </c:extLst>
        </c:ser>
        <c:ser>
          <c:idx val="2"/>
          <c:order val="2"/>
          <c:tx>
            <c:strRef>
              <c:f>'Tabla 5'!$D$2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5'!$H$3:$H$17</c:f>
              <c:numCache>
                <c:formatCode>#,##0.0</c:formatCode>
                <c:ptCount val="15"/>
                <c:pt idx="0">
                  <c:v>3.6877033710479736</c:v>
                </c:pt>
                <c:pt idx="1">
                  <c:v>3.2489852905273438</c:v>
                </c:pt>
                <c:pt idx="2">
                  <c:v>2.60817551612854</c:v>
                </c:pt>
                <c:pt idx="3">
                  <c:v>2.2804217338562012</c:v>
                </c:pt>
                <c:pt idx="4">
                  <c:v>4.4473276138305664</c:v>
                </c:pt>
                <c:pt idx="5">
                  <c:v>3.2266249656677246</c:v>
                </c:pt>
                <c:pt idx="6">
                  <c:v>2.4209229946136475</c:v>
                </c:pt>
                <c:pt idx="7">
                  <c:v>2.1351265907287598</c:v>
                </c:pt>
                <c:pt idx="8">
                  <c:v>2.1801605224609375</c:v>
                </c:pt>
                <c:pt idx="9">
                  <c:v>1.96037757396698</c:v>
                </c:pt>
                <c:pt idx="10">
                  <c:v>1.7023869752883911</c:v>
                </c:pt>
                <c:pt idx="11">
                  <c:v>1.4518489837646484</c:v>
                </c:pt>
                <c:pt idx="12">
                  <c:v>1.8970315456390381</c:v>
                </c:pt>
                <c:pt idx="13">
                  <c:v>1.6419486999511719</c:v>
                </c:pt>
                <c:pt idx="14">
                  <c:v>1.5179766416549683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9-40F5-82E6-75F5AC69FBB1}"/>
            </c:ext>
          </c:extLst>
        </c:ser>
        <c:ser>
          <c:idx val="3"/>
          <c:order val="3"/>
          <c:tx>
            <c:strRef>
              <c:f>'Tabla 5'!$E$2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5'!$I$3:$I$17</c:f>
              <c:numCache>
                <c:formatCode>#,##0.0</c:formatCode>
                <c:ptCount val="15"/>
                <c:pt idx="0">
                  <c:v>7.3537030220031738</c:v>
                </c:pt>
                <c:pt idx="1">
                  <c:v>5.8268933296203613</c:v>
                </c:pt>
                <c:pt idx="2">
                  <c:v>5.666295051574707</c:v>
                </c:pt>
                <c:pt idx="3">
                  <c:v>5.3528456687927246</c:v>
                </c:pt>
                <c:pt idx="4">
                  <c:v>8.3214855194091797</c:v>
                </c:pt>
                <c:pt idx="5">
                  <c:v>6.2885160446166992</c:v>
                </c:pt>
                <c:pt idx="6">
                  <c:v>5.4246320724487305</c:v>
                </c:pt>
                <c:pt idx="7">
                  <c:v>4.2871546745300293</c:v>
                </c:pt>
                <c:pt idx="8">
                  <c:v>4.5280976295471191</c:v>
                </c:pt>
                <c:pt idx="9">
                  <c:v>3.7025249004364014</c:v>
                </c:pt>
                <c:pt idx="10">
                  <c:v>3.5119130611419678</c:v>
                </c:pt>
                <c:pt idx="11">
                  <c:v>3.2884142398834229</c:v>
                </c:pt>
                <c:pt idx="12">
                  <c:v>3.3885715007781982</c:v>
                </c:pt>
                <c:pt idx="13">
                  <c:v>2.7138874530792236</c:v>
                </c:pt>
                <c:pt idx="14">
                  <c:v>3.0475492477416992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9-40F5-82E6-75F5AC69F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0A8890-8884-4803-BD07-A40611BA0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B92BED-D30C-40D7-BDEA-D1E64DCC8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173E3-ED9C-4440-BF03-F1EB8F22A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AFF0FC-F6D3-494A-A02B-611AA7C69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C000C2-8138-471A-8836-70522D6F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9A7849-EE13-47E3-B403-1134D49FE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3C6B-E365-40D2-B603-4F5B29A86B43}">
  <sheetPr codeName="Hoja2"/>
  <dimension ref="A1:M18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9" width="14.28515625" style="1" customWidth="1"/>
    <col min="10" max="10" width="17.85546875" style="1" customWidth="1"/>
    <col min="11" max="11" width="21.425781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42" t="s">
        <v>10</v>
      </c>
      <c r="B1" s="40" t="s">
        <v>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15.75" thickBot="1" x14ac:dyDescent="0.3">
      <c r="A2" s="43"/>
      <c r="B2" s="40" t="s">
        <v>0</v>
      </c>
      <c r="C2" s="40"/>
      <c r="D2" s="40"/>
      <c r="E2" s="41"/>
      <c r="F2" s="45" t="s">
        <v>1</v>
      </c>
      <c r="G2" s="40"/>
      <c r="H2" s="40"/>
      <c r="I2" s="41"/>
      <c r="J2" s="45" t="s">
        <v>21</v>
      </c>
      <c r="K2" s="40"/>
      <c r="L2" s="40"/>
      <c r="M2" s="41"/>
    </row>
    <row r="3" spans="1:13" ht="15.75" thickBot="1" x14ac:dyDescent="0.3">
      <c r="A3" s="44"/>
      <c r="B3" s="2" t="s">
        <v>11</v>
      </c>
      <c r="C3" s="2" t="s">
        <v>2</v>
      </c>
      <c r="D3" s="2" t="s">
        <v>4</v>
      </c>
      <c r="E3" s="3" t="s">
        <v>3</v>
      </c>
      <c r="F3" s="2" t="s">
        <v>11</v>
      </c>
      <c r="G3" s="2" t="s">
        <v>2</v>
      </c>
      <c r="H3" s="2" t="s">
        <v>4</v>
      </c>
      <c r="I3" s="7" t="s">
        <v>3</v>
      </c>
      <c r="J3" s="2" t="s">
        <v>11</v>
      </c>
      <c r="K3" s="2" t="s">
        <v>2</v>
      </c>
      <c r="L3" s="2" t="s">
        <v>4</v>
      </c>
      <c r="M3" s="3" t="s">
        <v>3</v>
      </c>
    </row>
    <row r="4" spans="1:13" x14ac:dyDescent="0.25">
      <c r="A4" s="4">
        <v>2002</v>
      </c>
      <c r="B4" s="10">
        <v>49.368686676025391</v>
      </c>
      <c r="C4" s="10">
        <v>35.907802581787109</v>
      </c>
      <c r="D4" s="10">
        <v>59.349861145019531</v>
      </c>
      <c r="E4" s="11">
        <v>60.916786193847656</v>
      </c>
      <c r="F4" s="10">
        <v>21.707021713256836</v>
      </c>
      <c r="G4" s="10">
        <v>13.82574462890625</v>
      </c>
      <c r="H4" s="10">
        <v>27.427787780761719</v>
      </c>
      <c r="I4" s="11">
        <v>28.608436584472656</v>
      </c>
      <c r="J4" s="14">
        <v>12.646281242370605</v>
      </c>
      <c r="K4" s="10">
        <v>7.4270291328430176</v>
      </c>
      <c r="L4" s="10">
        <v>16.290250778198242</v>
      </c>
      <c r="M4" s="11">
        <v>17.380990982055664</v>
      </c>
    </row>
    <row r="5" spans="1:13" x14ac:dyDescent="0.25">
      <c r="A5" s="5">
        <v>2003</v>
      </c>
      <c r="B5" s="10">
        <v>47.694141387939453</v>
      </c>
      <c r="C5" s="10">
        <v>36.431411743164063</v>
      </c>
      <c r="D5" s="10">
        <v>57.020992279052734</v>
      </c>
      <c r="E5" s="11">
        <v>56.340629577636719</v>
      </c>
      <c r="F5" s="10">
        <v>20.340766906738281</v>
      </c>
      <c r="G5" s="10">
        <v>14.021664619445801</v>
      </c>
      <c r="H5" s="10">
        <v>25.61369514465332</v>
      </c>
      <c r="I5" s="11">
        <v>25.145542144775391</v>
      </c>
      <c r="J5" s="15">
        <v>11.536758422851563</v>
      </c>
      <c r="K5" s="10">
        <v>7.4626688957214355</v>
      </c>
      <c r="L5" s="10">
        <v>14.830615997314453</v>
      </c>
      <c r="M5" s="11">
        <v>14.757376670837402</v>
      </c>
    </row>
    <row r="6" spans="1:13" x14ac:dyDescent="0.25">
      <c r="A6" s="5">
        <v>2004</v>
      </c>
      <c r="B6" s="10">
        <v>47.356250762939453</v>
      </c>
      <c r="C6" s="10">
        <v>34.227439880371094</v>
      </c>
      <c r="D6" s="10">
        <v>57.594173431396484</v>
      </c>
      <c r="E6" s="11">
        <v>58.292533874511719</v>
      </c>
      <c r="F6" s="10">
        <v>19.819868087768555</v>
      </c>
      <c r="G6" s="10">
        <v>12.871612548828125</v>
      </c>
      <c r="H6" s="10">
        <v>24.994251251220703</v>
      </c>
      <c r="I6" s="11">
        <v>25.896905899047852</v>
      </c>
      <c r="J6" s="15">
        <v>11.06525707244873</v>
      </c>
      <c r="K6" s="10">
        <v>6.791351318359375</v>
      </c>
      <c r="L6" s="10">
        <v>14.047096252441406</v>
      </c>
      <c r="M6" s="11">
        <v>15.041489601135254</v>
      </c>
    </row>
    <row r="7" spans="1:13" x14ac:dyDescent="0.25">
      <c r="A7" s="5">
        <v>2005</v>
      </c>
      <c r="B7" s="10">
        <v>44.952667236328125</v>
      </c>
      <c r="C7" s="10">
        <v>32.20989990234375</v>
      </c>
      <c r="D7" s="10">
        <v>54.308010101318359</v>
      </c>
      <c r="E7" s="11">
        <v>56.387481689453125</v>
      </c>
      <c r="F7" s="10">
        <v>18.380168914794922</v>
      </c>
      <c r="G7" s="10">
        <v>11.618705749511719</v>
      </c>
      <c r="H7" s="10">
        <v>23.11046028137207</v>
      </c>
      <c r="I7" s="11">
        <v>24.730081558227539</v>
      </c>
      <c r="J7" s="15">
        <v>10.121403694152832</v>
      </c>
      <c r="K7" s="10">
        <v>5.9389281272888184</v>
      </c>
      <c r="L7" s="10">
        <v>12.90585994720459</v>
      </c>
      <c r="M7" s="11">
        <v>14.220385551452637</v>
      </c>
    </row>
    <row r="8" spans="1:13" x14ac:dyDescent="0.25">
      <c r="A8" s="5">
        <v>2008</v>
      </c>
      <c r="B8" s="10">
        <v>42.004955291748047</v>
      </c>
      <c r="C8" s="10">
        <v>26.928564071655273</v>
      </c>
      <c r="D8" s="10">
        <v>52.141876220703125</v>
      </c>
      <c r="E8" s="11">
        <v>57.095619201660156</v>
      </c>
      <c r="F8" s="10">
        <v>18.363204956054688</v>
      </c>
      <c r="G8" s="10">
        <v>9.6745786666870117</v>
      </c>
      <c r="H8" s="10">
        <v>24.377931594848633</v>
      </c>
      <c r="I8" s="11">
        <v>26.841516494750977</v>
      </c>
      <c r="J8" s="15">
        <v>10.821671485900879</v>
      </c>
      <c r="K8" s="10">
        <v>5.0564618110656738</v>
      </c>
      <c r="L8" s="10">
        <v>14.745810508728027</v>
      </c>
      <c r="M8" s="11">
        <v>16.531894683837891</v>
      </c>
    </row>
    <row r="9" spans="1:13" x14ac:dyDescent="0.25">
      <c r="A9" s="5">
        <v>2009</v>
      </c>
      <c r="B9" s="10">
        <v>40.217781066894531</v>
      </c>
      <c r="C9" s="10">
        <v>25.561538696289063</v>
      </c>
      <c r="D9" s="10">
        <v>50.665260314941406</v>
      </c>
      <c r="E9" s="11">
        <v>54.25628662109375</v>
      </c>
      <c r="F9" s="10">
        <v>16.738040924072266</v>
      </c>
      <c r="G9" s="10">
        <v>9.1323995590209961</v>
      </c>
      <c r="H9" s="10">
        <v>22.140453338623047</v>
      </c>
      <c r="I9" s="11">
        <v>24.047670364379883</v>
      </c>
      <c r="J9" s="15">
        <v>9.5029335021972656</v>
      </c>
      <c r="K9" s="10">
        <v>4.7965655326843262</v>
      </c>
      <c r="L9" s="10">
        <v>12.797422409057617</v>
      </c>
      <c r="M9" s="11">
        <v>14.088325500488281</v>
      </c>
    </row>
    <row r="10" spans="1:13" x14ac:dyDescent="0.25">
      <c r="A10" s="5">
        <v>2010</v>
      </c>
      <c r="B10" s="10">
        <v>37.174510955810547</v>
      </c>
      <c r="C10" s="10">
        <v>23.225870132446289</v>
      </c>
      <c r="D10" s="10">
        <v>47.352413177490234</v>
      </c>
      <c r="E10" s="11">
        <v>50.34149169921875</v>
      </c>
      <c r="F10" s="10">
        <v>15.118712425231934</v>
      </c>
      <c r="G10" s="10">
        <v>8.2836952209472656</v>
      </c>
      <c r="H10" s="10">
        <v>19.826812744140625</v>
      </c>
      <c r="I10" s="11">
        <v>21.933364868164063</v>
      </c>
      <c r="J10" s="15">
        <v>8.4541292190551758</v>
      </c>
      <c r="K10" s="10">
        <v>4.3747501373291016</v>
      </c>
      <c r="L10" s="10">
        <v>11.10440731048584</v>
      </c>
      <c r="M10" s="11">
        <v>12.728764533996582</v>
      </c>
    </row>
    <row r="11" spans="1:13" x14ac:dyDescent="0.25">
      <c r="A11" s="5">
        <v>2011</v>
      </c>
      <c r="B11" s="10">
        <v>34.039176940917969</v>
      </c>
      <c r="C11" s="10">
        <v>20.597190856933594</v>
      </c>
      <c r="D11" s="10">
        <v>43.783294677734375</v>
      </c>
      <c r="E11" s="11">
        <v>46.909652709960938</v>
      </c>
      <c r="F11" s="10">
        <v>13.368127822875977</v>
      </c>
      <c r="G11" s="10">
        <v>6.8817615509033203</v>
      </c>
      <c r="H11" s="10">
        <v>18.073257446289063</v>
      </c>
      <c r="I11" s="11">
        <v>19.574563980102539</v>
      </c>
      <c r="J11" s="15">
        <v>7.2484850883483887</v>
      </c>
      <c r="K11" s="10">
        <v>3.4479198455810547</v>
      </c>
      <c r="L11" s="10">
        <v>9.9877338409423828</v>
      </c>
      <c r="M11" s="11">
        <v>10.908215522766113</v>
      </c>
    </row>
    <row r="12" spans="1:13" x14ac:dyDescent="0.25">
      <c r="A12" s="5">
        <v>2012</v>
      </c>
      <c r="B12" s="10">
        <v>32.734790802001953</v>
      </c>
      <c r="C12" s="10">
        <v>18.941196441650391</v>
      </c>
      <c r="D12" s="10">
        <v>42.158107757568359</v>
      </c>
      <c r="E12" s="11">
        <v>46.794525146484375</v>
      </c>
      <c r="F12" s="10">
        <v>12.888945579528809</v>
      </c>
      <c r="G12" s="10">
        <v>6.3695249557495117</v>
      </c>
      <c r="H12" s="10">
        <v>17.377151489257813</v>
      </c>
      <c r="I12" s="11">
        <v>19.488533020019531</v>
      </c>
      <c r="J12" s="15">
        <v>7.0461273193359375</v>
      </c>
      <c r="K12" s="10">
        <v>3.2051980495452881</v>
      </c>
      <c r="L12" s="10">
        <v>9.6195011138916016</v>
      </c>
      <c r="M12" s="11">
        <v>11.028373718261719</v>
      </c>
    </row>
    <row r="13" spans="1:13" x14ac:dyDescent="0.25">
      <c r="A13" s="5">
        <v>2013</v>
      </c>
      <c r="B13" s="10">
        <v>30.571781158447266</v>
      </c>
      <c r="C13" s="10">
        <v>17.501565933227539</v>
      </c>
      <c r="D13" s="10">
        <v>40.411880493164063</v>
      </c>
      <c r="E13" s="11">
        <v>42.761981964111328</v>
      </c>
      <c r="F13" s="10">
        <v>11.79701042175293</v>
      </c>
      <c r="G13" s="10">
        <v>5.9308576583862305</v>
      </c>
      <c r="H13" s="10">
        <v>16.219566345214844</v>
      </c>
      <c r="I13" s="11">
        <v>17.259958267211914</v>
      </c>
      <c r="J13" s="15">
        <v>6.4046993255615234</v>
      </c>
      <c r="K13" s="10">
        <v>3.045499324798584</v>
      </c>
      <c r="L13" s="10">
        <v>8.9180202484130859</v>
      </c>
      <c r="M13" s="11">
        <v>9.5587978363037109</v>
      </c>
    </row>
    <row r="14" spans="1:13" x14ac:dyDescent="0.25">
      <c r="A14" s="5">
        <v>2014</v>
      </c>
      <c r="B14" s="10">
        <v>28.533149719238281</v>
      </c>
      <c r="C14" s="10">
        <v>15.884819030761719</v>
      </c>
      <c r="D14" s="10">
        <v>37.296733856201172</v>
      </c>
      <c r="E14" s="11">
        <v>41.428699493408203</v>
      </c>
      <c r="F14" s="10">
        <v>10.835399627685547</v>
      </c>
      <c r="G14" s="10">
        <v>5.2488384246826172</v>
      </c>
      <c r="H14" s="10">
        <v>14.62827205657959</v>
      </c>
      <c r="I14" s="11">
        <v>16.636728286743164</v>
      </c>
      <c r="J14" s="15">
        <v>5.8237042427062988</v>
      </c>
      <c r="K14" s="10">
        <v>2.6739704608917236</v>
      </c>
      <c r="L14" s="10">
        <v>7.9056406021118164</v>
      </c>
      <c r="M14" s="11">
        <v>9.171147346496582</v>
      </c>
    </row>
    <row r="15" spans="1:13" x14ac:dyDescent="0.25">
      <c r="A15" s="5">
        <v>2015</v>
      </c>
      <c r="B15" s="10">
        <v>27.849176406860352</v>
      </c>
      <c r="C15" s="10">
        <v>15.35108470916748</v>
      </c>
      <c r="D15" s="10">
        <v>36.779544830322266</v>
      </c>
      <c r="E15" s="11">
        <v>40.294448852539063</v>
      </c>
      <c r="F15" s="10">
        <v>10.300780296325684</v>
      </c>
      <c r="G15" s="10">
        <v>5.112358570098877</v>
      </c>
      <c r="H15" s="10">
        <v>13.869400978088379</v>
      </c>
      <c r="I15" s="11">
        <v>15.657194137573242</v>
      </c>
      <c r="J15" s="15">
        <v>5.4340925216674805</v>
      </c>
      <c r="K15" s="10">
        <v>2.6394188404083252</v>
      </c>
      <c r="L15" s="10">
        <v>7.2382006645202637</v>
      </c>
      <c r="M15" s="11">
        <v>8.4809322357177734</v>
      </c>
    </row>
    <row r="16" spans="1:13" x14ac:dyDescent="0.25">
      <c r="A16" s="5">
        <v>2016</v>
      </c>
      <c r="B16" s="10">
        <v>28.024290084838867</v>
      </c>
      <c r="C16" s="10">
        <v>15.917905807495117</v>
      </c>
      <c r="D16" s="10">
        <v>37.818168640136719</v>
      </c>
      <c r="E16" s="11">
        <v>38.560688018798828</v>
      </c>
      <c r="F16" s="10">
        <v>10.341764450073242</v>
      </c>
      <c r="G16" s="10">
        <v>5.194526195526123</v>
      </c>
      <c r="H16" s="10">
        <v>14.43464469909668</v>
      </c>
      <c r="I16" s="11">
        <v>14.919822692871094</v>
      </c>
      <c r="J16" s="15">
        <v>5.4973363876342773</v>
      </c>
      <c r="K16" s="10">
        <v>2.6558010578155518</v>
      </c>
      <c r="L16" s="10">
        <v>7.7273812294006348</v>
      </c>
      <c r="M16" s="11">
        <v>8.0653257369995117</v>
      </c>
    </row>
    <row r="17" spans="1:13" x14ac:dyDescent="0.25">
      <c r="A17" s="5">
        <v>2017</v>
      </c>
      <c r="B17" s="10">
        <v>26.913917541503906</v>
      </c>
      <c r="C17" s="10">
        <v>15.897193908691406</v>
      </c>
      <c r="D17" s="10">
        <v>36.583896636962891</v>
      </c>
      <c r="E17" s="11">
        <v>35.964435577392578</v>
      </c>
      <c r="F17" s="10">
        <v>9.7049779891967773</v>
      </c>
      <c r="G17" s="10">
        <v>5.1392221450805664</v>
      </c>
      <c r="H17" s="10">
        <v>13.717391014099121</v>
      </c>
      <c r="I17" s="11">
        <v>13.449283599853516</v>
      </c>
      <c r="J17" s="15">
        <v>5.0725679397583008</v>
      </c>
      <c r="K17" s="10">
        <v>2.6248531341552734</v>
      </c>
      <c r="L17" s="10">
        <v>7.2179555892944336</v>
      </c>
      <c r="M17" s="11">
        <v>7.0876846313476563</v>
      </c>
    </row>
    <row r="18" spans="1:13" ht="15.75" thickBot="1" x14ac:dyDescent="0.3">
      <c r="A18" s="6">
        <v>2018</v>
      </c>
      <c r="B18" s="13">
        <v>27.014764785766602</v>
      </c>
      <c r="C18" s="13">
        <v>16.189910888671875</v>
      </c>
      <c r="D18" s="13">
        <v>36.087665557861328</v>
      </c>
      <c r="E18" s="16">
        <v>36.065628051757813</v>
      </c>
      <c r="F18" s="13">
        <v>9.8325824737548828</v>
      </c>
      <c r="G18" s="13">
        <v>5.3376679420471191</v>
      </c>
      <c r="H18" s="13">
        <v>13.440409660339355</v>
      </c>
      <c r="I18" s="16">
        <v>13.815189361572266</v>
      </c>
      <c r="J18" s="12">
        <v>5.1967906951904297</v>
      </c>
      <c r="K18" s="13">
        <v>2.7629482746124268</v>
      </c>
      <c r="L18" s="13">
        <v>7.0490498542785645</v>
      </c>
      <c r="M18" s="16">
        <v>7.4955477714538574</v>
      </c>
    </row>
  </sheetData>
  <mergeCells count="5">
    <mergeCell ref="B2:E2"/>
    <mergeCell ref="A1:A3"/>
    <mergeCell ref="B1:M1"/>
    <mergeCell ref="F2:I2"/>
    <mergeCell ref="J2:M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EFBF-7C41-4D66-A1DE-C137FC7EB8B3}">
  <dimension ref="A1:M18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9" width="14.28515625" style="1" customWidth="1"/>
    <col min="10" max="10" width="17.85546875" style="1" customWidth="1"/>
    <col min="11" max="11" width="21.425781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42" t="s">
        <v>10</v>
      </c>
      <c r="B1" s="40" t="s">
        <v>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15.75" thickBot="1" x14ac:dyDescent="0.3">
      <c r="A2" s="43"/>
      <c r="B2" s="40" t="s">
        <v>0</v>
      </c>
      <c r="C2" s="40"/>
      <c r="D2" s="40"/>
      <c r="E2" s="41"/>
      <c r="F2" s="45" t="s">
        <v>1</v>
      </c>
      <c r="G2" s="40"/>
      <c r="H2" s="40"/>
      <c r="I2" s="41"/>
      <c r="J2" s="45" t="s">
        <v>21</v>
      </c>
      <c r="K2" s="40"/>
      <c r="L2" s="40"/>
      <c r="M2" s="41"/>
    </row>
    <row r="3" spans="1:13" ht="15.75" thickBot="1" x14ac:dyDescent="0.3">
      <c r="A3" s="44"/>
      <c r="B3" s="2" t="s">
        <v>11</v>
      </c>
      <c r="C3" s="2" t="s">
        <v>2</v>
      </c>
      <c r="D3" s="2" t="s">
        <v>4</v>
      </c>
      <c r="E3" s="3" t="s">
        <v>3</v>
      </c>
      <c r="F3" s="2" t="s">
        <v>11</v>
      </c>
      <c r="G3" s="2" t="s">
        <v>2</v>
      </c>
      <c r="H3" s="2" t="s">
        <v>4</v>
      </c>
      <c r="I3" s="7" t="s">
        <v>3</v>
      </c>
      <c r="J3" s="2" t="s">
        <v>11</v>
      </c>
      <c r="K3" s="2" t="s">
        <v>2</v>
      </c>
      <c r="L3" s="2" t="s">
        <v>4</v>
      </c>
      <c r="M3" s="3" t="s">
        <v>3</v>
      </c>
    </row>
    <row r="4" spans="1:13" x14ac:dyDescent="0.25">
      <c r="A4" s="4">
        <v>2002</v>
      </c>
      <c r="B4" s="10">
        <v>17.637813568115234</v>
      </c>
      <c r="C4" s="10">
        <v>7.4407234191894531</v>
      </c>
      <c r="D4" s="10">
        <v>19.552263259887695</v>
      </c>
      <c r="E4" s="11">
        <v>32.80767822265625</v>
      </c>
      <c r="F4" s="10">
        <v>6.7014412879943848</v>
      </c>
      <c r="G4" s="10">
        <v>2.7041831016540527</v>
      </c>
      <c r="H4" s="10">
        <v>6.9257144927978516</v>
      </c>
      <c r="I4" s="11">
        <v>13.246451377868652</v>
      </c>
      <c r="J4" s="14">
        <v>3.6983346939086914</v>
      </c>
      <c r="K4" s="10">
        <v>1.556721568107605</v>
      </c>
      <c r="L4" s="10">
        <v>3.6877033710479736</v>
      </c>
      <c r="M4" s="11">
        <v>7.3537030220031738</v>
      </c>
    </row>
    <row r="5" spans="1:13" x14ac:dyDescent="0.25">
      <c r="A5" s="5">
        <v>2003</v>
      </c>
      <c r="B5" s="10">
        <v>15.564229965209961</v>
      </c>
      <c r="C5" s="10">
        <v>7.3150067329406738</v>
      </c>
      <c r="D5" s="10">
        <v>16.638545989990234</v>
      </c>
      <c r="E5" s="11">
        <v>28.586454391479492</v>
      </c>
      <c r="F5" s="10">
        <v>5.737144947052002</v>
      </c>
      <c r="G5" s="10">
        <v>2.5989482402801514</v>
      </c>
      <c r="H5" s="10">
        <v>6.0322360992431641</v>
      </c>
      <c r="I5" s="11">
        <v>10.823101997375488</v>
      </c>
      <c r="J5" s="15">
        <v>3.11244797706604</v>
      </c>
      <c r="K5" s="10">
        <v>1.4516253471374512</v>
      </c>
      <c r="L5" s="10">
        <v>3.2489852905273438</v>
      </c>
      <c r="M5" s="11">
        <v>5.8268933296203613</v>
      </c>
    </row>
    <row r="6" spans="1:13" x14ac:dyDescent="0.25">
      <c r="A6" s="5">
        <v>2004</v>
      </c>
      <c r="B6" s="10">
        <v>14.843342781066895</v>
      </c>
      <c r="C6" s="10">
        <v>6.5363078117370605</v>
      </c>
      <c r="D6" s="10">
        <v>15.176298141479492</v>
      </c>
      <c r="E6" s="11">
        <v>29.047744750976563</v>
      </c>
      <c r="F6" s="10">
        <v>5.3722748756408691</v>
      </c>
      <c r="G6" s="10">
        <v>2.4179980754852295</v>
      </c>
      <c r="H6" s="10">
        <v>5.158909797668457</v>
      </c>
      <c r="I6" s="11">
        <v>10.817176818847656</v>
      </c>
      <c r="J6" s="15">
        <v>2.8364865779876709</v>
      </c>
      <c r="K6" s="10">
        <v>1.3803051710128784</v>
      </c>
      <c r="L6" s="10">
        <v>2.60817551612854</v>
      </c>
      <c r="M6" s="11">
        <v>5.666295051574707</v>
      </c>
    </row>
    <row r="7" spans="1:13" x14ac:dyDescent="0.25">
      <c r="A7" s="5">
        <v>2005</v>
      </c>
      <c r="B7" s="10">
        <v>13.797229766845703</v>
      </c>
      <c r="C7" s="10">
        <v>5.6362271308898926</v>
      </c>
      <c r="D7" s="10">
        <v>14.251157760620117</v>
      </c>
      <c r="E7" s="11">
        <v>27.81190299987793</v>
      </c>
      <c r="F7" s="10">
        <v>4.832310676574707</v>
      </c>
      <c r="G7" s="10">
        <v>1.9343752861022949</v>
      </c>
      <c r="H7" s="10">
        <v>4.6525511741638184</v>
      </c>
      <c r="I7" s="11">
        <v>10.220839500427246</v>
      </c>
      <c r="J7" s="15">
        <v>2.5063140392303467</v>
      </c>
      <c r="K7" s="10">
        <v>1.0641170740127563</v>
      </c>
      <c r="L7" s="10">
        <v>2.2804217338562012</v>
      </c>
      <c r="M7" s="11">
        <v>5.3528456687927246</v>
      </c>
    </row>
    <row r="8" spans="1:13" x14ac:dyDescent="0.25">
      <c r="A8" s="5">
        <v>2008</v>
      </c>
      <c r="B8" s="10">
        <v>16.41334342956543</v>
      </c>
      <c r="C8" s="10">
        <v>5.5752291679382324</v>
      </c>
      <c r="D8" s="10">
        <v>19.194358825683594</v>
      </c>
      <c r="E8" s="11">
        <v>32.962203979492188</v>
      </c>
      <c r="F8" s="10">
        <v>6.7177672386169434</v>
      </c>
      <c r="G8" s="10">
        <v>2.0906219482421875</v>
      </c>
      <c r="H8" s="10">
        <v>7.6234173774719238</v>
      </c>
      <c r="I8" s="11">
        <v>14.139316558837891</v>
      </c>
      <c r="J8" s="15">
        <v>3.9523298740386963</v>
      </c>
      <c r="K8" s="10">
        <v>1.2543526887893677</v>
      </c>
      <c r="L8" s="10">
        <v>4.4473276138305664</v>
      </c>
      <c r="M8" s="11">
        <v>8.3214855194091797</v>
      </c>
    </row>
    <row r="9" spans="1:13" x14ac:dyDescent="0.25">
      <c r="A9" s="5">
        <v>2009</v>
      </c>
      <c r="B9" s="10">
        <v>14.427791595458984</v>
      </c>
      <c r="C9" s="10">
        <v>5.2337636947631836</v>
      </c>
      <c r="D9" s="10">
        <v>16.445438385009766</v>
      </c>
      <c r="E9" s="11">
        <v>29.048913955688477</v>
      </c>
      <c r="F9" s="10">
        <v>5.4795660972595215</v>
      </c>
      <c r="G9" s="10">
        <v>1.9772406816482544</v>
      </c>
      <c r="H9" s="10">
        <v>5.982670783996582</v>
      </c>
      <c r="I9" s="11">
        <v>11.389569282531738</v>
      </c>
      <c r="J9" s="15">
        <v>3.0474379062652588</v>
      </c>
      <c r="K9" s="10">
        <v>1.1929848194122314</v>
      </c>
      <c r="L9" s="10">
        <v>3.2266249656677246</v>
      </c>
      <c r="M9" s="11">
        <v>6.2885160446166992</v>
      </c>
    </row>
    <row r="10" spans="1:13" x14ac:dyDescent="0.25">
      <c r="A10" s="5">
        <v>2010</v>
      </c>
      <c r="B10" s="10">
        <v>12.27851676940918</v>
      </c>
      <c r="C10" s="10">
        <v>4.6380691528320313</v>
      </c>
      <c r="D10" s="10">
        <v>13.24906063079834</v>
      </c>
      <c r="E10" s="11">
        <v>25.471567153930664</v>
      </c>
      <c r="F10" s="10">
        <v>4.6093907356262207</v>
      </c>
      <c r="G10" s="10">
        <v>1.8083381652832031</v>
      </c>
      <c r="H10" s="10">
        <v>4.6438188552856445</v>
      </c>
      <c r="I10" s="11">
        <v>9.863520622253418</v>
      </c>
      <c r="J10" s="15">
        <v>2.5390057563781738</v>
      </c>
      <c r="K10" s="10">
        <v>1.0946974754333496</v>
      </c>
      <c r="L10" s="10">
        <v>2.4209229946136475</v>
      </c>
      <c r="M10" s="11">
        <v>5.4246320724487305</v>
      </c>
    </row>
    <row r="11" spans="1:13" x14ac:dyDescent="0.25">
      <c r="A11" s="5">
        <v>2011</v>
      </c>
      <c r="B11" s="10">
        <v>10.621200561523438</v>
      </c>
      <c r="C11" s="10">
        <v>3.4709594249725342</v>
      </c>
      <c r="D11" s="10">
        <v>11.892560958862305</v>
      </c>
      <c r="E11" s="11">
        <v>22.610340118408203</v>
      </c>
      <c r="F11" s="10">
        <v>3.7947773933410645</v>
      </c>
      <c r="G11" s="10">
        <v>1.2857649326324463</v>
      </c>
      <c r="H11" s="10">
        <v>4.0746164321899414</v>
      </c>
      <c r="I11" s="11">
        <v>8.2203617095947266</v>
      </c>
      <c r="J11" s="15">
        <v>2.0224745273590088</v>
      </c>
      <c r="K11" s="10">
        <v>0.75957298278808594</v>
      </c>
      <c r="L11" s="10">
        <v>2.1351265907287598</v>
      </c>
      <c r="M11" s="11">
        <v>4.2871546745300293</v>
      </c>
    </row>
    <row r="12" spans="1:13" x14ac:dyDescent="0.25">
      <c r="A12" s="5">
        <v>2012</v>
      </c>
      <c r="B12" s="10">
        <v>10.396331787109375</v>
      </c>
      <c r="C12" s="10">
        <v>3.3154363632202148</v>
      </c>
      <c r="D12" s="10">
        <v>11.364069938659668</v>
      </c>
      <c r="E12" s="11">
        <v>22.751810073852539</v>
      </c>
      <c r="F12" s="10">
        <v>3.7822487354278564</v>
      </c>
      <c r="G12" s="10">
        <v>1.2282640933990479</v>
      </c>
      <c r="H12" s="10">
        <v>3.9957082271575928</v>
      </c>
      <c r="I12" s="11">
        <v>8.4187345504760742</v>
      </c>
      <c r="J12" s="15">
        <v>2.0719451904296875</v>
      </c>
      <c r="K12" s="10">
        <v>0.72233831882476807</v>
      </c>
      <c r="L12" s="10">
        <v>2.1801605224609375</v>
      </c>
      <c r="M12" s="11">
        <v>4.5280976295471191</v>
      </c>
    </row>
    <row r="13" spans="1:13" x14ac:dyDescent="0.25">
      <c r="A13" s="5">
        <v>2013</v>
      </c>
      <c r="B13" s="10">
        <v>9.0640411376953125</v>
      </c>
      <c r="C13" s="10">
        <v>3.003565788269043</v>
      </c>
      <c r="D13" s="10">
        <v>10.338157653808594</v>
      </c>
      <c r="E13" s="11">
        <v>19.130285263061523</v>
      </c>
      <c r="F13" s="10">
        <v>3.3075382709503174</v>
      </c>
      <c r="G13" s="10">
        <v>1.2313377857208252</v>
      </c>
      <c r="H13" s="10">
        <v>3.6075971126556396</v>
      </c>
      <c r="I13" s="11">
        <v>6.9391460418701172</v>
      </c>
      <c r="J13" s="15">
        <v>1.8294616937637329</v>
      </c>
      <c r="K13" s="10">
        <v>0.77509611845016479</v>
      </c>
      <c r="L13" s="10">
        <v>1.96037757396698</v>
      </c>
      <c r="M13" s="11">
        <v>3.7025249004364014</v>
      </c>
    </row>
    <row r="14" spans="1:13" x14ac:dyDescent="0.25">
      <c r="A14" s="5">
        <v>2014</v>
      </c>
      <c r="B14" s="10">
        <v>8.0824813842773438</v>
      </c>
      <c r="C14" s="10">
        <v>2.6593377590179443</v>
      </c>
      <c r="D14" s="10">
        <v>8.5913524627685547</v>
      </c>
      <c r="E14" s="11">
        <v>18.016717910766602</v>
      </c>
      <c r="F14" s="10">
        <v>2.9789025783538818</v>
      </c>
      <c r="G14" s="10">
        <v>1.0889527797698975</v>
      </c>
      <c r="H14" s="10">
        <v>3.0546944141387939</v>
      </c>
      <c r="I14" s="11">
        <v>6.5786514282226563</v>
      </c>
      <c r="J14" s="15">
        <v>1.6688942909240723</v>
      </c>
      <c r="K14" s="10">
        <v>0.70494425296783447</v>
      </c>
      <c r="L14" s="10">
        <v>1.7023869752883911</v>
      </c>
      <c r="M14" s="11">
        <v>3.5119130611419678</v>
      </c>
    </row>
    <row r="15" spans="1:13" x14ac:dyDescent="0.25">
      <c r="A15" s="5">
        <v>2015</v>
      </c>
      <c r="B15" s="10">
        <v>7.9416317939758301</v>
      </c>
      <c r="C15" s="10">
        <v>2.7217385768890381</v>
      </c>
      <c r="D15" s="10">
        <v>8.1169700622558594</v>
      </c>
      <c r="E15" s="11">
        <v>18.006320953369141</v>
      </c>
      <c r="F15" s="10">
        <v>2.8532488346099854</v>
      </c>
      <c r="G15" s="10">
        <v>1.1762490272521973</v>
      </c>
      <c r="H15" s="10">
        <v>2.7184772491455078</v>
      </c>
      <c r="I15" s="11">
        <v>6.3484025001525879</v>
      </c>
      <c r="J15" s="15">
        <v>1.5720375776290894</v>
      </c>
      <c r="K15" s="10">
        <v>0.78596514463424683</v>
      </c>
      <c r="L15" s="10">
        <v>1.4518489837646484</v>
      </c>
      <c r="M15" s="11">
        <v>3.2884142398834229</v>
      </c>
    </row>
    <row r="16" spans="1:13" x14ac:dyDescent="0.25">
      <c r="A16" s="5">
        <v>2016</v>
      </c>
      <c r="B16" s="10">
        <v>8.456242561340332</v>
      </c>
      <c r="C16" s="10">
        <v>2.9238207340240479</v>
      </c>
      <c r="D16" s="10">
        <v>9.4415283203125</v>
      </c>
      <c r="E16" s="11">
        <v>18.094327926635742</v>
      </c>
      <c r="F16" s="10">
        <v>3.1126213073730469</v>
      </c>
      <c r="G16" s="10">
        <v>1.2303003072738647</v>
      </c>
      <c r="H16" s="10">
        <v>3.3947010040283203</v>
      </c>
      <c r="I16" s="11">
        <v>6.465273380279541</v>
      </c>
      <c r="J16" s="15">
        <v>1.7354797124862671</v>
      </c>
      <c r="K16" s="10">
        <v>0.79174906015396118</v>
      </c>
      <c r="L16" s="10">
        <v>1.8970315456390381</v>
      </c>
      <c r="M16" s="11">
        <v>3.3885715007781982</v>
      </c>
    </row>
    <row r="17" spans="1:13" x14ac:dyDescent="0.25">
      <c r="A17" s="5">
        <v>2017</v>
      </c>
      <c r="B17" s="10">
        <v>7.3836374282836914</v>
      </c>
      <c r="C17" s="10">
        <v>2.7685081958770752</v>
      </c>
      <c r="D17" s="10">
        <v>8.369166374206543</v>
      </c>
      <c r="E17" s="11">
        <v>15.377017974853516</v>
      </c>
      <c r="F17" s="10">
        <v>2.6750195026397705</v>
      </c>
      <c r="G17" s="10">
        <v>1.1936614513397217</v>
      </c>
      <c r="H17" s="10">
        <v>2.925546407699585</v>
      </c>
      <c r="I17" s="11">
        <v>5.330930233001709</v>
      </c>
      <c r="J17" s="15">
        <v>1.5000764131546021</v>
      </c>
      <c r="K17" s="10">
        <v>0.80452847480773926</v>
      </c>
      <c r="L17" s="10">
        <v>1.6419486999511719</v>
      </c>
      <c r="M17" s="11">
        <v>2.7138874530792236</v>
      </c>
    </row>
    <row r="18" spans="1:13" ht="15.75" thickBot="1" x14ac:dyDescent="0.3">
      <c r="A18" s="6">
        <v>2018</v>
      </c>
      <c r="B18" s="13">
        <v>7.2499384880065918</v>
      </c>
      <c r="C18" s="13">
        <v>2.8528001308441162</v>
      </c>
      <c r="D18" s="13">
        <v>7.7751116752624512</v>
      </c>
      <c r="E18" s="16">
        <v>15.368209838867188</v>
      </c>
      <c r="F18" s="13">
        <v>2.725287914276123</v>
      </c>
      <c r="G18" s="13">
        <v>1.254645824432373</v>
      </c>
      <c r="H18" s="13">
        <v>2.7567813396453857</v>
      </c>
      <c r="I18" s="16">
        <v>5.6430830955505371</v>
      </c>
      <c r="J18" s="12">
        <v>1.5609755516052246</v>
      </c>
      <c r="K18" s="13">
        <v>0.85290676355361938</v>
      </c>
      <c r="L18" s="13">
        <v>1.5179766416549683</v>
      </c>
      <c r="M18" s="16">
        <v>3.0475492477416992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B876-5D71-412E-A7F7-F529191891AC}">
  <sheetPr codeName="Hoja6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42" t="s">
        <v>10</v>
      </c>
      <c r="B1" s="40" t="s">
        <v>7</v>
      </c>
      <c r="C1" s="40"/>
      <c r="D1" s="40"/>
      <c r="E1" s="41"/>
      <c r="F1" s="40" t="s">
        <v>8</v>
      </c>
      <c r="G1" s="40"/>
      <c r="H1" s="40"/>
      <c r="I1" s="41"/>
    </row>
    <row r="2" spans="1:9" ht="15.75" thickBot="1" x14ac:dyDescent="0.3">
      <c r="A2" s="44"/>
      <c r="B2" s="8" t="s">
        <v>11</v>
      </c>
      <c r="C2" s="2" t="s">
        <v>2</v>
      </c>
      <c r="D2" s="2" t="s">
        <v>4</v>
      </c>
      <c r="E2" s="7" t="s">
        <v>3</v>
      </c>
      <c r="F2" s="8" t="s">
        <v>9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0">
        <v>49.368686676025391</v>
      </c>
      <c r="C3" s="10">
        <v>35.907802581787109</v>
      </c>
      <c r="D3" s="10">
        <v>59.349861145019531</v>
      </c>
      <c r="E3" s="11">
        <v>60.916786193847656</v>
      </c>
      <c r="F3" s="10">
        <v>17.637813568115234</v>
      </c>
      <c r="G3" s="10">
        <v>7.4407234191894531</v>
      </c>
      <c r="H3" s="10">
        <v>19.552263259887695</v>
      </c>
      <c r="I3" s="11">
        <v>32.80767822265625</v>
      </c>
    </row>
    <row r="4" spans="1:9" x14ac:dyDescent="0.25">
      <c r="A4" s="5">
        <v>2003</v>
      </c>
      <c r="B4" s="10">
        <v>47.694141387939453</v>
      </c>
      <c r="C4" s="10">
        <v>36.431411743164063</v>
      </c>
      <c r="D4" s="10">
        <v>57.020992279052734</v>
      </c>
      <c r="E4" s="11">
        <v>56.340629577636719</v>
      </c>
      <c r="F4" s="10">
        <v>15.564229965209961</v>
      </c>
      <c r="G4" s="10">
        <v>7.3150067329406738</v>
      </c>
      <c r="H4" s="10">
        <v>16.638545989990234</v>
      </c>
      <c r="I4" s="11">
        <v>28.586454391479492</v>
      </c>
    </row>
    <row r="5" spans="1:9" x14ac:dyDescent="0.25">
      <c r="A5" s="5">
        <v>2004</v>
      </c>
      <c r="B5" s="10">
        <v>47.356250762939453</v>
      </c>
      <c r="C5" s="10">
        <v>34.227439880371094</v>
      </c>
      <c r="D5" s="10">
        <v>57.594173431396484</v>
      </c>
      <c r="E5" s="11">
        <v>58.292533874511719</v>
      </c>
      <c r="F5" s="10">
        <v>14.843342781066895</v>
      </c>
      <c r="G5" s="10">
        <v>6.5363078117370605</v>
      </c>
      <c r="H5" s="10">
        <v>15.176298141479492</v>
      </c>
      <c r="I5" s="11">
        <v>29.047744750976563</v>
      </c>
    </row>
    <row r="6" spans="1:9" x14ac:dyDescent="0.25">
      <c r="A6" s="5">
        <v>2005</v>
      </c>
      <c r="B6" s="10">
        <v>44.952667236328125</v>
      </c>
      <c r="C6" s="10">
        <v>32.20989990234375</v>
      </c>
      <c r="D6" s="10">
        <v>54.308010101318359</v>
      </c>
      <c r="E6" s="11">
        <v>56.387481689453125</v>
      </c>
      <c r="F6" s="10">
        <v>13.797229766845703</v>
      </c>
      <c r="G6" s="10">
        <v>5.6362271308898926</v>
      </c>
      <c r="H6" s="10">
        <v>14.251157760620117</v>
      </c>
      <c r="I6" s="11">
        <v>27.81190299987793</v>
      </c>
    </row>
    <row r="7" spans="1:9" x14ac:dyDescent="0.25">
      <c r="A7" s="5">
        <v>2008</v>
      </c>
      <c r="B7" s="10">
        <v>42.004955291748047</v>
      </c>
      <c r="C7" s="10">
        <v>26.928564071655273</v>
      </c>
      <c r="D7" s="10">
        <v>52.141876220703125</v>
      </c>
      <c r="E7" s="11">
        <v>57.095619201660156</v>
      </c>
      <c r="F7" s="10">
        <v>16.41334342956543</v>
      </c>
      <c r="G7" s="10">
        <v>5.5752291679382324</v>
      </c>
      <c r="H7" s="10">
        <v>19.194358825683594</v>
      </c>
      <c r="I7" s="11">
        <v>32.962203979492188</v>
      </c>
    </row>
    <row r="8" spans="1:9" x14ac:dyDescent="0.25">
      <c r="A8" s="5">
        <v>2009</v>
      </c>
      <c r="B8" s="10">
        <v>40.217781066894531</v>
      </c>
      <c r="C8" s="10">
        <v>25.561538696289063</v>
      </c>
      <c r="D8" s="10">
        <v>50.665260314941406</v>
      </c>
      <c r="E8" s="11">
        <v>54.25628662109375</v>
      </c>
      <c r="F8" s="10">
        <v>14.427791595458984</v>
      </c>
      <c r="G8" s="10">
        <v>5.2337636947631836</v>
      </c>
      <c r="H8" s="10">
        <v>16.445438385009766</v>
      </c>
      <c r="I8" s="11">
        <v>29.048913955688477</v>
      </c>
    </row>
    <row r="9" spans="1:9" x14ac:dyDescent="0.25">
      <c r="A9" s="5">
        <v>2010</v>
      </c>
      <c r="B9" s="10">
        <v>37.174510955810547</v>
      </c>
      <c r="C9" s="10">
        <v>23.225870132446289</v>
      </c>
      <c r="D9" s="10">
        <v>47.352413177490234</v>
      </c>
      <c r="E9" s="11">
        <v>50.34149169921875</v>
      </c>
      <c r="F9" s="10">
        <v>12.27851676940918</v>
      </c>
      <c r="G9" s="10">
        <v>4.6380691528320313</v>
      </c>
      <c r="H9" s="10">
        <v>13.24906063079834</v>
      </c>
      <c r="I9" s="11">
        <v>25.471567153930664</v>
      </c>
    </row>
    <row r="10" spans="1:9" x14ac:dyDescent="0.25">
      <c r="A10" s="5">
        <v>2011</v>
      </c>
      <c r="B10" s="10">
        <v>34.039176940917969</v>
      </c>
      <c r="C10" s="10">
        <v>20.597190856933594</v>
      </c>
      <c r="D10" s="10">
        <v>43.783294677734375</v>
      </c>
      <c r="E10" s="11">
        <v>46.909652709960938</v>
      </c>
      <c r="F10" s="10">
        <v>10.621200561523438</v>
      </c>
      <c r="G10" s="10">
        <v>3.4709594249725342</v>
      </c>
      <c r="H10" s="10">
        <v>11.892560958862305</v>
      </c>
      <c r="I10" s="11">
        <v>22.610340118408203</v>
      </c>
    </row>
    <row r="11" spans="1:9" x14ac:dyDescent="0.25">
      <c r="A11" s="5">
        <v>2012</v>
      </c>
      <c r="B11" s="10">
        <v>32.734790802001953</v>
      </c>
      <c r="C11" s="10">
        <v>18.941196441650391</v>
      </c>
      <c r="D11" s="10">
        <v>42.158107757568359</v>
      </c>
      <c r="E11" s="11">
        <v>46.794525146484375</v>
      </c>
      <c r="F11" s="10">
        <v>10.396331787109375</v>
      </c>
      <c r="G11" s="10">
        <v>3.3154363632202148</v>
      </c>
      <c r="H11" s="10">
        <v>11.364069938659668</v>
      </c>
      <c r="I11" s="11">
        <v>22.751810073852539</v>
      </c>
    </row>
    <row r="12" spans="1:9" x14ac:dyDescent="0.25">
      <c r="A12" s="5">
        <v>2013</v>
      </c>
      <c r="B12" s="10">
        <v>30.571781158447266</v>
      </c>
      <c r="C12" s="10">
        <v>17.501565933227539</v>
      </c>
      <c r="D12" s="10">
        <v>40.411880493164063</v>
      </c>
      <c r="E12" s="11">
        <v>42.761981964111328</v>
      </c>
      <c r="F12" s="10">
        <v>9.0640411376953125</v>
      </c>
      <c r="G12" s="10">
        <v>3.003565788269043</v>
      </c>
      <c r="H12" s="10">
        <v>10.338157653808594</v>
      </c>
      <c r="I12" s="11">
        <v>19.130285263061523</v>
      </c>
    </row>
    <row r="13" spans="1:9" x14ac:dyDescent="0.25">
      <c r="A13" s="5">
        <v>2014</v>
      </c>
      <c r="B13" s="10">
        <v>28.533149719238281</v>
      </c>
      <c r="C13" s="10">
        <v>15.884819030761719</v>
      </c>
      <c r="D13" s="10">
        <v>37.296733856201172</v>
      </c>
      <c r="E13" s="11">
        <v>41.428699493408203</v>
      </c>
      <c r="F13" s="10">
        <v>8.0824813842773438</v>
      </c>
      <c r="G13" s="10">
        <v>2.6593377590179443</v>
      </c>
      <c r="H13" s="10">
        <v>8.5913524627685547</v>
      </c>
      <c r="I13" s="11">
        <v>18.016717910766602</v>
      </c>
    </row>
    <row r="14" spans="1:9" x14ac:dyDescent="0.25">
      <c r="A14" s="5">
        <v>2015</v>
      </c>
      <c r="B14" s="10">
        <v>27.849176406860352</v>
      </c>
      <c r="C14" s="10">
        <v>15.35108470916748</v>
      </c>
      <c r="D14" s="10">
        <v>36.779544830322266</v>
      </c>
      <c r="E14" s="11">
        <v>40.294448852539063</v>
      </c>
      <c r="F14" s="10">
        <v>7.9416317939758301</v>
      </c>
      <c r="G14" s="10">
        <v>2.7217385768890381</v>
      </c>
      <c r="H14" s="10">
        <v>8.1169700622558594</v>
      </c>
      <c r="I14" s="11">
        <v>18.006320953369141</v>
      </c>
    </row>
    <row r="15" spans="1:9" x14ac:dyDescent="0.25">
      <c r="A15" s="5">
        <v>2016</v>
      </c>
      <c r="B15" s="10">
        <v>28.024290084838867</v>
      </c>
      <c r="C15" s="10">
        <v>15.917905807495117</v>
      </c>
      <c r="D15" s="10">
        <v>37.818168640136719</v>
      </c>
      <c r="E15" s="11">
        <v>38.560688018798828</v>
      </c>
      <c r="F15" s="10">
        <v>8.456242561340332</v>
      </c>
      <c r="G15" s="10">
        <v>2.9238207340240479</v>
      </c>
      <c r="H15" s="10">
        <v>9.4415283203125</v>
      </c>
      <c r="I15" s="11">
        <v>18.094327926635742</v>
      </c>
    </row>
    <row r="16" spans="1:9" x14ac:dyDescent="0.25">
      <c r="A16" s="5">
        <v>2017</v>
      </c>
      <c r="B16" s="10">
        <v>26.913917541503906</v>
      </c>
      <c r="C16" s="10">
        <v>15.897193908691406</v>
      </c>
      <c r="D16" s="10">
        <v>36.583896636962891</v>
      </c>
      <c r="E16" s="11">
        <v>35.964435577392578</v>
      </c>
      <c r="F16" s="10">
        <v>7.3836374282836914</v>
      </c>
      <c r="G16" s="10">
        <v>2.7685081958770752</v>
      </c>
      <c r="H16" s="10">
        <v>8.369166374206543</v>
      </c>
      <c r="I16" s="11">
        <v>15.377017974853516</v>
      </c>
    </row>
    <row r="17" spans="1:9" ht="15.75" thickBot="1" x14ac:dyDescent="0.3">
      <c r="A17" s="6">
        <v>2018</v>
      </c>
      <c r="B17" s="13">
        <v>27.014764785766602</v>
      </c>
      <c r="C17" s="13">
        <v>16.189910888671875</v>
      </c>
      <c r="D17" s="13">
        <v>36.087665557861328</v>
      </c>
      <c r="E17" s="16">
        <v>36.065628051757813</v>
      </c>
      <c r="F17" s="13">
        <v>7.2499384880065918</v>
      </c>
      <c r="G17" s="13">
        <v>2.8528001308441162</v>
      </c>
      <c r="H17" s="13">
        <v>7.7751116752624512</v>
      </c>
      <c r="I17" s="16">
        <v>15.368209838867188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6AA-BDAB-4BE5-B023-7FBAE3035D5B}">
  <sheetPr codeName="Hoja8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42" t="s">
        <v>10</v>
      </c>
      <c r="B1" s="40" t="s">
        <v>13</v>
      </c>
      <c r="C1" s="40"/>
      <c r="D1" s="40"/>
      <c r="E1" s="41"/>
      <c r="F1" s="40" t="s">
        <v>14</v>
      </c>
      <c r="G1" s="40"/>
      <c r="H1" s="40"/>
      <c r="I1" s="41"/>
    </row>
    <row r="2" spans="1:9" ht="15.75" thickBot="1" x14ac:dyDescent="0.3">
      <c r="A2" s="44"/>
      <c r="B2" s="8" t="s">
        <v>11</v>
      </c>
      <c r="C2" s="2" t="s">
        <v>2</v>
      </c>
      <c r="D2" s="2" t="s">
        <v>4</v>
      </c>
      <c r="E2" s="7" t="s">
        <v>3</v>
      </c>
      <c r="F2" s="8" t="s">
        <v>9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0">
        <v>21.707021713256836</v>
      </c>
      <c r="C3" s="10">
        <v>13.82574462890625</v>
      </c>
      <c r="D3" s="10">
        <v>27.427787780761719</v>
      </c>
      <c r="E3" s="11">
        <v>28.608436584472656</v>
      </c>
      <c r="F3" s="10">
        <v>6.7014412879943848</v>
      </c>
      <c r="G3" s="10">
        <v>2.7041831016540527</v>
      </c>
      <c r="H3" s="10">
        <v>6.9257144927978516</v>
      </c>
      <c r="I3" s="11">
        <v>13.246451377868652</v>
      </c>
    </row>
    <row r="4" spans="1:9" x14ac:dyDescent="0.25">
      <c r="A4" s="5">
        <v>2003</v>
      </c>
      <c r="B4" s="10">
        <v>20.340766906738281</v>
      </c>
      <c r="C4" s="10">
        <v>14.021664619445801</v>
      </c>
      <c r="D4" s="10">
        <v>25.61369514465332</v>
      </c>
      <c r="E4" s="11">
        <v>25.145542144775391</v>
      </c>
      <c r="F4" s="10">
        <v>5.737144947052002</v>
      </c>
      <c r="G4" s="10">
        <v>2.5989482402801514</v>
      </c>
      <c r="H4" s="10">
        <v>6.0322360992431641</v>
      </c>
      <c r="I4" s="11">
        <v>10.823101997375488</v>
      </c>
    </row>
    <row r="5" spans="1:9" x14ac:dyDescent="0.25">
      <c r="A5" s="5">
        <v>2004</v>
      </c>
      <c r="B5" s="10">
        <v>19.819868087768555</v>
      </c>
      <c r="C5" s="10">
        <v>12.871612548828125</v>
      </c>
      <c r="D5" s="10">
        <v>24.994251251220703</v>
      </c>
      <c r="E5" s="11">
        <v>25.896905899047852</v>
      </c>
      <c r="F5" s="10">
        <v>5.3722748756408691</v>
      </c>
      <c r="G5" s="10">
        <v>2.4179980754852295</v>
      </c>
      <c r="H5" s="10">
        <v>5.158909797668457</v>
      </c>
      <c r="I5" s="11">
        <v>10.817176818847656</v>
      </c>
    </row>
    <row r="6" spans="1:9" x14ac:dyDescent="0.25">
      <c r="A6" s="5">
        <v>2005</v>
      </c>
      <c r="B6" s="10">
        <v>18.380168914794922</v>
      </c>
      <c r="C6" s="10">
        <v>11.618705749511719</v>
      </c>
      <c r="D6" s="10">
        <v>23.11046028137207</v>
      </c>
      <c r="E6" s="11">
        <v>24.730081558227539</v>
      </c>
      <c r="F6" s="10">
        <v>4.832310676574707</v>
      </c>
      <c r="G6" s="10">
        <v>1.9343752861022949</v>
      </c>
      <c r="H6" s="10">
        <v>4.6525511741638184</v>
      </c>
      <c r="I6" s="11">
        <v>10.220839500427246</v>
      </c>
    </row>
    <row r="7" spans="1:9" x14ac:dyDescent="0.25">
      <c r="A7" s="5">
        <v>2008</v>
      </c>
      <c r="B7" s="10">
        <v>18.363204956054688</v>
      </c>
      <c r="C7" s="10">
        <v>9.6745786666870117</v>
      </c>
      <c r="D7" s="10">
        <v>24.377931594848633</v>
      </c>
      <c r="E7" s="11">
        <v>26.841516494750977</v>
      </c>
      <c r="F7" s="10">
        <v>6.7177672386169434</v>
      </c>
      <c r="G7" s="10">
        <v>2.0906219482421875</v>
      </c>
      <c r="H7" s="10">
        <v>7.6234173774719238</v>
      </c>
      <c r="I7" s="11">
        <v>14.139316558837891</v>
      </c>
    </row>
    <row r="8" spans="1:9" x14ac:dyDescent="0.25">
      <c r="A8" s="5">
        <v>2009</v>
      </c>
      <c r="B8" s="10">
        <v>16.738040924072266</v>
      </c>
      <c r="C8" s="10">
        <v>9.1323995590209961</v>
      </c>
      <c r="D8" s="10">
        <v>22.140453338623047</v>
      </c>
      <c r="E8" s="11">
        <v>24.047670364379883</v>
      </c>
      <c r="F8" s="10">
        <v>5.4795660972595215</v>
      </c>
      <c r="G8" s="10">
        <v>1.9772406816482544</v>
      </c>
      <c r="H8" s="10">
        <v>5.982670783996582</v>
      </c>
      <c r="I8" s="11">
        <v>11.389569282531738</v>
      </c>
    </row>
    <row r="9" spans="1:9" x14ac:dyDescent="0.25">
      <c r="A9" s="5">
        <v>2010</v>
      </c>
      <c r="B9" s="10">
        <v>15.118712425231934</v>
      </c>
      <c r="C9" s="10">
        <v>8.2836952209472656</v>
      </c>
      <c r="D9" s="10">
        <v>19.826812744140625</v>
      </c>
      <c r="E9" s="11">
        <v>21.933364868164063</v>
      </c>
      <c r="F9" s="10">
        <v>4.6093907356262207</v>
      </c>
      <c r="G9" s="10">
        <v>1.8083381652832031</v>
      </c>
      <c r="H9" s="10">
        <v>4.6438188552856445</v>
      </c>
      <c r="I9" s="11">
        <v>9.863520622253418</v>
      </c>
    </row>
    <row r="10" spans="1:9" x14ac:dyDescent="0.25">
      <c r="A10" s="5">
        <v>2011</v>
      </c>
      <c r="B10" s="10">
        <v>13.368127822875977</v>
      </c>
      <c r="C10" s="10">
        <v>6.8817615509033203</v>
      </c>
      <c r="D10" s="10">
        <v>18.073257446289063</v>
      </c>
      <c r="E10" s="11">
        <v>19.574563980102539</v>
      </c>
      <c r="F10" s="10">
        <v>3.7947773933410645</v>
      </c>
      <c r="G10" s="10">
        <v>1.2857649326324463</v>
      </c>
      <c r="H10" s="10">
        <v>4.0746164321899414</v>
      </c>
      <c r="I10" s="11">
        <v>8.2203617095947266</v>
      </c>
    </row>
    <row r="11" spans="1:9" x14ac:dyDescent="0.25">
      <c r="A11" s="5">
        <v>2012</v>
      </c>
      <c r="B11" s="10">
        <v>12.888945579528809</v>
      </c>
      <c r="C11" s="10">
        <v>6.3695249557495117</v>
      </c>
      <c r="D11" s="10">
        <v>17.377151489257813</v>
      </c>
      <c r="E11" s="11">
        <v>19.488533020019531</v>
      </c>
      <c r="F11" s="10">
        <v>3.7822487354278564</v>
      </c>
      <c r="G11" s="10">
        <v>1.2282640933990479</v>
      </c>
      <c r="H11" s="10">
        <v>3.9957082271575928</v>
      </c>
      <c r="I11" s="11">
        <v>8.4187345504760742</v>
      </c>
    </row>
    <row r="12" spans="1:9" x14ac:dyDescent="0.25">
      <c r="A12" s="5">
        <v>2013</v>
      </c>
      <c r="B12" s="10">
        <v>11.79701042175293</v>
      </c>
      <c r="C12" s="10">
        <v>5.9308576583862305</v>
      </c>
      <c r="D12" s="10">
        <v>16.219566345214844</v>
      </c>
      <c r="E12" s="11">
        <v>17.259958267211914</v>
      </c>
      <c r="F12" s="10">
        <v>3.3075382709503174</v>
      </c>
      <c r="G12" s="10">
        <v>1.2313377857208252</v>
      </c>
      <c r="H12" s="10">
        <v>3.6075971126556396</v>
      </c>
      <c r="I12" s="11">
        <v>6.9391460418701172</v>
      </c>
    </row>
    <row r="13" spans="1:9" x14ac:dyDescent="0.25">
      <c r="A13" s="5">
        <v>2014</v>
      </c>
      <c r="B13" s="10">
        <v>10.835399627685547</v>
      </c>
      <c r="C13" s="10">
        <v>5.2488384246826172</v>
      </c>
      <c r="D13" s="10">
        <v>14.62827205657959</v>
      </c>
      <c r="E13" s="11">
        <v>16.636728286743164</v>
      </c>
      <c r="F13" s="10">
        <v>2.9789025783538818</v>
      </c>
      <c r="G13" s="10">
        <v>1.0889527797698975</v>
      </c>
      <c r="H13" s="10">
        <v>3.0546944141387939</v>
      </c>
      <c r="I13" s="11">
        <v>6.5786514282226563</v>
      </c>
    </row>
    <row r="14" spans="1:9" x14ac:dyDescent="0.25">
      <c r="A14" s="5">
        <v>2015</v>
      </c>
      <c r="B14" s="10">
        <v>10.300780296325684</v>
      </c>
      <c r="C14" s="10">
        <v>5.112358570098877</v>
      </c>
      <c r="D14" s="10">
        <v>13.869400978088379</v>
      </c>
      <c r="E14" s="11">
        <v>15.657194137573242</v>
      </c>
      <c r="F14" s="10">
        <v>2.8532488346099854</v>
      </c>
      <c r="G14" s="10">
        <v>1.1762490272521973</v>
      </c>
      <c r="H14" s="10">
        <v>2.7184772491455078</v>
      </c>
      <c r="I14" s="11">
        <v>6.3484025001525879</v>
      </c>
    </row>
    <row r="15" spans="1:9" x14ac:dyDescent="0.25">
      <c r="A15" s="5">
        <v>2016</v>
      </c>
      <c r="B15" s="10">
        <v>10.341764450073242</v>
      </c>
      <c r="C15" s="10">
        <v>5.194526195526123</v>
      </c>
      <c r="D15" s="10">
        <v>14.43464469909668</v>
      </c>
      <c r="E15" s="11">
        <v>14.919822692871094</v>
      </c>
      <c r="F15" s="10">
        <v>3.1126213073730469</v>
      </c>
      <c r="G15" s="10">
        <v>1.2303003072738647</v>
      </c>
      <c r="H15" s="10">
        <v>3.3947010040283203</v>
      </c>
      <c r="I15" s="11">
        <v>6.465273380279541</v>
      </c>
    </row>
    <row r="16" spans="1:9" x14ac:dyDescent="0.25">
      <c r="A16" s="5">
        <v>2017</v>
      </c>
      <c r="B16" s="10">
        <v>9.7049779891967773</v>
      </c>
      <c r="C16" s="10">
        <v>5.1392221450805664</v>
      </c>
      <c r="D16" s="10">
        <v>13.717391014099121</v>
      </c>
      <c r="E16" s="11">
        <v>13.449283599853516</v>
      </c>
      <c r="F16" s="10">
        <v>2.6750195026397705</v>
      </c>
      <c r="G16" s="10">
        <v>1.1936614513397217</v>
      </c>
      <c r="H16" s="10">
        <v>2.925546407699585</v>
      </c>
      <c r="I16" s="11">
        <v>5.330930233001709</v>
      </c>
    </row>
    <row r="17" spans="1:9" ht="15.75" thickBot="1" x14ac:dyDescent="0.3">
      <c r="A17" s="6">
        <v>2018</v>
      </c>
      <c r="B17" s="13">
        <v>9.8325824737548828</v>
      </c>
      <c r="C17" s="13">
        <v>5.3376679420471191</v>
      </c>
      <c r="D17" s="13">
        <v>13.440409660339355</v>
      </c>
      <c r="E17" s="16">
        <v>13.815189361572266</v>
      </c>
      <c r="F17" s="13">
        <v>2.725287914276123</v>
      </c>
      <c r="G17" s="13">
        <v>1.254645824432373</v>
      </c>
      <c r="H17" s="13">
        <v>2.7567813396453857</v>
      </c>
      <c r="I17" s="16">
        <v>5.6430830955505371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87BC-0DEA-41EE-88CD-A8AD809FB8CB}">
  <sheetPr codeName="Hoja9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42" t="s">
        <v>10</v>
      </c>
      <c r="B1" s="40" t="s">
        <v>15</v>
      </c>
      <c r="C1" s="40"/>
      <c r="D1" s="40"/>
      <c r="E1" s="41"/>
      <c r="F1" s="40" t="s">
        <v>16</v>
      </c>
      <c r="G1" s="40"/>
      <c r="H1" s="40"/>
      <c r="I1" s="41"/>
    </row>
    <row r="2" spans="1:9" ht="15.75" thickBot="1" x14ac:dyDescent="0.3">
      <c r="A2" s="44"/>
      <c r="B2" s="8" t="s">
        <v>11</v>
      </c>
      <c r="C2" s="2" t="s">
        <v>2</v>
      </c>
      <c r="D2" s="2" t="s">
        <v>4</v>
      </c>
      <c r="E2" s="7" t="s">
        <v>3</v>
      </c>
      <c r="F2" s="8" t="s">
        <v>9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4">
        <v>12.646281242370605</v>
      </c>
      <c r="C3" s="10">
        <v>7.4270291328430176</v>
      </c>
      <c r="D3" s="10">
        <v>16.290250778198242</v>
      </c>
      <c r="E3" s="11">
        <v>17.380990982055664</v>
      </c>
      <c r="F3" s="14">
        <v>3.6983346939086914</v>
      </c>
      <c r="G3" s="10">
        <v>1.556721568107605</v>
      </c>
      <c r="H3" s="10">
        <v>3.6877033710479736</v>
      </c>
      <c r="I3" s="11">
        <v>7.3537030220031738</v>
      </c>
    </row>
    <row r="4" spans="1:9" x14ac:dyDescent="0.25">
      <c r="A4" s="5">
        <v>2003</v>
      </c>
      <c r="B4" s="15">
        <v>11.536758422851563</v>
      </c>
      <c r="C4" s="10">
        <v>7.4626688957214355</v>
      </c>
      <c r="D4" s="10">
        <v>14.830615997314453</v>
      </c>
      <c r="E4" s="11">
        <v>14.757376670837402</v>
      </c>
      <c r="F4" s="15">
        <v>3.11244797706604</v>
      </c>
      <c r="G4" s="10">
        <v>1.4516253471374512</v>
      </c>
      <c r="H4" s="10">
        <v>3.2489852905273438</v>
      </c>
      <c r="I4" s="11">
        <v>5.8268933296203613</v>
      </c>
    </row>
    <row r="5" spans="1:9" x14ac:dyDescent="0.25">
      <c r="A5" s="5">
        <v>2004</v>
      </c>
      <c r="B5" s="15">
        <v>11.06525707244873</v>
      </c>
      <c r="C5" s="10">
        <v>6.791351318359375</v>
      </c>
      <c r="D5" s="10">
        <v>14.047096252441406</v>
      </c>
      <c r="E5" s="11">
        <v>15.041489601135254</v>
      </c>
      <c r="F5" s="15">
        <v>2.8364865779876709</v>
      </c>
      <c r="G5" s="10">
        <v>1.3803051710128784</v>
      </c>
      <c r="H5" s="10">
        <v>2.60817551612854</v>
      </c>
      <c r="I5" s="11">
        <v>5.666295051574707</v>
      </c>
    </row>
    <row r="6" spans="1:9" x14ac:dyDescent="0.25">
      <c r="A6" s="5">
        <v>2005</v>
      </c>
      <c r="B6" s="15">
        <v>10.121403694152832</v>
      </c>
      <c r="C6" s="10">
        <v>5.9389281272888184</v>
      </c>
      <c r="D6" s="10">
        <v>12.90585994720459</v>
      </c>
      <c r="E6" s="11">
        <v>14.220385551452637</v>
      </c>
      <c r="F6" s="15">
        <v>2.5063140392303467</v>
      </c>
      <c r="G6" s="10">
        <v>1.0641170740127563</v>
      </c>
      <c r="H6" s="10">
        <v>2.2804217338562012</v>
      </c>
      <c r="I6" s="11">
        <v>5.3528456687927246</v>
      </c>
    </row>
    <row r="7" spans="1:9" x14ac:dyDescent="0.25">
      <c r="A7" s="5">
        <v>2008</v>
      </c>
      <c r="B7" s="15">
        <v>10.821671485900879</v>
      </c>
      <c r="C7" s="10">
        <v>5.0564618110656738</v>
      </c>
      <c r="D7" s="10">
        <v>14.745810508728027</v>
      </c>
      <c r="E7" s="11">
        <v>16.531894683837891</v>
      </c>
      <c r="F7" s="15">
        <v>3.9523298740386963</v>
      </c>
      <c r="G7" s="10">
        <v>1.2543526887893677</v>
      </c>
      <c r="H7" s="10">
        <v>4.4473276138305664</v>
      </c>
      <c r="I7" s="11">
        <v>8.3214855194091797</v>
      </c>
    </row>
    <row r="8" spans="1:9" x14ac:dyDescent="0.25">
      <c r="A8" s="5">
        <v>2009</v>
      </c>
      <c r="B8" s="15">
        <v>9.5029335021972656</v>
      </c>
      <c r="C8" s="10">
        <v>4.7965655326843262</v>
      </c>
      <c r="D8" s="10">
        <v>12.797422409057617</v>
      </c>
      <c r="E8" s="11">
        <v>14.088325500488281</v>
      </c>
      <c r="F8" s="15">
        <v>3.0474379062652588</v>
      </c>
      <c r="G8" s="10">
        <v>1.1929848194122314</v>
      </c>
      <c r="H8" s="10">
        <v>3.2266249656677246</v>
      </c>
      <c r="I8" s="11">
        <v>6.2885160446166992</v>
      </c>
    </row>
    <row r="9" spans="1:9" x14ac:dyDescent="0.25">
      <c r="A9" s="5">
        <v>2010</v>
      </c>
      <c r="B9" s="15">
        <v>8.4541292190551758</v>
      </c>
      <c r="C9" s="10">
        <v>4.3747501373291016</v>
      </c>
      <c r="D9" s="10">
        <v>11.10440731048584</v>
      </c>
      <c r="E9" s="11">
        <v>12.728764533996582</v>
      </c>
      <c r="F9" s="15">
        <v>2.5390057563781738</v>
      </c>
      <c r="G9" s="10">
        <v>1.0946974754333496</v>
      </c>
      <c r="H9" s="10">
        <v>2.4209229946136475</v>
      </c>
      <c r="I9" s="11">
        <v>5.4246320724487305</v>
      </c>
    </row>
    <row r="10" spans="1:9" x14ac:dyDescent="0.25">
      <c r="A10" s="5">
        <v>2011</v>
      </c>
      <c r="B10" s="15">
        <v>7.2484850883483887</v>
      </c>
      <c r="C10" s="10">
        <v>3.4479198455810547</v>
      </c>
      <c r="D10" s="10">
        <v>9.9877338409423828</v>
      </c>
      <c r="E10" s="11">
        <v>10.908215522766113</v>
      </c>
      <c r="F10" s="15">
        <v>2.0224745273590088</v>
      </c>
      <c r="G10" s="10">
        <v>0.75957298278808594</v>
      </c>
      <c r="H10" s="10">
        <v>2.1351265907287598</v>
      </c>
      <c r="I10" s="11">
        <v>4.2871546745300293</v>
      </c>
    </row>
    <row r="11" spans="1:9" x14ac:dyDescent="0.25">
      <c r="A11" s="5">
        <v>2012</v>
      </c>
      <c r="B11" s="15">
        <v>7.0461273193359375</v>
      </c>
      <c r="C11" s="10">
        <v>3.2051980495452881</v>
      </c>
      <c r="D11" s="10">
        <v>9.6195011138916016</v>
      </c>
      <c r="E11" s="11">
        <v>11.028373718261719</v>
      </c>
      <c r="F11" s="15">
        <v>2.0719451904296875</v>
      </c>
      <c r="G11" s="10">
        <v>0.72233831882476807</v>
      </c>
      <c r="H11" s="10">
        <v>2.1801605224609375</v>
      </c>
      <c r="I11" s="11">
        <v>4.5280976295471191</v>
      </c>
    </row>
    <row r="12" spans="1:9" x14ac:dyDescent="0.25">
      <c r="A12" s="5">
        <v>2013</v>
      </c>
      <c r="B12" s="15">
        <v>6.4046993255615234</v>
      </c>
      <c r="C12" s="10">
        <v>3.045499324798584</v>
      </c>
      <c r="D12" s="10">
        <v>8.9180202484130859</v>
      </c>
      <c r="E12" s="11">
        <v>9.5587978363037109</v>
      </c>
      <c r="F12" s="15">
        <v>1.8294616937637329</v>
      </c>
      <c r="G12" s="10">
        <v>0.77509611845016479</v>
      </c>
      <c r="H12" s="10">
        <v>1.96037757396698</v>
      </c>
      <c r="I12" s="11">
        <v>3.7025249004364014</v>
      </c>
    </row>
    <row r="13" spans="1:9" x14ac:dyDescent="0.25">
      <c r="A13" s="5">
        <v>2014</v>
      </c>
      <c r="B13" s="15">
        <v>5.8237042427062988</v>
      </c>
      <c r="C13" s="10">
        <v>2.6739704608917236</v>
      </c>
      <c r="D13" s="10">
        <v>7.9056406021118164</v>
      </c>
      <c r="E13" s="11">
        <v>9.171147346496582</v>
      </c>
      <c r="F13" s="15">
        <v>1.6688942909240723</v>
      </c>
      <c r="G13" s="10">
        <v>0.70494425296783447</v>
      </c>
      <c r="H13" s="10">
        <v>1.7023869752883911</v>
      </c>
      <c r="I13" s="11">
        <v>3.5119130611419678</v>
      </c>
    </row>
    <row r="14" spans="1:9" x14ac:dyDescent="0.25">
      <c r="A14" s="5">
        <v>2015</v>
      </c>
      <c r="B14" s="15">
        <v>5.4340925216674805</v>
      </c>
      <c r="C14" s="10">
        <v>2.6394188404083252</v>
      </c>
      <c r="D14" s="10">
        <v>7.2382006645202637</v>
      </c>
      <c r="E14" s="11">
        <v>8.4809322357177734</v>
      </c>
      <c r="F14" s="15">
        <v>1.5720375776290894</v>
      </c>
      <c r="G14" s="10">
        <v>0.78596514463424683</v>
      </c>
      <c r="H14" s="10">
        <v>1.4518489837646484</v>
      </c>
      <c r="I14" s="11">
        <v>3.2884142398834229</v>
      </c>
    </row>
    <row r="15" spans="1:9" x14ac:dyDescent="0.25">
      <c r="A15" s="5">
        <v>2016</v>
      </c>
      <c r="B15" s="15">
        <v>5.4973363876342773</v>
      </c>
      <c r="C15" s="10">
        <v>2.6558010578155518</v>
      </c>
      <c r="D15" s="10">
        <v>7.7273812294006348</v>
      </c>
      <c r="E15" s="11">
        <v>8.0653257369995117</v>
      </c>
      <c r="F15" s="15">
        <v>1.7354797124862671</v>
      </c>
      <c r="G15" s="10">
        <v>0.79174906015396118</v>
      </c>
      <c r="H15" s="10">
        <v>1.8970315456390381</v>
      </c>
      <c r="I15" s="11">
        <v>3.3885715007781982</v>
      </c>
    </row>
    <row r="16" spans="1:9" x14ac:dyDescent="0.25">
      <c r="A16" s="5">
        <v>2017</v>
      </c>
      <c r="B16" s="15">
        <v>5.0725679397583008</v>
      </c>
      <c r="C16" s="10">
        <v>2.6248531341552734</v>
      </c>
      <c r="D16" s="10">
        <v>7.2179555892944336</v>
      </c>
      <c r="E16" s="11">
        <v>7.0876846313476563</v>
      </c>
      <c r="F16" s="15">
        <v>1.5000764131546021</v>
      </c>
      <c r="G16" s="10">
        <v>0.80452847480773926</v>
      </c>
      <c r="H16" s="10">
        <v>1.6419486999511719</v>
      </c>
      <c r="I16" s="11">
        <v>2.7138874530792236</v>
      </c>
    </row>
    <row r="17" spans="1:9" ht="15.75" thickBot="1" x14ac:dyDescent="0.3">
      <c r="A17" s="6">
        <v>2018</v>
      </c>
      <c r="B17" s="12">
        <v>5.1967906951904297</v>
      </c>
      <c r="C17" s="13">
        <v>2.7629482746124268</v>
      </c>
      <c r="D17" s="13">
        <v>7.0490498542785645</v>
      </c>
      <c r="E17" s="16">
        <v>7.4955477714538574</v>
      </c>
      <c r="F17" s="12">
        <v>1.5609755516052246</v>
      </c>
      <c r="G17" s="13">
        <v>0.85290676355361938</v>
      </c>
      <c r="H17" s="13">
        <v>1.5179766416549683</v>
      </c>
      <c r="I17" s="16">
        <v>3.0475492477416992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B546-CF53-4C04-8C92-4FE880888062}">
  <sheetPr codeName="Hoja7"/>
  <dimension ref="A1:M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0" width="17.85546875" style="1" customWidth="1"/>
    <col min="11" max="11" width="21.5703125" style="1" customWidth="1"/>
    <col min="12" max="13" width="14.28515625" style="1" customWidth="1"/>
    <col min="14" max="16384" width="11.42578125" style="1"/>
  </cols>
  <sheetData>
    <row r="1" spans="1:13" ht="15.75" thickBot="1" x14ac:dyDescent="0.3">
      <c r="A1" s="42" t="s">
        <v>20</v>
      </c>
      <c r="B1" s="40" t="s">
        <v>7</v>
      </c>
      <c r="C1" s="40"/>
      <c r="D1" s="40"/>
      <c r="E1" s="41"/>
      <c r="F1" s="40" t="s">
        <v>13</v>
      </c>
      <c r="G1" s="40"/>
      <c r="H1" s="40"/>
      <c r="I1" s="41"/>
      <c r="J1" s="40" t="s">
        <v>15</v>
      </c>
      <c r="K1" s="40"/>
      <c r="L1" s="40"/>
      <c r="M1" s="41"/>
    </row>
    <row r="2" spans="1:13" ht="15.75" thickBot="1" x14ac:dyDescent="0.3">
      <c r="A2" s="44"/>
      <c r="B2" s="8" t="s">
        <v>11</v>
      </c>
      <c r="C2" s="2" t="s">
        <v>2</v>
      </c>
      <c r="D2" s="2" t="s">
        <v>4</v>
      </c>
      <c r="E2" s="7" t="s">
        <v>3</v>
      </c>
      <c r="F2" s="8" t="s">
        <v>11</v>
      </c>
      <c r="G2" s="2" t="s">
        <v>2</v>
      </c>
      <c r="H2" s="2" t="s">
        <v>4</v>
      </c>
      <c r="I2" s="7" t="s">
        <v>3</v>
      </c>
      <c r="J2" s="8" t="s">
        <v>11</v>
      </c>
      <c r="K2" s="2" t="s">
        <v>2</v>
      </c>
      <c r="L2" s="2" t="s">
        <v>4</v>
      </c>
      <c r="M2" s="7" t="s">
        <v>3</v>
      </c>
    </row>
    <row r="3" spans="1:13" x14ac:dyDescent="0.25">
      <c r="A3" s="4" t="s">
        <v>12</v>
      </c>
      <c r="B3" s="39">
        <f>'Tabla 1'!B18-'Tabla 1'!B4</f>
        <v>-22.353921890258789</v>
      </c>
      <c r="C3" s="39">
        <f>'Tabla 1'!C18-'Tabla 1'!C4</f>
        <v>-19.717891693115234</v>
      </c>
      <c r="D3" s="39">
        <f>'Tabla 1'!D18-'Tabla 1'!D4</f>
        <v>-23.262195587158203</v>
      </c>
      <c r="E3" s="17">
        <f>'Tabla 1'!E18-'Tabla 1'!E4</f>
        <v>-24.851158142089844</v>
      </c>
      <c r="F3" s="39">
        <f>'Tabla 1'!F18-'Tabla 1'!F4</f>
        <v>-11.874439239501953</v>
      </c>
      <c r="G3" s="39">
        <f>'Tabla 1'!G18-'Tabla 1'!G4</f>
        <v>-8.4880766868591309</v>
      </c>
      <c r="H3" s="39">
        <f>'Tabla 1'!H18-'Tabla 1'!H4</f>
        <v>-13.987378120422363</v>
      </c>
      <c r="I3" s="17">
        <f>'Tabla 1'!I18-'Tabla 1'!I4</f>
        <v>-14.793247222900391</v>
      </c>
      <c r="J3" s="39">
        <f>'Tabla 1'!J18-'Tabla 1'!J4</f>
        <v>-7.4494905471801758</v>
      </c>
      <c r="K3" s="39">
        <f>'Tabla 1'!K18-'Tabla 1'!K4</f>
        <v>-4.6640808582305908</v>
      </c>
      <c r="L3" s="39">
        <f>'Tabla 1'!L18-'Tabla 1'!L4</f>
        <v>-9.2412009239196777</v>
      </c>
      <c r="M3" s="17">
        <f>'Tabla 1'!M18-'Tabla 1'!M4</f>
        <v>-9.8854432106018066</v>
      </c>
    </row>
    <row r="4" spans="1:13" ht="15.75" thickBot="1" x14ac:dyDescent="0.3">
      <c r="A4" s="6" t="s">
        <v>22</v>
      </c>
      <c r="B4" s="18">
        <f>'Tabla 1'!B15-'Tabla 1'!B7</f>
        <v>-17.103490829467773</v>
      </c>
      <c r="C4" s="18">
        <f>'Tabla 1'!C15-'Tabla 1'!C7</f>
        <v>-16.85881519317627</v>
      </c>
      <c r="D4" s="18">
        <f>'Tabla 1'!D15-'Tabla 1'!D7</f>
        <v>-17.528465270996094</v>
      </c>
      <c r="E4" s="18">
        <f>'Tabla 1'!E15-'Tabla 1'!E7</f>
        <v>-16.093032836914063</v>
      </c>
      <c r="F4" s="38">
        <f>'Tabla 1'!F15-'Tabla 1'!F7</f>
        <v>-8.0793886184692383</v>
      </c>
      <c r="G4" s="18">
        <f>'Tabla 1'!G15-'Tabla 1'!G7</f>
        <v>-6.5063471794128418</v>
      </c>
      <c r="H4" s="18">
        <f>'Tabla 1'!H15-'Tabla 1'!H7</f>
        <v>-9.2410593032836914</v>
      </c>
      <c r="I4" s="19">
        <f>'Tabla 1'!I15-'Tabla 1'!I7</f>
        <v>-9.0728874206542969</v>
      </c>
      <c r="J4" s="18">
        <f>'Tabla 1'!J15-'Tabla 1'!J7</f>
        <v>-4.6873111724853516</v>
      </c>
      <c r="K4" s="18">
        <f>'Tabla 1'!K15-'Tabla 1'!K7</f>
        <v>-3.2995092868804932</v>
      </c>
      <c r="L4" s="18">
        <f>'Tabla 1'!L15-'Tabla 1'!L7</f>
        <v>-5.6676592826843262</v>
      </c>
      <c r="M4" s="19">
        <f>'Tabla 1'!M15-'Tabla 1'!M7</f>
        <v>-5.7394533157348633</v>
      </c>
    </row>
    <row r="5" spans="1:13" ht="15.75" thickBot="1" x14ac:dyDescent="0.3">
      <c r="E5" s="37"/>
    </row>
    <row r="6" spans="1:13" ht="15.75" thickBot="1" x14ac:dyDescent="0.3">
      <c r="A6" s="42" t="s">
        <v>20</v>
      </c>
      <c r="B6" s="40" t="s">
        <v>8</v>
      </c>
      <c r="C6" s="40"/>
      <c r="D6" s="40"/>
      <c r="E6" s="41"/>
      <c r="F6" s="40" t="s">
        <v>14</v>
      </c>
      <c r="G6" s="40"/>
      <c r="H6" s="40"/>
      <c r="I6" s="41"/>
      <c r="J6" s="40" t="s">
        <v>16</v>
      </c>
      <c r="K6" s="40"/>
      <c r="L6" s="40"/>
      <c r="M6" s="41"/>
    </row>
    <row r="7" spans="1:13" ht="15.75" thickBot="1" x14ac:dyDescent="0.3">
      <c r="A7" s="44"/>
      <c r="B7" s="8" t="s">
        <v>11</v>
      </c>
      <c r="C7" s="2" t="s">
        <v>2</v>
      </c>
      <c r="D7" s="2" t="s">
        <v>4</v>
      </c>
      <c r="E7" s="7" t="s">
        <v>3</v>
      </c>
      <c r="F7" s="8" t="s">
        <v>11</v>
      </c>
      <c r="G7" s="2" t="s">
        <v>2</v>
      </c>
      <c r="H7" s="2" t="s">
        <v>4</v>
      </c>
      <c r="I7" s="7" t="s">
        <v>3</v>
      </c>
      <c r="J7" s="8" t="s">
        <v>11</v>
      </c>
      <c r="K7" s="2" t="s">
        <v>2</v>
      </c>
      <c r="L7" s="2" t="s">
        <v>4</v>
      </c>
      <c r="M7" s="7" t="s">
        <v>3</v>
      </c>
    </row>
    <row r="8" spans="1:13" x14ac:dyDescent="0.25">
      <c r="A8" s="4" t="s">
        <v>12</v>
      </c>
      <c r="B8" s="39">
        <f>'Tabla 2'!B18-'Tabla 2'!B4</f>
        <v>-10.387875080108643</v>
      </c>
      <c r="C8" s="39">
        <f>'Tabla 2'!C18-'Tabla 2'!C4</f>
        <v>-4.5879232883453369</v>
      </c>
      <c r="D8" s="39">
        <f>'Tabla 2'!D18-'Tabla 2'!D4</f>
        <v>-11.777151584625244</v>
      </c>
      <c r="E8" s="17">
        <f>'Tabla 2'!E18-'Tabla 2'!E4</f>
        <v>-17.439468383789063</v>
      </c>
      <c r="F8" s="39">
        <f>'Tabla 2'!F18-'Tabla 2'!F4</f>
        <v>-3.9761533737182617</v>
      </c>
      <c r="G8" s="39">
        <f>'Tabla 2'!G18-'Tabla 2'!G4</f>
        <v>-1.4495372772216797</v>
      </c>
      <c r="H8" s="39">
        <f>'Tabla 2'!H18-'Tabla 2'!H4</f>
        <v>-4.1689331531524658</v>
      </c>
      <c r="I8" s="17">
        <f>'Tabla 2'!I18-'Tabla 2'!I4</f>
        <v>-7.6033682823181152</v>
      </c>
      <c r="J8" s="39">
        <f>'Tabla 2'!J18-'Tabla 2'!J4</f>
        <v>-2.1373591423034668</v>
      </c>
      <c r="K8" s="39">
        <f>'Tabla 2'!K18-'Tabla 2'!K4</f>
        <v>-0.7038148045539856</v>
      </c>
      <c r="L8" s="39">
        <f>'Tabla 2'!L18-'Tabla 2'!L4</f>
        <v>-2.1697267293930054</v>
      </c>
      <c r="M8" s="17">
        <f>'Tabla 2'!M18-'Tabla 2'!M4</f>
        <v>-4.3061537742614746</v>
      </c>
    </row>
    <row r="9" spans="1:13" ht="15.75" thickBot="1" x14ac:dyDescent="0.3">
      <c r="A9" s="6" t="s">
        <v>22</v>
      </c>
      <c r="B9" s="18">
        <f>'Tabla 2'!B15-'Tabla 2'!B7</f>
        <v>-5.855597972869873</v>
      </c>
      <c r="C9" s="18">
        <f>'Tabla 2'!C15-'Tabla 2'!C7</f>
        <v>-2.9144885540008545</v>
      </c>
      <c r="D9" s="18">
        <f>'Tabla 2'!D15-'Tabla 2'!D7</f>
        <v>-6.1341876983642578</v>
      </c>
      <c r="E9" s="19">
        <f>'Tabla 2'!E15-'Tabla 2'!E7</f>
        <v>-9.8055820465087891</v>
      </c>
      <c r="F9" s="18">
        <f>'Tabla 2'!F15-'Tabla 2'!F7</f>
        <v>-1.9790618419647217</v>
      </c>
      <c r="G9" s="18">
        <f>'Tabla 2'!G15-'Tabla 2'!G7</f>
        <v>-0.75812625885009766</v>
      </c>
      <c r="H9" s="18">
        <f>'Tabla 2'!H15-'Tabla 2'!H7</f>
        <v>-1.9340739250183105</v>
      </c>
      <c r="I9" s="18">
        <f>'Tabla 2'!I15-'Tabla 2'!I7</f>
        <v>-3.8724370002746582</v>
      </c>
      <c r="J9" s="38">
        <f>'Tabla 2'!J15-'Tabla 2'!J7</f>
        <v>-0.93427646160125732</v>
      </c>
      <c r="K9" s="18">
        <f>'Tabla 2'!K15-'Tabla 2'!K7</f>
        <v>-0.27815192937850952</v>
      </c>
      <c r="L9" s="18">
        <f>'Tabla 2'!L15-'Tabla 2'!L7</f>
        <v>-0.82857275009155273</v>
      </c>
      <c r="M9" s="19">
        <f>'Tabla 2'!M15-'Tabla 2'!M7</f>
        <v>-2.0644314289093018</v>
      </c>
    </row>
  </sheetData>
  <mergeCells count="8">
    <mergeCell ref="J1:M1"/>
    <mergeCell ref="J6:M6"/>
    <mergeCell ref="A1:A2"/>
    <mergeCell ref="B1:E1"/>
    <mergeCell ref="F1:I1"/>
    <mergeCell ref="A6:A7"/>
    <mergeCell ref="B6:E6"/>
    <mergeCell ref="F6:I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AFB6-7A42-4A3C-B317-CE4CA468DD0B}">
  <dimension ref="A1:I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6384" width="11.42578125" style="1"/>
  </cols>
  <sheetData>
    <row r="1" spans="1:9" ht="15.75" thickBot="1" x14ac:dyDescent="0.3">
      <c r="A1" s="42" t="s">
        <v>10</v>
      </c>
      <c r="B1" s="45" t="s">
        <v>17</v>
      </c>
      <c r="C1" s="40"/>
      <c r="D1" s="40"/>
      <c r="E1" s="40"/>
      <c r="F1" s="40"/>
      <c r="G1" s="40"/>
      <c r="H1" s="40"/>
      <c r="I1" s="41"/>
    </row>
    <row r="2" spans="1:9" ht="15.75" thickBot="1" x14ac:dyDescent="0.3">
      <c r="A2" s="43"/>
      <c r="B2" s="45" t="s">
        <v>18</v>
      </c>
      <c r="C2" s="40"/>
      <c r="D2" s="40"/>
      <c r="E2" s="41"/>
      <c r="F2" s="45" t="s">
        <v>19</v>
      </c>
      <c r="G2" s="40"/>
      <c r="H2" s="40"/>
      <c r="I2" s="41"/>
    </row>
    <row r="3" spans="1:9" ht="15.75" thickBot="1" x14ac:dyDescent="0.3">
      <c r="A3" s="44"/>
      <c r="B3" s="2" t="s">
        <v>2</v>
      </c>
      <c r="C3" s="2" t="s">
        <v>4</v>
      </c>
      <c r="D3" s="2" t="s">
        <v>3</v>
      </c>
      <c r="E3" s="7" t="s">
        <v>11</v>
      </c>
      <c r="F3" s="2" t="s">
        <v>2</v>
      </c>
      <c r="G3" s="2" t="s">
        <v>4</v>
      </c>
      <c r="H3" s="2" t="s">
        <v>3</v>
      </c>
      <c r="I3" s="7" t="s">
        <v>11</v>
      </c>
    </row>
    <row r="4" spans="1:9" x14ac:dyDescent="0.25">
      <c r="A4" s="4">
        <v>2002</v>
      </c>
      <c r="B4" s="20">
        <v>17806378</v>
      </c>
      <c r="C4" s="20">
        <v>11903920</v>
      </c>
      <c r="D4" s="20">
        <v>10467051</v>
      </c>
      <c r="E4" s="11">
        <f>SUM(B4:D4)</f>
        <v>40177349</v>
      </c>
      <c r="F4" s="21">
        <f>B4/$E4</f>
        <v>0.44319444769738292</v>
      </c>
      <c r="G4" s="21">
        <f t="shared" ref="G4:H4" si="0">C4/$E4</f>
        <v>0.29628435664085251</v>
      </c>
      <c r="H4" s="21">
        <f t="shared" si="0"/>
        <v>0.26052119566176452</v>
      </c>
      <c r="I4" s="22">
        <f>SUM(F4:H4)</f>
        <v>1</v>
      </c>
    </row>
    <row r="5" spans="1:9" x14ac:dyDescent="0.25">
      <c r="A5" s="5">
        <v>2003</v>
      </c>
      <c r="B5" s="20">
        <v>18081858</v>
      </c>
      <c r="C5" s="20">
        <v>12144980</v>
      </c>
      <c r="D5" s="20">
        <v>10452419</v>
      </c>
      <c r="E5" s="11">
        <f t="shared" ref="E5:E18" si="1">SUM(B5:D5)</f>
        <v>40679257</v>
      </c>
      <c r="F5" s="21">
        <f t="shared" ref="F5:F18" si="2">B5/$E5</f>
        <v>0.44449823653367121</v>
      </c>
      <c r="G5" s="21">
        <f t="shared" ref="G5:G18" si="3">C5/$E5</f>
        <v>0.29855461716028886</v>
      </c>
      <c r="H5" s="21">
        <f t="shared" ref="H5:H18" si="4">D5/$E5</f>
        <v>0.25694714630603993</v>
      </c>
      <c r="I5" s="22">
        <f t="shared" ref="I5:I18" si="5">SUM(F5:H5)</f>
        <v>1</v>
      </c>
    </row>
    <row r="6" spans="1:9" x14ac:dyDescent="0.25">
      <c r="A6" s="5">
        <v>2004</v>
      </c>
      <c r="B6" s="20">
        <v>18355894</v>
      </c>
      <c r="C6" s="20">
        <v>12381911</v>
      </c>
      <c r="D6" s="20">
        <v>10444679</v>
      </c>
      <c r="E6" s="11">
        <f t="shared" si="1"/>
        <v>41182484</v>
      </c>
      <c r="F6" s="21">
        <f t="shared" si="2"/>
        <v>0.44572090406202791</v>
      </c>
      <c r="G6" s="21">
        <f t="shared" si="3"/>
        <v>0.30065964452265675</v>
      </c>
      <c r="H6" s="21">
        <f t="shared" si="4"/>
        <v>0.25361945141531533</v>
      </c>
      <c r="I6" s="22">
        <f t="shared" si="5"/>
        <v>1</v>
      </c>
    </row>
    <row r="7" spans="1:9" x14ac:dyDescent="0.25">
      <c r="A7" s="5">
        <v>2005</v>
      </c>
      <c r="B7" s="20">
        <v>18627918</v>
      </c>
      <c r="C7" s="20">
        <v>12613672</v>
      </c>
      <c r="D7" s="20">
        <v>10438829</v>
      </c>
      <c r="E7" s="11">
        <f t="shared" si="1"/>
        <v>41680419</v>
      </c>
      <c r="F7" s="21">
        <f t="shared" si="2"/>
        <v>0.44692252253990056</v>
      </c>
      <c r="G7" s="21">
        <f t="shared" si="3"/>
        <v>0.30262824373238667</v>
      </c>
      <c r="H7" s="21">
        <f t="shared" si="4"/>
        <v>0.25044923372771277</v>
      </c>
      <c r="I7" s="22">
        <f t="shared" si="5"/>
        <v>1</v>
      </c>
    </row>
    <row r="8" spans="1:9" x14ac:dyDescent="0.25">
      <c r="A8" s="5">
        <v>2008</v>
      </c>
      <c r="B8" s="20">
        <v>19428196</v>
      </c>
      <c r="C8" s="20">
        <v>13273991</v>
      </c>
      <c r="D8" s="20">
        <v>10493045</v>
      </c>
      <c r="E8" s="11">
        <f t="shared" si="1"/>
        <v>43195232</v>
      </c>
      <c r="F8" s="21">
        <f t="shared" si="2"/>
        <v>0.44977640124724877</v>
      </c>
      <c r="G8" s="21">
        <f t="shared" si="3"/>
        <v>0.30730222724582196</v>
      </c>
      <c r="H8" s="21">
        <f t="shared" si="4"/>
        <v>0.24292137150692927</v>
      </c>
      <c r="I8" s="22">
        <f t="shared" si="5"/>
        <v>1</v>
      </c>
    </row>
    <row r="9" spans="1:9" x14ac:dyDescent="0.25">
      <c r="A9" s="5">
        <v>2009</v>
      </c>
      <c r="B9" s="20">
        <v>19694234</v>
      </c>
      <c r="C9" s="20">
        <v>13488477</v>
      </c>
      <c r="D9" s="20">
        <v>10522489</v>
      </c>
      <c r="E9" s="11">
        <f t="shared" si="1"/>
        <v>43705200</v>
      </c>
      <c r="F9" s="21">
        <f t="shared" si="2"/>
        <v>0.45061535011852138</v>
      </c>
      <c r="G9" s="21">
        <f t="shared" si="3"/>
        <v>0.30862407676889708</v>
      </c>
      <c r="H9" s="21">
        <f t="shared" si="4"/>
        <v>0.24076057311258156</v>
      </c>
      <c r="I9" s="22">
        <f t="shared" si="5"/>
        <v>1</v>
      </c>
    </row>
    <row r="10" spans="1:9" x14ac:dyDescent="0.25">
      <c r="A10" s="5">
        <v>2010</v>
      </c>
      <c r="B10" s="20">
        <v>19960462</v>
      </c>
      <c r="C10" s="20">
        <v>13705246</v>
      </c>
      <c r="D10" s="20">
        <v>10551365</v>
      </c>
      <c r="E10" s="11">
        <f t="shared" si="1"/>
        <v>44217073</v>
      </c>
      <c r="F10" s="21">
        <f t="shared" si="2"/>
        <v>0.45141979434052543</v>
      </c>
      <c r="G10" s="21">
        <f t="shared" si="3"/>
        <v>0.30995371403258648</v>
      </c>
      <c r="H10" s="21">
        <f t="shared" si="4"/>
        <v>0.23862649162688809</v>
      </c>
      <c r="I10" s="22">
        <f t="shared" si="5"/>
        <v>1</v>
      </c>
    </row>
    <row r="11" spans="1:9" x14ac:dyDescent="0.25">
      <c r="A11" s="5">
        <v>2011</v>
      </c>
      <c r="B11" s="20">
        <v>20227704</v>
      </c>
      <c r="C11" s="20">
        <v>13919482</v>
      </c>
      <c r="D11" s="20">
        <v>10587607</v>
      </c>
      <c r="E11" s="11">
        <f t="shared" si="1"/>
        <v>44734793</v>
      </c>
      <c r="F11" s="21">
        <f t="shared" si="2"/>
        <v>0.45216938860094869</v>
      </c>
      <c r="G11" s="21">
        <f t="shared" si="3"/>
        <v>0.31115561437827599</v>
      </c>
      <c r="H11" s="21">
        <f t="shared" si="4"/>
        <v>0.2366749970207753</v>
      </c>
      <c r="I11" s="22">
        <f t="shared" si="5"/>
        <v>1</v>
      </c>
    </row>
    <row r="12" spans="1:9" x14ac:dyDescent="0.25">
      <c r="A12" s="5">
        <v>2012</v>
      </c>
      <c r="B12" s="20">
        <v>20491984</v>
      </c>
      <c r="C12" s="20">
        <v>14124077</v>
      </c>
      <c r="D12" s="20">
        <v>10637646</v>
      </c>
      <c r="E12" s="11">
        <f t="shared" si="1"/>
        <v>45253707</v>
      </c>
      <c r="F12" s="21">
        <f t="shared" si="2"/>
        <v>0.45282442828385305</v>
      </c>
      <c r="G12" s="21">
        <f t="shared" si="3"/>
        <v>0.31210872956772356</v>
      </c>
      <c r="H12" s="21">
        <f t="shared" si="4"/>
        <v>0.23506684214842333</v>
      </c>
      <c r="I12" s="22">
        <f t="shared" si="5"/>
        <v>0.99999999999999989</v>
      </c>
    </row>
    <row r="13" spans="1:9" x14ac:dyDescent="0.25">
      <c r="A13" s="5">
        <v>2013</v>
      </c>
      <c r="B13" s="20">
        <v>20756004</v>
      </c>
      <c r="C13" s="20">
        <v>14336558</v>
      </c>
      <c r="D13" s="20">
        <v>10681720</v>
      </c>
      <c r="E13" s="11">
        <f t="shared" si="1"/>
        <v>45774282</v>
      </c>
      <c r="F13" s="21">
        <f t="shared" si="2"/>
        <v>0.45344248108577651</v>
      </c>
      <c r="G13" s="21">
        <f t="shared" si="3"/>
        <v>0.31320115518141822</v>
      </c>
      <c r="H13" s="21">
        <f t="shared" si="4"/>
        <v>0.23335636373280524</v>
      </c>
      <c r="I13" s="22">
        <f t="shared" si="5"/>
        <v>0.99999999999999989</v>
      </c>
    </row>
    <row r="14" spans="1:9" x14ac:dyDescent="0.25">
      <c r="A14" s="5">
        <v>2014</v>
      </c>
      <c r="B14" s="20">
        <v>21018726</v>
      </c>
      <c r="C14" s="20">
        <v>14548332</v>
      </c>
      <c r="D14" s="20">
        <v>10728994</v>
      </c>
      <c r="E14" s="11">
        <f t="shared" si="1"/>
        <v>46296052</v>
      </c>
      <c r="F14" s="21">
        <f t="shared" si="2"/>
        <v>0.45400687730349015</v>
      </c>
      <c r="G14" s="21">
        <f t="shared" si="3"/>
        <v>0.31424562941133727</v>
      </c>
      <c r="H14" s="21">
        <f t="shared" si="4"/>
        <v>0.23174749328517258</v>
      </c>
      <c r="I14" s="22">
        <f t="shared" si="5"/>
        <v>1</v>
      </c>
    </row>
    <row r="15" spans="1:9" x14ac:dyDescent="0.25">
      <c r="A15" s="5">
        <v>2015</v>
      </c>
      <c r="B15" s="20">
        <v>21279954</v>
      </c>
      <c r="C15" s="20">
        <v>14759347</v>
      </c>
      <c r="D15" s="20">
        <v>10779390</v>
      </c>
      <c r="E15" s="11">
        <f t="shared" si="1"/>
        <v>46818691</v>
      </c>
      <c r="F15" s="21">
        <f t="shared" si="2"/>
        <v>0.45451834610241454</v>
      </c>
      <c r="G15" s="21">
        <f t="shared" si="3"/>
        <v>0.31524475983320421</v>
      </c>
      <c r="H15" s="21">
        <f t="shared" si="4"/>
        <v>0.23023689406438125</v>
      </c>
      <c r="I15" s="22">
        <f t="shared" si="5"/>
        <v>1</v>
      </c>
    </row>
    <row r="16" spans="1:9" x14ac:dyDescent="0.25">
      <c r="A16" s="5">
        <v>2016</v>
      </c>
      <c r="B16" s="20">
        <v>21539494</v>
      </c>
      <c r="C16" s="20">
        <v>14970363</v>
      </c>
      <c r="D16" s="20">
        <v>10833634</v>
      </c>
      <c r="E16" s="11">
        <f t="shared" si="1"/>
        <v>47343491</v>
      </c>
      <c r="F16" s="21">
        <f t="shared" si="2"/>
        <v>0.45496209816889083</v>
      </c>
      <c r="G16" s="21">
        <f t="shared" si="3"/>
        <v>0.31620741698156563</v>
      </c>
      <c r="H16" s="21">
        <f t="shared" si="4"/>
        <v>0.22883048484954352</v>
      </c>
      <c r="I16" s="22">
        <f t="shared" si="5"/>
        <v>1</v>
      </c>
    </row>
    <row r="17" spans="1:9" x14ac:dyDescent="0.25">
      <c r="A17" s="5">
        <v>2017</v>
      </c>
      <c r="B17" s="20">
        <v>22049658</v>
      </c>
      <c r="C17" s="20">
        <v>14927885</v>
      </c>
      <c r="D17" s="20">
        <v>10890278</v>
      </c>
      <c r="E17" s="11">
        <f t="shared" si="1"/>
        <v>47867821</v>
      </c>
      <c r="F17" s="21">
        <f t="shared" si="2"/>
        <v>0.46063634273220833</v>
      </c>
      <c r="G17" s="21">
        <f t="shared" si="3"/>
        <v>0.31185637215447931</v>
      </c>
      <c r="H17" s="21">
        <f t="shared" si="4"/>
        <v>0.22750728511331234</v>
      </c>
      <c r="I17" s="22">
        <f t="shared" si="5"/>
        <v>0.99999999999999989</v>
      </c>
    </row>
    <row r="18" spans="1:9" ht="15.75" thickBot="1" x14ac:dyDescent="0.3">
      <c r="A18" s="6">
        <v>2018</v>
      </c>
      <c r="B18" s="12">
        <v>22052810</v>
      </c>
      <c r="C18" s="13">
        <v>15388667</v>
      </c>
      <c r="D18" s="13">
        <v>10949071</v>
      </c>
      <c r="E18" s="11">
        <f t="shared" si="1"/>
        <v>48390548</v>
      </c>
      <c r="F18" s="23">
        <f t="shared" si="2"/>
        <v>0.4557255685552476</v>
      </c>
      <c r="G18" s="24">
        <f t="shared" si="3"/>
        <v>0.3180097691805433</v>
      </c>
      <c r="H18" s="24">
        <f t="shared" si="4"/>
        <v>0.2262646622642091</v>
      </c>
      <c r="I18" s="22">
        <f t="shared" si="5"/>
        <v>1</v>
      </c>
    </row>
    <row r="19" spans="1:9" x14ac:dyDescent="0.25">
      <c r="E19" s="9"/>
      <c r="F19" s="35">
        <f>AVERAGE(F4:F18)</f>
        <v>0.45136221249147379</v>
      </c>
      <c r="G19" s="35">
        <f>AVERAGE(G4:G18)</f>
        <v>0.30906908845280251</v>
      </c>
      <c r="H19" s="35">
        <f>AVERAGE(H4:H18)</f>
        <v>0.23956869905572362</v>
      </c>
      <c r="I19" s="36">
        <f>SUM(F19:H19)</f>
        <v>0.99999999999999989</v>
      </c>
    </row>
  </sheetData>
  <mergeCells count="4">
    <mergeCell ref="A1:A3"/>
    <mergeCell ref="B1:I1"/>
    <mergeCell ref="B2:E2"/>
    <mergeCell ref="F2:I2"/>
  </mergeCells>
  <pageMargins left="0.7" right="0.7" top="0.75" bottom="0.75" header="0.3" footer="0.3"/>
  <pageSetup paperSize="9" orientation="portrait" horizontalDpi="0" verticalDpi="0" r:id="rId1"/>
  <ignoredErrors>
    <ignoredError sqref="E4:E18" formulaRange="1"/>
    <ignoredError sqref="I5:I18 I4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43B0-79B4-45EC-9525-0BB80BD10B54}">
  <dimension ref="A1:M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0" width="21.42578125" style="1" customWidth="1"/>
    <col min="11" max="11" width="14.285156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42" t="s">
        <v>10</v>
      </c>
      <c r="B1" s="40" t="s">
        <v>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15.75" thickBot="1" x14ac:dyDescent="0.3">
      <c r="A2" s="43"/>
      <c r="B2" s="40" t="s">
        <v>0</v>
      </c>
      <c r="C2" s="40"/>
      <c r="D2" s="40"/>
      <c r="E2" s="41"/>
      <c r="F2" s="45" t="s">
        <v>1</v>
      </c>
      <c r="G2" s="40"/>
      <c r="H2" s="40"/>
      <c r="I2" s="41"/>
      <c r="J2" s="45" t="s">
        <v>21</v>
      </c>
      <c r="K2" s="40"/>
      <c r="L2" s="40"/>
      <c r="M2" s="41"/>
    </row>
    <row r="3" spans="1:13" ht="15.75" thickBot="1" x14ac:dyDescent="0.3">
      <c r="A3" s="44"/>
      <c r="B3" s="2" t="s">
        <v>2</v>
      </c>
      <c r="C3" s="2" t="s">
        <v>4</v>
      </c>
      <c r="D3" s="2" t="s">
        <v>3</v>
      </c>
      <c r="E3" s="7" t="s">
        <v>11</v>
      </c>
      <c r="F3" s="2" t="s">
        <v>2</v>
      </c>
      <c r="G3" s="2" t="s">
        <v>4</v>
      </c>
      <c r="H3" s="2" t="s">
        <v>3</v>
      </c>
      <c r="I3" s="7" t="s">
        <v>11</v>
      </c>
      <c r="J3" s="2" t="s">
        <v>2</v>
      </c>
      <c r="K3" s="2" t="s">
        <v>4</v>
      </c>
      <c r="L3" s="2" t="s">
        <v>3</v>
      </c>
      <c r="M3" s="7" t="s">
        <v>11</v>
      </c>
    </row>
    <row r="4" spans="1:13" x14ac:dyDescent="0.25">
      <c r="A4" s="4">
        <v>2002</v>
      </c>
      <c r="B4" s="25">
        <f>'Tabla 1'!C4/'Tabla 1'!$B4*'Tabla 7'!F4</f>
        <v>0.32235288813121465</v>
      </c>
      <c r="C4" s="25">
        <f>'Tabla 1'!D4/'Tabla 1'!$B4*'Tabla 7'!G4</f>
        <v>0.35618600797447308</v>
      </c>
      <c r="D4" s="25">
        <f>'Tabla 1'!E4/'Tabla 1'!$B4*'Tabla 7'!H4</f>
        <v>0.32146113343542043</v>
      </c>
      <c r="E4" s="26">
        <f>SUM(B4:D4)</f>
        <v>1.0000000295411082</v>
      </c>
      <c r="F4" s="25">
        <f>'Tabla 1'!G4/'Tabla 1'!$F4*'Tabla 7'!F4</f>
        <v>0.28228162001012802</v>
      </c>
      <c r="G4" s="25">
        <f>'Tabla 1'!H4/'Tabla 1'!$F4*'Tabla 7'!G4</f>
        <v>0.37436846768075421</v>
      </c>
      <c r="H4" s="25">
        <f>'Tabla 1'!I4/'Tabla 1'!$F4*'Tabla 7'!H4</f>
        <v>0.34334991706618367</v>
      </c>
      <c r="I4" s="26">
        <f>SUM(F4:H4)</f>
        <v>1.0000000047570659</v>
      </c>
      <c r="J4" s="27">
        <f>'Tabla 1'!K4/'Tabla 1'!$J4*'Tabla 7'!F4</f>
        <v>0.26028347871422991</v>
      </c>
      <c r="K4" s="28">
        <f>'Tabla 1'!L4/'Tabla 1'!$J4*'Tabla 7'!G4</f>
        <v>0.38165737253775117</v>
      </c>
      <c r="L4" s="28">
        <f>'Tabla 1'!M4/'Tabla 1'!$J4*'Tabla 7'!H4</f>
        <v>0.3580591373581275</v>
      </c>
      <c r="M4" s="26">
        <f>SUM(J4:L4)</f>
        <v>0.99999998861010853</v>
      </c>
    </row>
    <row r="5" spans="1:13" x14ac:dyDescent="0.25">
      <c r="A5" s="5">
        <v>2003</v>
      </c>
      <c r="B5" s="25">
        <f>'Tabla 1'!C5/'Tabla 1'!$B5*'Tabla 7'!F5</f>
        <v>0.33953223190560361</v>
      </c>
      <c r="C5" s="25">
        <f>'Tabla 1'!D5/'Tabla 1'!$B5*'Tabla 7'!G5</f>
        <v>0.35693860974457653</v>
      </c>
      <c r="D5" s="25">
        <f>'Tabla 1'!E5/'Tabla 1'!$B5*'Tabla 7'!H5</f>
        <v>0.30352918764819514</v>
      </c>
      <c r="E5" s="26">
        <f t="shared" ref="E5:E18" si="0">SUM(B5:D5)</f>
        <v>1.0000000292983753</v>
      </c>
      <c r="F5" s="25">
        <f>'Tabla 1'!G5/'Tabla 1'!$F5*'Tabla 7'!F5</f>
        <v>0.30640954813486182</v>
      </c>
      <c r="G5" s="25">
        <f>'Tabla 1'!H5/'Tabla 1'!$F5*'Tabla 7'!G5</f>
        <v>0.37594880188313218</v>
      </c>
      <c r="H5" s="25">
        <f>'Tabla 1'!I5/'Tabla 1'!$F5*'Tabla 7'!H5</f>
        <v>0.31764167624761175</v>
      </c>
      <c r="I5" s="26">
        <f t="shared" ref="I5:I18" si="1">SUM(F5:H5)</f>
        <v>1.0000000262656057</v>
      </c>
      <c r="J5" s="29">
        <f>'Tabla 1'!K5/'Tabla 1'!$J5*'Tabla 7'!F5</f>
        <v>0.28752818100207328</v>
      </c>
      <c r="K5" s="25">
        <f>'Tabla 1'!L5/'Tabla 1'!$J5*'Tabla 7'!G5</f>
        <v>0.38379488579384308</v>
      </c>
      <c r="L5" s="25">
        <f>'Tabla 1'!M5/'Tabla 1'!$J5*'Tabla 7'!H5</f>
        <v>0.32867688509661591</v>
      </c>
      <c r="M5" s="26">
        <f t="shared" ref="M5:M18" si="2">SUM(J5:L5)</f>
        <v>0.99999995189253221</v>
      </c>
    </row>
    <row r="6" spans="1:13" x14ac:dyDescent="0.25">
      <c r="A6" s="5">
        <v>2004</v>
      </c>
      <c r="B6" s="25">
        <f>'Tabla 1'!C6/'Tabla 1'!$B6*'Tabla 7'!F6</f>
        <v>0.32215146261424105</v>
      </c>
      <c r="C6" s="25">
        <f>'Tabla 1'!D6/'Tabla 1'!$B6*'Tabla 7'!G6</f>
        <v>0.36565909318166367</v>
      </c>
      <c r="D6" s="25">
        <f>'Tabla 1'!E6/'Tabla 1'!$B6*'Tabla 7'!H6</f>
        <v>0.31218942008036371</v>
      </c>
      <c r="E6" s="26">
        <f t="shared" si="0"/>
        <v>0.99999997587626832</v>
      </c>
      <c r="F6" s="25">
        <f>'Tabla 1'!G6/'Tabla 1'!$F6*'Tabla 7'!F6</f>
        <v>0.28946442814825712</v>
      </c>
      <c r="G6" s="25">
        <f>'Tabla 1'!H6/'Tabla 1'!$F6*'Tabla 7'!G6</f>
        <v>0.37915301267517393</v>
      </c>
      <c r="H6" s="25">
        <f>'Tabla 1'!I6/'Tabla 1'!$F6*'Tabla 7'!H6</f>
        <v>0.33138258228488654</v>
      </c>
      <c r="I6" s="26">
        <f t="shared" si="1"/>
        <v>1.0000000231083177</v>
      </c>
      <c r="J6" s="29">
        <f>'Tabla 1'!K6/'Tabla 1'!$J6*'Tabla 7'!F6</f>
        <v>0.27356321047063598</v>
      </c>
      <c r="K6" s="25">
        <f>'Tabla 1'!L6/'Tabla 1'!$J6*'Tabla 7'!G6</f>
        <v>0.38168069102979679</v>
      </c>
      <c r="L6" s="25">
        <f>'Tabla 1'!M6/'Tabla 1'!$J6*'Tabla 7'!H6</f>
        <v>0.34475605185961383</v>
      </c>
      <c r="M6" s="26">
        <f t="shared" si="2"/>
        <v>0.99999995336004655</v>
      </c>
    </row>
    <row r="7" spans="1:13" x14ac:dyDescent="0.25">
      <c r="A7" s="5">
        <v>2005</v>
      </c>
      <c r="B7" s="25">
        <f>'Tabla 1'!C7/'Tabla 1'!$B7*'Tabla 7'!F7</f>
        <v>0.32023304956373533</v>
      </c>
      <c r="C7" s="25">
        <f>'Tabla 1'!D7/'Tabla 1'!$B7*'Tabla 7'!G7</f>
        <v>0.36560984537711189</v>
      </c>
      <c r="D7" s="25">
        <f>'Tabla 1'!E7/'Tabla 1'!$B7*'Tabla 7'!H7</f>
        <v>0.31415714459644406</v>
      </c>
      <c r="E7" s="26">
        <f t="shared" si="0"/>
        <v>1.0000000395372912</v>
      </c>
      <c r="F7" s="25">
        <f>'Tabla 1'!G7/'Tabla 1'!$F7*'Tabla 7'!F7</f>
        <v>0.28251433957393318</v>
      </c>
      <c r="G7" s="25">
        <f>'Tabla 1'!H7/'Tabla 1'!$F7*'Tabla 7'!G7</f>
        <v>0.38051217261496767</v>
      </c>
      <c r="H7" s="25">
        <f>'Tabla 1'!I7/'Tabla 1'!$F7*'Tabla 7'!H7</f>
        <v>0.33697350688090966</v>
      </c>
      <c r="I7" s="26">
        <f t="shared" si="1"/>
        <v>1.0000000190698106</v>
      </c>
      <c r="J7" s="29">
        <f>'Tabla 1'!K7/'Tabla 1'!$J7*'Tabla 7'!F7</f>
        <v>0.26224037890756691</v>
      </c>
      <c r="K7" s="25">
        <f>'Tabla 1'!L7/'Tabla 1'!$J7*'Tabla 7'!G7</f>
        <v>0.38588301066728525</v>
      </c>
      <c r="L7" s="25">
        <f>'Tabla 1'!M7/'Tabla 1'!$J7*'Tabla 7'!H7</f>
        <v>0.35187655509990501</v>
      </c>
      <c r="M7" s="26">
        <f t="shared" si="2"/>
        <v>0.99999994467475717</v>
      </c>
    </row>
    <row r="8" spans="1:13" x14ac:dyDescent="0.25">
      <c r="A8" s="5">
        <v>2008</v>
      </c>
      <c r="B8" s="25">
        <f>'Tabla 1'!C8/'Tabla 1'!$B8*'Tabla 7'!F8</f>
        <v>0.28834294798748333</v>
      </c>
      <c r="C8" s="25">
        <f>'Tabla 1'!D8/'Tabla 1'!$B8*'Tabla 7'!G8</f>
        <v>0.38146248660680859</v>
      </c>
      <c r="D8" s="25">
        <f>'Tabla 1'!E8/'Tabla 1'!$B8*'Tabla 7'!H8</f>
        <v>0.33019309334271302</v>
      </c>
      <c r="E8" s="26">
        <f t="shared" si="0"/>
        <v>0.99999852793700494</v>
      </c>
      <c r="F8" s="25">
        <f>'Tabla 1'!G8/'Tabla 1'!$F8*'Tabla 7'!F8</f>
        <v>0.2369628388235766</v>
      </c>
      <c r="G8" s="25">
        <f>'Tabla 1'!H8/'Tabla 1'!$F8*'Tabla 7'!G8</f>
        <v>0.4079567097721265</v>
      </c>
      <c r="H8" s="25">
        <f>'Tabla 1'!I8/'Tabla 1'!$F8*'Tabla 7'!H8</f>
        <v>0.35507843079869794</v>
      </c>
      <c r="I8" s="26">
        <f t="shared" si="1"/>
        <v>0.99999797939440105</v>
      </c>
      <c r="J8" s="29">
        <f>'Tabla 1'!K8/'Tabla 1'!$J8*'Tabla 7'!F8</f>
        <v>0.21015951180816467</v>
      </c>
      <c r="K8" s="25">
        <f>'Tabla 1'!L8/'Tabla 1'!$J8*'Tabla 7'!G8</f>
        <v>0.41873572098180728</v>
      </c>
      <c r="L8" s="25">
        <f>'Tabla 1'!M8/'Tabla 1'!$J8*'Tabla 7'!H8</f>
        <v>0.3711026097436273</v>
      </c>
      <c r="M8" s="26">
        <f t="shared" si="2"/>
        <v>0.99999784253359925</v>
      </c>
    </row>
    <row r="9" spans="1:13" x14ac:dyDescent="0.25">
      <c r="A9" s="5">
        <v>2009</v>
      </c>
      <c r="B9" s="25">
        <f>'Tabla 1'!C9/'Tabla 1'!$B9*'Tabla 7'!F9</f>
        <v>0.28640122362886589</v>
      </c>
      <c r="C9" s="25">
        <f>'Tabla 1'!D9/'Tabla 1'!$B9*'Tabla 7'!G9</f>
        <v>0.38879616861373567</v>
      </c>
      <c r="D9" s="25">
        <f>'Tabla 1'!E9/'Tabla 1'!$B9*'Tabla 7'!H9</f>
        <v>0.32480097895325483</v>
      </c>
      <c r="E9" s="26">
        <f t="shared" si="0"/>
        <v>0.99999837119585644</v>
      </c>
      <c r="F9" s="25">
        <f>'Tabla 1'!G9/'Tabla 1'!$F9*'Tabla 7'!F9</f>
        <v>0.24585908490593372</v>
      </c>
      <c r="G9" s="25">
        <f>'Tabla 1'!H9/'Tabla 1'!$F9*'Tabla 7'!G9</f>
        <v>0.40823636421214676</v>
      </c>
      <c r="H9" s="25">
        <f>'Tabla 1'!I9/'Tabla 1'!$F9*'Tabla 7'!H9</f>
        <v>0.3459025417140596</v>
      </c>
      <c r="I9" s="26">
        <f t="shared" si="1"/>
        <v>0.99999799083214014</v>
      </c>
      <c r="J9" s="29">
        <f>'Tabla 1'!K9/'Tabla 1'!$J9*'Tabla 7'!F9</f>
        <v>0.22744619399654012</v>
      </c>
      <c r="K9" s="25">
        <f>'Tabla 1'!L9/'Tabla 1'!$J9*'Tabla 7'!G9</f>
        <v>0.41561825883594555</v>
      </c>
      <c r="L9" s="25">
        <f>'Tabla 1'!M9/'Tabla 1'!$J9*'Tabla 7'!H9</f>
        <v>0.35693329022136994</v>
      </c>
      <c r="M9" s="26">
        <f t="shared" si="2"/>
        <v>0.99999774305385558</v>
      </c>
    </row>
    <row r="10" spans="1:13" x14ac:dyDescent="0.25">
      <c r="A10" s="5">
        <v>2010</v>
      </c>
      <c r="B10" s="25">
        <f>'Tabla 1'!C10/'Tabla 1'!$B10*'Tabla 7'!F10</f>
        <v>0.28203780625471447</v>
      </c>
      <c r="C10" s="25">
        <f>'Tabla 1'!D10/'Tabla 1'!$B10*'Tabla 7'!G10</f>
        <v>0.39481504814455659</v>
      </c>
      <c r="D10" s="25">
        <f>'Tabla 1'!E10/'Tabla 1'!$B10*'Tabla 7'!H10</f>
        <v>0.32314651191318555</v>
      </c>
      <c r="E10" s="26">
        <f t="shared" si="0"/>
        <v>0.99999936631245667</v>
      </c>
      <c r="F10" s="25">
        <f>'Tabla 1'!G10/'Tabla 1'!$F10*'Tabla 7'!F10</f>
        <v>0.24733746418635527</v>
      </c>
      <c r="G10" s="25">
        <f>'Tabla 1'!H10/'Tabla 1'!$F10*'Tabla 7'!G10</f>
        <v>0.40647603278827027</v>
      </c>
      <c r="H10" s="25">
        <f>'Tabla 1'!I10/'Tabla 1'!$F10*'Tabla 7'!H10</f>
        <v>0.346185691006828</v>
      </c>
      <c r="I10" s="26">
        <f t="shared" si="1"/>
        <v>0.9999991879814536</v>
      </c>
      <c r="J10" s="29">
        <f>'Tabla 1'!K10/'Tabla 1'!$J10*'Tabla 7'!F10</f>
        <v>0.23359576795124917</v>
      </c>
      <c r="K10" s="25">
        <f>'Tabla 1'!L10/'Tabla 1'!$J10*'Tabla 7'!G10</f>
        <v>0.40712085169669887</v>
      </c>
      <c r="L10" s="25">
        <f>'Tabla 1'!M10/'Tabla 1'!$J10*'Tabla 7'!H10</f>
        <v>0.35928246952343418</v>
      </c>
      <c r="M10" s="26">
        <f t="shared" si="2"/>
        <v>0.99999908917138214</v>
      </c>
    </row>
    <row r="11" spans="1:13" x14ac:dyDescent="0.25">
      <c r="A11" s="5">
        <v>2011</v>
      </c>
      <c r="B11" s="25">
        <f>'Tabla 1'!C11/'Tabla 1'!$B11*'Tabla 7'!F11</f>
        <v>0.27360882470343151</v>
      </c>
      <c r="C11" s="25">
        <f>'Tabla 1'!D11/'Tabla 1'!$B11*'Tabla 7'!G11</f>
        <v>0.4002275959433978</v>
      </c>
      <c r="D11" s="25">
        <f>'Tabla 1'!E11/'Tabla 1'!$B11*'Tabla 7'!H11</f>
        <v>0.32616364181325591</v>
      </c>
      <c r="E11" s="26">
        <f t="shared" si="0"/>
        <v>1.0000000624600851</v>
      </c>
      <c r="F11" s="25">
        <f>'Tabla 1'!G11/'Tabla 1'!$F11*'Tabla 7'!F11</f>
        <v>0.2327717055221892</v>
      </c>
      <c r="G11" s="25">
        <f>'Tabla 1'!H11/'Tabla 1'!$F11*'Tabla 7'!G11</f>
        <v>0.4206718845771017</v>
      </c>
      <c r="H11" s="25">
        <f>'Tabla 1'!I11/'Tabla 1'!$F11*'Tabla 7'!H11</f>
        <v>0.34655637147229607</v>
      </c>
      <c r="I11" s="26">
        <f t="shared" si="1"/>
        <v>0.99999996157158688</v>
      </c>
      <c r="J11" s="29">
        <f>'Tabla 1'!K11/'Tabla 1'!$J11*'Tabla 7'!F11</f>
        <v>0.21508546813837764</v>
      </c>
      <c r="K11" s="25">
        <f>'Tabla 1'!L11/'Tabla 1'!$J11*'Tabla 7'!G11</f>
        <v>0.42874330589721094</v>
      </c>
      <c r="L11" s="25">
        <f>'Tabla 1'!M11/'Tabla 1'!$J11*'Tabla 7'!H11</f>
        <v>0.35617123369717807</v>
      </c>
      <c r="M11" s="26">
        <f t="shared" si="2"/>
        <v>1.0000000077327666</v>
      </c>
    </row>
    <row r="12" spans="1:13" x14ac:dyDescent="0.25">
      <c r="A12" s="5">
        <v>2012</v>
      </c>
      <c r="B12" s="25">
        <f>'Tabla 1'!C12/'Tabla 1'!$B12*'Tabla 7'!F12</f>
        <v>0.26201592371801397</v>
      </c>
      <c r="C12" s="25">
        <f>'Tabla 1'!D12/'Tabla 1'!$B12*'Tabla 7'!G12</f>
        <v>0.40195501882935986</v>
      </c>
      <c r="D12" s="25">
        <f>'Tabla 1'!E12/'Tabla 1'!$B12*'Tabla 7'!H12</f>
        <v>0.33602906835581042</v>
      </c>
      <c r="E12" s="26">
        <f t="shared" si="0"/>
        <v>1.0000000109031844</v>
      </c>
      <c r="F12" s="25">
        <f>'Tabla 1'!G12/'Tabla 1'!$F12*'Tabla 7'!F12</f>
        <v>0.22377908873383962</v>
      </c>
      <c r="G12" s="25">
        <f>'Tabla 1'!H12/'Tabla 1'!$F12*'Tabla 7'!G12</f>
        <v>0.42079164981751788</v>
      </c>
      <c r="H12" s="25">
        <f>'Tabla 1'!I12/'Tabla 1'!$F12*'Tabla 7'!H12</f>
        <v>0.35542922319396913</v>
      </c>
      <c r="I12" s="26">
        <f t="shared" si="1"/>
        <v>0.99999996174532657</v>
      </c>
      <c r="J12" s="29">
        <f>'Tabla 1'!K12/'Tabla 1'!$J12*'Tabla 7'!F12</f>
        <v>0.20598435261579301</v>
      </c>
      <c r="K12" s="25">
        <f>'Tabla 1'!L12/'Tabla 1'!$J12*'Tabla 7'!G12</f>
        <v>0.42609651169558543</v>
      </c>
      <c r="L12" s="25">
        <f>'Tabla 1'!M12/'Tabla 1'!$J12*'Tabla 7'!H12</f>
        <v>0.36791912301533169</v>
      </c>
      <c r="M12" s="26">
        <f t="shared" si="2"/>
        <v>0.99999998732671014</v>
      </c>
    </row>
    <row r="13" spans="1:13" x14ac:dyDescent="0.25">
      <c r="A13" s="5">
        <v>2013</v>
      </c>
      <c r="B13" s="25">
        <f>'Tabla 1'!C13/'Tabla 1'!$B13*'Tabla 7'!F13</f>
        <v>0.2595842695104541</v>
      </c>
      <c r="C13" s="25">
        <f>'Tabla 1'!D13/'Tabla 1'!$B13*'Tabla 7'!G13</f>
        <v>0.41401080257357348</v>
      </c>
      <c r="D13" s="25">
        <f>'Tabla 1'!E13/'Tabla 1'!$B13*'Tabla 7'!H13</f>
        <v>0.32640494727588326</v>
      </c>
      <c r="E13" s="26">
        <f t="shared" si="0"/>
        <v>1.0000000193599108</v>
      </c>
      <c r="F13" s="25">
        <f>'Tabla 1'!G13/'Tabla 1'!$F13*'Tabla 7'!F13</f>
        <v>0.22796477373846594</v>
      </c>
      <c r="G13" s="25">
        <f>'Tabla 1'!H13/'Tabla 1'!$F13*'Tabla 7'!G13</f>
        <v>0.43061646419297661</v>
      </c>
      <c r="H13" s="25">
        <f>'Tabla 1'!I13/'Tabla 1'!$F13*'Tabla 7'!H13</f>
        <v>0.34141879640876499</v>
      </c>
      <c r="I13" s="26">
        <f t="shared" si="1"/>
        <v>1.0000000343402076</v>
      </c>
      <c r="J13" s="29">
        <f>'Tabla 1'!K13/'Tabla 1'!$J13*'Tabla 7'!F13</f>
        <v>0.21561648717376025</v>
      </c>
      <c r="K13" s="25">
        <f>'Tabla 1'!L13/'Tabla 1'!$J13*'Tabla 7'!G13</f>
        <v>0.43610700545874143</v>
      </c>
      <c r="L13" s="25">
        <f>'Tabla 1'!M13/'Tabla 1'!$J13*'Tabla 7'!H13</f>
        <v>0.34827650625757911</v>
      </c>
      <c r="M13" s="26">
        <f t="shared" si="2"/>
        <v>0.99999999889008084</v>
      </c>
    </row>
    <row r="14" spans="1:13" x14ac:dyDescent="0.25">
      <c r="A14" s="5">
        <v>2014</v>
      </c>
      <c r="B14" s="25">
        <f>'Tabla 1'!C14/'Tabla 1'!$B14*'Tabla 7'!F14</f>
        <v>0.25275222524152891</v>
      </c>
      <c r="C14" s="25">
        <f>'Tabla 1'!D14/'Tabla 1'!$B14*'Tabla 7'!G14</f>
        <v>0.4107620687149976</v>
      </c>
      <c r="D14" s="25">
        <f>'Tabla 1'!E14/'Tabla 1'!$B14*'Tabla 7'!H14</f>
        <v>0.33648571406011452</v>
      </c>
      <c r="E14" s="26">
        <f t="shared" si="0"/>
        <v>1.0000000080166411</v>
      </c>
      <c r="F14" s="25">
        <f>'Tabla 1'!G14/'Tabla 1'!$F14*'Tabla 7'!F14</f>
        <v>0.21992808982992157</v>
      </c>
      <c r="G14" s="25">
        <f>'Tabla 1'!H14/'Tabla 1'!$F14*'Tabla 7'!G14</f>
        <v>0.42424559477018819</v>
      </c>
      <c r="H14" s="25">
        <f>'Tabla 1'!I14/'Tabla 1'!$F14*'Tabla 7'!H14</f>
        <v>0.35582629246714692</v>
      </c>
      <c r="I14" s="26">
        <f t="shared" si="1"/>
        <v>0.99999997706725674</v>
      </c>
      <c r="J14" s="29">
        <f>'Tabla 1'!K14/'Tabla 1'!$J14*'Tabla 7'!F14</f>
        <v>0.20845855633408242</v>
      </c>
      <c r="K14" s="25">
        <f>'Tabla 1'!L14/'Tabla 1'!$J14*'Tabla 7'!G14</f>
        <v>0.42658639645408586</v>
      </c>
      <c r="L14" s="25">
        <f>'Tabla 1'!M14/'Tabla 1'!$J14*'Tabla 7'!H14</f>
        <v>0.36495507318411957</v>
      </c>
      <c r="M14" s="26">
        <f t="shared" si="2"/>
        <v>1.0000000259722879</v>
      </c>
    </row>
    <row r="15" spans="1:13" x14ac:dyDescent="0.25">
      <c r="A15" s="5">
        <v>2015</v>
      </c>
      <c r="B15" s="25">
        <f>'Tabla 1'!C15/'Tabla 1'!$B15*'Tabla 7'!F15</f>
        <v>0.25054060956610807</v>
      </c>
      <c r="C15" s="25">
        <f>'Tabla 1'!D15/'Tabla 1'!$B15*'Tabla 7'!G15</f>
        <v>0.41633399162042412</v>
      </c>
      <c r="D15" s="25">
        <f>'Tabla 1'!E15/'Tabla 1'!$B15*'Tabla 7'!H15</f>
        <v>0.33312542591239097</v>
      </c>
      <c r="E15" s="26">
        <f t="shared" si="0"/>
        <v>1.0000000270989231</v>
      </c>
      <c r="F15" s="25">
        <f>'Tabla 1'!G15/'Tabla 1'!$F15*'Tabla 7'!F15</f>
        <v>0.22558104290339079</v>
      </c>
      <c r="G15" s="25">
        <f>'Tabla 1'!H15/'Tabla 1'!$F15*'Tabla 7'!G15</f>
        <v>0.42445871619332315</v>
      </c>
      <c r="H15" s="25">
        <f>'Tabla 1'!I15/'Tabla 1'!$F15*'Tabla 7'!H15</f>
        <v>0.34996025973719358</v>
      </c>
      <c r="I15" s="26">
        <f t="shared" si="1"/>
        <v>1.0000000188339075</v>
      </c>
      <c r="J15" s="29">
        <f>'Tabla 1'!K15/'Tabla 1'!$J15*'Tabla 7'!F15</f>
        <v>0.22076626064618815</v>
      </c>
      <c r="K15" s="25">
        <f>'Tabla 1'!L15/'Tabla 1'!$J15*'Tabla 7'!G15</f>
        <v>0.41990540665491755</v>
      </c>
      <c r="L15" s="25">
        <f>'Tabla 1'!M15/'Tabla 1'!$J15*'Tabla 7'!H15</f>
        <v>0.35932834947811598</v>
      </c>
      <c r="M15" s="26">
        <f t="shared" si="2"/>
        <v>1.0000000167792216</v>
      </c>
    </row>
    <row r="16" spans="1:13" x14ac:dyDescent="0.25">
      <c r="A16" s="5">
        <v>2016</v>
      </c>
      <c r="B16" s="25">
        <f>'Tabla 1'!C16/'Tabla 1'!$B16*'Tabla 7'!F16</f>
        <v>0.2584202419654047</v>
      </c>
      <c r="C16" s="25">
        <f>'Tabla 1'!D16/'Tabla 1'!$B16*'Tabla 7'!G16</f>
        <v>0.42671501702518999</v>
      </c>
      <c r="D16" s="25">
        <f>'Tabla 1'!E16/'Tabla 1'!$B16*'Tabla 7'!H16</f>
        <v>0.31486474443280993</v>
      </c>
      <c r="E16" s="26">
        <f t="shared" si="0"/>
        <v>1.0000000034234047</v>
      </c>
      <c r="F16" s="25">
        <f>'Tabla 1'!G16/'Tabla 1'!$F16*'Tabla 7'!F16</f>
        <v>0.22852121108725246</v>
      </c>
      <c r="G16" s="25">
        <f>'Tabla 1'!H16/'Tabla 1'!$F16*'Tabla 7'!G16</f>
        <v>0.44135038439361129</v>
      </c>
      <c r="H16" s="25">
        <f>'Tabla 1'!I16/'Tabla 1'!$F16*'Tabla 7'!H16</f>
        <v>0.33012841059774234</v>
      </c>
      <c r="I16" s="26">
        <f t="shared" si="1"/>
        <v>1.0000000060786061</v>
      </c>
      <c r="J16" s="29">
        <f>'Tabla 1'!K16/'Tabla 1'!$J16*'Tabla 7'!F16</f>
        <v>0.21979532202192523</v>
      </c>
      <c r="K16" s="25">
        <f>'Tabla 1'!L16/'Tabla 1'!$J16*'Tabla 7'!G16</f>
        <v>0.44447985101965454</v>
      </c>
      <c r="L16" s="25">
        <f>'Tabla 1'!M16/'Tabla 1'!$J16*'Tabla 7'!H16</f>
        <v>0.33572484358399107</v>
      </c>
      <c r="M16" s="26">
        <f t="shared" si="2"/>
        <v>1.0000000166255709</v>
      </c>
    </row>
    <row r="17" spans="1:13" x14ac:dyDescent="0.25">
      <c r="A17" s="5">
        <v>2017</v>
      </c>
      <c r="B17" s="25">
        <f>'Tabla 1'!C17/'Tabla 1'!$B17*'Tabla 7'!F17</f>
        <v>0.27208321681568032</v>
      </c>
      <c r="C17" s="25">
        <f>'Tabla 1'!D17/'Tabla 1'!$B17*'Tabla 7'!G17</f>
        <v>0.42390414798901072</v>
      </c>
      <c r="D17" s="25">
        <f>'Tabla 1'!E17/'Tabla 1'!$B17*'Tabla 7'!H17</f>
        <v>0.30401263904548625</v>
      </c>
      <c r="E17" s="26">
        <f t="shared" si="0"/>
        <v>1.0000000038501773</v>
      </c>
      <c r="F17" s="25">
        <f>'Tabla 1'!G17/'Tabla 1'!$F17*'Tabla 7'!F17</f>
        <v>0.24392765197752031</v>
      </c>
      <c r="G17" s="25">
        <f>'Tabla 1'!H17/'Tabla 1'!$F17*'Tabla 7'!G17</f>
        <v>0.44078985051211417</v>
      </c>
      <c r="H17" s="25">
        <f>'Tabla 1'!I17/'Tabla 1'!$F17*'Tabla 7'!H17</f>
        <v>0.31528252840220111</v>
      </c>
      <c r="I17" s="26">
        <f t="shared" si="1"/>
        <v>1.0000000308918355</v>
      </c>
      <c r="J17" s="29">
        <f>'Tabla 1'!K17/'Tabla 1'!$J17*'Tabla 7'!F17</f>
        <v>0.23836107515675217</v>
      </c>
      <c r="K17" s="25">
        <f>'Tabla 1'!L17/'Tabla 1'!$J17*'Tabla 7'!G17</f>
        <v>0.44375264583578228</v>
      </c>
      <c r="L17" s="25">
        <f>'Tabla 1'!M17/'Tabla 1'!$J17*'Tabla 7'!H17</f>
        <v>0.31788630677149415</v>
      </c>
      <c r="M17" s="26">
        <f t="shared" si="2"/>
        <v>1.0000000277640286</v>
      </c>
    </row>
    <row r="18" spans="1:13" ht="15.75" thickBot="1" x14ac:dyDescent="0.3">
      <c r="A18" s="6">
        <v>2018</v>
      </c>
      <c r="B18" s="30">
        <f>'Tabla 1'!C18/'Tabla 1'!$B18*'Tabla 7'!F18</f>
        <v>0.27311569814171205</v>
      </c>
      <c r="C18" s="31">
        <f>'Tabla 1'!D18/'Tabla 1'!$B18*'Tabla 7'!G18</f>
        <v>0.42481325620745958</v>
      </c>
      <c r="D18" s="31">
        <f>'Tabla 1'!E18/'Tabla 1'!$B18*'Tabla 7'!H18</f>
        <v>0.30207100506672058</v>
      </c>
      <c r="E18" s="26">
        <f t="shared" si="0"/>
        <v>0.99999995941589215</v>
      </c>
      <c r="F18" s="30">
        <f>'Tabla 1'!G18/'Tabla 1'!$F18*'Tabla 7'!F18</f>
        <v>0.24739296762995877</v>
      </c>
      <c r="G18" s="31">
        <f>'Tabla 1'!H18/'Tabla 1'!$F18*'Tabla 7'!G18</f>
        <v>0.43469572568398007</v>
      </c>
      <c r="H18" s="31">
        <f>'Tabla 1'!I18/'Tabla 1'!$F18*'Tabla 7'!H18</f>
        <v>0.31791130797589168</v>
      </c>
      <c r="I18" s="26">
        <f t="shared" si="1"/>
        <v>1.0000000012898305</v>
      </c>
      <c r="J18" s="30">
        <f>'Tabla 1'!K18/'Tabla 1'!$J18*'Tabla 7'!F18</f>
        <v>0.24229303183247575</v>
      </c>
      <c r="K18" s="31">
        <f>'Tabla 1'!L18/'Tabla 1'!$J18*'Tabla 7'!G18</f>
        <v>0.43135597498200295</v>
      </c>
      <c r="L18" s="31">
        <f>'Tabla 1'!M18/'Tabla 1'!$J18*'Tabla 7'!H18</f>
        <v>0.3263509508979956</v>
      </c>
      <c r="M18" s="32">
        <f t="shared" si="2"/>
        <v>0.9999999577124743</v>
      </c>
    </row>
    <row r="19" spans="1:13" x14ac:dyDescent="0.25">
      <c r="B19" s="33">
        <f t="shared" ref="B19:C19" si="3">AVERAGE(B4:B18)</f>
        <v>0.28421150798321282</v>
      </c>
      <c r="C19" s="33">
        <f t="shared" si="3"/>
        <v>0.39521261056975587</v>
      </c>
      <c r="D19" s="33">
        <f>AVERAGE(D4:D18)</f>
        <v>0.32057564372880332</v>
      </c>
      <c r="E19" s="34">
        <f>SUM(B19:D19)</f>
        <v>0.99999976228177201</v>
      </c>
      <c r="F19" s="33">
        <f t="shared" ref="F19" si="4">AVERAGE(F4:F18)</f>
        <v>0.24937972368037228</v>
      </c>
      <c r="G19" s="33">
        <f t="shared" ref="G19" si="5">AVERAGE(G4:G18)</f>
        <v>0.41135145545115892</v>
      </c>
      <c r="H19" s="33">
        <f>AVERAGE(H4:H18)</f>
        <v>0.33926850241695888</v>
      </c>
      <c r="I19" s="34">
        <f>SUM(F19:H19)</f>
        <v>0.99999968154849017</v>
      </c>
      <c r="J19" s="33">
        <f t="shared" ref="J19" si="6">AVERAGE(J4:J18)</f>
        <v>0.23474515178465433</v>
      </c>
      <c r="K19" s="33">
        <f t="shared" ref="K19" si="7">AVERAGE(K4:K18)</f>
        <v>0.41543452596940722</v>
      </c>
      <c r="L19" s="33">
        <f>AVERAGE(L4:L18)</f>
        <v>0.34981995905256658</v>
      </c>
      <c r="M19" s="34">
        <f>SUM(J19:L19)</f>
        <v>0.99999963680662818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  <ignoredErrors>
    <ignoredError sqref="E4:E18" formulaRange="1"/>
    <ignoredError sqref="E19:I1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DA88-E9C6-4A31-BBFD-9C619A0751AD}">
  <dimension ref="A1:M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0" width="21.42578125" style="1" customWidth="1"/>
    <col min="11" max="11" width="14.285156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42" t="s">
        <v>10</v>
      </c>
      <c r="B1" s="40" t="s">
        <v>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15.75" thickBot="1" x14ac:dyDescent="0.3">
      <c r="A2" s="43"/>
      <c r="B2" s="40" t="s">
        <v>0</v>
      </c>
      <c r="C2" s="40"/>
      <c r="D2" s="40"/>
      <c r="E2" s="41"/>
      <c r="F2" s="45" t="s">
        <v>1</v>
      </c>
      <c r="G2" s="40"/>
      <c r="H2" s="40"/>
      <c r="I2" s="41"/>
      <c r="J2" s="45" t="s">
        <v>21</v>
      </c>
      <c r="K2" s="40"/>
      <c r="L2" s="40"/>
      <c r="M2" s="41"/>
    </row>
    <row r="3" spans="1:13" ht="15.75" thickBot="1" x14ac:dyDescent="0.3">
      <c r="A3" s="44"/>
      <c r="B3" s="2" t="s">
        <v>2</v>
      </c>
      <c r="C3" s="2" t="s">
        <v>4</v>
      </c>
      <c r="D3" s="2" t="s">
        <v>3</v>
      </c>
      <c r="E3" s="7" t="s">
        <v>11</v>
      </c>
      <c r="F3" s="2" t="s">
        <v>2</v>
      </c>
      <c r="G3" s="2" t="s">
        <v>4</v>
      </c>
      <c r="H3" s="2" t="s">
        <v>3</v>
      </c>
      <c r="I3" s="7" t="s">
        <v>11</v>
      </c>
      <c r="J3" s="2" t="s">
        <v>2</v>
      </c>
      <c r="K3" s="2" t="s">
        <v>4</v>
      </c>
      <c r="L3" s="2" t="s">
        <v>3</v>
      </c>
      <c r="M3" s="7" t="s">
        <v>11</v>
      </c>
    </row>
    <row r="4" spans="1:13" x14ac:dyDescent="0.25">
      <c r="A4" s="4">
        <v>2002</v>
      </c>
      <c r="B4" s="25">
        <f>'Tabla 2'!C4/'Tabla 2'!$B4*'Tabla 7'!F4</f>
        <v>0.18696689890168972</v>
      </c>
      <c r="C4" s="25">
        <f>'Tabla 2'!D4/'Tabla 2'!$B4*'Tabla 7'!G4</f>
        <v>0.32844375627718142</v>
      </c>
      <c r="D4" s="25">
        <f>'Tabla 2'!E4/'Tabla 2'!$B4*'Tabla 7'!H4</f>
        <v>0.48458929018865782</v>
      </c>
      <c r="E4" s="26">
        <f>SUM(B4:D4)</f>
        <v>0.9999999453675289</v>
      </c>
      <c r="F4" s="25">
        <f>'Tabla 2'!G4/'Tabla 2'!$F4*'Tabla 7'!F4</f>
        <v>0.17883898175116983</v>
      </c>
      <c r="G4" s="25">
        <f>'Tabla 2'!H4/'Tabla 2'!$F4*'Tabla 7'!G4</f>
        <v>0.30619993141668767</v>
      </c>
      <c r="H4" s="25">
        <f>'Tabla 2'!I4/'Tabla 2'!$F4*'Tabla 7'!H4</f>
        <v>0.51496106627393623</v>
      </c>
      <c r="I4" s="26">
        <f>SUM(F4:H4)</f>
        <v>0.99999997944179375</v>
      </c>
      <c r="J4" s="27">
        <f>'Tabla 2'!K4/'Tabla 2'!$J4*'Tabla 7'!F4</f>
        <v>0.18655162733983957</v>
      </c>
      <c r="K4" s="28">
        <f>'Tabla 2'!L4/'Tabla 2'!$J4*'Tabla 7'!G4</f>
        <v>0.29543265042312783</v>
      </c>
      <c r="L4" s="28">
        <f>'Tabla 2'!M4/'Tabla 2'!$J4*'Tabla 7'!H4</f>
        <v>0.51801571853115169</v>
      </c>
      <c r="M4" s="26">
        <f>SUM(J4:L4)</f>
        <v>0.99999999629411906</v>
      </c>
    </row>
    <row r="5" spans="1:13" x14ac:dyDescent="0.25">
      <c r="A5" s="5">
        <v>2003</v>
      </c>
      <c r="B5" s="25">
        <f>'Tabla 2'!C5/'Tabla 2'!$B5*'Tabla 7'!F5</f>
        <v>0.20890899198302859</v>
      </c>
      <c r="C5" s="25">
        <f>'Tabla 2'!D5/'Tabla 2'!$B5*'Tabla 7'!G5</f>
        <v>0.31916225468584453</v>
      </c>
      <c r="D5" s="25">
        <f>'Tabla 2'!E5/'Tabla 2'!$B5*'Tabla 7'!H5</f>
        <v>0.47192876842072101</v>
      </c>
      <c r="E5" s="26">
        <f t="shared" ref="E5:E18" si="0">SUM(B5:D5)</f>
        <v>1.000000015089594</v>
      </c>
      <c r="F5" s="25">
        <f>'Tabla 2'!G5/'Tabla 2'!$F5*'Tabla 7'!F5</f>
        <v>0.20135937305199555</v>
      </c>
      <c r="G5" s="25">
        <f>'Tabla 2'!H5/'Tabla 2'!$F5*'Tabla 7'!G5</f>
        <v>0.3139108312324278</v>
      </c>
      <c r="H5" s="25">
        <f>'Tabla 2'!I5/'Tabla 2'!$F5*'Tabla 7'!H5</f>
        <v>0.48472980865400916</v>
      </c>
      <c r="I5" s="26">
        <f t="shared" ref="I5:I18" si="1">SUM(F5:H5)</f>
        <v>1.0000000129384325</v>
      </c>
      <c r="J5" s="29">
        <f>'Tabla 2'!K5/'Tabla 2'!$J5*'Tabla 7'!F5</f>
        <v>0.20731106565142263</v>
      </c>
      <c r="K5" s="25">
        <f>'Tabla 2'!L5/'Tabla 2'!$J5*'Tabla 7'!G5</f>
        <v>0.31165165384938398</v>
      </c>
      <c r="L5" s="25">
        <f>'Tabla 2'!M5/'Tabla 2'!$J5*'Tabla 7'!H5</f>
        <v>0.48103731336483108</v>
      </c>
      <c r="M5" s="26">
        <f t="shared" ref="M5:M18" si="2">SUM(J5:L5)</f>
        <v>1.0000000328656378</v>
      </c>
    </row>
    <row r="6" spans="1:13" x14ac:dyDescent="0.25">
      <c r="A6" s="5">
        <v>2004</v>
      </c>
      <c r="B6" s="25">
        <f>'Tabla 2'!C6/'Tabla 2'!$B6*'Tabla 7'!F6</f>
        <v>0.19627445583155453</v>
      </c>
      <c r="C6" s="25">
        <f>'Tabla 2'!D6/'Tabla 2'!$B6*'Tabla 7'!G6</f>
        <v>0.30740382888733053</v>
      </c>
      <c r="D6" s="25">
        <f>'Tabla 2'!E6/'Tabla 2'!$B6*'Tabla 7'!H6</f>
        <v>0.49632169769680806</v>
      </c>
      <c r="E6" s="26">
        <f t="shared" si="0"/>
        <v>0.9999999824156931</v>
      </c>
      <c r="F6" s="25">
        <f>'Tabla 2'!G6/'Tabla 2'!$F6*'Tabla 7'!F6</f>
        <v>0.20061376477817564</v>
      </c>
      <c r="G6" s="25">
        <f>'Tabla 2'!H6/'Tabla 2'!$F6*'Tabla 7'!G6</f>
        <v>0.28871865676947861</v>
      </c>
      <c r="H6" s="25">
        <f>'Tabla 2'!I6/'Tabla 2'!$F6*'Tabla 7'!H6</f>
        <v>0.51066755037014699</v>
      </c>
      <c r="I6" s="26">
        <f t="shared" si="1"/>
        <v>0.99999997191780121</v>
      </c>
      <c r="J6" s="29">
        <f>'Tabla 2'!K6/'Tabla 2'!$J6*'Tabla 7'!F6</f>
        <v>0.21689891765390415</v>
      </c>
      <c r="K6" s="25">
        <f>'Tabla 2'!L6/'Tabla 2'!$J6*'Tabla 7'!G6</f>
        <v>0.276459310478469</v>
      </c>
      <c r="L6" s="25">
        <f>'Tabla 2'!M6/'Tabla 2'!$J6*'Tabla 7'!H6</f>
        <v>0.50664179188791481</v>
      </c>
      <c r="M6" s="26">
        <f t="shared" si="2"/>
        <v>1.0000000200202881</v>
      </c>
    </row>
    <row r="7" spans="1:13" x14ac:dyDescent="0.25">
      <c r="A7" s="5">
        <v>2005</v>
      </c>
      <c r="B7" s="25">
        <f>'Tabla 2'!C7/'Tabla 2'!$B7*'Tabla 7'!F7</f>
        <v>0.1825697541834165</v>
      </c>
      <c r="C7" s="25">
        <f>'Tabla 2'!D7/'Tabla 2'!$B7*'Tabla 7'!G7</f>
        <v>0.31258469396611516</v>
      </c>
      <c r="D7" s="25">
        <f>'Tabla 2'!E7/'Tabla 2'!$B7*'Tabla 7'!H7</f>
        <v>0.50484553149696054</v>
      </c>
      <c r="E7" s="26">
        <f t="shared" si="0"/>
        <v>0.99999997964649223</v>
      </c>
      <c r="F7" s="25">
        <f>'Tabla 2'!G7/'Tabla 2'!$F7*'Tabla 7'!F7</f>
        <v>0.17890320806452689</v>
      </c>
      <c r="G7" s="25">
        <f>'Tabla 2'!H7/'Tabla 2'!$F7*'Tabla 7'!G7</f>
        <v>0.29137062679717429</v>
      </c>
      <c r="H7" s="25">
        <f>'Tabla 2'!I7/'Tabla 2'!$F7*'Tabla 7'!H7</f>
        <v>0.5297261687550292</v>
      </c>
      <c r="I7" s="26">
        <f t="shared" si="1"/>
        <v>1.0000000036167305</v>
      </c>
      <c r="J7" s="29">
        <f>'Tabla 2'!K7/'Tabla 2'!$J7*'Tabla 7'!F7</f>
        <v>0.18975191438563793</v>
      </c>
      <c r="K7" s="25">
        <f>'Tabla 2'!L7/'Tabla 2'!$J7*'Tabla 7'!G7</f>
        <v>0.27535257493031173</v>
      </c>
      <c r="L7" s="25">
        <f>'Tabla 2'!M7/'Tabla 2'!$J7*'Tabla 7'!H7</f>
        <v>0.53489549794148228</v>
      </c>
      <c r="M7" s="26">
        <f t="shared" si="2"/>
        <v>0.99999998725743189</v>
      </c>
    </row>
    <row r="8" spans="1:13" x14ac:dyDescent="0.25">
      <c r="A8" s="5">
        <v>2008</v>
      </c>
      <c r="B8" s="25">
        <f>'Tabla 2'!C8/'Tabla 2'!$B8*'Tabla 7'!F8</f>
        <v>0.15277853181131812</v>
      </c>
      <c r="C8" s="25">
        <f>'Tabla 2'!D8/'Tabla 2'!$B8*'Tabla 7'!G8</f>
        <v>0.35937036491073043</v>
      </c>
      <c r="D8" s="25">
        <f>'Tabla 2'!E8/'Tabla 2'!$B8*'Tabla 7'!H8</f>
        <v>0.48784842850274834</v>
      </c>
      <c r="E8" s="26">
        <f t="shared" si="0"/>
        <v>0.9999973252247969</v>
      </c>
      <c r="F8" s="25">
        <f>'Tabla 2'!G8/'Tabla 2'!$F8*'Tabla 7'!F8</f>
        <v>0.13997395010108671</v>
      </c>
      <c r="G8" s="25">
        <f>'Tabla 2'!H8/'Tabla 2'!$F8*'Tabla 7'!G8</f>
        <v>0.34873091848950993</v>
      </c>
      <c r="H8" s="25">
        <f>'Tabla 2'!I8/'Tabla 2'!$F8*'Tabla 7'!H8</f>
        <v>0.5112922268129495</v>
      </c>
      <c r="I8" s="26">
        <f t="shared" si="1"/>
        <v>0.9999970954035462</v>
      </c>
      <c r="J8" s="29">
        <f>'Tabla 2'!K8/'Tabla 2'!$J8*'Tabla 7'!F8</f>
        <v>0.14274573637295748</v>
      </c>
      <c r="K8" s="25">
        <f>'Tabla 2'!L8/'Tabla 2'!$J8*'Tabla 7'!G8</f>
        <v>0.3457893760333931</v>
      </c>
      <c r="L8" s="25">
        <f>'Tabla 2'!M8/'Tabla 2'!$J8*'Tabla 7'!H8</f>
        <v>0.51146203373057264</v>
      </c>
      <c r="M8" s="26">
        <f t="shared" si="2"/>
        <v>0.99999714613692325</v>
      </c>
    </row>
    <row r="9" spans="1:13" x14ac:dyDescent="0.25">
      <c r="A9" s="5">
        <v>2009</v>
      </c>
      <c r="B9" s="25">
        <f>'Tabla 2'!C9/'Tabla 2'!$B9*'Tabla 7'!F9</f>
        <v>0.16346328848384581</v>
      </c>
      <c r="C9" s="25">
        <f>'Tabla 2'!D9/'Tabla 2'!$B9*'Tabla 7'!G9</f>
        <v>0.35178344551572777</v>
      </c>
      <c r="D9" s="25">
        <f>'Tabla 2'!E9/'Tabla 2'!$B9*'Tabla 7'!H9</f>
        <v>0.48474731049420416</v>
      </c>
      <c r="E9" s="26">
        <f t="shared" si="0"/>
        <v>0.99999404449377771</v>
      </c>
      <c r="F9" s="25">
        <f>'Tabla 2'!G9/'Tabla 2'!$F9*'Tabla 7'!F9</f>
        <v>0.16259955372654647</v>
      </c>
      <c r="G9" s="25">
        <f>'Tabla 2'!H9/'Tabla 2'!$F9*'Tabla 7'!G9</f>
        <v>0.33696030206600325</v>
      </c>
      <c r="H9" s="25">
        <f>'Tabla 2'!I9/'Tabla 2'!$F9*'Tabla 7'!H9</f>
        <v>0.50043364370387344</v>
      </c>
      <c r="I9" s="26">
        <f t="shared" si="1"/>
        <v>0.99999349949642313</v>
      </c>
      <c r="J9" s="29">
        <f>'Tabla 2'!K9/'Tabla 2'!$J9*'Tabla 7'!F9</f>
        <v>0.1764030272709784</v>
      </c>
      <c r="K9" s="25">
        <f>'Tabla 2'!L9/'Tabla 2'!$J9*'Tabla 7'!G9</f>
        <v>0.32677094061912509</v>
      </c>
      <c r="L9" s="25">
        <f>'Tabla 2'!M9/'Tabla 2'!$J9*'Tabla 7'!H9</f>
        <v>0.49681954924065164</v>
      </c>
      <c r="M9" s="26">
        <f t="shared" si="2"/>
        <v>0.99999351713075513</v>
      </c>
    </row>
    <row r="10" spans="1:13" x14ac:dyDescent="0.25">
      <c r="A10" s="5">
        <v>2010</v>
      </c>
      <c r="B10" s="25">
        <f>'Tabla 2'!C10/'Tabla 2'!$B10*'Tabla 7'!F10</f>
        <v>0.17051865973949526</v>
      </c>
      <c r="C10" s="25">
        <f>'Tabla 2'!D10/'Tabla 2'!$B10*'Tabla 7'!G10</f>
        <v>0.33445371514172478</v>
      </c>
      <c r="D10" s="25">
        <f>'Tabla 2'!E10/'Tabla 2'!$B10*'Tabla 7'!H10</f>
        <v>0.49502646128434818</v>
      </c>
      <c r="E10" s="26">
        <f t="shared" si="0"/>
        <v>0.99999883616556828</v>
      </c>
      <c r="F10" s="25">
        <f>'Tabla 2'!G10/'Tabla 2'!$F10*'Tabla 7'!F10</f>
        <v>0.1770992500941371</v>
      </c>
      <c r="G10" s="25">
        <f>'Tabla 2'!H10/'Tabla 2'!$F10*'Tabla 7'!G10</f>
        <v>0.31226879734134549</v>
      </c>
      <c r="H10" s="25">
        <f>'Tabla 2'!I10/'Tabla 2'!$F10*'Tabla 7'!H10</f>
        <v>0.51063089596330902</v>
      </c>
      <c r="I10" s="26">
        <f t="shared" si="1"/>
        <v>0.99999894339879158</v>
      </c>
      <c r="J10" s="29">
        <f>'Tabla 2'!K10/'Tabla 2'!$J10*'Tabla 7'!F10</f>
        <v>0.19463055882556687</v>
      </c>
      <c r="K10" s="25">
        <f>'Tabla 2'!L10/'Tabla 2'!$J10*'Tabla 7'!G10</f>
        <v>0.29553854759186549</v>
      </c>
      <c r="L10" s="25">
        <f>'Tabla 2'!M10/'Tabla 2'!$J10*'Tabla 7'!H10</f>
        <v>0.50982984838193146</v>
      </c>
      <c r="M10" s="26">
        <f t="shared" si="2"/>
        <v>0.99999895479936385</v>
      </c>
    </row>
    <row r="11" spans="1:13" x14ac:dyDescent="0.25">
      <c r="A11" s="5">
        <v>2011</v>
      </c>
      <c r="B11" s="25">
        <f>'Tabla 2'!C11/'Tabla 2'!$B11*'Tabla 7'!F11</f>
        <v>0.14776687361823224</v>
      </c>
      <c r="C11" s="25">
        <f>'Tabla 2'!D11/'Tabla 2'!$B11*'Tabla 7'!G11</f>
        <v>0.34840102022846392</v>
      </c>
      <c r="D11" s="25">
        <f>'Tabla 2'!E11/'Tabla 2'!$B11*'Tabla 7'!H11</f>
        <v>0.50383213735259891</v>
      </c>
      <c r="E11" s="26">
        <f t="shared" si="0"/>
        <v>1.0000000311992951</v>
      </c>
      <c r="F11" s="25">
        <f>'Tabla 2'!G11/'Tabla 2'!$F11*'Tabla 7'!F11</f>
        <v>0.15320623140981698</v>
      </c>
      <c r="G11" s="25">
        <f>'Tabla 2'!H11/'Tabla 2'!$F11*'Tabla 7'!G11</f>
        <v>0.33410122594770347</v>
      </c>
      <c r="H11" s="25">
        <f>'Tabla 2'!I11/'Tabla 2'!$F11*'Tabla 7'!H11</f>
        <v>0.51269254595592717</v>
      </c>
      <c r="I11" s="26">
        <f t="shared" si="1"/>
        <v>1.0000000033134477</v>
      </c>
      <c r="J11" s="29">
        <f>'Tabla 2'!K11/'Tabla 2'!$J11*'Tabla 7'!F11</f>
        <v>0.1698195189007298</v>
      </c>
      <c r="K11" s="25">
        <f>'Tabla 2'!L11/'Tabla 2'!$J11*'Tabla 7'!G11</f>
        <v>0.32848701782223799</v>
      </c>
      <c r="L11" s="25">
        <f>'Tabla 2'!M11/'Tabla 2'!$J11*'Tabla 7'!H11</f>
        <v>0.50169349779003924</v>
      </c>
      <c r="M11" s="26">
        <f t="shared" si="2"/>
        <v>1.0000000345130071</v>
      </c>
    </row>
    <row r="12" spans="1:13" x14ac:dyDescent="0.25">
      <c r="A12" s="5">
        <v>2012</v>
      </c>
      <c r="B12" s="25">
        <f>'Tabla 2'!C12/'Tabla 2'!$B12*'Tabla 7'!F12</f>
        <v>0.14440772057199988</v>
      </c>
      <c r="C12" s="25">
        <f>'Tabla 2'!D12/'Tabla 2'!$B12*'Tabla 7'!G12</f>
        <v>0.34116123878151033</v>
      </c>
      <c r="D12" s="25">
        <f>'Tabla 2'!E12/'Tabla 2'!$B12*'Tabla 7'!H12</f>
        <v>0.51443107595436122</v>
      </c>
      <c r="E12" s="26">
        <f t="shared" si="0"/>
        <v>1.0000000353078713</v>
      </c>
      <c r="F12" s="25">
        <f>'Tabla 2'!G12/'Tabla 2'!$F12*'Tabla 7'!F12</f>
        <v>0.14705219692857976</v>
      </c>
      <c r="G12" s="25">
        <f>'Tabla 2'!H12/'Tabla 2'!$F12*'Tabla 7'!G12</f>
        <v>0.32972326933976304</v>
      </c>
      <c r="H12" s="25">
        <f>'Tabla 2'!I12/'Tabla 2'!$F12*'Tabla 7'!H12</f>
        <v>0.52322453759572007</v>
      </c>
      <c r="I12" s="26">
        <f t="shared" si="1"/>
        <v>1.0000000038640628</v>
      </c>
      <c r="J12" s="29">
        <f>'Tabla 2'!K12/'Tabla 2'!$J12*'Tabla 7'!F12</f>
        <v>0.15786732089255295</v>
      </c>
      <c r="K12" s="25">
        <f>'Tabla 2'!L12/'Tabla 2'!$J12*'Tabla 7'!G12</f>
        <v>0.32840981221992366</v>
      </c>
      <c r="L12" s="25">
        <f>'Tabla 2'!M12/'Tabla 2'!$J12*'Tabla 7'!H12</f>
        <v>0.5137228608333323</v>
      </c>
      <c r="M12" s="26">
        <f t="shared" si="2"/>
        <v>0.99999999394580885</v>
      </c>
    </row>
    <row r="13" spans="1:13" x14ac:dyDescent="0.25">
      <c r="A13" s="5">
        <v>2013</v>
      </c>
      <c r="B13" s="25">
        <f>'Tabla 2'!C13/'Tabla 2'!$B13*'Tabla 7'!F13</f>
        <v>0.15025795916493032</v>
      </c>
      <c r="C13" s="25">
        <f>'Tabla 2'!D13/'Tabla 2'!$B13*'Tabla 7'!G13</f>
        <v>0.35722729745286325</v>
      </c>
      <c r="D13" s="25">
        <f>'Tabla 2'!E13/'Tabla 2'!$B13*'Tabla 7'!H13</f>
        <v>0.49251473358762821</v>
      </c>
      <c r="E13" s="26">
        <f t="shared" si="0"/>
        <v>0.99999999020542174</v>
      </c>
      <c r="F13" s="25">
        <f>'Tabla 2'!G13/'Tabla 2'!$F13*'Tabla 7'!F13</f>
        <v>0.16880858659013959</v>
      </c>
      <c r="G13" s="25">
        <f>'Tabla 2'!H13/'Tabla 2'!$F13*'Tabla 7'!G13</f>
        <v>0.34161466642327104</v>
      </c>
      <c r="H13" s="25">
        <f>'Tabla 2'!I13/'Tabla 2'!$F13*'Tabla 7'!H13</f>
        <v>0.48957676528303495</v>
      </c>
      <c r="I13" s="26">
        <f t="shared" si="1"/>
        <v>1.0000000182964457</v>
      </c>
      <c r="J13" s="29">
        <f>'Tabla 2'!K13/'Tabla 2'!$J13*'Tabla 7'!F13</f>
        <v>0.19211197929317639</v>
      </c>
      <c r="K13" s="25">
        <f>'Tabla 2'!L13/'Tabla 2'!$J13*'Tabla 7'!G13</f>
        <v>0.33561376160604034</v>
      </c>
      <c r="L13" s="25">
        <f>'Tabla 2'!M13/'Tabla 2'!$J13*'Tabla 7'!H13</f>
        <v>0.47227430360593731</v>
      </c>
      <c r="M13" s="26">
        <f t="shared" si="2"/>
        <v>1.000000044505154</v>
      </c>
    </row>
    <row r="14" spans="1:13" x14ac:dyDescent="0.25">
      <c r="A14" s="5">
        <v>2014</v>
      </c>
      <c r="B14" s="25">
        <f>'Tabla 2'!C14/'Tabla 2'!$B14*'Tabla 7'!F14</f>
        <v>0.1493795746954199</v>
      </c>
      <c r="C14" s="25">
        <f>'Tabla 2'!D14/'Tabla 2'!$B14*'Tabla 7'!G14</f>
        <v>0.3340304584442586</v>
      </c>
      <c r="D14" s="25">
        <f>'Tabla 2'!E14/'Tabla 2'!$B14*'Tabla 7'!H14</f>
        <v>0.51659001914540736</v>
      </c>
      <c r="E14" s="26">
        <f t="shared" si="0"/>
        <v>1.0000000522850858</v>
      </c>
      <c r="F14" s="25">
        <f>'Tabla 2'!G14/'Tabla 2'!$F14*'Tabla 7'!F14</f>
        <v>0.16596449130856891</v>
      </c>
      <c r="G14" s="25">
        <f>'Tabla 2'!H14/'Tabla 2'!$F14*'Tabla 7'!G14</f>
        <v>0.32224094060866809</v>
      </c>
      <c r="H14" s="25">
        <f>'Tabla 2'!I14/'Tabla 2'!$F14*'Tabla 7'!H14</f>
        <v>0.51179450740211696</v>
      </c>
      <c r="I14" s="26">
        <f t="shared" si="1"/>
        <v>0.99999993931935394</v>
      </c>
      <c r="J14" s="29">
        <f>'Tabla 2'!K14/'Tabla 2'!$J14*'Tabla 7'!F14</f>
        <v>0.19177340392587458</v>
      </c>
      <c r="K14" s="25">
        <f>'Tabla 2'!L14/'Tabla 2'!$J14*'Tabla 7'!G14</f>
        <v>0.32055215807284582</v>
      </c>
      <c r="L14" s="25">
        <f>'Tabla 2'!M14/'Tabla 2'!$J14*'Tabla 7'!H14</f>
        <v>0.4876744159178959</v>
      </c>
      <c r="M14" s="26">
        <f t="shared" si="2"/>
        <v>0.99999997791661621</v>
      </c>
    </row>
    <row r="15" spans="1:13" x14ac:dyDescent="0.25">
      <c r="A15" s="5">
        <v>2015</v>
      </c>
      <c r="B15" s="25">
        <f>'Tabla 2'!C15/'Tabla 2'!$B15*'Tabla 7'!F15</f>
        <v>0.15577152763858168</v>
      </c>
      <c r="C15" s="25">
        <f>'Tabla 2'!D15/'Tabla 2'!$B15*'Tabla 7'!G15</f>
        <v>0.32220484961165963</v>
      </c>
      <c r="D15" s="25">
        <f>'Tabla 2'!E15/'Tabla 2'!$B15*'Tabla 7'!H15</f>
        <v>0.52202362403339553</v>
      </c>
      <c r="E15" s="26">
        <f t="shared" si="0"/>
        <v>1.0000000012836368</v>
      </c>
      <c r="F15" s="25">
        <f>'Tabla 2'!G15/'Tabla 2'!$F15*'Tabla 7'!F15</f>
        <v>0.18737474137769042</v>
      </c>
      <c r="G15" s="25">
        <f>'Tabla 2'!H15/'Tabla 2'!$F15*'Tabla 7'!G15</f>
        <v>0.30035435294799578</v>
      </c>
      <c r="H15" s="25">
        <f>'Tabla 2'!I15/'Tabla 2'!$F15*'Tabla 7'!H15</f>
        <v>0.51227094397656259</v>
      </c>
      <c r="I15" s="26">
        <f t="shared" si="1"/>
        <v>1.0000000383022489</v>
      </c>
      <c r="J15" s="29">
        <f>'Tabla 2'!K15/'Tabla 2'!$J15*'Tabla 7'!F15</f>
        <v>0.22724366307583901</v>
      </c>
      <c r="K15" s="25">
        <f>'Tabla 2'!L15/'Tabla 2'!$J15*'Tabla 7'!G15</f>
        <v>0.29114303036651473</v>
      </c>
      <c r="L15" s="25">
        <f>'Tabla 2'!M15/'Tabla 2'!$J15*'Tabla 7'!H15</f>
        <v>0.48161334802804434</v>
      </c>
      <c r="M15" s="26">
        <f t="shared" si="2"/>
        <v>1.0000000414703982</v>
      </c>
    </row>
    <row r="16" spans="1:13" x14ac:dyDescent="0.25">
      <c r="A16" s="5">
        <v>2016</v>
      </c>
      <c r="B16" s="25">
        <f>'Tabla 2'!C16/'Tabla 2'!$B16*'Tabla 7'!F16</f>
        <v>0.15730717350785683</v>
      </c>
      <c r="C16" s="25">
        <f>'Tabla 2'!D16/'Tabla 2'!$B16*'Tabla 7'!G16</f>
        <v>0.35305057309651139</v>
      </c>
      <c r="D16" s="25">
        <f>'Tabla 2'!E16/'Tabla 2'!$B16*'Tabla 7'!H16</f>
        <v>0.48964227343809891</v>
      </c>
      <c r="E16" s="26">
        <f t="shared" si="0"/>
        <v>1.0000000200424672</v>
      </c>
      <c r="F16" s="25">
        <f>'Tabla 2'!G16/'Tabla 2'!$F16*'Tabla 7'!F16</f>
        <v>0.17982913881918752</v>
      </c>
      <c r="G16" s="25">
        <f>'Tabla 2'!H16/'Tabla 2'!$F16*'Tabla 7'!G16</f>
        <v>0.34486355065610691</v>
      </c>
      <c r="H16" s="25">
        <f>'Tabla 2'!I16/'Tabla 2'!$F16*'Tabla 7'!H16</f>
        <v>0.47530730410080768</v>
      </c>
      <c r="I16" s="26">
        <f t="shared" si="1"/>
        <v>0.99999999357610214</v>
      </c>
      <c r="J16" s="29">
        <f>'Tabla 2'!K16/'Tabla 2'!$J16*'Tabla 7'!F16</f>
        <v>0.20755979516167578</v>
      </c>
      <c r="K16" s="25">
        <f>'Tabla 2'!L16/'Tabla 2'!$J16*'Tabla 7'!G16</f>
        <v>0.34564244148939538</v>
      </c>
      <c r="L16" s="25">
        <f>'Tabla 2'!M16/'Tabla 2'!$J16*'Tabla 7'!H16</f>
        <v>0.44679776657231096</v>
      </c>
      <c r="M16" s="26">
        <f t="shared" si="2"/>
        <v>1.000000003223382</v>
      </c>
    </row>
    <row r="17" spans="1:13" x14ac:dyDescent="0.25">
      <c r="A17" s="5">
        <v>2017</v>
      </c>
      <c r="B17" s="25">
        <f>'Tabla 2'!C17/'Tabla 2'!$B17*'Tabla 7'!F17</f>
        <v>0.17271642907165266</v>
      </c>
      <c r="C17" s="25">
        <f>'Tabla 2'!D17/'Tabla 2'!$B17*'Tabla 7'!G17</f>
        <v>0.35348131442905817</v>
      </c>
      <c r="D17" s="25">
        <f>'Tabla 2'!E17/'Tabla 2'!$B17*'Tabla 7'!H17</f>
        <v>0.47380219391551548</v>
      </c>
      <c r="E17" s="26">
        <f t="shared" si="0"/>
        <v>0.99999993741622628</v>
      </c>
      <c r="F17" s="25">
        <f>'Tabla 2'!G17/'Tabla 2'!$F17*'Tabla 7'!F17</f>
        <v>0.20554760249895404</v>
      </c>
      <c r="G17" s="25">
        <f>'Tabla 2'!H17/'Tabla 2'!$F17*'Tabla 7'!G17</f>
        <v>0.34106304211032246</v>
      </c>
      <c r="H17" s="25">
        <f>'Tabla 2'!I17/'Tabla 2'!$F17*'Tabla 7'!H17</f>
        <v>0.45338939145746504</v>
      </c>
      <c r="I17" s="26">
        <f t="shared" si="1"/>
        <v>1.0000000360667416</v>
      </c>
      <c r="J17" s="29">
        <f>'Tabla 2'!K17/'Tabla 2'!$J17*'Tabla 7'!F17</f>
        <v>0.24705078421972632</v>
      </c>
      <c r="K17" s="25">
        <f>'Tabla 2'!L17/'Tabla 2'!$J17*'Tabla 7'!G17</f>
        <v>0.34135072076342465</v>
      </c>
      <c r="L17" s="25">
        <f>'Tabla 2'!M17/'Tabla 2'!$J17*'Tabla 7'!H17</f>
        <v>0.41159847667673582</v>
      </c>
      <c r="M17" s="26">
        <f t="shared" si="2"/>
        <v>0.99999998165988679</v>
      </c>
    </row>
    <row r="18" spans="1:13" ht="15.75" thickBot="1" x14ac:dyDescent="0.3">
      <c r="A18" s="6">
        <v>2018</v>
      </c>
      <c r="B18" s="30">
        <f>'Tabla 2'!C18/'Tabla 2'!$B18*'Tabla 7'!F18</f>
        <v>0.17932482651461601</v>
      </c>
      <c r="C18" s="31">
        <f>'Tabla 2'!D18/'Tabla 2'!$B18*'Tabla 7'!G18</f>
        <v>0.34104585484324618</v>
      </c>
      <c r="D18" s="31">
        <f>'Tabla 2'!E18/'Tabla 2'!$B18*'Tabla 7'!H18</f>
        <v>0.47962928437933222</v>
      </c>
      <c r="E18" s="26">
        <f t="shared" si="0"/>
        <v>0.9999999657371943</v>
      </c>
      <c r="F18" s="30">
        <f>'Tabla 2'!G18/'Tabla 2'!$F18*'Tabla 7'!F18</f>
        <v>0.20980322067247792</v>
      </c>
      <c r="G18" s="31">
        <f>'Tabla 2'!H18/'Tabla 2'!$F18*'Tabla 7'!G18</f>
        <v>0.32168468986687526</v>
      </c>
      <c r="H18" s="31">
        <f>'Tabla 2'!I18/'Tabla 2'!$F18*'Tabla 7'!H18</f>
        <v>0.46851207318502902</v>
      </c>
      <c r="I18" s="26">
        <f t="shared" si="1"/>
        <v>0.99999998372438226</v>
      </c>
      <c r="J18" s="30">
        <f>'Tabla 2'!K18/'Tabla 2'!$J18*'Tabla 7'!F18</f>
        <v>0.24900545005037372</v>
      </c>
      <c r="K18" s="31">
        <f>'Tabla 2'!L18/'Tabla 2'!$J18*'Tabla 7'!G18</f>
        <v>0.3092498155642075</v>
      </c>
      <c r="L18" s="31">
        <f>'Tabla 2'!M18/'Tabla 2'!$J18*'Tabla 7'!H18</f>
        <v>0.44174471570981405</v>
      </c>
      <c r="M18" s="32">
        <f t="shared" si="2"/>
        <v>0.99999998132439516</v>
      </c>
    </row>
    <row r="19" spans="1:13" x14ac:dyDescent="0.25">
      <c r="B19" s="33">
        <f t="shared" ref="B19:C19" si="3">AVERAGE(B4:B18)</f>
        <v>0.16789417771450921</v>
      </c>
      <c r="C19" s="33">
        <f t="shared" si="3"/>
        <v>0.33758697775148166</v>
      </c>
      <c r="D19" s="33">
        <f>AVERAGE(D4:D18)</f>
        <v>0.49451818865938579</v>
      </c>
      <c r="E19" s="34">
        <f>SUM(B19:D19)</f>
        <v>0.99999934412537661</v>
      </c>
      <c r="F19" s="33">
        <f t="shared" ref="F19:G19" si="4">AVERAGE(F4:F18)</f>
        <v>0.17713161941153691</v>
      </c>
      <c r="G19" s="33">
        <f t="shared" si="4"/>
        <v>0.32225372013422221</v>
      </c>
      <c r="H19" s="33">
        <f>AVERAGE(H4:H18)</f>
        <v>0.5006139619659945</v>
      </c>
      <c r="I19" s="34">
        <f>SUM(F19:H19)</f>
        <v>0.99999930151175365</v>
      </c>
      <c r="J19" s="33">
        <f t="shared" ref="J19:K19" si="5">AVERAGE(J4:J18)</f>
        <v>0.19711498420135037</v>
      </c>
      <c r="K19" s="33">
        <f t="shared" si="5"/>
        <v>0.31516292078868435</v>
      </c>
      <c r="L19" s="33">
        <f>AVERAGE(L4:L18)</f>
        <v>0.48772140921417628</v>
      </c>
      <c r="M19" s="34">
        <f>SUM(J19:L19)</f>
        <v>0.99999931420421106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  <ignoredErrors>
    <ignoredError sqref="E19:I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Tabla 1</vt:lpstr>
      <vt:lpstr>Tabla 2</vt:lpstr>
      <vt:lpstr>Tabla 3</vt:lpstr>
      <vt:lpstr>Tabla 4</vt:lpstr>
      <vt:lpstr>Tabla 5</vt:lpstr>
      <vt:lpstr>Tabla 6</vt:lpstr>
      <vt:lpstr>Tabla 7</vt:lpstr>
      <vt:lpstr>Tabla 8</vt:lpstr>
      <vt:lpstr>Tabla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2021-08-30T15:03:53Z</dcterms:created>
  <dcterms:modified xsi:type="dcterms:W3CDTF">2021-10-30T20:08:18Z</dcterms:modified>
</cp:coreProperties>
</file>