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mc:AlternateContent xmlns:mc="http://schemas.openxmlformats.org/markup-compatibility/2006">
    <mc:Choice Requires="x15">
      <x15ac:absPath xmlns:x15ac="http://schemas.microsoft.com/office/spreadsheetml/2010/11/ac" url="C:\Users\juanc\Desktop\Economía\Maestría en Economía\21. Tesis\Datos\Material\"/>
    </mc:Choice>
  </mc:AlternateContent>
  <xr:revisionPtr revIDLastSave="0" documentId="13_ncr:1_{B69AE8B4-20C3-4221-AE19-4654F5F243A6}" xr6:coauthVersionLast="47" xr6:coauthVersionMax="47" xr10:uidLastSave="{00000000-0000-0000-0000-000000000000}"/>
  <bookViews>
    <workbookView xWindow="-120" yWindow="-120" windowWidth="20730" windowHeight="11760" xr2:uid="{00000000-000D-0000-FFFF-FFFF00000000}"/>
  </bookViews>
  <sheets>
    <sheet name="Data" sheetId="1" r:id="rId1"/>
    <sheet name="Series - Metadata" sheetId="2" r:id="rId2"/>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T11" i="1" l="1"/>
  <c r="AD11" i="1"/>
  <c r="AH14" i="1"/>
  <c r="AH13" i="1"/>
  <c r="R14" i="1"/>
  <c r="S14" i="1"/>
  <c r="T14" i="1"/>
  <c r="U14" i="1"/>
  <c r="V14" i="1"/>
  <c r="W14" i="1"/>
  <c r="X14" i="1"/>
  <c r="Y14" i="1"/>
  <c r="Z14" i="1"/>
  <c r="AA14" i="1"/>
  <c r="AB14" i="1"/>
  <c r="AC14" i="1"/>
  <c r="AD14" i="1"/>
  <c r="AE14" i="1"/>
  <c r="AF14" i="1"/>
  <c r="AG14" i="1"/>
  <c r="Q11" i="1"/>
  <c r="AG11" i="1"/>
  <c r="Q10" i="1"/>
  <c r="AG10" i="1"/>
  <c r="AE9" i="1"/>
  <c r="AD9" i="1"/>
  <c r="AD10" i="1"/>
  <c r="T10" i="1"/>
  <c r="O9" i="1"/>
  <c r="N9" i="1"/>
  <c r="AB9" i="1"/>
  <c r="AA9" i="1"/>
  <c r="Q9" i="1"/>
  <c r="R9" i="1"/>
  <c r="AI7" i="1"/>
  <c r="AH7" i="1"/>
  <c r="AG7" i="1"/>
  <c r="AF7" i="1"/>
  <c r="AE7" i="1"/>
  <c r="AD7" i="1"/>
  <c r="AC7" i="1"/>
  <c r="AB7" i="1"/>
  <c r="AA7" i="1"/>
  <c r="Z7" i="1"/>
  <c r="Y7" i="1"/>
  <c r="X7" i="1"/>
  <c r="W7" i="1"/>
  <c r="V7" i="1"/>
  <c r="U7" i="1"/>
  <c r="T7" i="1"/>
  <c r="S7" i="1"/>
  <c r="R7" i="1"/>
  <c r="Q7" i="1"/>
  <c r="P7" i="1"/>
  <c r="O7" i="1"/>
  <c r="N7" i="1"/>
  <c r="M7" i="1"/>
  <c r="L7" i="1"/>
  <c r="K7" i="1"/>
  <c r="J7" i="1"/>
  <c r="I7" i="1"/>
  <c r="H7" i="1"/>
  <c r="G7" i="1"/>
  <c r="F7" i="1"/>
</calcChain>
</file>

<file path=xl/sharedStrings.xml><?xml version="1.0" encoding="utf-8"?>
<sst xmlns="http://schemas.openxmlformats.org/spreadsheetml/2006/main" count="126" uniqueCount="91">
  <si>
    <t>Development relevance</t>
  </si>
  <si>
    <t>2013 [YR2013]</t>
  </si>
  <si>
    <t>NY.GDP.MKTP.KD</t>
  </si>
  <si>
    <t>GDP per capita growth (annual %)</t>
  </si>
  <si>
    <t>Annual percentage growth rate of GDP per capita based on constant local currency. Aggregates are based on constant 2010 U.S. dollars. 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</si>
  <si>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Aggregation method</t>
  </si>
  <si>
    <t>2004 [YR2004]</t>
  </si>
  <si>
    <t>https://datacatalog.worldbank.org/public-licenses#cc-by</t>
  </si>
  <si>
    <t>1992 [YR1992]</t>
  </si>
  <si>
    <t>Crecimiento del PIB (% anual)</t>
  </si>
  <si>
    <t>World Bank national accounts data, and OECD National Accounts data files.</t>
  </si>
  <si>
    <t>2012 [YR2012]</t>
  </si>
  <si>
    <t>Country Code</t>
  </si>
  <si>
    <t>2018 [YR2018]</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</si>
  <si>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U.S. dollar series are used to calculate regional and income group growth rates. Local currency series are converted to constant U.S. dollars using an exchange rate in the common reference year.</t>
  </si>
  <si>
    <t>Code</t>
  </si>
  <si>
    <t>2003 [YR2003]</t>
  </si>
  <si>
    <t>NY.GDP.MKTP.KD.ZG</t>
  </si>
  <si>
    <t>1997 [YR1997]</t>
  </si>
  <si>
    <t>Weighted average</t>
  </si>
  <si>
    <t>GDP (constant 2010 US$)</t>
  </si>
  <si>
    <t>Annual</t>
  </si>
  <si>
    <t>2017 [YR2017]</t>
  </si>
  <si>
    <t>Country Name</t>
  </si>
  <si>
    <t>PIB (US$ a precios constantes de 2010)</t>
  </si>
  <si>
    <t>GDP growth (annual %)</t>
  </si>
  <si>
    <t>2008 [YR2008]</t>
  </si>
  <si>
    <t>Data from Database: Indicadores del desarrollo mundial</t>
  </si>
  <si>
    <t>1996 [YR1996]</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</si>
  <si>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</si>
  <si>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2016 [YR2016]</t>
  </si>
  <si>
    <t>2007 [YR2007]</t>
  </si>
  <si>
    <t>1995 [YR1995]</t>
  </si>
  <si>
    <t>Limitations and exceptions</t>
  </si>
  <si>
    <t>License Type</t>
  </si>
  <si>
    <t>NY.GDP.PCAP.KD.ZG</t>
  </si>
  <si>
    <t>NY.GDP.PCAP.KD</t>
  </si>
  <si>
    <t>2006 [YR2006]</t>
  </si>
  <si>
    <t>CC BY-4.0</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</si>
  <si>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2010 U.S. dollars.</t>
  </si>
  <si>
    <t>Topic</t>
  </si>
  <si>
    <t>COL</t>
  </si>
  <si>
    <t>1991 [YR1991]</t>
  </si>
  <si>
    <t>2020 [YR2020]</t>
  </si>
  <si>
    <t>Long definition</t>
  </si>
  <si>
    <t>Periodicity</t>
  </si>
  <si>
    <t>2011 [YR2011]</t>
  </si>
  <si>
    <t>1999 [YR1999]</t>
  </si>
  <si>
    <t>Economic Policy &amp; Debt: National accounts: Growth rates</t>
  </si>
  <si>
    <t>2002 [YR2002]</t>
  </si>
  <si>
    <t>1990 [YR1990]</t>
  </si>
  <si>
    <t>2019 [YR2019]</t>
  </si>
  <si>
    <t>Weighted Average</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</si>
  <si>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</si>
  <si>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Gap-filled total</t>
  </si>
  <si>
    <t>Series Code</t>
  </si>
  <si>
    <t>2010 [YR2010]</t>
  </si>
  <si>
    <t>Annual percentage growth rate of GDP at market prices based on constant local currency. Aggregates are based on constant 2010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</si>
  <si>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1998 [YR1998]</t>
  </si>
  <si>
    <t>For more information, see the metadata for constant U.S. dollar GDP (NY.GDP.MKTP.KD) and total population (SP.POP.TOTL).</t>
  </si>
  <si>
    <t>Economic Policy &amp; Debt: National accounts: US$ at constant 2010 prices: Aggregate indicators</t>
  </si>
  <si>
    <t>2001 [YR2001]</t>
  </si>
  <si>
    <t>Base Period</t>
  </si>
  <si>
    <t>GDP per capita (constant 2010 US$)</t>
  </si>
  <si>
    <t>Colombia</t>
  </si>
  <si>
    <t>Statistical concept and methodology</t>
  </si>
  <si>
    <t>2009 [YR2009]</t>
  </si>
  <si>
    <t>2015 [YR2015]</t>
  </si>
  <si>
    <t>License URL</t>
  </si>
  <si>
    <t>2000 [YR2000]</t>
  </si>
  <si>
    <t>Source</t>
  </si>
  <si>
    <t>Series Name</t>
  </si>
  <si>
    <t>1994 [YR1994]</t>
  </si>
  <si>
    <t>Indicator Name</t>
  </si>
  <si>
    <t>2014 [YR2014]</t>
  </si>
  <si>
    <t>Crecimiento del PIB per cápita (% anual)</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</si>
  <si>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2010 U.S. dollars. Dollar figures for GDP are converted from domestic currencies using 2010 official exchange rates. For a few countries where the official exchange rate does not reflect the rate effectively applied to actual foreign exchange transactions, an alternative conversion factor is used.</t>
  </si>
  <si>
    <t>2005 [YR2005]</t>
  </si>
  <si>
    <t>1993 [YR1993]</t>
  </si>
  <si>
    <t>PIB per cápita (US$ a precios constantes de 2010)</t>
  </si>
  <si>
    <t>Last Updated: 09/15/2021</t>
  </si>
  <si>
    <t>FP.CPI.TOTL</t>
  </si>
  <si>
    <t>Consumer price index (2010 = 100)</t>
  </si>
  <si>
    <t>Consumer price index reflects changes in the cost to the average consumer of acquiring a basket of goods and services that may be fixed or changed at specified intervals, such as yearly. The Laspeyres formula is generally used. Data are period averages.</t>
  </si>
  <si>
    <t>International Monetary Fund, International Financial Statistics and data files.</t>
  </si>
  <si>
    <t>Financial Sector: Exchange rates &amp; prices</t>
  </si>
  <si>
    <t>Consumer price indexes are constructed explicitly, using surveys of the cost of a defined basket of consumer goods and services.</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</si>
  <si>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</si>
  <si>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Consumer price indexes should be interpreted with caution. The definition of a household, the basket of goods, and the geographic (urban or rural) and income group coverage of consumer price surveys can vary widely by country. In addition, weights are derived from household expenditure surveys, which, for budgetary reasons, tend to be conducted infrequently in developing countries, impairing comparability over time. Although useful for measuring consumer price inflation within a country, consumer price indexes are of less value in comparing countries.</t>
  </si>
  <si>
    <t>Índice de precios al consumidor (2010 = 100)</t>
  </si>
  <si>
    <t>Variación IPC (% 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</si>
</sst>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xf numFmtId="0" fontId="0" fillId="0" borderId="0" xfId="0" applyAlignment="1">
      <alignment vertical="center"/>
    </xf>
    <xf numFmtId="49" fontId="0" fillId="0" borderId="0" xfId="0" applyNumberFormat="1" applyAlignment="1">
      <alignment vertical="center"/>
    </xf>
    <xf numFmtId="4" fontId="0" fillId="0" borderId="0" xfId="0" applyNumberFormat="1" applyAlignment="1">
      <alignment vertical="center"/>
    </xf>
    <xf numFmtId="0" fontId="0" fillId="2" borderId="0" xfId="0" applyFill="1" applyAlignment="1">
      <alignment vertical="center"/>
    </xf>
    <xf numFmtId="4" fontId="0" fillId="2" borderId="0" xfId="0" applyNumberFormat="1" applyFill="1" applyAlignment="1">
      <alignment vertical="center"/>
    </xf>
    <xf numFmtId="4" fontId="0" fillId="0" borderId="0" xfId="0" applyNumberFormat="1" applyFill="1" applyAlignment="1">
      <alignment vertical="center"/>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4"/>
  <sheetViews>
    <sheetView tabSelected="1" zoomScale="80" zoomScaleNormal="80" workbookViewId="0">
      <pane xSplit="1" ySplit="1" topLeftCell="B2" activePane="bottomRight" state="frozen"/>
      <selection pane="topRight" activeCell="B1" sqref="B1"/>
      <selection pane="bottomLeft" activeCell="A2" sqref="A2"/>
      <selection pane="bottomRight"/>
    </sheetView>
  </sheetViews>
  <sheetFormatPr baseColWidth="10" defaultColWidth="9.140625" defaultRowHeight="15" x14ac:dyDescent="0.25"/>
  <cols>
    <col min="1" max="1" width="58.140625" style="2" bestFit="1" customWidth="1"/>
    <col min="2" max="2" width="20" style="2" bestFit="1" customWidth="1"/>
    <col min="3" max="3" width="14.5703125" style="2" bestFit="1" customWidth="1"/>
    <col min="4" max="4" width="13.7109375" style="2" bestFit="1" customWidth="1"/>
    <col min="5" max="35" width="18.5703125" style="2" bestFit="1" customWidth="1"/>
    <col min="36" max="16384" width="9.140625" style="2"/>
  </cols>
  <sheetData>
    <row r="1" spans="1:35" x14ac:dyDescent="0.25">
      <c r="A1" s="2" t="s">
        <v>71</v>
      </c>
      <c r="B1" s="3" t="s">
        <v>55</v>
      </c>
      <c r="C1" s="2" t="s">
        <v>23</v>
      </c>
      <c r="D1" s="3" t="s">
        <v>12</v>
      </c>
      <c r="E1" s="2" t="s">
        <v>50</v>
      </c>
      <c r="F1" s="2" t="s">
        <v>42</v>
      </c>
      <c r="G1" s="2" t="s">
        <v>8</v>
      </c>
      <c r="H1" s="2" t="s">
        <v>78</v>
      </c>
      <c r="I1" s="2" t="s">
        <v>72</v>
      </c>
      <c r="J1" s="2" t="s">
        <v>32</v>
      </c>
      <c r="K1" s="2" t="s">
        <v>28</v>
      </c>
      <c r="L1" s="2" t="s">
        <v>18</v>
      </c>
      <c r="M1" s="2" t="s">
        <v>58</v>
      </c>
      <c r="N1" s="2" t="s">
        <v>47</v>
      </c>
      <c r="O1" s="2" t="s">
        <v>69</v>
      </c>
      <c r="P1" s="2" t="s">
        <v>61</v>
      </c>
      <c r="Q1" s="5" t="s">
        <v>49</v>
      </c>
      <c r="R1" s="2" t="s">
        <v>16</v>
      </c>
      <c r="S1" s="2" t="s">
        <v>6</v>
      </c>
      <c r="T1" s="5" t="s">
        <v>77</v>
      </c>
      <c r="U1" s="2" t="s">
        <v>37</v>
      </c>
      <c r="V1" s="2" t="s">
        <v>31</v>
      </c>
      <c r="W1" s="2" t="s">
        <v>26</v>
      </c>
      <c r="X1" s="2" t="s">
        <v>66</v>
      </c>
      <c r="Y1" s="2" t="s">
        <v>56</v>
      </c>
      <c r="Z1" s="2" t="s">
        <v>46</v>
      </c>
      <c r="AA1" s="2" t="s">
        <v>11</v>
      </c>
      <c r="AB1" s="2" t="s">
        <v>1</v>
      </c>
      <c r="AC1" s="2" t="s">
        <v>74</v>
      </c>
      <c r="AD1" s="5" t="s">
        <v>67</v>
      </c>
      <c r="AE1" s="2" t="s">
        <v>30</v>
      </c>
      <c r="AF1" s="2" t="s">
        <v>22</v>
      </c>
      <c r="AG1" s="5" t="s">
        <v>13</v>
      </c>
      <c r="AH1" s="2" t="s">
        <v>51</v>
      </c>
      <c r="AI1" s="2" t="s">
        <v>43</v>
      </c>
    </row>
    <row r="2" spans="1:35" x14ac:dyDescent="0.25">
      <c r="A2" s="2" t="s">
        <v>24</v>
      </c>
      <c r="B2" s="3" t="s">
        <v>2</v>
      </c>
      <c r="C2" s="2" t="s">
        <v>64</v>
      </c>
      <c r="D2" s="3" t="s">
        <v>41</v>
      </c>
      <c r="E2" s="4">
        <v>147882238078.25522</v>
      </c>
      <c r="F2" s="4">
        <v>150842260189.9368</v>
      </c>
      <c r="G2" s="4">
        <v>156943723176.91309</v>
      </c>
      <c r="H2" s="4">
        <v>165395786042.84079</v>
      </c>
      <c r="I2" s="4">
        <v>175012991811.10947</v>
      </c>
      <c r="J2" s="4">
        <v>184117933488.86566</v>
      </c>
      <c r="K2" s="4">
        <v>187903130700.45364</v>
      </c>
      <c r="L2" s="4">
        <v>194348759914.15442</v>
      </c>
      <c r="M2" s="4">
        <v>195456128226.99765</v>
      </c>
      <c r="N2" s="4">
        <v>187239122801.59024</v>
      </c>
      <c r="O2" s="4">
        <v>192715607785.79425</v>
      </c>
      <c r="P2" s="4">
        <v>195949179707.505</v>
      </c>
      <c r="Q2" s="6">
        <v>200855708889.70187</v>
      </c>
      <c r="R2" s="4">
        <v>208725781697.9003</v>
      </c>
      <c r="S2" s="4">
        <v>219857173696.31177</v>
      </c>
      <c r="T2" s="6">
        <v>230473551392.79922</v>
      </c>
      <c r="U2" s="4">
        <v>245954157224.49442</v>
      </c>
      <c r="V2" s="4">
        <v>262527027188.66711</v>
      </c>
      <c r="W2" s="4">
        <v>271146960850.54681</v>
      </c>
      <c r="X2" s="4">
        <v>274237083517.14194</v>
      </c>
      <c r="Y2" s="4">
        <v>286563105192.45648</v>
      </c>
      <c r="Z2" s="4">
        <v>306473200200.7356</v>
      </c>
      <c r="AA2" s="4">
        <v>318464380248.55298</v>
      </c>
      <c r="AB2" s="4">
        <v>334814320893.88397</v>
      </c>
      <c r="AC2" s="4">
        <v>349877717638.91156</v>
      </c>
      <c r="AD2" s="6">
        <v>360219757906.38177</v>
      </c>
      <c r="AE2" s="4">
        <v>367738922100.32611</v>
      </c>
      <c r="AF2" s="4">
        <v>372737821103.34912</v>
      </c>
      <c r="AG2" s="6">
        <v>382296027560.99634</v>
      </c>
      <c r="AH2" s="4">
        <v>394839606764.33716</v>
      </c>
      <c r="AI2" s="4">
        <v>367803698280.80127</v>
      </c>
    </row>
    <row r="3" spans="1:35" x14ac:dyDescent="0.25">
      <c r="A3" s="2" t="s">
        <v>79</v>
      </c>
      <c r="B3" s="3" t="s">
        <v>36</v>
      </c>
      <c r="C3" s="2" t="s">
        <v>64</v>
      </c>
      <c r="D3" s="3" t="s">
        <v>41</v>
      </c>
      <c r="E3" s="4">
        <v>4467.3946024628849</v>
      </c>
      <c r="F3" s="4">
        <v>4468.2977246366227</v>
      </c>
      <c r="G3" s="4">
        <v>4559.3264040298527</v>
      </c>
      <c r="H3" s="4">
        <v>4713.3026708989282</v>
      </c>
      <c r="I3" s="4">
        <v>4894.2391980864068</v>
      </c>
      <c r="J3" s="4">
        <v>5055.2076908348772</v>
      </c>
      <c r="K3" s="4">
        <v>5068.0000373405765</v>
      </c>
      <c r="L3" s="4">
        <v>5151.8867255815758</v>
      </c>
      <c r="M3" s="4">
        <v>5094.7389256111846</v>
      </c>
      <c r="N3" s="4">
        <v>4801.06864025915</v>
      </c>
      <c r="O3" s="4">
        <v>4862.8760531530688</v>
      </c>
      <c r="P3" s="4">
        <v>4867.5823201790317</v>
      </c>
      <c r="Q3" s="6">
        <v>4913.8574962551866</v>
      </c>
      <c r="R3" s="4">
        <v>5031.4922796478668</v>
      </c>
      <c r="S3" s="4">
        <v>5225.2452534185441</v>
      </c>
      <c r="T3" s="6">
        <v>5404.1222355486916</v>
      </c>
      <c r="U3" s="4">
        <v>5693.2645276193298</v>
      </c>
      <c r="V3" s="4">
        <v>6002.3310696929248</v>
      </c>
      <c r="W3" s="4">
        <v>6126.9265033214078</v>
      </c>
      <c r="X3" s="4">
        <v>6128.195588705702</v>
      </c>
      <c r="Y3" s="4">
        <v>6336.7094739846571</v>
      </c>
      <c r="Z3" s="4">
        <v>6711.6680518746625</v>
      </c>
      <c r="AA3" s="4">
        <v>6911.7611908569588</v>
      </c>
      <c r="AB3" s="4">
        <v>7201.0060866520989</v>
      </c>
      <c r="AC3" s="4">
        <v>7449.3252371940744</v>
      </c>
      <c r="AD3" s="6">
        <v>7580.2757125943072</v>
      </c>
      <c r="AE3" s="4">
        <v>7633.3898432301739</v>
      </c>
      <c r="AF3" s="4">
        <v>7620.9161718722535</v>
      </c>
      <c r="AG3" s="6">
        <v>7698.105081796818</v>
      </c>
      <c r="AH3" s="4">
        <v>7843.5434171239667</v>
      </c>
      <c r="AI3" s="4">
        <v>7228.4365461832167</v>
      </c>
    </row>
    <row r="4" spans="1:35" x14ac:dyDescent="0.25">
      <c r="A4" s="2" t="s">
        <v>9</v>
      </c>
      <c r="B4" s="3" t="s">
        <v>17</v>
      </c>
      <c r="C4" s="2" t="s">
        <v>64</v>
      </c>
      <c r="D4" s="3" t="s">
        <v>41</v>
      </c>
      <c r="E4" s="4">
        <v>4.281998332075716</v>
      </c>
      <c r="F4" s="4">
        <v>2.0016075967927947</v>
      </c>
      <c r="G4" s="4">
        <v>4.0449294377407767</v>
      </c>
      <c r="H4" s="4">
        <v>5.385409938567733</v>
      </c>
      <c r="I4" s="4">
        <v>5.8146619078781328</v>
      </c>
      <c r="J4" s="4">
        <v>5.2024375925091988</v>
      </c>
      <c r="K4" s="4">
        <v>2.0558547121738684</v>
      </c>
      <c r="L4" s="4">
        <v>3.4302936782762288</v>
      </c>
      <c r="M4" s="4">
        <v>0.5697840898662605</v>
      </c>
      <c r="N4" s="4">
        <v>-4.2040152436992742</v>
      </c>
      <c r="O4" s="4">
        <v>2.9248614831459179</v>
      </c>
      <c r="P4" s="4">
        <v>1.6778983076995502</v>
      </c>
      <c r="Q4" s="6">
        <v>2.5039804655068565</v>
      </c>
      <c r="R4" s="4">
        <v>3.918271903598324</v>
      </c>
      <c r="S4" s="4">
        <v>5.3330220674523616</v>
      </c>
      <c r="T4" s="6">
        <v>4.8287611079508537</v>
      </c>
      <c r="U4" s="4">
        <v>6.7168686984440171</v>
      </c>
      <c r="V4" s="4">
        <v>6.7381946909097508</v>
      </c>
      <c r="W4" s="4">
        <v>3.2834461861654063</v>
      </c>
      <c r="X4" s="4">
        <v>1.1396486454806194</v>
      </c>
      <c r="Y4" s="4">
        <v>4.4946589707092244</v>
      </c>
      <c r="Z4" s="4">
        <v>6.9478919817355518</v>
      </c>
      <c r="AA4" s="4">
        <v>3.9126357671611487</v>
      </c>
      <c r="AB4" s="4">
        <v>5.1339935199567179</v>
      </c>
      <c r="AC4" s="4">
        <v>4.4990300011097162</v>
      </c>
      <c r="AD4" s="6">
        <v>2.9559013752752321</v>
      </c>
      <c r="AE4" s="4">
        <v>2.0873825016279426</v>
      </c>
      <c r="AF4" s="4">
        <v>1.3593608678874602</v>
      </c>
      <c r="AG4" s="6">
        <v>2.5643242827770365</v>
      </c>
      <c r="AH4" s="4">
        <v>3.2811168045264338</v>
      </c>
      <c r="AI4" s="4">
        <v>-6.8473142056572982</v>
      </c>
    </row>
    <row r="5" spans="1:35" x14ac:dyDescent="0.25">
      <c r="A5" s="2" t="s">
        <v>75</v>
      </c>
      <c r="B5" s="3" t="s">
        <v>35</v>
      </c>
      <c r="C5" s="2" t="s">
        <v>64</v>
      </c>
      <c r="D5" s="3" t="s">
        <v>41</v>
      </c>
      <c r="E5" s="4">
        <v>2.2498479806009328</v>
      </c>
      <c r="F5" s="4">
        <v>2.0215858550741928E-2</v>
      </c>
      <c r="G5" s="4">
        <v>2.0372115960700228</v>
      </c>
      <c r="H5" s="4">
        <v>3.3771713894618784</v>
      </c>
      <c r="I5" s="4">
        <v>3.8388480397115927</v>
      </c>
      <c r="J5" s="4">
        <v>3.2889379990133705</v>
      </c>
      <c r="K5" s="4">
        <v>0.25305283754990171</v>
      </c>
      <c r="L5" s="4">
        <v>1.6552227234200956</v>
      </c>
      <c r="M5" s="4">
        <v>-1.1092596366031415</v>
      </c>
      <c r="N5" s="4">
        <v>-5.7641871279361823</v>
      </c>
      <c r="O5" s="4">
        <v>1.2873678242305147</v>
      </c>
      <c r="P5" s="4">
        <v>9.6779497863423103E-2</v>
      </c>
      <c r="Q5" s="6">
        <v>0.95068091369130059</v>
      </c>
      <c r="R5" s="4">
        <v>2.3939396590627382</v>
      </c>
      <c r="S5" s="4">
        <v>3.8508053476380866</v>
      </c>
      <c r="T5" s="6">
        <v>3.4233222261312619</v>
      </c>
      <c r="U5" s="4">
        <v>5.3504025162243778</v>
      </c>
      <c r="V5" s="4">
        <v>5.4286348469185555</v>
      </c>
      <c r="W5" s="4">
        <v>2.0757840942428487</v>
      </c>
      <c r="X5" s="4">
        <v>2.0713246414928221E-2</v>
      </c>
      <c r="Y5" s="4">
        <v>3.4025331316651659</v>
      </c>
      <c r="Z5" s="4">
        <v>5.9172442642257579</v>
      </c>
      <c r="AA5" s="4">
        <v>2.9812728733866152</v>
      </c>
      <c r="AB5" s="4">
        <v>4.1848218971708633</v>
      </c>
      <c r="AC5" s="4">
        <v>3.4483952319143754</v>
      </c>
      <c r="AD5" s="6">
        <v>1.7578837173923176</v>
      </c>
      <c r="AE5" s="4">
        <v>0.70068863785022018</v>
      </c>
      <c r="AF5" s="4">
        <v>-0.16340933208044817</v>
      </c>
      <c r="AG5" s="6">
        <v>1.0128560422886608</v>
      </c>
      <c r="AH5" s="4">
        <v>1.8892744874457179</v>
      </c>
      <c r="AI5" s="4">
        <v>-7.8422064904728188</v>
      </c>
    </row>
    <row r="6" spans="1:35" x14ac:dyDescent="0.25">
      <c r="A6" t="s">
        <v>89</v>
      </c>
      <c r="B6" s="8" t="s">
        <v>81</v>
      </c>
      <c r="C6" t="s">
        <v>64</v>
      </c>
      <c r="D6" s="8" t="s">
        <v>41</v>
      </c>
      <c r="E6" s="4">
        <v>9.4006619861876306</v>
      </c>
      <c r="F6" s="4">
        <v>12.2536162999782</v>
      </c>
      <c r="G6" s="4">
        <v>15.5658378477432</v>
      </c>
      <c r="H6" s="4">
        <v>19.0590175575229</v>
      </c>
      <c r="I6" s="4">
        <v>23.4134664941074</v>
      </c>
      <c r="J6" s="4">
        <v>28.306208697444799</v>
      </c>
      <c r="K6" s="4">
        <v>34.1930754870409</v>
      </c>
      <c r="L6" s="4">
        <v>40.505995670747801</v>
      </c>
      <c r="M6" s="4">
        <v>48.073024635506798</v>
      </c>
      <c r="N6" s="4">
        <v>53.300195847124698</v>
      </c>
      <c r="O6" s="4">
        <v>58.2158441469197</v>
      </c>
      <c r="P6" s="4">
        <v>62.855473984401002</v>
      </c>
      <c r="Q6" s="6">
        <v>66.848006596955798</v>
      </c>
      <c r="R6" s="4">
        <v>71.614765269776598</v>
      </c>
      <c r="S6" s="4">
        <v>75.840940066198598</v>
      </c>
      <c r="T6" s="6">
        <v>79.671984698727599</v>
      </c>
      <c r="U6" s="4">
        <v>83.091864899843102</v>
      </c>
      <c r="V6" s="4">
        <v>87.699426202283703</v>
      </c>
      <c r="W6" s="4">
        <v>93.837114748090201</v>
      </c>
      <c r="X6" s="4">
        <v>97.779253948438395</v>
      </c>
      <c r="Y6" s="4">
        <v>100</v>
      </c>
      <c r="Z6" s="4">
        <v>103.41758959147</v>
      </c>
      <c r="AA6" s="4">
        <v>106.69316138490299</v>
      </c>
      <c r="AB6" s="4">
        <v>108.846334451914</v>
      </c>
      <c r="AC6" s="4">
        <v>112.00050393412199</v>
      </c>
      <c r="AD6" s="6">
        <v>117.58959146977</v>
      </c>
      <c r="AE6" s="4">
        <v>126.425618178278</v>
      </c>
      <c r="AF6" s="4">
        <v>131.87726913518</v>
      </c>
      <c r="AG6" s="6">
        <v>136.15040142934001</v>
      </c>
      <c r="AH6" s="4">
        <v>140.95037394202501</v>
      </c>
      <c r="AI6" s="4">
        <v>144.50883602670899</v>
      </c>
    </row>
    <row r="7" spans="1:35" x14ac:dyDescent="0.25">
      <c r="A7" t="s">
        <v>90</v>
      </c>
      <c r="B7" s="8"/>
      <c r="C7"/>
      <c r="D7" s="8"/>
      <c r="E7" s="4"/>
      <c r="F7" s="4">
        <f>100*(F6/E6-1)</f>
        <v>30.348440545808451</v>
      </c>
      <c r="G7" s="4">
        <f t="shared" ref="G7:AI7" si="0">100*(G6/F6-1)</f>
        <v>27.030563604075741</v>
      </c>
      <c r="H7" s="4">
        <f t="shared" si="0"/>
        <v>22.441321462732276</v>
      </c>
      <c r="I7" s="4">
        <f t="shared" si="0"/>
        <v>22.847184664383335</v>
      </c>
      <c r="J7" s="4">
        <f t="shared" si="0"/>
        <v>20.89712860147721</v>
      </c>
      <c r="K7" s="4">
        <f t="shared" si="0"/>
        <v>20.797086789399355</v>
      </c>
      <c r="L7" s="4">
        <f t="shared" si="0"/>
        <v>18.462569083905557</v>
      </c>
      <c r="M7" s="4">
        <f t="shared" si="0"/>
        <v>18.681256538581216</v>
      </c>
      <c r="N7" s="4">
        <f t="shared" si="0"/>
        <v>10.873397817696517</v>
      </c>
      <c r="O7" s="4">
        <f t="shared" si="0"/>
        <v>9.2225708023550901</v>
      </c>
      <c r="P7" s="4">
        <f t="shared" si="0"/>
        <v>7.9697029313398504</v>
      </c>
      <c r="Q7" s="6">
        <f t="shared" si="0"/>
        <v>6.3519250742515077</v>
      </c>
      <c r="R7" s="4">
        <f t="shared" si="0"/>
        <v>7.1307416862268491</v>
      </c>
      <c r="S7" s="4">
        <f t="shared" si="0"/>
        <v>5.9012618145179552</v>
      </c>
      <c r="T7" s="6">
        <f t="shared" si="0"/>
        <v>5.0514202872288028</v>
      </c>
      <c r="U7" s="4">
        <f t="shared" si="0"/>
        <v>4.2924501178770225</v>
      </c>
      <c r="V7" s="4">
        <f t="shared" si="0"/>
        <v>5.5451412818745105</v>
      </c>
      <c r="W7" s="4">
        <f t="shared" si="0"/>
        <v>6.9985504028835521</v>
      </c>
      <c r="X7" s="4">
        <f t="shared" si="0"/>
        <v>4.2010447688327179</v>
      </c>
      <c r="Y7" s="4">
        <f t="shared" si="0"/>
        <v>2.271183264225618</v>
      </c>
      <c r="Z7" s="4">
        <f t="shared" si="0"/>
        <v>3.417589591470005</v>
      </c>
      <c r="AA7" s="4">
        <f t="shared" si="0"/>
        <v>3.1673256032870745</v>
      </c>
      <c r="AB7" s="4">
        <f t="shared" si="0"/>
        <v>2.0180984789112122</v>
      </c>
      <c r="AC7" s="4">
        <f t="shared" si="0"/>
        <v>2.897818744278835</v>
      </c>
      <c r="AD7" s="6">
        <f t="shared" si="0"/>
        <v>4.990234275138139</v>
      </c>
      <c r="AE7" s="4">
        <f t="shared" si="0"/>
        <v>7.5142932278828178</v>
      </c>
      <c r="AF7" s="4">
        <f t="shared" si="0"/>
        <v>4.3121410323771592</v>
      </c>
      <c r="AG7" s="6">
        <f t="shared" si="0"/>
        <v>3.2402341375296961</v>
      </c>
      <c r="AH7" s="4">
        <f t="shared" si="0"/>
        <v>3.5254927361900723</v>
      </c>
      <c r="AI7" s="4">
        <f t="shared" si="0"/>
        <v>2.5246205349888751</v>
      </c>
    </row>
    <row r="8" spans="1:35" x14ac:dyDescent="0.25">
      <c r="B8" s="3"/>
      <c r="D8" s="3"/>
      <c r="E8" s="4"/>
      <c r="F8" s="4"/>
      <c r="G8" s="4"/>
      <c r="H8" s="4"/>
      <c r="I8" s="4"/>
      <c r="J8" s="4"/>
      <c r="K8" s="4"/>
      <c r="L8" s="4"/>
      <c r="M8" s="4"/>
      <c r="N8" s="4"/>
      <c r="O8" s="4"/>
      <c r="P8" s="4"/>
      <c r="Q8" s="4"/>
      <c r="R8" s="4"/>
      <c r="S8" s="4"/>
      <c r="T8" s="4"/>
      <c r="U8" s="4"/>
      <c r="V8" s="4"/>
      <c r="W8" s="4"/>
      <c r="X8" s="4"/>
      <c r="Y8" s="4"/>
      <c r="Z8" s="4"/>
      <c r="AA8" s="4"/>
      <c r="AB8" s="4"/>
      <c r="AC8" s="4"/>
      <c r="AD8" s="4"/>
      <c r="AE8" s="4"/>
      <c r="AF8" s="4"/>
      <c r="AG8" s="7"/>
      <c r="AH8" s="7"/>
      <c r="AI8" s="7"/>
    </row>
    <row r="9" spans="1:35" x14ac:dyDescent="0.25">
      <c r="B9" s="3"/>
      <c r="D9" s="3"/>
      <c r="E9" s="4"/>
      <c r="F9" s="4"/>
      <c r="G9" s="4"/>
      <c r="H9" s="4"/>
      <c r="I9" s="4"/>
      <c r="J9" s="4"/>
      <c r="K9" s="4"/>
      <c r="L9" s="4"/>
      <c r="M9" s="4"/>
      <c r="N9" s="4">
        <f>(1+N5/100)*(1+O5/100)*(1+P5/100)*(1+Q5/100)</f>
        <v>0.96449642817874115</v>
      </c>
      <c r="O9" s="4">
        <f>(1+O5/100)*(1+P5/100)*(1+Q5/100)</f>
        <v>1.0234924481292036</v>
      </c>
      <c r="P9" s="4"/>
      <c r="Q9" s="4">
        <f>(1+Q5/100)*(1+R5/100)*(1+S5/100)*(1+T5/100)</f>
        <v>1.110227188792551</v>
      </c>
      <c r="R9" s="4">
        <f>(1+R5/100)*(1+S5/100)*(1+T5/100)</f>
        <v>1.0997718675535728</v>
      </c>
      <c r="S9" s="4"/>
      <c r="T9" s="4"/>
      <c r="U9" s="4"/>
      <c r="V9" s="4"/>
      <c r="W9" s="4"/>
      <c r="X9" s="4"/>
      <c r="Y9" s="4"/>
      <c r="Z9" s="4"/>
      <c r="AA9" s="4">
        <f>(1+AA5/100)*(1+AB5/100)*(1+AC5/100)*(1+AD5/100)</f>
        <v>1.129417553729736</v>
      </c>
      <c r="AB9" s="4">
        <f>(1+AB5/100)*(1+AC5/100)*(1+AD5/100)</f>
        <v>1.0967212991417692</v>
      </c>
      <c r="AC9" s="4"/>
      <c r="AD9" s="4">
        <f>(1+AD5/100)*(1+AE5/100)*(1+AF5/100)*(1+AG5/100)</f>
        <v>1.0333962925072193</v>
      </c>
      <c r="AE9" s="4">
        <f>(1+AE5/100)*(1+AF5/100)*(1+AG5/100)</f>
        <v>1.0155442062624112</v>
      </c>
      <c r="AF9" s="4"/>
      <c r="AG9" s="7"/>
      <c r="AH9" s="7"/>
      <c r="AI9" s="7"/>
    </row>
    <row r="10" spans="1:35" x14ac:dyDescent="0.25">
      <c r="A10" s="2" t="s">
        <v>27</v>
      </c>
      <c r="B10" s="3"/>
      <c r="D10" s="3"/>
      <c r="E10" s="4"/>
      <c r="F10" s="4"/>
      <c r="G10" s="4"/>
      <c r="H10" s="4"/>
      <c r="I10" s="4"/>
      <c r="J10" s="4"/>
      <c r="K10" s="4"/>
      <c r="L10" s="4"/>
      <c r="M10" s="4"/>
      <c r="N10" s="4"/>
      <c r="O10" s="4"/>
      <c r="P10" s="4"/>
      <c r="Q10" s="4">
        <f>AVERAGE(O7:S7)</f>
        <v>7.3152404617382505</v>
      </c>
      <c r="R10" s="4"/>
      <c r="S10" s="4"/>
      <c r="T10" s="4">
        <f>AVERAGE(R7:V7)</f>
        <v>5.5842030375450289</v>
      </c>
      <c r="U10" s="4"/>
      <c r="V10" s="4"/>
      <c r="W10" s="4"/>
      <c r="X10" s="4"/>
      <c r="Y10" s="4"/>
      <c r="Z10" s="4"/>
      <c r="AA10" s="4"/>
      <c r="AB10" s="4"/>
      <c r="AC10" s="4"/>
      <c r="AD10" s="4">
        <f>AVERAGE(AB7:AF7)</f>
        <v>4.3465171517176326</v>
      </c>
      <c r="AE10" s="4"/>
      <c r="AF10" s="4"/>
      <c r="AG10" s="4">
        <f>AVERAGE(AE7:AI7)</f>
        <v>4.2233563337937241</v>
      </c>
      <c r="AH10" s="4"/>
      <c r="AI10" s="4"/>
    </row>
    <row r="11" spans="1:35" x14ac:dyDescent="0.25">
      <c r="A11" s="2" t="s">
        <v>80</v>
      </c>
      <c r="E11" s="4"/>
      <c r="F11" s="4"/>
      <c r="G11" s="4"/>
      <c r="H11" s="4"/>
      <c r="I11" s="4"/>
      <c r="J11" s="4"/>
      <c r="K11" s="4"/>
      <c r="L11" s="4"/>
      <c r="M11" s="4"/>
      <c r="N11" s="4"/>
      <c r="O11" s="4"/>
      <c r="P11" s="4"/>
      <c r="Q11" s="4">
        <f>Q7-Q10</f>
        <v>-0.96331538748674284</v>
      </c>
      <c r="R11" s="4"/>
      <c r="S11" s="4"/>
      <c r="T11" s="4">
        <f>T7-T10</f>
        <v>-0.53278275031622613</v>
      </c>
      <c r="U11" s="4"/>
      <c r="V11" s="4"/>
      <c r="W11" s="4"/>
      <c r="X11" s="4"/>
      <c r="Y11" s="4"/>
      <c r="Z11" s="4"/>
      <c r="AA11" s="4"/>
      <c r="AB11" s="4"/>
      <c r="AC11" s="4"/>
      <c r="AD11" s="4">
        <f>AD7-AD10</f>
        <v>0.64371712342050635</v>
      </c>
      <c r="AE11" s="4"/>
      <c r="AF11" s="4"/>
      <c r="AG11" s="4">
        <f>AG7-AG10</f>
        <v>-0.98312219626402797</v>
      </c>
      <c r="AH11" s="4"/>
      <c r="AI11" s="4"/>
    </row>
    <row r="12" spans="1:35" x14ac:dyDescent="0.25">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spans="1:35" x14ac:dyDescent="0.25">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f>100*(AG6/Q6-1)</f>
        <v>103.67159525074032</v>
      </c>
      <c r="AI13" s="4"/>
    </row>
    <row r="14" spans="1:35" x14ac:dyDescent="0.25">
      <c r="E14" s="4"/>
      <c r="F14" s="4"/>
      <c r="G14" s="4"/>
      <c r="H14" s="4"/>
      <c r="I14" s="4"/>
      <c r="J14" s="4"/>
      <c r="K14" s="4"/>
      <c r="L14" s="4"/>
      <c r="M14" s="4"/>
      <c r="N14" s="4"/>
      <c r="O14" s="4"/>
      <c r="P14" s="4"/>
      <c r="Q14" s="4"/>
      <c r="R14" s="4">
        <f t="shared" ref="R14:AG14" si="1">1+R7/100</f>
        <v>1.0713074168622685</v>
      </c>
      <c r="S14" s="4">
        <f t="shared" si="1"/>
        <v>1.0590126181451796</v>
      </c>
      <c r="T14" s="4">
        <f t="shared" si="1"/>
        <v>1.050514202872288</v>
      </c>
      <c r="U14" s="4">
        <f t="shared" si="1"/>
        <v>1.0429245011787702</v>
      </c>
      <c r="V14" s="4">
        <f t="shared" si="1"/>
        <v>1.0554514128187451</v>
      </c>
      <c r="W14" s="4">
        <f t="shared" si="1"/>
        <v>1.0699855040288355</v>
      </c>
      <c r="X14" s="4">
        <f t="shared" si="1"/>
        <v>1.0420104476883272</v>
      </c>
      <c r="Y14" s="4">
        <f t="shared" si="1"/>
        <v>1.0227118326422562</v>
      </c>
      <c r="Z14" s="4">
        <f t="shared" si="1"/>
        <v>1.0341758959147</v>
      </c>
      <c r="AA14" s="4">
        <f t="shared" si="1"/>
        <v>1.0316732560328707</v>
      </c>
      <c r="AB14" s="4">
        <f t="shared" si="1"/>
        <v>1.0201809847891121</v>
      </c>
      <c r="AC14" s="4">
        <f t="shared" si="1"/>
        <v>1.0289781874427884</v>
      </c>
      <c r="AD14" s="4">
        <f t="shared" si="1"/>
        <v>1.0499023427513814</v>
      </c>
      <c r="AE14" s="4">
        <f t="shared" si="1"/>
        <v>1.0751429322788282</v>
      </c>
      <c r="AF14" s="4">
        <f t="shared" si="1"/>
        <v>1.0431214103237716</v>
      </c>
      <c r="AG14" s="4">
        <f t="shared" si="1"/>
        <v>1.032402341375297</v>
      </c>
      <c r="AH14" s="4">
        <f>100*PRODUCT(R14:AG14)-100</f>
        <v>103.67159525074027</v>
      </c>
      <c r="AI14" s="4"/>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
  <sheetViews>
    <sheetView zoomScale="80" zoomScaleNormal="80" workbookViewId="0"/>
  </sheetViews>
  <sheetFormatPr baseColWidth="10" defaultColWidth="9.140625" defaultRowHeight="15" x14ac:dyDescent="0.25"/>
  <cols>
    <col min="1" max="1" width="19.28515625" bestFit="1" customWidth="1"/>
    <col min="2" max="2" width="12.28515625" bestFit="1" customWidth="1"/>
    <col min="3" max="3" width="32" bestFit="1" customWidth="1"/>
    <col min="4" max="4" width="255.7109375" bestFit="1" customWidth="1"/>
    <col min="5" max="5" width="70" bestFit="1" customWidth="1"/>
    <col min="6" max="6" width="84.140625" bestFit="1" customWidth="1"/>
    <col min="7" max="7" width="10.5703125" bestFit="1" customWidth="1"/>
    <col min="8" max="8" width="11.42578125" bestFit="1" customWidth="1"/>
    <col min="9" max="9" width="116.85546875" bestFit="1" customWidth="1"/>
    <col min="10" max="12" width="255.7109375" bestFit="1" customWidth="1"/>
    <col min="13" max="13" width="52.28515625" bestFit="1" customWidth="1"/>
  </cols>
  <sheetData>
    <row r="1" spans="1:13" x14ac:dyDescent="0.25">
      <c r="A1" s="1" t="s">
        <v>15</v>
      </c>
      <c r="B1" s="1" t="s">
        <v>34</v>
      </c>
      <c r="C1" s="1" t="s">
        <v>73</v>
      </c>
      <c r="D1" s="1" t="s">
        <v>44</v>
      </c>
      <c r="E1" s="1" t="s">
        <v>70</v>
      </c>
      <c r="F1" s="1" t="s">
        <v>40</v>
      </c>
      <c r="G1" s="1" t="s">
        <v>45</v>
      </c>
      <c r="H1" s="1" t="s">
        <v>62</v>
      </c>
      <c r="I1" s="1" t="s">
        <v>5</v>
      </c>
      <c r="J1" s="1" t="s">
        <v>65</v>
      </c>
      <c r="K1" s="1" t="s">
        <v>0</v>
      </c>
      <c r="L1" s="1" t="s">
        <v>33</v>
      </c>
      <c r="M1" s="1" t="s">
        <v>68</v>
      </c>
    </row>
    <row r="2" spans="1:13" x14ac:dyDescent="0.25">
      <c r="A2" s="1" t="s">
        <v>2</v>
      </c>
      <c r="B2" s="1" t="s">
        <v>38</v>
      </c>
      <c r="C2" s="1" t="s">
        <v>20</v>
      </c>
      <c r="D2" s="1" t="s">
        <v>76</v>
      </c>
      <c r="E2" s="1" t="s">
        <v>10</v>
      </c>
      <c r="F2" s="1" t="s">
        <v>60</v>
      </c>
      <c r="G2" s="1" t="s">
        <v>21</v>
      </c>
      <c r="H2" s="1">
        <v>2010</v>
      </c>
      <c r="I2" s="1" t="s">
        <v>54</v>
      </c>
      <c r="J2" s="1" t="s">
        <v>14</v>
      </c>
      <c r="K2" s="1" t="s">
        <v>53</v>
      </c>
      <c r="L2" s="1" t="s">
        <v>29</v>
      </c>
      <c r="M2" s="1" t="s">
        <v>7</v>
      </c>
    </row>
    <row r="3" spans="1:13" x14ac:dyDescent="0.25">
      <c r="A3" s="1" t="s">
        <v>36</v>
      </c>
      <c r="B3" s="1" t="s">
        <v>38</v>
      </c>
      <c r="C3" s="1" t="s">
        <v>63</v>
      </c>
      <c r="D3" s="1" t="s">
        <v>39</v>
      </c>
      <c r="E3" s="1" t="s">
        <v>10</v>
      </c>
      <c r="F3" s="1" t="s">
        <v>60</v>
      </c>
      <c r="G3" s="1" t="s">
        <v>21</v>
      </c>
      <c r="H3" s="1">
        <v>2010</v>
      </c>
      <c r="I3" s="1" t="s">
        <v>52</v>
      </c>
      <c r="J3" s="1" t="s">
        <v>59</v>
      </c>
      <c r="K3" s="1"/>
      <c r="L3" s="1"/>
      <c r="M3" s="1" t="s">
        <v>7</v>
      </c>
    </row>
    <row r="4" spans="1:13" x14ac:dyDescent="0.25">
      <c r="A4" s="1" t="s">
        <v>17</v>
      </c>
      <c r="B4" s="1" t="s">
        <v>38</v>
      </c>
      <c r="C4" s="1" t="s">
        <v>25</v>
      </c>
      <c r="D4" s="1" t="s">
        <v>57</v>
      </c>
      <c r="E4" s="1" t="s">
        <v>10</v>
      </c>
      <c r="F4" s="1" t="s">
        <v>48</v>
      </c>
      <c r="G4" s="1" t="s">
        <v>21</v>
      </c>
      <c r="H4" s="1"/>
      <c r="I4" s="1" t="s">
        <v>19</v>
      </c>
      <c r="J4" s="1" t="s">
        <v>14</v>
      </c>
      <c r="K4" s="1" t="s">
        <v>53</v>
      </c>
      <c r="L4" s="1" t="s">
        <v>29</v>
      </c>
      <c r="M4" s="1" t="s">
        <v>7</v>
      </c>
    </row>
    <row r="5" spans="1:13" x14ac:dyDescent="0.25">
      <c r="A5" s="1" t="s">
        <v>35</v>
      </c>
      <c r="B5" s="1" t="s">
        <v>38</v>
      </c>
      <c r="C5" s="1" t="s">
        <v>3</v>
      </c>
      <c r="D5" s="1" t="s">
        <v>4</v>
      </c>
      <c r="E5" s="1" t="s">
        <v>10</v>
      </c>
      <c r="F5" s="1" t="s">
        <v>48</v>
      </c>
      <c r="G5" s="1" t="s">
        <v>21</v>
      </c>
      <c r="H5" s="1"/>
      <c r="I5" s="1" t="s">
        <v>52</v>
      </c>
      <c r="J5" s="1" t="s">
        <v>59</v>
      </c>
      <c r="K5" s="1"/>
      <c r="L5" s="1"/>
      <c r="M5" s="1" t="s">
        <v>7</v>
      </c>
    </row>
    <row r="6" spans="1:13" x14ac:dyDescent="0.25">
      <c r="A6" t="s">
        <v>81</v>
      </c>
      <c r="B6" t="s">
        <v>38</v>
      </c>
      <c r="C6" t="s">
        <v>82</v>
      </c>
      <c r="D6" t="s">
        <v>83</v>
      </c>
      <c r="E6" t="s">
        <v>84</v>
      </c>
      <c r="F6" t="s">
        <v>85</v>
      </c>
      <c r="G6" t="s">
        <v>21</v>
      </c>
      <c r="H6">
        <v>2010</v>
      </c>
      <c r="I6" t="s">
        <v>86</v>
      </c>
      <c r="J6" t="s">
        <v>87</v>
      </c>
      <c r="K6" t="s">
        <v>88</v>
      </c>
      <c r="L6"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Menduiña</cp:lastModifiedBy>
  <dcterms:modified xsi:type="dcterms:W3CDTF">2022-02-11T23:06:24Z</dcterms:modified>
</cp:coreProperties>
</file>