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2. Equilibrio General Computable\Material teórico\Notas de clase\Clase 11\user-files\"/>
    </mc:Choice>
  </mc:AlternateContent>
  <xr:revisionPtr revIDLastSave="0" documentId="13_ncr:1_{9466B868-4A89-4173-9BED-FBE4E272597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ets" sheetId="3" r:id="rId1"/>
    <sheet name="SAM" sheetId="2" r:id="rId2"/>
    <sheet name="tradelas" sheetId="5" r:id="rId3"/>
    <sheet name="layout" sheetId="4" r:id="rId4"/>
  </sheets>
  <calcPr calcId="191029"/>
</workbook>
</file>

<file path=xl/calcChain.xml><?xml version="1.0" encoding="utf-8"?>
<calcChain xmlns="http://schemas.openxmlformats.org/spreadsheetml/2006/main">
  <c r="AG32" i="2" l="1"/>
</calcChain>
</file>

<file path=xl/sharedStrings.xml><?xml version="1.0" encoding="utf-8"?>
<sst xmlns="http://schemas.openxmlformats.org/spreadsheetml/2006/main" count="158" uniqueCount="56">
  <si>
    <t>total</t>
  </si>
  <si>
    <t>c</t>
  </si>
  <si>
    <t>ac</t>
  </si>
  <si>
    <t>a</t>
  </si>
  <si>
    <t>a(ac)</t>
  </si>
  <si>
    <t>c(ac)</t>
  </si>
  <si>
    <t>rdim</t>
  </si>
  <si>
    <t>cdim</t>
  </si>
  <si>
    <t>set</t>
  </si>
  <si>
    <t>sets!a2</t>
  </si>
  <si>
    <t>sets!b2</t>
  </si>
  <si>
    <t>sets!c2</t>
  </si>
  <si>
    <t>sets!d2</t>
  </si>
  <si>
    <t>par</t>
  </si>
  <si>
    <t>SAM</t>
  </si>
  <si>
    <t>gov</t>
  </si>
  <si>
    <t>tax-dir</t>
  </si>
  <si>
    <t>tax-com</t>
  </si>
  <si>
    <t>ins(ac)</t>
  </si>
  <si>
    <t>ins</t>
  </si>
  <si>
    <t>tax-imp</t>
  </si>
  <si>
    <t>row</t>
  </si>
  <si>
    <t>tax-exp</t>
  </si>
  <si>
    <t>sigma_Q</t>
  </si>
  <si>
    <t>sigma_X</t>
  </si>
  <si>
    <t>tradelas</t>
  </si>
  <si>
    <t>tradelas!A2</t>
  </si>
  <si>
    <t>hhd</t>
  </si>
  <si>
    <t>dstk</t>
  </si>
  <si>
    <t>sav-inv</t>
  </si>
  <si>
    <t>lab</t>
  </si>
  <si>
    <t>cap</t>
  </si>
  <si>
    <t>tradelas(c,trdelas)</t>
  </si>
  <si>
    <t>a-agr</t>
  </si>
  <si>
    <t>a-min</t>
  </si>
  <si>
    <t>a-food</t>
  </si>
  <si>
    <t>a-maq</t>
  </si>
  <si>
    <t>a-othmnfc</t>
  </si>
  <si>
    <t>a-othind</t>
  </si>
  <si>
    <t>a-othsvc</t>
  </si>
  <si>
    <t>a-admpub</t>
  </si>
  <si>
    <t>c-agr</t>
  </si>
  <si>
    <t>c-min</t>
  </si>
  <si>
    <t>c-food</t>
  </si>
  <si>
    <t>c-othmnfc</t>
  </si>
  <si>
    <t>c-maq</t>
  </si>
  <si>
    <t>c-othind</t>
  </si>
  <si>
    <t>c-othsvc</t>
  </si>
  <si>
    <t>c-admpub</t>
  </si>
  <si>
    <t>SAM!A2</t>
  </si>
  <si>
    <t>tax-act</t>
  </si>
  <si>
    <t>a-refpet</t>
  </si>
  <si>
    <t>c-refpet</t>
  </si>
  <si>
    <t>a-trdtrns</t>
  </si>
  <si>
    <t>c-trdtrns</t>
  </si>
  <si>
    <t>SAM Colombia 2016; billones de pesos (000000 000000); Martín Cicowiez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</si>
</sst>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2" borderId="0" xfId="0" applyFont="1" applyFill="1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2" applyFont="1"/>
    <xf numFmtId="0" fontId="0" fillId="0" borderId="0" xfId="0" applyFont="1" applyAlignment="1">
      <alignment vertical="center"/>
    </xf>
    <xf numFmtId="0" fontId="3" fillId="0" borderId="0" xfId="2" applyFont="1" applyFill="1"/>
    <xf numFmtId="0" fontId="0" fillId="3" borderId="0" xfId="0" applyFill="1"/>
    <xf numFmtId="0" fontId="3" fillId="3" borderId="0" xfId="0" applyFont="1" applyFill="1" applyAlignment="1">
      <alignment horizontal="right"/>
    </xf>
    <xf numFmtId="0" fontId="0" fillId="0" borderId="0" xfId="0" quotePrefix="1"/>
    <xf numFmtId="0" fontId="0" fillId="3" borderId="0" xfId="0" quotePrefix="1" applyFill="1"/>
    <xf numFmtId="0" fontId="3" fillId="3" borderId="0" xfId="0" applyFont="1" applyFill="1"/>
    <xf numFmtId="0" fontId="4" fillId="2" borderId="0" xfId="3" applyFont="1" applyFill="1"/>
    <xf numFmtId="0" fontId="4" fillId="2" borderId="0" xfId="0" applyFont="1" applyFill="1"/>
  </cellXfs>
  <cellStyles count="4">
    <cellStyle name="Normal" xfId="0" builtinId="0"/>
    <cellStyle name="Normal 2" xfId="1" xr:uid="{00000000-0005-0000-0000-000001000000}"/>
    <cellStyle name="Normal 6" xfId="3" xr:uid="{00000000-0005-0000-0000-000002000000}"/>
    <cellStyle name="Normal_aladi-ven-data" xfId="2" xr:uid="{00000000-0005-0000-0000-000003000000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/>
  </sheetViews>
  <sheetFormatPr baseColWidth="10" defaultRowHeight="12.75" x14ac:dyDescent="0.2"/>
  <sheetData>
    <row r="1" spans="1:5" s="3" customFormat="1" x14ac:dyDescent="0.2">
      <c r="A1" s="3" t="s">
        <v>2</v>
      </c>
      <c r="B1" s="3" t="s">
        <v>4</v>
      </c>
      <c r="C1" s="3" t="s">
        <v>5</v>
      </c>
      <c r="D1" s="3" t="s">
        <v>18</v>
      </c>
    </row>
    <row r="2" spans="1:5" x14ac:dyDescent="0.2">
      <c r="A2" s="12" t="s">
        <v>33</v>
      </c>
      <c r="B2" s="12" t="s">
        <v>33</v>
      </c>
      <c r="C2" s="12" t="s">
        <v>41</v>
      </c>
      <c r="D2" s="9" t="s">
        <v>27</v>
      </c>
      <c r="E2" s="11"/>
    </row>
    <row r="3" spans="1:5" x14ac:dyDescent="0.2">
      <c r="A3" s="12" t="s">
        <v>34</v>
      </c>
      <c r="B3" s="12" t="s">
        <v>34</v>
      </c>
      <c r="C3" s="12" t="s">
        <v>42</v>
      </c>
      <c r="D3" s="13" t="s">
        <v>15</v>
      </c>
      <c r="E3" s="11"/>
    </row>
    <row r="4" spans="1:5" x14ac:dyDescent="0.2">
      <c r="A4" s="12" t="s">
        <v>35</v>
      </c>
      <c r="B4" s="12" t="s">
        <v>35</v>
      </c>
      <c r="C4" s="12" t="s">
        <v>43</v>
      </c>
      <c r="D4" s="9" t="s">
        <v>21</v>
      </c>
      <c r="E4" s="11"/>
    </row>
    <row r="5" spans="1:5" x14ac:dyDescent="0.2">
      <c r="A5" s="12" t="s">
        <v>51</v>
      </c>
      <c r="B5" s="12" t="s">
        <v>51</v>
      </c>
      <c r="C5" s="12" t="s">
        <v>52</v>
      </c>
      <c r="D5" s="9"/>
      <c r="E5" s="11"/>
    </row>
    <row r="6" spans="1:5" x14ac:dyDescent="0.2">
      <c r="A6" s="12" t="s">
        <v>36</v>
      </c>
      <c r="B6" s="12" t="s">
        <v>36</v>
      </c>
      <c r="C6" s="12" t="s">
        <v>45</v>
      </c>
      <c r="D6" s="9"/>
      <c r="E6" s="11"/>
    </row>
    <row r="7" spans="1:5" x14ac:dyDescent="0.2">
      <c r="A7" s="12" t="s">
        <v>37</v>
      </c>
      <c r="B7" s="12" t="s">
        <v>37</v>
      </c>
      <c r="C7" s="12" t="s">
        <v>44</v>
      </c>
      <c r="D7" s="9"/>
      <c r="E7" s="11"/>
    </row>
    <row r="8" spans="1:5" x14ac:dyDescent="0.2">
      <c r="A8" s="12" t="s">
        <v>38</v>
      </c>
      <c r="B8" s="12" t="s">
        <v>38</v>
      </c>
      <c r="C8" s="12" t="s">
        <v>46</v>
      </c>
      <c r="D8" s="9"/>
      <c r="E8" s="11"/>
    </row>
    <row r="9" spans="1:5" x14ac:dyDescent="0.2">
      <c r="A9" s="12" t="s">
        <v>53</v>
      </c>
      <c r="B9" s="12" t="s">
        <v>53</v>
      </c>
      <c r="C9" s="12" t="s">
        <v>54</v>
      </c>
      <c r="D9" s="9"/>
      <c r="E9" s="11"/>
    </row>
    <row r="10" spans="1:5" x14ac:dyDescent="0.2">
      <c r="A10" s="12" t="s">
        <v>40</v>
      </c>
      <c r="B10" s="12" t="s">
        <v>40</v>
      </c>
      <c r="C10" s="12" t="s">
        <v>48</v>
      </c>
      <c r="D10" s="9"/>
      <c r="E10" s="11"/>
    </row>
    <row r="11" spans="1:5" x14ac:dyDescent="0.2">
      <c r="A11" s="12" t="s">
        <v>39</v>
      </c>
      <c r="B11" s="12" t="s">
        <v>39</v>
      </c>
      <c r="C11" s="12" t="s">
        <v>47</v>
      </c>
      <c r="D11" s="9"/>
      <c r="E11" s="11"/>
    </row>
    <row r="12" spans="1:5" x14ac:dyDescent="0.2">
      <c r="A12" s="12" t="s">
        <v>41</v>
      </c>
      <c r="B12" s="9"/>
      <c r="C12" s="9"/>
      <c r="D12" s="9"/>
      <c r="E12" s="11"/>
    </row>
    <row r="13" spans="1:5" x14ac:dyDescent="0.2">
      <c r="A13" s="12" t="s">
        <v>42</v>
      </c>
      <c r="B13" s="9"/>
      <c r="C13" s="9"/>
      <c r="D13" s="9"/>
      <c r="E13" s="11"/>
    </row>
    <row r="14" spans="1:5" x14ac:dyDescent="0.2">
      <c r="A14" s="12" t="s">
        <v>43</v>
      </c>
      <c r="B14" s="9"/>
      <c r="C14" s="9"/>
      <c r="D14" s="9"/>
      <c r="E14" s="11"/>
    </row>
    <row r="15" spans="1:5" x14ac:dyDescent="0.2">
      <c r="A15" s="12" t="s">
        <v>52</v>
      </c>
      <c r="B15" s="9"/>
      <c r="C15" s="9"/>
      <c r="D15" s="9"/>
      <c r="E15" s="11"/>
    </row>
    <row r="16" spans="1:5" x14ac:dyDescent="0.2">
      <c r="A16" s="12" t="s">
        <v>45</v>
      </c>
      <c r="B16" s="9"/>
      <c r="C16" s="9"/>
      <c r="D16" s="9"/>
      <c r="E16" s="11"/>
    </row>
    <row r="17" spans="1:5" x14ac:dyDescent="0.2">
      <c r="A17" s="12" t="s">
        <v>44</v>
      </c>
      <c r="B17" s="9"/>
      <c r="C17" s="9"/>
      <c r="D17" s="9"/>
      <c r="E17" s="11"/>
    </row>
    <row r="18" spans="1:5" x14ac:dyDescent="0.2">
      <c r="A18" s="12" t="s">
        <v>46</v>
      </c>
      <c r="B18" s="9"/>
      <c r="C18" s="9"/>
      <c r="D18" s="9"/>
      <c r="E18" s="11"/>
    </row>
    <row r="19" spans="1:5" x14ac:dyDescent="0.2">
      <c r="A19" s="12" t="s">
        <v>54</v>
      </c>
      <c r="B19" s="9"/>
      <c r="C19" s="9"/>
      <c r="D19" s="9"/>
      <c r="E19" s="11"/>
    </row>
    <row r="20" spans="1:5" x14ac:dyDescent="0.2">
      <c r="A20" s="12" t="s">
        <v>48</v>
      </c>
      <c r="B20" s="9"/>
      <c r="C20" s="9"/>
      <c r="D20" s="9"/>
      <c r="E20" s="11"/>
    </row>
    <row r="21" spans="1:5" x14ac:dyDescent="0.2">
      <c r="A21" s="12" t="s">
        <v>47</v>
      </c>
      <c r="B21" s="9"/>
      <c r="C21" s="9"/>
      <c r="D21" s="9"/>
      <c r="E21" s="11"/>
    </row>
    <row r="22" spans="1:5" x14ac:dyDescent="0.2">
      <c r="A22" s="12" t="s">
        <v>30</v>
      </c>
      <c r="B22" s="9"/>
      <c r="C22" s="9"/>
      <c r="D22" s="9"/>
      <c r="E22" s="11"/>
    </row>
    <row r="23" spans="1:5" x14ac:dyDescent="0.2">
      <c r="A23" s="12" t="s">
        <v>31</v>
      </c>
      <c r="B23" s="9"/>
      <c r="C23" s="9"/>
      <c r="D23" s="9"/>
      <c r="E23" s="11"/>
    </row>
    <row r="24" spans="1:5" x14ac:dyDescent="0.2">
      <c r="A24" s="12" t="s">
        <v>50</v>
      </c>
      <c r="B24" s="9"/>
      <c r="C24" s="9"/>
      <c r="D24" s="9"/>
      <c r="E24" s="11"/>
    </row>
    <row r="25" spans="1:5" x14ac:dyDescent="0.2">
      <c r="A25" s="12" t="s">
        <v>17</v>
      </c>
      <c r="B25" s="9"/>
      <c r="C25" s="9"/>
      <c r="D25" s="9"/>
      <c r="E25" s="11"/>
    </row>
    <row r="26" spans="1:5" x14ac:dyDescent="0.2">
      <c r="A26" s="12" t="s">
        <v>20</v>
      </c>
      <c r="B26" s="9"/>
      <c r="C26" s="9"/>
      <c r="D26" s="9"/>
      <c r="E26" s="11"/>
    </row>
    <row r="27" spans="1:5" x14ac:dyDescent="0.2">
      <c r="A27" s="12" t="s">
        <v>22</v>
      </c>
      <c r="B27" s="9"/>
      <c r="C27" s="9"/>
      <c r="D27" s="9"/>
      <c r="E27" s="11"/>
    </row>
    <row r="28" spans="1:5" x14ac:dyDescent="0.2">
      <c r="A28" s="12" t="s">
        <v>16</v>
      </c>
      <c r="B28" s="9"/>
      <c r="C28" s="9"/>
      <c r="D28" s="9"/>
      <c r="E28" s="11"/>
    </row>
    <row r="29" spans="1:5" x14ac:dyDescent="0.2">
      <c r="A29" s="12" t="s">
        <v>27</v>
      </c>
      <c r="B29" s="9"/>
      <c r="C29" s="9"/>
      <c r="D29" s="9"/>
      <c r="E29" s="11"/>
    </row>
    <row r="30" spans="1:5" x14ac:dyDescent="0.2">
      <c r="A30" s="12" t="s">
        <v>15</v>
      </c>
      <c r="B30" s="9"/>
      <c r="C30" s="9"/>
      <c r="D30" s="9"/>
      <c r="E30" s="11"/>
    </row>
    <row r="31" spans="1:5" x14ac:dyDescent="0.2">
      <c r="A31" s="12" t="s">
        <v>21</v>
      </c>
      <c r="B31" s="9"/>
      <c r="C31" s="9"/>
      <c r="D31" s="9"/>
      <c r="E31" s="11"/>
    </row>
    <row r="32" spans="1:5" x14ac:dyDescent="0.2">
      <c r="A32" s="12" t="s">
        <v>29</v>
      </c>
      <c r="B32" s="9"/>
      <c r="C32" s="9"/>
      <c r="D32" s="9"/>
      <c r="E32" s="11"/>
    </row>
    <row r="33" spans="1:5" x14ac:dyDescent="0.2">
      <c r="A33" s="12" t="s">
        <v>28</v>
      </c>
      <c r="B33" s="9"/>
      <c r="C33" s="9"/>
      <c r="D33" s="9"/>
      <c r="E33" s="11"/>
    </row>
    <row r="34" spans="1:5" x14ac:dyDescent="0.2">
      <c r="A34" s="12" t="s">
        <v>0</v>
      </c>
      <c r="B34" s="9"/>
      <c r="C34" s="9"/>
      <c r="D34" s="9"/>
    </row>
    <row r="35" spans="1:5" x14ac:dyDescent="0.2">
      <c r="A35" s="9"/>
      <c r="B35" s="9"/>
      <c r="C35" s="9"/>
      <c r="D35" s="9"/>
    </row>
    <row r="36" spans="1:5" x14ac:dyDescent="0.2">
      <c r="A36" s="9"/>
      <c r="B36" s="9"/>
      <c r="C36" s="9"/>
      <c r="D36" s="9"/>
    </row>
    <row r="37" spans="1:5" x14ac:dyDescent="0.2">
      <c r="A37" s="9"/>
      <c r="B37" s="9"/>
      <c r="C37" s="9"/>
      <c r="D37" s="9"/>
    </row>
    <row r="38" spans="1:5" x14ac:dyDescent="0.2">
      <c r="A38" s="9"/>
      <c r="B38" s="9"/>
      <c r="C38" s="9"/>
      <c r="D38" s="9"/>
    </row>
    <row r="39" spans="1:5" x14ac:dyDescent="0.2">
      <c r="A39" s="9"/>
      <c r="B39" s="9"/>
      <c r="C39" s="9"/>
      <c r="D39" s="9"/>
    </row>
    <row r="40" spans="1:5" x14ac:dyDescent="0.2">
      <c r="A40" s="9"/>
      <c r="B40" s="9"/>
      <c r="C40" s="9"/>
      <c r="D40" s="9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C8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RowHeight="12.75" x14ac:dyDescent="0.2"/>
  <sheetData>
    <row r="1" spans="1:81" s="14" customFormat="1" ht="15" x14ac:dyDescent="0.25">
      <c r="A1" s="15" t="s">
        <v>55</v>
      </c>
    </row>
    <row r="2" spans="1:81" x14ac:dyDescent="0.2">
      <c r="B2" s="11" t="s">
        <v>33</v>
      </c>
      <c r="C2" s="11" t="s">
        <v>34</v>
      </c>
      <c r="D2" s="11" t="s">
        <v>35</v>
      </c>
      <c r="E2" s="11" t="s">
        <v>51</v>
      </c>
      <c r="F2" s="11" t="s">
        <v>36</v>
      </c>
      <c r="G2" s="11" t="s">
        <v>37</v>
      </c>
      <c r="H2" s="11" t="s">
        <v>38</v>
      </c>
      <c r="I2" s="11" t="s">
        <v>53</v>
      </c>
      <c r="J2" s="11" t="s">
        <v>40</v>
      </c>
      <c r="K2" s="11" t="s">
        <v>39</v>
      </c>
      <c r="L2" s="11" t="s">
        <v>41</v>
      </c>
      <c r="M2" s="11" t="s">
        <v>42</v>
      </c>
      <c r="N2" s="11" t="s">
        <v>43</v>
      </c>
      <c r="O2" s="11" t="s">
        <v>52</v>
      </c>
      <c r="P2" s="11" t="s">
        <v>45</v>
      </c>
      <c r="Q2" s="11" t="s">
        <v>44</v>
      </c>
      <c r="R2" s="11" t="s">
        <v>46</v>
      </c>
      <c r="S2" s="11" t="s">
        <v>54</v>
      </c>
      <c r="T2" s="11" t="s">
        <v>48</v>
      </c>
      <c r="U2" s="11" t="s">
        <v>47</v>
      </c>
      <c r="V2" s="11" t="s">
        <v>30</v>
      </c>
      <c r="W2" s="11" t="s">
        <v>31</v>
      </c>
      <c r="X2" s="11" t="s">
        <v>50</v>
      </c>
      <c r="Y2" s="11" t="s">
        <v>20</v>
      </c>
      <c r="Z2" s="11" t="s">
        <v>17</v>
      </c>
      <c r="AA2" s="11" t="s">
        <v>16</v>
      </c>
      <c r="AB2" s="11" t="s">
        <v>27</v>
      </c>
      <c r="AC2" s="11" t="s">
        <v>15</v>
      </c>
      <c r="AD2" s="11" t="s">
        <v>21</v>
      </c>
      <c r="AE2" s="11" t="s">
        <v>29</v>
      </c>
      <c r="AF2" s="11" t="s">
        <v>28</v>
      </c>
      <c r="AG2" s="11" t="s">
        <v>0</v>
      </c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</row>
    <row r="3" spans="1:81" x14ac:dyDescent="0.2">
      <c r="A3" s="11" t="s">
        <v>33</v>
      </c>
      <c r="L3">
        <v>81.75500000000001</v>
      </c>
      <c r="N3">
        <v>3.1840000000000002</v>
      </c>
      <c r="Q3">
        <v>1.026</v>
      </c>
      <c r="R3">
        <v>0.34199999999999997</v>
      </c>
      <c r="S3">
        <v>0.10200000000000001</v>
      </c>
      <c r="U3">
        <v>3.5790000000000002</v>
      </c>
      <c r="AG3">
        <v>89.988</v>
      </c>
    </row>
    <row r="4" spans="1:81" x14ac:dyDescent="0.2">
      <c r="A4" s="11" t="s">
        <v>34</v>
      </c>
      <c r="M4">
        <v>63.388999999999996</v>
      </c>
      <c r="R4">
        <v>0.10800000000000001</v>
      </c>
      <c r="S4">
        <v>0.59600000000000009</v>
      </c>
      <c r="U4">
        <v>12.958000000000002</v>
      </c>
      <c r="AG4">
        <v>77.050999999999988</v>
      </c>
    </row>
    <row r="5" spans="1:81" x14ac:dyDescent="0.2">
      <c r="A5" s="11" t="s">
        <v>35</v>
      </c>
      <c r="L5">
        <v>0.46500000000000002</v>
      </c>
      <c r="M5">
        <v>6.2E-2</v>
      </c>
      <c r="N5">
        <v>107.18800000000002</v>
      </c>
      <c r="Q5">
        <v>1.1749999999999998</v>
      </c>
      <c r="R5">
        <v>0.23200000000000001</v>
      </c>
      <c r="S5">
        <v>0.79600000000000004</v>
      </c>
      <c r="U5">
        <v>1.3469999999999998</v>
      </c>
      <c r="AG5">
        <v>111.26500000000001</v>
      </c>
    </row>
    <row r="6" spans="1:81" x14ac:dyDescent="0.2">
      <c r="A6" s="11" t="s">
        <v>51</v>
      </c>
      <c r="M6">
        <v>5.1000000000000004E-2</v>
      </c>
      <c r="O6">
        <v>45.911000000000001</v>
      </c>
      <c r="Q6">
        <v>0.51400000000000001</v>
      </c>
      <c r="R6">
        <v>0.153</v>
      </c>
      <c r="S6">
        <v>0.03</v>
      </c>
      <c r="U6">
        <v>0.29200000000000004</v>
      </c>
      <c r="AG6">
        <v>46.951000000000008</v>
      </c>
    </row>
    <row r="7" spans="1:81" x14ac:dyDescent="0.2">
      <c r="A7" s="11" t="s">
        <v>36</v>
      </c>
      <c r="P7">
        <v>17.044</v>
      </c>
      <c r="Q7">
        <v>0.82200000000000017</v>
      </c>
      <c r="S7">
        <v>0.83299999999999996</v>
      </c>
      <c r="U7">
        <v>7.3750000000000009</v>
      </c>
      <c r="AG7">
        <v>26.073999999999998</v>
      </c>
    </row>
    <row r="8" spans="1:81" x14ac:dyDescent="0.2">
      <c r="A8" s="11" t="s">
        <v>37</v>
      </c>
      <c r="M8">
        <v>1.3569999999999998</v>
      </c>
      <c r="N8">
        <v>0.21200000000000002</v>
      </c>
      <c r="O8">
        <v>3.0000000000000002E-2</v>
      </c>
      <c r="P8">
        <v>1.4500000000000002</v>
      </c>
      <c r="Q8">
        <v>145.90800000000004</v>
      </c>
      <c r="R8">
        <v>0.372</v>
      </c>
      <c r="S8">
        <v>3.1850000000000001</v>
      </c>
      <c r="U8">
        <v>4.4779999999999998</v>
      </c>
      <c r="AG8">
        <v>156.99200000000008</v>
      </c>
    </row>
    <row r="9" spans="1:81" x14ac:dyDescent="0.2">
      <c r="A9" s="11" t="s">
        <v>38</v>
      </c>
      <c r="Q9">
        <v>2.375</v>
      </c>
      <c r="R9">
        <v>189.61699999999999</v>
      </c>
      <c r="S9">
        <v>7.6000000000000012E-2</v>
      </c>
      <c r="U9">
        <v>35.842000000000006</v>
      </c>
      <c r="AG9">
        <v>227.91</v>
      </c>
    </row>
    <row r="10" spans="1:81" x14ac:dyDescent="0.2">
      <c r="A10" s="11" t="s">
        <v>53</v>
      </c>
      <c r="R10">
        <v>0.26900000000000002</v>
      </c>
      <c r="S10">
        <v>194.07999999999998</v>
      </c>
      <c r="U10">
        <v>18.962999999999997</v>
      </c>
      <c r="AG10">
        <v>213.31199999999998</v>
      </c>
    </row>
    <row r="11" spans="1:81" x14ac:dyDescent="0.2">
      <c r="A11" s="11" t="s">
        <v>40</v>
      </c>
      <c r="L11">
        <v>8.0000000000000002E-3</v>
      </c>
      <c r="Q11">
        <v>0.42800000000000005</v>
      </c>
      <c r="R11">
        <v>4.2000000000000003E-2</v>
      </c>
      <c r="S11">
        <v>1.02</v>
      </c>
      <c r="T11">
        <v>83.569000000000003</v>
      </c>
      <c r="U11">
        <v>2.1759999999999997</v>
      </c>
      <c r="AG11">
        <v>87.243000000000009</v>
      </c>
    </row>
    <row r="12" spans="1:81" x14ac:dyDescent="0.2">
      <c r="A12" s="11" t="s">
        <v>39</v>
      </c>
      <c r="L12">
        <v>9.0000000000000011E-3</v>
      </c>
      <c r="N12">
        <v>1.464</v>
      </c>
      <c r="P12">
        <v>0.28100000000000003</v>
      </c>
      <c r="Q12">
        <v>1.7899999999999998</v>
      </c>
      <c r="R12">
        <v>3.0569999999999999</v>
      </c>
      <c r="S12">
        <v>3.0729999999999995</v>
      </c>
      <c r="U12">
        <v>497.24299999999994</v>
      </c>
      <c r="AG12">
        <v>506.91699999999992</v>
      </c>
    </row>
    <row r="13" spans="1:81" x14ac:dyDescent="0.2">
      <c r="A13" s="11" t="s">
        <v>41</v>
      </c>
      <c r="B13">
        <v>5.1146450514728361</v>
      </c>
      <c r="D13">
        <v>35.771648965446943</v>
      </c>
      <c r="G13">
        <v>1.8219515237998167</v>
      </c>
      <c r="H13">
        <v>0.62149903169911336</v>
      </c>
      <c r="K13">
        <v>4.7475852206706763</v>
      </c>
      <c r="AB13">
        <v>29.398989766588528</v>
      </c>
      <c r="AC13">
        <v>3.3369075527469169E-3</v>
      </c>
      <c r="AD13">
        <v>7.9169999999999998</v>
      </c>
      <c r="AE13">
        <v>3.7456787279584143</v>
      </c>
      <c r="AF13">
        <v>0.62066480481092645</v>
      </c>
      <c r="AG13">
        <v>89.763000000000019</v>
      </c>
    </row>
    <row r="14" spans="1:81" x14ac:dyDescent="0.2">
      <c r="A14" s="11" t="s">
        <v>42</v>
      </c>
      <c r="B14">
        <v>0.16077828904122451</v>
      </c>
      <c r="C14">
        <v>6.6990953767176887E-3</v>
      </c>
      <c r="D14">
        <v>8.8763013741509383E-2</v>
      </c>
      <c r="E14">
        <v>9.3879447835477503</v>
      </c>
      <c r="F14">
        <v>4.1869346104485552E-3</v>
      </c>
      <c r="G14">
        <v>7.7609019939274431</v>
      </c>
      <c r="H14">
        <v>8.939105393307667</v>
      </c>
      <c r="J14">
        <v>8.3738692208971109E-4</v>
      </c>
      <c r="K14">
        <v>3.7682411494036998E-2</v>
      </c>
      <c r="AB14">
        <v>7.2015275299715159E-2</v>
      </c>
      <c r="AC14">
        <v>7.5364822988074004E-3</v>
      </c>
      <c r="AD14">
        <v>41.743000000000009</v>
      </c>
      <c r="AF14">
        <v>0.28554894043259144</v>
      </c>
      <c r="AG14">
        <v>68.495000000000005</v>
      </c>
    </row>
    <row r="15" spans="1:81" x14ac:dyDescent="0.2">
      <c r="A15" s="11" t="s">
        <v>43</v>
      </c>
      <c r="B15">
        <v>7.4908630996619978</v>
      </c>
      <c r="D15">
        <v>15.435056749368272</v>
      </c>
      <c r="E15">
        <v>1.6161516935624593E-3</v>
      </c>
      <c r="G15">
        <v>1.2476691074302184</v>
      </c>
      <c r="I15">
        <v>0.17535245875152683</v>
      </c>
      <c r="J15">
        <v>5.7373385121467307E-2</v>
      </c>
      <c r="K15">
        <v>15.581318477635669</v>
      </c>
      <c r="AB15">
        <v>83.471002669113901</v>
      </c>
      <c r="AC15">
        <v>0.51232008685929964</v>
      </c>
      <c r="AD15">
        <v>12.952000000000002</v>
      </c>
      <c r="AF15">
        <v>1.0634278143640983</v>
      </c>
      <c r="AG15">
        <v>137.98800000000003</v>
      </c>
    </row>
    <row r="16" spans="1:81" x14ac:dyDescent="0.2">
      <c r="A16" s="11" t="s">
        <v>52</v>
      </c>
      <c r="B16">
        <v>1.3117627707988888</v>
      </c>
      <c r="C16">
        <v>4.1712515127239254</v>
      </c>
      <c r="D16">
        <v>0.24848369667115519</v>
      </c>
      <c r="E16">
        <v>21.250171640900646</v>
      </c>
      <c r="F16">
        <v>6.3565596822853634E-2</v>
      </c>
      <c r="G16">
        <v>2.4347549813359697</v>
      </c>
      <c r="H16">
        <v>2.3528901975489611</v>
      </c>
      <c r="I16">
        <v>13.044430960132267</v>
      </c>
      <c r="J16">
        <v>0.91784869351787146</v>
      </c>
      <c r="K16">
        <v>0.88799212531319782</v>
      </c>
      <c r="AB16">
        <v>9.8420732414051706</v>
      </c>
      <c r="AD16">
        <v>8.5229999999999997</v>
      </c>
      <c r="AF16">
        <v>-2.0225417170907978E-2</v>
      </c>
      <c r="AG16">
        <v>65.027999999999992</v>
      </c>
    </row>
    <row r="17" spans="1:33" x14ac:dyDescent="0.2">
      <c r="A17" s="11" t="s">
        <v>45</v>
      </c>
      <c r="B17">
        <v>4.1708014347663157E-2</v>
      </c>
      <c r="C17">
        <v>0.30639349001552546</v>
      </c>
      <c r="D17">
        <v>1.4437389581883401E-2</v>
      </c>
      <c r="F17">
        <v>6.6740843728250976</v>
      </c>
      <c r="G17">
        <v>0.73791102307404044</v>
      </c>
      <c r="H17">
        <v>5.102013062797794</v>
      </c>
      <c r="I17">
        <v>6.2537959205524913</v>
      </c>
      <c r="J17">
        <v>0.11950950265003482</v>
      </c>
      <c r="K17">
        <v>3.518712671984582</v>
      </c>
      <c r="AB17">
        <v>15.075843032282242</v>
      </c>
      <c r="AD17">
        <v>5.0679999999999996</v>
      </c>
      <c r="AE17">
        <v>36.160848439423958</v>
      </c>
      <c r="AF17">
        <v>0.90474308046469309</v>
      </c>
      <c r="AG17">
        <v>79.978000000000009</v>
      </c>
    </row>
    <row r="18" spans="1:33" x14ac:dyDescent="0.2">
      <c r="A18" s="11" t="s">
        <v>44</v>
      </c>
      <c r="B18">
        <v>6.6628376943058125</v>
      </c>
      <c r="C18">
        <v>0.77612128295936267</v>
      </c>
      <c r="D18">
        <v>6.7210667319790236</v>
      </c>
      <c r="E18">
        <v>2.542933864413615</v>
      </c>
      <c r="F18">
        <v>3.8590696474382278</v>
      </c>
      <c r="G18">
        <v>44.455078460319825</v>
      </c>
      <c r="H18">
        <v>39.40351002765626</v>
      </c>
      <c r="I18">
        <v>5.1313342376953539</v>
      </c>
      <c r="J18">
        <v>2.6857146554205276</v>
      </c>
      <c r="K18">
        <v>9.9731186031252896</v>
      </c>
      <c r="AB18">
        <v>74.248382113518772</v>
      </c>
      <c r="AC18">
        <v>2.6649755461122613</v>
      </c>
      <c r="AD18">
        <v>29.421757446850517</v>
      </c>
      <c r="AE18">
        <v>4.8864532162477428</v>
      </c>
      <c r="AF18">
        <v>0.14437610710754842</v>
      </c>
      <c r="AG18">
        <v>233.57672963515012</v>
      </c>
    </row>
    <row r="19" spans="1:33" x14ac:dyDescent="0.2">
      <c r="A19" s="11" t="s">
        <v>46</v>
      </c>
      <c r="B19">
        <v>0.214</v>
      </c>
      <c r="C19">
        <v>0.83</v>
      </c>
      <c r="D19">
        <v>0.82500000000000007</v>
      </c>
      <c r="E19">
        <v>0.27900000000000003</v>
      </c>
      <c r="F19">
        <v>0.20300000000000001</v>
      </c>
      <c r="G19">
        <v>3.3749999999999996</v>
      </c>
      <c r="H19">
        <v>45.328999999999994</v>
      </c>
      <c r="I19">
        <v>2.1920000000000002</v>
      </c>
      <c r="J19">
        <v>3.4580000000000002</v>
      </c>
      <c r="K19">
        <v>6.1080000000000014</v>
      </c>
      <c r="AB19">
        <v>7.2919999999999998</v>
      </c>
      <c r="AC19">
        <v>0.70500000000000007</v>
      </c>
      <c r="AD19">
        <v>3.3000000000000002E-2</v>
      </c>
      <c r="AE19">
        <v>119.92100000000001</v>
      </c>
      <c r="AF19">
        <v>5.2750000000000004</v>
      </c>
      <c r="AG19">
        <v>196.03900000000002</v>
      </c>
    </row>
    <row r="20" spans="1:33" x14ac:dyDescent="0.2">
      <c r="A20" s="11" t="s">
        <v>54</v>
      </c>
      <c r="B20">
        <v>6.2624050803715772</v>
      </c>
      <c r="C20">
        <v>11.247534618924469</v>
      </c>
      <c r="D20">
        <v>14.706543453211214</v>
      </c>
      <c r="E20">
        <v>3.7813335594444255</v>
      </c>
      <c r="F20">
        <v>3.0420934483033721</v>
      </c>
      <c r="G20">
        <v>19.244732910112692</v>
      </c>
      <c r="H20">
        <v>13.833982286990201</v>
      </c>
      <c r="I20">
        <v>25.966086422868358</v>
      </c>
      <c r="J20">
        <v>2.1907163763680089</v>
      </c>
      <c r="K20">
        <v>15.030590489776547</v>
      </c>
      <c r="AB20">
        <v>76.357466359526214</v>
      </c>
      <c r="AC20">
        <v>0.98883097717688506</v>
      </c>
      <c r="AD20">
        <v>7.7816375837317677</v>
      </c>
      <c r="AE20">
        <v>10.90701961636989</v>
      </c>
      <c r="AF20">
        <v>0.69046466999105049</v>
      </c>
      <c r="AG20">
        <v>212.03143785316669</v>
      </c>
    </row>
    <row r="21" spans="1:33" x14ac:dyDescent="0.2">
      <c r="A21" s="11" t="s">
        <v>48</v>
      </c>
      <c r="AB21">
        <v>1.222</v>
      </c>
      <c r="AC21">
        <v>82.347000000000008</v>
      </c>
      <c r="AD21">
        <v>1E-3</v>
      </c>
      <c r="AG21">
        <v>83.570000000000007</v>
      </c>
    </row>
    <row r="22" spans="1:33" x14ac:dyDescent="0.2">
      <c r="A22" s="11" t="s">
        <v>47</v>
      </c>
      <c r="B22">
        <v>5.6640000000000006</v>
      </c>
      <c r="C22">
        <v>18.713999999999999</v>
      </c>
      <c r="D22">
        <v>7.3160000000000007</v>
      </c>
      <c r="E22">
        <v>1.2230000000000001</v>
      </c>
      <c r="F22">
        <v>2.9060000000000001</v>
      </c>
      <c r="G22">
        <v>17.632999999999999</v>
      </c>
      <c r="H22">
        <v>20.379000000000008</v>
      </c>
      <c r="I22">
        <v>42.038000000000025</v>
      </c>
      <c r="J22">
        <v>26.838999999999999</v>
      </c>
      <c r="K22">
        <v>129.03700000000003</v>
      </c>
      <c r="AB22">
        <v>299.54522754226537</v>
      </c>
      <c r="AC22">
        <v>38.375999999999998</v>
      </c>
      <c r="AD22">
        <v>13.68360496941771</v>
      </c>
      <c r="AE22">
        <v>15.531000000000001</v>
      </c>
      <c r="AG22">
        <v>638.88483251168304</v>
      </c>
    </row>
    <row r="23" spans="1:33" x14ac:dyDescent="0.2">
      <c r="A23" s="11" t="s">
        <v>30</v>
      </c>
      <c r="B23">
        <v>33.16905805318514</v>
      </c>
      <c r="C23">
        <v>9.7391429650869838</v>
      </c>
      <c r="D23">
        <v>10.923491368014432</v>
      </c>
      <c r="E23">
        <v>1.5775907093534214</v>
      </c>
      <c r="F23">
        <v>3.7845041833633659</v>
      </c>
      <c r="G23">
        <v>22.235975277337058</v>
      </c>
      <c r="H23">
        <v>39.431829606888662</v>
      </c>
      <c r="I23">
        <v>59.70682473502805</v>
      </c>
      <c r="J23">
        <v>42.300000000000004</v>
      </c>
      <c r="K23">
        <v>156.42305852959046</v>
      </c>
      <c r="AD23">
        <v>0.90900000000000003</v>
      </c>
      <c r="AG23">
        <v>380.20047542784755</v>
      </c>
    </row>
    <row r="24" spans="1:33" x14ac:dyDescent="0.2">
      <c r="A24" s="11" t="s">
        <v>31</v>
      </c>
      <c r="B24">
        <v>24.274941946814849</v>
      </c>
      <c r="C24">
        <v>30.539857034913016</v>
      </c>
      <c r="D24">
        <v>18.235508631985567</v>
      </c>
      <c r="E24">
        <v>6.6084092906465788</v>
      </c>
      <c r="F24">
        <v>5.1614958166366343</v>
      </c>
      <c r="G24">
        <v>34.407024722662939</v>
      </c>
      <c r="H24">
        <v>50.588170393111341</v>
      </c>
      <c r="I24">
        <v>54.128175264971944</v>
      </c>
      <c r="J24">
        <v>7.5140000000000002</v>
      </c>
      <c r="K24">
        <v>154.26494147040955</v>
      </c>
      <c r="AG24">
        <v>385.72252457215245</v>
      </c>
    </row>
    <row r="25" spans="1:33" x14ac:dyDescent="0.2">
      <c r="A25" s="11" t="s">
        <v>50</v>
      </c>
      <c r="B25">
        <v>-0.37899999999999989</v>
      </c>
      <c r="C25">
        <v>0.72000000000000008</v>
      </c>
      <c r="D25">
        <v>0.97900000000000009</v>
      </c>
      <c r="E25">
        <v>0.29900000000000004</v>
      </c>
      <c r="F25">
        <v>0.376</v>
      </c>
      <c r="G25">
        <v>1.6379999999999999</v>
      </c>
      <c r="H25">
        <v>1.9290000000000005</v>
      </c>
      <c r="I25">
        <v>4.6760000000000002</v>
      </c>
      <c r="J25">
        <v>1.1599999999999999</v>
      </c>
      <c r="K25">
        <v>11.307</v>
      </c>
      <c r="AG25">
        <v>22.704999999999998</v>
      </c>
    </row>
    <row r="26" spans="1:33" x14ac:dyDescent="0.2">
      <c r="A26" s="11" t="s">
        <v>20</v>
      </c>
      <c r="L26">
        <v>0.185</v>
      </c>
      <c r="N26">
        <v>0.49399999999999999</v>
      </c>
      <c r="O26">
        <v>8.0000000000000002E-3</v>
      </c>
      <c r="P26">
        <v>1.9630000000000001</v>
      </c>
      <c r="Q26">
        <v>2.0449999999999999</v>
      </c>
      <c r="AG26">
        <v>4.6950000000000003</v>
      </c>
    </row>
    <row r="27" spans="1:33" x14ac:dyDescent="0.2">
      <c r="A27" s="11" t="s">
        <v>17</v>
      </c>
      <c r="L27">
        <v>0.30300000000000005</v>
      </c>
      <c r="M27">
        <v>0.31</v>
      </c>
      <c r="N27">
        <v>11.942</v>
      </c>
      <c r="O27">
        <v>6.5410000000000004</v>
      </c>
      <c r="P27">
        <v>7.1010000000000009</v>
      </c>
      <c r="Q27">
        <v>12.153</v>
      </c>
      <c r="R27">
        <v>1.742</v>
      </c>
      <c r="S27">
        <v>1.4650000000000001</v>
      </c>
      <c r="U27">
        <v>29.811000000000003</v>
      </c>
      <c r="AG27">
        <v>71.368000000000009</v>
      </c>
    </row>
    <row r="28" spans="1:33" x14ac:dyDescent="0.2">
      <c r="A28" s="11" t="s">
        <v>16</v>
      </c>
      <c r="AB28">
        <v>57.855000000000004</v>
      </c>
      <c r="AG28">
        <v>57.855000000000004</v>
      </c>
    </row>
    <row r="29" spans="1:33" x14ac:dyDescent="0.2">
      <c r="A29" s="11" t="s">
        <v>27</v>
      </c>
      <c r="V29">
        <v>380.20047542784761</v>
      </c>
      <c r="W29">
        <v>385.72252457215234</v>
      </c>
      <c r="AC29">
        <v>43.368873573735193</v>
      </c>
      <c r="AD29">
        <v>7.878126426264803</v>
      </c>
      <c r="AG29">
        <v>817.17</v>
      </c>
    </row>
    <row r="30" spans="1:33" x14ac:dyDescent="0.2">
      <c r="A30" s="11" t="s">
        <v>15</v>
      </c>
      <c r="X30">
        <v>22.705000000000002</v>
      </c>
      <c r="Y30">
        <v>4.6950000000000003</v>
      </c>
      <c r="Z30">
        <v>71.367999999999995</v>
      </c>
      <c r="AA30">
        <v>57.855000000000004</v>
      </c>
      <c r="AD30">
        <v>-0.21512642626480089</v>
      </c>
      <c r="AG30">
        <v>156.4078735737352</v>
      </c>
    </row>
    <row r="31" spans="1:33" x14ac:dyDescent="0.2">
      <c r="A31" s="11" t="s">
        <v>21</v>
      </c>
      <c r="L31">
        <v>7.0379999999999994</v>
      </c>
      <c r="M31">
        <v>3.3260000000000001</v>
      </c>
      <c r="N31">
        <v>13.504</v>
      </c>
      <c r="O31">
        <v>12.538</v>
      </c>
      <c r="P31">
        <v>52.139000000000003</v>
      </c>
      <c r="Q31">
        <v>65.34072963515014</v>
      </c>
      <c r="R31">
        <v>0.10500000000000001</v>
      </c>
      <c r="S31">
        <v>6.7754378531666717</v>
      </c>
      <c r="T31">
        <v>1E-3</v>
      </c>
      <c r="U31">
        <v>24.820832511683193</v>
      </c>
      <c r="AG31">
        <v>185.58799999999999</v>
      </c>
    </row>
    <row r="32" spans="1:33" x14ac:dyDescent="0.2">
      <c r="A32" s="11" t="s">
        <v>29</v>
      </c>
      <c r="AB32">
        <v>162.79000000000002</v>
      </c>
      <c r="AC32">
        <v>-12.566000000000001</v>
      </c>
      <c r="AD32">
        <v>49.892000000000003</v>
      </c>
      <c r="AG32">
        <f t="shared" ref="AG32" si="0">SUM(A32:AE32)</f>
        <v>200.11600000000001</v>
      </c>
    </row>
    <row r="33" spans="1:33" x14ac:dyDescent="0.2">
      <c r="A33" s="11" t="s">
        <v>28</v>
      </c>
      <c r="AE33">
        <v>8.9640000000000004</v>
      </c>
      <c r="AG33">
        <v>8.9640000000000004</v>
      </c>
    </row>
    <row r="34" spans="1:33" x14ac:dyDescent="0.2">
      <c r="A34" s="11" t="s">
        <v>0</v>
      </c>
      <c r="B34">
        <v>89.987999999999985</v>
      </c>
      <c r="C34">
        <v>77.051000000000002</v>
      </c>
      <c r="D34">
        <v>111.265</v>
      </c>
      <c r="E34">
        <v>46.951000000000001</v>
      </c>
      <c r="F34">
        <v>26.074000000000002</v>
      </c>
      <c r="G34">
        <v>156.99199999999999</v>
      </c>
      <c r="H34">
        <v>227.91000000000003</v>
      </c>
      <c r="I34">
        <v>213.31200000000001</v>
      </c>
      <c r="J34">
        <v>87.242999999999995</v>
      </c>
      <c r="K34">
        <v>506.91700000000003</v>
      </c>
      <c r="L34">
        <v>89.763000000000005</v>
      </c>
      <c r="M34">
        <v>68.49499999999999</v>
      </c>
      <c r="N34">
        <v>137.988</v>
      </c>
      <c r="O34">
        <v>65.028000000000006</v>
      </c>
      <c r="P34">
        <v>79.978000000000009</v>
      </c>
      <c r="Q34">
        <v>233.57672963515017</v>
      </c>
      <c r="R34">
        <v>196.03899999999996</v>
      </c>
      <c r="S34">
        <v>212.03143785316666</v>
      </c>
      <c r="T34">
        <v>83.570000000000007</v>
      </c>
      <c r="U34">
        <v>638.88483251168316</v>
      </c>
      <c r="V34">
        <v>380.20047542784761</v>
      </c>
      <c r="W34">
        <v>385.72252457215234</v>
      </c>
      <c r="X34">
        <v>22.705000000000002</v>
      </c>
      <c r="Y34">
        <v>4.6950000000000003</v>
      </c>
      <c r="Z34">
        <v>71.367999999999995</v>
      </c>
      <c r="AA34">
        <v>57.855000000000004</v>
      </c>
      <c r="AB34">
        <v>817.17</v>
      </c>
      <c r="AC34">
        <v>156.4078735737352</v>
      </c>
      <c r="AD34">
        <v>185.58800000000002</v>
      </c>
      <c r="AE34">
        <v>200.11600000000001</v>
      </c>
      <c r="AF34">
        <v>8.9640000000000004</v>
      </c>
    </row>
    <row r="35" spans="1:33" x14ac:dyDescent="0.2">
      <c r="A35" s="11"/>
    </row>
    <row r="36" spans="1:33" x14ac:dyDescent="0.2">
      <c r="A36" s="11"/>
    </row>
    <row r="37" spans="1:33" x14ac:dyDescent="0.2">
      <c r="A37" s="11"/>
    </row>
    <row r="38" spans="1:33" x14ac:dyDescent="0.2">
      <c r="A38" s="11"/>
    </row>
    <row r="39" spans="1:33" x14ac:dyDescent="0.2">
      <c r="A39" s="11"/>
    </row>
    <row r="40" spans="1:33" x14ac:dyDescent="0.2">
      <c r="A40" s="11"/>
    </row>
    <row r="41" spans="1:33" x14ac:dyDescent="0.2">
      <c r="A41" s="11"/>
    </row>
    <row r="42" spans="1:33" x14ac:dyDescent="0.2">
      <c r="A42" s="11"/>
    </row>
    <row r="43" spans="1:33" x14ac:dyDescent="0.2">
      <c r="A43" s="11"/>
    </row>
    <row r="44" spans="1:33" x14ac:dyDescent="0.2">
      <c r="A44" s="11"/>
    </row>
    <row r="45" spans="1:33" x14ac:dyDescent="0.2">
      <c r="A45" s="11"/>
    </row>
    <row r="46" spans="1:33" x14ac:dyDescent="0.2">
      <c r="A46" s="11"/>
    </row>
    <row r="47" spans="1:33" x14ac:dyDescent="0.2">
      <c r="A47" s="11"/>
    </row>
    <row r="48" spans="1:33" x14ac:dyDescent="0.2">
      <c r="A48" s="11"/>
    </row>
    <row r="49" spans="1:1" x14ac:dyDescent="0.2">
      <c r="A49" s="11"/>
    </row>
    <row r="50" spans="1:1" x14ac:dyDescent="0.2">
      <c r="A50" s="11"/>
    </row>
    <row r="51" spans="1:1" x14ac:dyDescent="0.2">
      <c r="A51" s="11"/>
    </row>
    <row r="52" spans="1:1" x14ac:dyDescent="0.2">
      <c r="A52" s="11"/>
    </row>
    <row r="53" spans="1:1" x14ac:dyDescent="0.2">
      <c r="A53" s="11"/>
    </row>
    <row r="54" spans="1:1" x14ac:dyDescent="0.2">
      <c r="A54" s="11"/>
    </row>
    <row r="55" spans="1:1" x14ac:dyDescent="0.2">
      <c r="A55" s="11"/>
    </row>
    <row r="56" spans="1:1" x14ac:dyDescent="0.2">
      <c r="A56" s="11"/>
    </row>
    <row r="57" spans="1:1" x14ac:dyDescent="0.2">
      <c r="A57" s="11"/>
    </row>
    <row r="58" spans="1:1" x14ac:dyDescent="0.2">
      <c r="A58" s="11"/>
    </row>
    <row r="59" spans="1:1" x14ac:dyDescent="0.2">
      <c r="A59" s="11"/>
    </row>
    <row r="60" spans="1:1" x14ac:dyDescent="0.2">
      <c r="A60" s="11"/>
    </row>
    <row r="61" spans="1:1" x14ac:dyDescent="0.2">
      <c r="A61" s="11"/>
    </row>
    <row r="62" spans="1:1" x14ac:dyDescent="0.2">
      <c r="A62" s="11"/>
    </row>
    <row r="63" spans="1:1" x14ac:dyDescent="0.2">
      <c r="A63" s="11"/>
    </row>
    <row r="64" spans="1:1" x14ac:dyDescent="0.2">
      <c r="A64" s="11"/>
    </row>
    <row r="65" spans="1:1" x14ac:dyDescent="0.2">
      <c r="A65" s="11"/>
    </row>
    <row r="66" spans="1:1" x14ac:dyDescent="0.2">
      <c r="A66" s="11"/>
    </row>
    <row r="67" spans="1:1" x14ac:dyDescent="0.2">
      <c r="A67" s="11"/>
    </row>
    <row r="68" spans="1:1" x14ac:dyDescent="0.2">
      <c r="A68" s="11"/>
    </row>
    <row r="69" spans="1:1" x14ac:dyDescent="0.2">
      <c r="A69" s="11"/>
    </row>
    <row r="70" spans="1:1" x14ac:dyDescent="0.2">
      <c r="A70" s="11"/>
    </row>
    <row r="71" spans="1:1" x14ac:dyDescent="0.2">
      <c r="A71" s="11"/>
    </row>
    <row r="72" spans="1:1" x14ac:dyDescent="0.2">
      <c r="A72" s="11"/>
    </row>
    <row r="73" spans="1:1" x14ac:dyDescent="0.2">
      <c r="A73" s="11"/>
    </row>
    <row r="74" spans="1:1" x14ac:dyDescent="0.2">
      <c r="A74" s="11"/>
    </row>
    <row r="75" spans="1:1" x14ac:dyDescent="0.2">
      <c r="A75" s="11"/>
    </row>
    <row r="76" spans="1:1" x14ac:dyDescent="0.2">
      <c r="A76" s="11"/>
    </row>
    <row r="77" spans="1:1" x14ac:dyDescent="0.2">
      <c r="A77" s="11"/>
    </row>
    <row r="78" spans="1:1" x14ac:dyDescent="0.2">
      <c r="A78" s="11"/>
    </row>
    <row r="79" spans="1:1" x14ac:dyDescent="0.2">
      <c r="A79" s="11"/>
    </row>
    <row r="80" spans="1:1" x14ac:dyDescent="0.2">
      <c r="A80" s="11"/>
    </row>
    <row r="81" spans="1:1" x14ac:dyDescent="0.2">
      <c r="A81" s="11"/>
    </row>
    <row r="82" spans="1:1" x14ac:dyDescent="0.2">
      <c r="A82" s="11"/>
    </row>
    <row r="83" spans="1:1" x14ac:dyDescent="0.2">
      <c r="A83" s="11"/>
    </row>
    <row r="84" spans="1:1" x14ac:dyDescent="0.2">
      <c r="A84" s="11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/>
  </sheetViews>
  <sheetFormatPr baseColWidth="10" defaultRowHeight="12.75" x14ac:dyDescent="0.2"/>
  <sheetData>
    <row r="1" spans="1:3" s="3" customFormat="1" x14ac:dyDescent="0.2">
      <c r="A1" s="3" t="s">
        <v>32</v>
      </c>
    </row>
    <row r="2" spans="1:3" x14ac:dyDescent="0.2">
      <c r="A2" s="9"/>
      <c r="B2" s="10" t="s">
        <v>23</v>
      </c>
      <c r="C2" s="10" t="s">
        <v>24</v>
      </c>
    </row>
    <row r="3" spans="1:3" x14ac:dyDescent="0.2">
      <c r="A3" s="9" t="s">
        <v>41</v>
      </c>
      <c r="B3" s="9">
        <v>2</v>
      </c>
      <c r="C3" s="9">
        <v>2</v>
      </c>
    </row>
    <row r="4" spans="1:3" x14ac:dyDescent="0.2">
      <c r="A4" s="9" t="s">
        <v>42</v>
      </c>
      <c r="B4" s="9">
        <v>2</v>
      </c>
      <c r="C4" s="9">
        <v>2</v>
      </c>
    </row>
    <row r="5" spans="1:3" x14ac:dyDescent="0.2">
      <c r="A5" s="9" t="s">
        <v>43</v>
      </c>
      <c r="B5" s="9">
        <v>2</v>
      </c>
      <c r="C5" s="9">
        <v>2</v>
      </c>
    </row>
    <row r="6" spans="1:3" x14ac:dyDescent="0.2">
      <c r="A6" s="9" t="s">
        <v>52</v>
      </c>
      <c r="B6" s="9">
        <v>2</v>
      </c>
      <c r="C6" s="9">
        <v>2</v>
      </c>
    </row>
    <row r="7" spans="1:3" x14ac:dyDescent="0.2">
      <c r="A7" s="9" t="s">
        <v>44</v>
      </c>
      <c r="B7" s="9">
        <v>2</v>
      </c>
      <c r="C7" s="9">
        <v>2</v>
      </c>
    </row>
    <row r="8" spans="1:3" x14ac:dyDescent="0.2">
      <c r="A8" s="9" t="s">
        <v>45</v>
      </c>
      <c r="B8" s="9">
        <v>2</v>
      </c>
      <c r="C8" s="9">
        <v>2</v>
      </c>
    </row>
    <row r="9" spans="1:3" x14ac:dyDescent="0.2">
      <c r="A9" s="9" t="s">
        <v>46</v>
      </c>
      <c r="B9" s="9">
        <v>2</v>
      </c>
      <c r="C9" s="9">
        <v>2</v>
      </c>
    </row>
    <row r="10" spans="1:3" x14ac:dyDescent="0.2">
      <c r="A10" s="9" t="s">
        <v>54</v>
      </c>
      <c r="B10" s="9">
        <v>2</v>
      </c>
      <c r="C10" s="9">
        <v>2</v>
      </c>
    </row>
    <row r="11" spans="1:3" x14ac:dyDescent="0.2">
      <c r="A11" s="9" t="s">
        <v>47</v>
      </c>
      <c r="B11" s="9">
        <v>2</v>
      </c>
      <c r="C11" s="9">
        <v>2</v>
      </c>
    </row>
    <row r="12" spans="1:3" x14ac:dyDescent="0.2">
      <c r="A12" s="9" t="s">
        <v>48</v>
      </c>
      <c r="B12" s="9">
        <v>2</v>
      </c>
      <c r="C12" s="9">
        <v>2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baseColWidth="10" defaultRowHeight="12.75" x14ac:dyDescent="0.2"/>
  <cols>
    <col min="1" max="1" width="3.5703125" bestFit="1" customWidth="1"/>
    <col min="2" max="2" width="7.5703125" bestFit="1" customWidth="1"/>
    <col min="3" max="3" width="10.28515625" bestFit="1" customWidth="1"/>
    <col min="4" max="4" width="5.140625" bestFit="1" customWidth="1"/>
    <col min="5" max="5" width="5.42578125" bestFit="1" customWidth="1"/>
  </cols>
  <sheetData>
    <row r="1" spans="1:5" s="1" customFormat="1" x14ac:dyDescent="0.2">
      <c r="D1" s="4" t="s">
        <v>6</v>
      </c>
      <c r="E1" s="4" t="s">
        <v>7</v>
      </c>
    </row>
    <row r="2" spans="1:5" s="1" customFormat="1" x14ac:dyDescent="0.2">
      <c r="A2" s="1" t="s">
        <v>8</v>
      </c>
      <c r="B2" s="1" t="s">
        <v>2</v>
      </c>
      <c r="C2" s="1" t="s">
        <v>9</v>
      </c>
      <c r="D2" s="5">
        <v>1</v>
      </c>
      <c r="E2" s="5">
        <v>0</v>
      </c>
    </row>
    <row r="3" spans="1:5" s="1" customFormat="1" x14ac:dyDescent="0.2">
      <c r="A3" s="6" t="s">
        <v>8</v>
      </c>
      <c r="B3" s="1" t="s">
        <v>3</v>
      </c>
      <c r="C3" s="1" t="s">
        <v>10</v>
      </c>
      <c r="D3" s="1">
        <v>1</v>
      </c>
      <c r="E3" s="1">
        <v>0</v>
      </c>
    </row>
    <row r="4" spans="1:5" s="1" customFormat="1" x14ac:dyDescent="0.2">
      <c r="A4" s="6" t="s">
        <v>8</v>
      </c>
      <c r="B4" s="1" t="s">
        <v>1</v>
      </c>
      <c r="C4" s="1" t="s">
        <v>11</v>
      </c>
      <c r="D4" s="1">
        <v>1</v>
      </c>
      <c r="E4" s="1">
        <v>0</v>
      </c>
    </row>
    <row r="5" spans="1:5" x14ac:dyDescent="0.2">
      <c r="A5" s="6" t="s">
        <v>8</v>
      </c>
      <c r="B5" s="2" t="s">
        <v>19</v>
      </c>
      <c r="C5" s="2" t="s">
        <v>12</v>
      </c>
      <c r="D5">
        <v>1</v>
      </c>
      <c r="E5">
        <v>0</v>
      </c>
    </row>
    <row r="6" spans="1:5" x14ac:dyDescent="0.2">
      <c r="A6" s="8" t="s">
        <v>13</v>
      </c>
      <c r="B6" s="7" t="s">
        <v>14</v>
      </c>
      <c r="C6" s="2" t="s">
        <v>49</v>
      </c>
      <c r="D6">
        <v>1</v>
      </c>
      <c r="E6">
        <v>1</v>
      </c>
    </row>
    <row r="7" spans="1:5" x14ac:dyDescent="0.2">
      <c r="A7" s="8" t="s">
        <v>13</v>
      </c>
      <c r="B7" s="7" t="s">
        <v>25</v>
      </c>
      <c r="C7" s="2" t="s">
        <v>26</v>
      </c>
      <c r="D7">
        <v>1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sets</vt:lpstr>
      <vt:lpstr>SAM</vt:lpstr>
      <vt:lpstr>tradelas</vt:lpstr>
      <vt:lpstr>layout</vt:lpstr>
    </vt:vector>
  </TitlesOfParts>
  <Company>Depeco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</dc:creator>
  <cp:lastModifiedBy>Juan Menduiña</cp:lastModifiedBy>
  <dcterms:created xsi:type="dcterms:W3CDTF">2005-07-01T13:02:02Z</dcterms:created>
  <dcterms:modified xsi:type="dcterms:W3CDTF">2021-06-12T23:11:11Z</dcterms:modified>
</cp:coreProperties>
</file>