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2. Equilibrio General Computable\Material teórico\Notas de clase\Clase 7, 8 y 9\user-files\"/>
    </mc:Choice>
  </mc:AlternateContent>
  <xr:revisionPtr revIDLastSave="0" documentId="13_ncr:1_{6DC6AE28-E65D-40E0-8343-CFFB0131743A}" xr6:coauthVersionLast="47" xr6:coauthVersionMax="47" xr10:uidLastSave="{00000000-0000-0000-0000-000000000000}"/>
  <bookViews>
    <workbookView xWindow="-120" yWindow="-120" windowWidth="20730" windowHeight="11760" tabRatio="786" xr2:uid="{00000000-000D-0000-FFFF-FFFF00000000}"/>
  </bookViews>
  <sheets>
    <sheet name="sets" sheetId="3" r:id="rId1"/>
    <sheet name="SAM" sheetId="2" r:id="rId2"/>
    <sheet name="tradelas" sheetId="5" r:id="rId3"/>
    <sheet name="layout" sheetId="4" r:id="rId4"/>
  </sheets>
  <calcPr calcId="191029"/>
</workbook>
</file>

<file path=xl/calcChain.xml><?xml version="1.0" encoding="utf-8"?>
<calcChain xmlns="http://schemas.openxmlformats.org/spreadsheetml/2006/main">
  <c r="B26" i="2" l="1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P24" i="2"/>
  <c r="O24" i="2"/>
  <c r="N24" i="2"/>
  <c r="L24" i="2"/>
  <c r="K24" i="2"/>
  <c r="J24" i="2"/>
  <c r="H24" i="2"/>
  <c r="G24" i="2"/>
  <c r="F24" i="2"/>
  <c r="D24" i="2"/>
  <c r="C24" i="2"/>
  <c r="B24" i="2"/>
  <c r="U19" i="2"/>
  <c r="U18" i="2"/>
  <c r="U17" i="2"/>
  <c r="U15" i="2"/>
  <c r="U14" i="2"/>
  <c r="U13" i="2"/>
  <c r="U11" i="2"/>
  <c r="U10" i="2"/>
  <c r="U9" i="2"/>
  <c r="U7" i="2"/>
  <c r="U6" i="2"/>
  <c r="U5" i="2"/>
  <c r="R19" i="2"/>
  <c r="R18" i="2"/>
  <c r="R17" i="2"/>
  <c r="R16" i="2"/>
  <c r="M24" i="2" s="1"/>
  <c r="R15" i="2"/>
  <c r="R14" i="2"/>
  <c r="R13" i="2"/>
  <c r="R12" i="2"/>
  <c r="I24" i="2" s="1"/>
  <c r="R11" i="2"/>
  <c r="R10" i="2"/>
  <c r="R9" i="2"/>
  <c r="R8" i="2"/>
  <c r="E24" i="2" s="1"/>
  <c r="R7" i="2"/>
  <c r="R6" i="2"/>
  <c r="R5" i="2"/>
  <c r="R20" i="2"/>
  <c r="Q24" i="2" s="1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U8" i="2" l="1"/>
  <c r="U12" i="2"/>
  <c r="U16" i="2"/>
  <c r="U20" i="2"/>
</calcChain>
</file>

<file path=xl/sharedStrings.xml><?xml version="1.0" encoding="utf-8"?>
<sst xmlns="http://schemas.openxmlformats.org/spreadsheetml/2006/main" count="93" uniqueCount="45">
  <si>
    <t>total</t>
  </si>
  <si>
    <t>c</t>
  </si>
  <si>
    <t>ac</t>
  </si>
  <si>
    <t>a</t>
  </si>
  <si>
    <t>a(ac)</t>
  </si>
  <si>
    <t>c(ac)</t>
  </si>
  <si>
    <t>rdim</t>
  </si>
  <si>
    <t>cdim</t>
  </si>
  <si>
    <t>set</t>
  </si>
  <si>
    <t>sets!a2</t>
  </si>
  <si>
    <t>sets!b2</t>
  </si>
  <si>
    <t>sets!c2</t>
  </si>
  <si>
    <t>sets!d2</t>
  </si>
  <si>
    <t>par</t>
  </si>
  <si>
    <t>SAM</t>
  </si>
  <si>
    <t>gov</t>
  </si>
  <si>
    <t>tax-dir</t>
  </si>
  <si>
    <t>tax-com</t>
  </si>
  <si>
    <t>ins(ac)</t>
  </si>
  <si>
    <t>ins</t>
  </si>
  <si>
    <t>tax-imp</t>
  </si>
  <si>
    <t>row</t>
  </si>
  <si>
    <t>tax-exp</t>
  </si>
  <si>
    <t>sigma_Q</t>
  </si>
  <si>
    <t>sigma_X</t>
  </si>
  <si>
    <t>tradelas</t>
  </si>
  <si>
    <t>tradelas!A2</t>
  </si>
  <si>
    <t>hhd</t>
  </si>
  <si>
    <t>SAM(ac,acp)</t>
  </si>
  <si>
    <t>tax-act</t>
  </si>
  <si>
    <t>dstk</t>
  </si>
  <si>
    <t>SAM!A4</t>
  </si>
  <si>
    <t>SAM in billon US$ with GDP = LIC GDP 2015</t>
  </si>
  <si>
    <t>(gdp low income countries current usd in 2015 = 401557904349.121)</t>
  </si>
  <si>
    <t>sav-inv</t>
  </si>
  <si>
    <t>a-prv</t>
  </si>
  <si>
    <t>a-gov</t>
  </si>
  <si>
    <t>c-prv</t>
  </si>
  <si>
    <t>c-gov</t>
  </si>
  <si>
    <t>lab</t>
  </si>
  <si>
    <t>cap</t>
  </si>
  <si>
    <t>tot row</t>
  </si>
  <si>
    <t>tradelas(c,trdelas)</t>
  </si>
  <si>
    <t>total row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</si>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</sst>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9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1" fillId="2" borderId="0" xfId="0" applyFont="1" applyFill="1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0" xfId="2" applyFont="1"/>
    <xf numFmtId="0" fontId="0" fillId="0" borderId="0" xfId="0" applyFont="1" applyAlignment="1">
      <alignment vertical="center"/>
    </xf>
    <xf numFmtId="0" fontId="2" fillId="0" borderId="0" xfId="2" applyFont="1" applyFill="1"/>
    <xf numFmtId="0" fontId="2" fillId="0" borderId="0" xfId="0" applyFont="1"/>
    <xf numFmtId="0" fontId="0" fillId="3" borderId="0" xfId="0" applyFill="1"/>
    <xf numFmtId="0" fontId="2" fillId="3" borderId="0" xfId="0" applyFont="1" applyFill="1" applyAlignment="1">
      <alignment horizontal="right"/>
    </xf>
    <xf numFmtId="0" fontId="1" fillId="4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quotePrefix="1"/>
    <xf numFmtId="0" fontId="0" fillId="5" borderId="0" xfId="0" applyFill="1"/>
    <xf numFmtId="0" fontId="0" fillId="5" borderId="0" xfId="0" quotePrefix="1" applyFill="1"/>
    <xf numFmtId="0" fontId="0" fillId="5" borderId="0" xfId="0" quotePrefix="1" applyFill="1" applyAlignment="1">
      <alignment horizontal="right" textRotation="45"/>
    </xf>
    <xf numFmtId="0" fontId="0" fillId="5" borderId="0" xfId="0" applyFill="1" applyAlignment="1">
      <alignment horizontal="right" textRotation="45"/>
    </xf>
  </cellXfs>
  <cellStyles count="3">
    <cellStyle name="Normal" xfId="0" builtinId="0"/>
    <cellStyle name="Normal 2" xfId="1" xr:uid="{00000000-0005-0000-0000-000001000000}"/>
    <cellStyle name="Normal_aladi-ven-data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workbookViewId="0"/>
  </sheetViews>
  <sheetFormatPr baseColWidth="10" defaultRowHeight="12.75" x14ac:dyDescent="0.2"/>
  <sheetData>
    <row r="1" spans="1:4" s="3" customFormat="1" x14ac:dyDescent="0.2">
      <c r="A1" s="3" t="s">
        <v>2</v>
      </c>
      <c r="B1" s="3" t="s">
        <v>4</v>
      </c>
      <c r="C1" s="3" t="s">
        <v>5</v>
      </c>
      <c r="D1" s="3" t="s">
        <v>18</v>
      </c>
    </row>
    <row r="2" spans="1:4" x14ac:dyDescent="0.2">
      <c r="A2" s="14" t="s">
        <v>35</v>
      </c>
      <c r="B2" s="14" t="s">
        <v>35</v>
      </c>
      <c r="C2" s="14" t="s">
        <v>37</v>
      </c>
      <c r="D2" t="s">
        <v>27</v>
      </c>
    </row>
    <row r="3" spans="1:4" x14ac:dyDescent="0.2">
      <c r="A3" s="14" t="s">
        <v>36</v>
      </c>
      <c r="B3" s="14" t="s">
        <v>36</v>
      </c>
      <c r="C3" s="14" t="s">
        <v>38</v>
      </c>
      <c r="D3" s="9" t="s">
        <v>15</v>
      </c>
    </row>
    <row r="4" spans="1:4" x14ac:dyDescent="0.2">
      <c r="A4" s="14" t="s">
        <v>37</v>
      </c>
      <c r="D4" t="s">
        <v>21</v>
      </c>
    </row>
    <row r="5" spans="1:4" x14ac:dyDescent="0.2">
      <c r="A5" s="14" t="s">
        <v>38</v>
      </c>
    </row>
    <row r="6" spans="1:4" x14ac:dyDescent="0.2">
      <c r="A6" s="14" t="s">
        <v>39</v>
      </c>
    </row>
    <row r="7" spans="1:4" x14ac:dyDescent="0.2">
      <c r="A7" s="14" t="s">
        <v>40</v>
      </c>
    </row>
    <row r="8" spans="1:4" x14ac:dyDescent="0.2">
      <c r="A8" s="14" t="s">
        <v>27</v>
      </c>
    </row>
    <row r="9" spans="1:4" x14ac:dyDescent="0.2">
      <c r="A9" s="14" t="s">
        <v>15</v>
      </c>
    </row>
    <row r="10" spans="1:4" x14ac:dyDescent="0.2">
      <c r="A10" s="14" t="s">
        <v>21</v>
      </c>
    </row>
    <row r="11" spans="1:4" x14ac:dyDescent="0.2">
      <c r="A11" s="14" t="s">
        <v>29</v>
      </c>
    </row>
    <row r="12" spans="1:4" x14ac:dyDescent="0.2">
      <c r="A12" s="14" t="s">
        <v>17</v>
      </c>
    </row>
    <row r="13" spans="1:4" x14ac:dyDescent="0.2">
      <c r="A13" s="14" t="s">
        <v>20</v>
      </c>
    </row>
    <row r="14" spans="1:4" x14ac:dyDescent="0.2">
      <c r="A14" s="14" t="s">
        <v>22</v>
      </c>
    </row>
    <row r="15" spans="1:4" x14ac:dyDescent="0.2">
      <c r="A15" s="14" t="s">
        <v>16</v>
      </c>
    </row>
    <row r="16" spans="1:4" x14ac:dyDescent="0.2">
      <c r="A16" s="14" t="s">
        <v>34</v>
      </c>
    </row>
    <row r="17" spans="1:1" x14ac:dyDescent="0.2">
      <c r="A17" s="14" t="s">
        <v>30</v>
      </c>
    </row>
    <row r="18" spans="1:1" x14ac:dyDescent="0.2">
      <c r="A18" s="14" t="s">
        <v>0</v>
      </c>
    </row>
    <row r="19" spans="1:1" x14ac:dyDescent="0.2">
      <c r="A19" s="1"/>
    </row>
    <row r="20" spans="1:1" x14ac:dyDescent="0.2">
      <c r="A20" s="1"/>
    </row>
    <row r="21" spans="1:1" x14ac:dyDescent="0.2">
      <c r="A21" s="1"/>
    </row>
    <row r="22" spans="1:1" x14ac:dyDescent="0.2">
      <c r="A22" s="1"/>
    </row>
    <row r="23" spans="1:1" x14ac:dyDescent="0.2">
      <c r="A23" s="1"/>
    </row>
    <row r="24" spans="1:1" x14ac:dyDescent="0.2">
      <c r="A24" s="1"/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7"/>
  <sheetViews>
    <sheetView workbookViewId="0"/>
  </sheetViews>
  <sheetFormatPr baseColWidth="10" defaultColWidth="7" defaultRowHeight="12.75" x14ac:dyDescent="0.2"/>
  <cols>
    <col min="1" max="1" width="7" style="1"/>
    <col min="2" max="18" width="5.42578125" style="1" customWidth="1"/>
    <col min="19" max="16384" width="7" style="1"/>
  </cols>
  <sheetData>
    <row r="1" spans="1:21" s="12" customFormat="1" x14ac:dyDescent="0.2">
      <c r="A1" s="12" t="s">
        <v>28</v>
      </c>
    </row>
    <row r="2" spans="1:21" s="13" customFormat="1" x14ac:dyDescent="0.2">
      <c r="A2" s="13" t="s">
        <v>32</v>
      </c>
      <c r="E2" s="13" t="s">
        <v>33</v>
      </c>
    </row>
    <row r="3" spans="1:21" s="13" customFormat="1" x14ac:dyDescent="0.2"/>
    <row r="4" spans="1:21" customFormat="1" ht="37.5" x14ac:dyDescent="0.2">
      <c r="A4" s="15"/>
      <c r="B4" s="17" t="s">
        <v>35</v>
      </c>
      <c r="C4" s="17" t="s">
        <v>36</v>
      </c>
      <c r="D4" s="17" t="s">
        <v>37</v>
      </c>
      <c r="E4" s="17" t="s">
        <v>38</v>
      </c>
      <c r="F4" s="17" t="s">
        <v>39</v>
      </c>
      <c r="G4" s="17" t="s">
        <v>40</v>
      </c>
      <c r="H4" s="17" t="s">
        <v>27</v>
      </c>
      <c r="I4" s="17" t="s">
        <v>15</v>
      </c>
      <c r="J4" s="17" t="s">
        <v>21</v>
      </c>
      <c r="K4" s="17" t="s">
        <v>29</v>
      </c>
      <c r="L4" s="17" t="s">
        <v>17</v>
      </c>
      <c r="M4" s="17" t="s">
        <v>20</v>
      </c>
      <c r="N4" s="17" t="s">
        <v>22</v>
      </c>
      <c r="O4" s="17" t="s">
        <v>16</v>
      </c>
      <c r="P4" s="17" t="s">
        <v>34</v>
      </c>
      <c r="Q4" s="17" t="s">
        <v>30</v>
      </c>
      <c r="R4" s="17" t="s">
        <v>0</v>
      </c>
      <c r="U4" s="18" t="s">
        <v>43</v>
      </c>
    </row>
    <row r="5" spans="1:21" customFormat="1" x14ac:dyDescent="0.2">
      <c r="A5" s="16" t="s">
        <v>35</v>
      </c>
      <c r="D5">
        <v>614.63523400844895</v>
      </c>
      <c r="R5">
        <f t="shared" ref="R5:R19" si="0">SUM(B5:Q5)</f>
        <v>614.63523400844895</v>
      </c>
      <c r="U5">
        <f>$R5</f>
        <v>614.63523400844895</v>
      </c>
    </row>
    <row r="6" spans="1:21" customFormat="1" x14ac:dyDescent="0.2">
      <c r="A6" s="16" t="s">
        <v>36</v>
      </c>
      <c r="E6">
        <v>47.119656305424499</v>
      </c>
      <c r="R6">
        <f t="shared" si="0"/>
        <v>47.119656305424499</v>
      </c>
      <c r="U6">
        <f t="shared" ref="U6:U20" si="1">$R6</f>
        <v>47.119656305424499</v>
      </c>
    </row>
    <row r="7" spans="1:21" customFormat="1" x14ac:dyDescent="0.2">
      <c r="A7" s="16" t="s">
        <v>37</v>
      </c>
      <c r="B7">
        <v>255.260029554044</v>
      </c>
      <c r="C7">
        <v>33.715233803836</v>
      </c>
      <c r="H7">
        <v>324.46590943469198</v>
      </c>
      <c r="J7">
        <v>79.327695349296405</v>
      </c>
      <c r="P7">
        <v>77.157202425773605</v>
      </c>
      <c r="Q7">
        <v>-24.801799782424599</v>
      </c>
      <c r="R7">
        <f t="shared" si="0"/>
        <v>745.12427078521728</v>
      </c>
      <c r="U7">
        <f t="shared" si="1"/>
        <v>745.12427078521728</v>
      </c>
    </row>
    <row r="8" spans="1:21" customFormat="1" x14ac:dyDescent="0.2">
      <c r="A8" s="16" t="s">
        <v>38</v>
      </c>
      <c r="I8">
        <v>47.119656305424499</v>
      </c>
      <c r="R8">
        <f t="shared" si="0"/>
        <v>47.119656305424499</v>
      </c>
      <c r="U8">
        <f t="shared" si="1"/>
        <v>47.119656305424499</v>
      </c>
    </row>
    <row r="9" spans="1:21" customFormat="1" x14ac:dyDescent="0.2">
      <c r="A9" s="16" t="s">
        <v>39</v>
      </c>
      <c r="B9">
        <v>197.35987754242299</v>
      </c>
      <c r="C9">
        <v>13.404422501588501</v>
      </c>
      <c r="J9">
        <v>-0.56938331309956802</v>
      </c>
      <c r="R9">
        <f t="shared" si="0"/>
        <v>210.19491673091193</v>
      </c>
      <c r="U9">
        <f t="shared" si="1"/>
        <v>210.19491673091193</v>
      </c>
    </row>
    <row r="10" spans="1:21" customFormat="1" x14ac:dyDescent="0.2">
      <c r="A10" s="16" t="s">
        <v>40</v>
      </c>
      <c r="B10">
        <v>160.750915125923</v>
      </c>
      <c r="J10">
        <v>-8.9199705068599293</v>
      </c>
      <c r="R10">
        <f t="shared" si="0"/>
        <v>151.83094461906308</v>
      </c>
      <c r="U10">
        <f t="shared" si="1"/>
        <v>151.83094461906308</v>
      </c>
    </row>
    <row r="11" spans="1:21" customFormat="1" x14ac:dyDescent="0.2">
      <c r="A11" s="16" t="s">
        <v>27</v>
      </c>
      <c r="F11">
        <v>210.19491673091301</v>
      </c>
      <c r="G11">
        <v>151.83094461906299</v>
      </c>
      <c r="I11">
        <v>-1.04831560615291</v>
      </c>
      <c r="J11">
        <v>9.2961195650386692</v>
      </c>
      <c r="R11">
        <f t="shared" si="0"/>
        <v>370.27366530886178</v>
      </c>
      <c r="U11">
        <f t="shared" si="1"/>
        <v>370.27366530886178</v>
      </c>
    </row>
    <row r="12" spans="1:21" customFormat="1" x14ac:dyDescent="0.2">
      <c r="A12" s="16" t="s">
        <v>15</v>
      </c>
      <c r="J12">
        <v>3.0942212819586201</v>
      </c>
      <c r="K12">
        <v>1.26441178605988</v>
      </c>
      <c r="L12">
        <v>22.835773031616501</v>
      </c>
      <c r="M12">
        <v>5.8019989051458598</v>
      </c>
      <c r="N12">
        <v>0.14050545636419701</v>
      </c>
      <c r="O12">
        <v>15.9690196111452</v>
      </c>
      <c r="R12">
        <f t="shared" si="0"/>
        <v>49.105930072290256</v>
      </c>
      <c r="U12">
        <f t="shared" si="1"/>
        <v>49.105930072290256</v>
      </c>
    </row>
    <row r="13" spans="1:21" customFormat="1" x14ac:dyDescent="0.2">
      <c r="A13" s="16" t="s">
        <v>21</v>
      </c>
      <c r="D13">
        <v>101.710759383641</v>
      </c>
      <c r="R13">
        <f t="shared" si="0"/>
        <v>101.710759383641</v>
      </c>
      <c r="U13">
        <f t="shared" si="1"/>
        <v>101.710759383641</v>
      </c>
    </row>
    <row r="14" spans="1:21" customFormat="1" x14ac:dyDescent="0.2">
      <c r="A14" s="16" t="s">
        <v>29</v>
      </c>
      <c r="B14">
        <v>1.26441178605988</v>
      </c>
      <c r="R14">
        <f t="shared" si="0"/>
        <v>1.26441178605988</v>
      </c>
      <c r="U14">
        <f t="shared" si="1"/>
        <v>1.26441178605988</v>
      </c>
    </row>
    <row r="15" spans="1:21" customFormat="1" x14ac:dyDescent="0.2">
      <c r="A15" s="16" t="s">
        <v>17</v>
      </c>
      <c r="D15">
        <v>22.835773031616501</v>
      </c>
      <c r="R15">
        <f t="shared" si="0"/>
        <v>22.835773031616501</v>
      </c>
      <c r="U15">
        <f t="shared" si="1"/>
        <v>22.835773031616501</v>
      </c>
    </row>
    <row r="16" spans="1:21" customFormat="1" x14ac:dyDescent="0.2">
      <c r="A16" s="16" t="s">
        <v>20</v>
      </c>
      <c r="D16">
        <v>5.8019989051458598</v>
      </c>
      <c r="R16">
        <f t="shared" si="0"/>
        <v>5.8019989051458598</v>
      </c>
      <c r="U16">
        <f t="shared" si="1"/>
        <v>5.8019989051458598</v>
      </c>
    </row>
    <row r="17" spans="1:21" customFormat="1" x14ac:dyDescent="0.2">
      <c r="A17" s="16" t="s">
        <v>22</v>
      </c>
      <c r="D17">
        <v>0.14050545636419701</v>
      </c>
      <c r="R17">
        <f t="shared" si="0"/>
        <v>0.14050545636419701</v>
      </c>
      <c r="U17">
        <f t="shared" si="1"/>
        <v>0.14050545636419701</v>
      </c>
    </row>
    <row r="18" spans="1:21" customFormat="1" x14ac:dyDescent="0.2">
      <c r="A18" s="16" t="s">
        <v>16</v>
      </c>
      <c r="H18">
        <v>15.9690196111452</v>
      </c>
      <c r="R18">
        <f t="shared" si="0"/>
        <v>15.9690196111452</v>
      </c>
      <c r="U18">
        <f t="shared" si="1"/>
        <v>15.9690196111452</v>
      </c>
    </row>
    <row r="19" spans="1:21" customFormat="1" x14ac:dyDescent="0.2">
      <c r="A19" s="16" t="s">
        <v>34</v>
      </c>
      <c r="H19">
        <v>29.8387362630233</v>
      </c>
      <c r="I19">
        <v>3.0345893730187399</v>
      </c>
      <c r="J19">
        <v>19.482077007306899</v>
      </c>
      <c r="R19">
        <f t="shared" si="0"/>
        <v>52.355402643348938</v>
      </c>
      <c r="U19">
        <f t="shared" si="1"/>
        <v>52.355402643348938</v>
      </c>
    </row>
    <row r="20" spans="1:21" customFormat="1" x14ac:dyDescent="0.2">
      <c r="A20" s="16" t="s">
        <v>30</v>
      </c>
      <c r="P20">
        <v>-24.801799782424599</v>
      </c>
      <c r="R20">
        <f>SUM(B20:Q20)</f>
        <v>-24.801799782424599</v>
      </c>
      <c r="U20">
        <f t="shared" si="1"/>
        <v>-24.801799782424599</v>
      </c>
    </row>
    <row r="21" spans="1:21" customFormat="1" x14ac:dyDescent="0.2">
      <c r="A21" s="16" t="s">
        <v>0</v>
      </c>
      <c r="B21">
        <f>SUM(B5:B20)</f>
        <v>614.63523400844986</v>
      </c>
      <c r="C21">
        <f t="shared" ref="C21:Q21" si="2">SUM(C5:C20)</f>
        <v>47.119656305424499</v>
      </c>
      <c r="D21">
        <f t="shared" si="2"/>
        <v>745.12427078521648</v>
      </c>
      <c r="E21">
        <f t="shared" si="2"/>
        <v>47.119656305424499</v>
      </c>
      <c r="F21">
        <f t="shared" si="2"/>
        <v>210.19491673091301</v>
      </c>
      <c r="G21">
        <f t="shared" si="2"/>
        <v>151.83094461906299</v>
      </c>
      <c r="H21">
        <f t="shared" si="2"/>
        <v>370.27366530886047</v>
      </c>
      <c r="I21">
        <f t="shared" si="2"/>
        <v>49.105930072290327</v>
      </c>
      <c r="J21">
        <f t="shared" si="2"/>
        <v>101.7107593836411</v>
      </c>
      <c r="K21">
        <f t="shared" si="2"/>
        <v>1.26441178605988</v>
      </c>
      <c r="L21">
        <f t="shared" si="2"/>
        <v>22.835773031616501</v>
      </c>
      <c r="M21">
        <f t="shared" si="2"/>
        <v>5.8019989051458598</v>
      </c>
      <c r="N21">
        <f t="shared" si="2"/>
        <v>0.14050545636419701</v>
      </c>
      <c r="O21">
        <f t="shared" si="2"/>
        <v>15.9690196111452</v>
      </c>
      <c r="P21">
        <f t="shared" si="2"/>
        <v>52.355402643349009</v>
      </c>
      <c r="Q21">
        <f t="shared" si="2"/>
        <v>-24.801799782424599</v>
      </c>
    </row>
    <row r="22" spans="1:21" customFormat="1" x14ac:dyDescent="0.2"/>
    <row r="23" spans="1:21" customFormat="1" x14ac:dyDescent="0.2"/>
    <row r="24" spans="1:21" ht="12.75" customHeight="1" x14ac:dyDescent="0.2">
      <c r="A24" s="1" t="s">
        <v>41</v>
      </c>
      <c r="B24" s="1">
        <f>$R5</f>
        <v>614.63523400844895</v>
      </c>
      <c r="C24" s="1">
        <f>$R6</f>
        <v>47.119656305424499</v>
      </c>
      <c r="D24" s="1">
        <f>$R7</f>
        <v>745.12427078521728</v>
      </c>
      <c r="E24" s="1">
        <f>$R8</f>
        <v>47.119656305424499</v>
      </c>
      <c r="F24" s="1">
        <f>$R9</f>
        <v>210.19491673091193</v>
      </c>
      <c r="G24" s="1">
        <f>$R10</f>
        <v>151.83094461906308</v>
      </c>
      <c r="H24" s="1">
        <f>$R11</f>
        <v>370.27366530886178</v>
      </c>
      <c r="I24" s="1">
        <f>$R12</f>
        <v>49.105930072290256</v>
      </c>
      <c r="J24" s="1">
        <f>$R13</f>
        <v>101.710759383641</v>
      </c>
      <c r="K24" s="1">
        <f>$R14</f>
        <v>1.26441178605988</v>
      </c>
      <c r="L24" s="1">
        <f>$R15</f>
        <v>22.835773031616501</v>
      </c>
      <c r="M24" s="1">
        <f>$R16</f>
        <v>5.8019989051458598</v>
      </c>
      <c r="N24" s="1">
        <f>$R17</f>
        <v>0.14050545636419701</v>
      </c>
      <c r="O24" s="1">
        <f>$R18</f>
        <v>15.9690196111452</v>
      </c>
      <c r="P24" s="1">
        <f>$R19</f>
        <v>52.355402643348938</v>
      </c>
      <c r="Q24" s="1">
        <f>$R20</f>
        <v>-24.801799782424599</v>
      </c>
    </row>
    <row r="25" spans="1:21" ht="12.75" customHeight="1" x14ac:dyDescent="0.2"/>
    <row r="26" spans="1:21" ht="12.75" customHeight="1" x14ac:dyDescent="0.2">
      <c r="A26" s="1" t="s">
        <v>44</v>
      </c>
      <c r="B26" s="1">
        <f>B21-B24</f>
        <v>9.0949470177292824E-13</v>
      </c>
      <c r="C26" s="1">
        <f t="shared" ref="C26:Q26" si="3">C21-C24</f>
        <v>0</v>
      </c>
      <c r="D26" s="1">
        <f t="shared" si="3"/>
        <v>0</v>
      </c>
      <c r="E26" s="1">
        <f t="shared" si="3"/>
        <v>0</v>
      </c>
      <c r="F26" s="1">
        <f t="shared" si="3"/>
        <v>1.0800249583553523E-12</v>
      </c>
      <c r="G26" s="1">
        <f t="shared" si="3"/>
        <v>0</v>
      </c>
      <c r="H26" s="1">
        <f t="shared" si="3"/>
        <v>-1.3073986337985843E-12</v>
      </c>
      <c r="I26" s="1">
        <f t="shared" si="3"/>
        <v>7.1054273576010019E-14</v>
      </c>
      <c r="J26" s="1">
        <f t="shared" si="3"/>
        <v>0</v>
      </c>
      <c r="K26" s="1">
        <f t="shared" si="3"/>
        <v>0</v>
      </c>
      <c r="L26" s="1">
        <f t="shared" si="3"/>
        <v>0</v>
      </c>
      <c r="M26" s="1">
        <f t="shared" si="3"/>
        <v>0</v>
      </c>
      <c r="N26" s="1">
        <f t="shared" si="3"/>
        <v>0</v>
      </c>
      <c r="O26" s="1">
        <f t="shared" si="3"/>
        <v>0</v>
      </c>
      <c r="P26" s="1">
        <f t="shared" si="3"/>
        <v>7.1054273576010019E-14</v>
      </c>
      <c r="Q26" s="1">
        <f t="shared" si="3"/>
        <v>0</v>
      </c>
    </row>
    <row r="27" spans="1:21" ht="12.75" customHeight="1" x14ac:dyDescent="0.2"/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/>
  </sheetViews>
  <sheetFormatPr baseColWidth="10" defaultRowHeight="12.75" x14ac:dyDescent="0.2"/>
  <sheetData>
    <row r="1" spans="1:3" s="3" customFormat="1" x14ac:dyDescent="0.2">
      <c r="A1" s="3" t="s">
        <v>42</v>
      </c>
    </row>
    <row r="2" spans="1:3" x14ac:dyDescent="0.2">
      <c r="A2" s="10"/>
      <c r="B2" s="11" t="s">
        <v>23</v>
      </c>
      <c r="C2" s="11" t="s">
        <v>24</v>
      </c>
    </row>
    <row r="3" spans="1:3" x14ac:dyDescent="0.2">
      <c r="A3" s="10" t="s">
        <v>37</v>
      </c>
      <c r="B3" s="10">
        <v>2</v>
      </c>
      <c r="C3" s="10">
        <v>2</v>
      </c>
    </row>
    <row r="4" spans="1:3" x14ac:dyDescent="0.2">
      <c r="A4" s="10" t="s">
        <v>38</v>
      </c>
      <c r="B4" s="10">
        <v>2</v>
      </c>
      <c r="C4" s="10">
        <v>2</v>
      </c>
    </row>
    <row r="5" spans="1:3" x14ac:dyDescent="0.2">
      <c r="A5" s="10"/>
      <c r="B5" s="10"/>
      <c r="C5" s="10"/>
    </row>
    <row r="6" spans="1:3" x14ac:dyDescent="0.2">
      <c r="A6" s="10"/>
      <c r="B6" s="10"/>
      <c r="C6" s="10"/>
    </row>
    <row r="7" spans="1:3" x14ac:dyDescent="0.2">
      <c r="A7" s="10"/>
      <c r="B7" s="10"/>
      <c r="C7" s="10"/>
    </row>
    <row r="8" spans="1:3" x14ac:dyDescent="0.2">
      <c r="A8" s="10"/>
      <c r="B8" s="10"/>
      <c r="C8" s="10"/>
    </row>
    <row r="9" spans="1:3" x14ac:dyDescent="0.2">
      <c r="A9" s="10"/>
      <c r="B9" s="10"/>
      <c r="C9" s="10"/>
    </row>
    <row r="10" spans="1:3" x14ac:dyDescent="0.2">
      <c r="A10" s="10"/>
      <c r="B10" s="10"/>
      <c r="C10" s="10"/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/>
  </sheetViews>
  <sheetFormatPr baseColWidth="10" defaultRowHeight="12.75" x14ac:dyDescent="0.2"/>
  <cols>
    <col min="1" max="1" width="3.5703125" bestFit="1" customWidth="1"/>
    <col min="2" max="2" width="7.5703125" bestFit="1" customWidth="1"/>
    <col min="3" max="3" width="10.28515625" bestFit="1" customWidth="1"/>
    <col min="4" max="4" width="5.140625" bestFit="1" customWidth="1"/>
    <col min="5" max="5" width="5.42578125" bestFit="1" customWidth="1"/>
  </cols>
  <sheetData>
    <row r="1" spans="1:5" s="1" customFormat="1" x14ac:dyDescent="0.2">
      <c r="D1" s="4" t="s">
        <v>6</v>
      </c>
      <c r="E1" s="4" t="s">
        <v>7</v>
      </c>
    </row>
    <row r="2" spans="1:5" s="1" customFormat="1" x14ac:dyDescent="0.2">
      <c r="A2" s="1" t="s">
        <v>8</v>
      </c>
      <c r="B2" s="1" t="s">
        <v>2</v>
      </c>
      <c r="C2" s="1" t="s">
        <v>9</v>
      </c>
      <c r="D2" s="5">
        <v>1</v>
      </c>
      <c r="E2" s="5">
        <v>0</v>
      </c>
    </row>
    <row r="3" spans="1:5" s="1" customFormat="1" x14ac:dyDescent="0.2">
      <c r="A3" s="6" t="s">
        <v>8</v>
      </c>
      <c r="B3" s="1" t="s">
        <v>3</v>
      </c>
      <c r="C3" s="1" t="s">
        <v>10</v>
      </c>
      <c r="D3" s="1">
        <v>1</v>
      </c>
      <c r="E3" s="1">
        <v>0</v>
      </c>
    </row>
    <row r="4" spans="1:5" s="1" customFormat="1" x14ac:dyDescent="0.2">
      <c r="A4" s="6" t="s">
        <v>8</v>
      </c>
      <c r="B4" s="1" t="s">
        <v>1</v>
      </c>
      <c r="C4" s="1" t="s">
        <v>11</v>
      </c>
      <c r="D4" s="1">
        <v>1</v>
      </c>
      <c r="E4" s="1">
        <v>0</v>
      </c>
    </row>
    <row r="5" spans="1:5" x14ac:dyDescent="0.2">
      <c r="A5" s="6" t="s">
        <v>8</v>
      </c>
      <c r="B5" s="2" t="s">
        <v>19</v>
      </c>
      <c r="C5" s="2" t="s">
        <v>12</v>
      </c>
      <c r="D5">
        <v>1</v>
      </c>
      <c r="E5">
        <v>0</v>
      </c>
    </row>
    <row r="6" spans="1:5" x14ac:dyDescent="0.2">
      <c r="A6" s="8" t="s">
        <v>13</v>
      </c>
      <c r="B6" s="7" t="s">
        <v>14</v>
      </c>
      <c r="C6" s="2" t="s">
        <v>31</v>
      </c>
      <c r="D6">
        <v>1</v>
      </c>
      <c r="E6">
        <v>1</v>
      </c>
    </row>
    <row r="7" spans="1:5" x14ac:dyDescent="0.2">
      <c r="A7" s="8" t="s">
        <v>13</v>
      </c>
      <c r="B7" s="7" t="s">
        <v>25</v>
      </c>
      <c r="C7" s="2" t="s">
        <v>26</v>
      </c>
      <c r="D7">
        <v>1</v>
      </c>
      <c r="E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sets</vt:lpstr>
      <vt:lpstr>SAM</vt:lpstr>
      <vt:lpstr>tradelas</vt:lpstr>
      <vt:lpstr>layout</vt:lpstr>
    </vt:vector>
  </TitlesOfParts>
  <Company>Depeco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Laboratorio</dc:creator>
  <cp:lastModifiedBy>Juan Menduiña</cp:lastModifiedBy>
  <dcterms:created xsi:type="dcterms:W3CDTF">2005-07-01T13:02:02Z</dcterms:created>
  <dcterms:modified xsi:type="dcterms:W3CDTF">2021-06-12T23:08:33Z</dcterms:modified>
</cp:coreProperties>
</file>