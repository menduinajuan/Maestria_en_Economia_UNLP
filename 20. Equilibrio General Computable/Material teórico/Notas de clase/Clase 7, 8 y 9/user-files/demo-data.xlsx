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2. Equilibrio General Computable\Material teórico\Notas de clase\Clase 7, 8 y 9\user-files\"/>
    </mc:Choice>
  </mc:AlternateContent>
  <xr:revisionPtr revIDLastSave="0" documentId="13_ncr:1_{86558023-DD7D-4430-8620-13ED02EFB4AA}" xr6:coauthVersionLast="47" xr6:coauthVersionMax="47" xr10:uidLastSave="{00000000-0000-0000-0000-000000000000}"/>
  <bookViews>
    <workbookView xWindow="-120" yWindow="-120" windowWidth="20730" windowHeight="11760" tabRatio="784" xr2:uid="{00000000-000D-0000-FFFF-FFFF00000000}"/>
  </bookViews>
  <sheets>
    <sheet name="sets" sheetId="3" r:id="rId1"/>
    <sheet name="SAM" sheetId="2" r:id="rId2"/>
    <sheet name="tradelas" sheetId="5" r:id="rId3"/>
    <sheet name="layout" sheetId="4" r:id="rId4"/>
  </sheets>
  <calcPr calcId="191029"/>
</workbook>
</file>

<file path=xl/calcChain.xml><?xml version="1.0" encoding="utf-8"?>
<calcChain xmlns="http://schemas.openxmlformats.org/spreadsheetml/2006/main">
  <c r="O14" i="2" l="1"/>
  <c r="R14" i="2" s="1"/>
  <c r="O13" i="2"/>
  <c r="R13" i="2" s="1"/>
  <c r="O12" i="2"/>
  <c r="K19" i="2" s="1"/>
  <c r="O11" i="2"/>
  <c r="J19" i="2" s="1"/>
  <c r="O10" i="2"/>
  <c r="R10" i="2" s="1"/>
  <c r="O9" i="2"/>
  <c r="R9" i="2" s="1"/>
  <c r="O8" i="2"/>
  <c r="R8" i="2" s="1"/>
  <c r="O7" i="2"/>
  <c r="R7" i="2" s="1"/>
  <c r="O6" i="2"/>
  <c r="E19" i="2" s="1"/>
  <c r="O5" i="2"/>
  <c r="D19" i="2" s="1"/>
  <c r="O4" i="2"/>
  <c r="R4" i="2" s="1"/>
  <c r="O3" i="2"/>
  <c r="R3" i="2" s="1"/>
  <c r="O15" i="2"/>
  <c r="R15" i="2" s="1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G19" i="2"/>
  <c r="B19" i="2" l="1"/>
  <c r="B21" i="2" s="1"/>
  <c r="C19" i="2"/>
  <c r="C21" i="2" s="1"/>
  <c r="F19" i="2"/>
  <c r="F21" i="2" s="1"/>
  <c r="J21" i="2"/>
  <c r="K21" i="2"/>
  <c r="R12" i="2"/>
  <c r="E21" i="2"/>
  <c r="D21" i="2"/>
  <c r="L19" i="2"/>
  <c r="L21" i="2" s="1"/>
  <c r="R11" i="2"/>
  <c r="R5" i="2"/>
  <c r="I19" i="2"/>
  <c r="I21" i="2" s="1"/>
  <c r="M19" i="2"/>
  <c r="M21" i="2" s="1"/>
  <c r="R6" i="2"/>
  <c r="G21" i="2"/>
  <c r="N19" i="2"/>
  <c r="N21" i="2" s="1"/>
  <c r="H19" i="2"/>
  <c r="H21" i="2" s="1"/>
</calcChain>
</file>

<file path=xl/sharedStrings.xml><?xml version="1.0" encoding="utf-8"?>
<sst xmlns="http://schemas.openxmlformats.org/spreadsheetml/2006/main" count="83" uniqueCount="41">
  <si>
    <t>total</t>
  </si>
  <si>
    <t>c</t>
  </si>
  <si>
    <t>a-agr</t>
  </si>
  <si>
    <t>a-nagr</t>
  </si>
  <si>
    <t>c-agr</t>
  </si>
  <si>
    <t>c-nagr</t>
  </si>
  <si>
    <t>SAM(ac,ac)</t>
  </si>
  <si>
    <t>ac</t>
  </si>
  <si>
    <t>a</t>
  </si>
  <si>
    <t>a(ac)</t>
  </si>
  <si>
    <t>c(ac)</t>
  </si>
  <si>
    <t>rdim</t>
  </si>
  <si>
    <t>cdim</t>
  </si>
  <si>
    <t>set</t>
  </si>
  <si>
    <t>sets!a2</t>
  </si>
  <si>
    <t>sets!b2</t>
  </si>
  <si>
    <t>sets!c2</t>
  </si>
  <si>
    <t>sets!d2</t>
  </si>
  <si>
    <t>par</t>
  </si>
  <si>
    <t>SAM</t>
  </si>
  <si>
    <t>SAM!A2</t>
  </si>
  <si>
    <t>sav-inv</t>
  </si>
  <si>
    <t>gov</t>
  </si>
  <si>
    <t>tax-dir</t>
  </si>
  <si>
    <t>tax-com</t>
  </si>
  <si>
    <t>ins(ac)</t>
  </si>
  <si>
    <t>ins</t>
  </si>
  <si>
    <t>tax-imp</t>
  </si>
  <si>
    <t>row</t>
  </si>
  <si>
    <t>tax-exp</t>
  </si>
  <si>
    <t>tradelas(c,idat)</t>
  </si>
  <si>
    <t>sigma_Q</t>
  </si>
  <si>
    <t>sigma_X</t>
  </si>
  <si>
    <t>tradelas</t>
  </si>
  <si>
    <t>tradelas!A2</t>
  </si>
  <si>
    <t>tot row</t>
  </si>
  <si>
    <t>diff</t>
  </si>
  <si>
    <t>hhd</t>
  </si>
  <si>
    <t>lab</t>
  </si>
  <si>
    <t>cap</t>
  </si>
  <si>
    <t>total 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</si>
</sst>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3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2" borderId="0" xfId="0" applyFont="1" applyFill="1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2" applyFont="1"/>
    <xf numFmtId="0" fontId="0" fillId="0" borderId="0" xfId="0" applyFont="1" applyAlignment="1">
      <alignment vertical="center"/>
    </xf>
    <xf numFmtId="0" fontId="2" fillId="0" borderId="0" xfId="2" applyFont="1" applyFill="1"/>
    <xf numFmtId="0" fontId="2" fillId="0" borderId="0" xfId="0" applyFont="1"/>
    <xf numFmtId="0" fontId="2" fillId="0" borderId="0" xfId="0" applyFont="1" applyAlignment="1">
      <alignment horizontal="right"/>
    </xf>
    <xf numFmtId="0" fontId="0" fillId="3" borderId="0" xfId="0" applyFill="1"/>
    <xf numFmtId="0" fontId="2" fillId="3" borderId="0" xfId="0" applyFont="1" applyFill="1" applyAlignment="1">
      <alignment horizontal="right"/>
    </xf>
  </cellXfs>
  <cellStyles count="3">
    <cellStyle name="Normal" xfId="0" builtinId="0"/>
    <cellStyle name="Normal 2" xfId="1" xr:uid="{00000000-0005-0000-0000-000001000000}"/>
    <cellStyle name="Normal_aladi-ven-data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/>
  </sheetViews>
  <sheetFormatPr baseColWidth="10" defaultRowHeight="12.75" x14ac:dyDescent="0.2"/>
  <sheetData>
    <row r="1" spans="1:4" s="3" customFormat="1" x14ac:dyDescent="0.2">
      <c r="A1" s="3" t="s">
        <v>7</v>
      </c>
      <c r="B1" s="3" t="s">
        <v>9</v>
      </c>
      <c r="C1" s="3" t="s">
        <v>10</v>
      </c>
      <c r="D1" s="3" t="s">
        <v>25</v>
      </c>
    </row>
    <row r="2" spans="1:4" x14ac:dyDescent="0.2">
      <c r="A2" t="s">
        <v>2</v>
      </c>
      <c r="B2" t="s">
        <v>2</v>
      </c>
      <c r="C2" t="s">
        <v>4</v>
      </c>
      <c r="D2" t="s">
        <v>37</v>
      </c>
    </row>
    <row r="3" spans="1:4" x14ac:dyDescent="0.2">
      <c r="A3" t="s">
        <v>3</v>
      </c>
      <c r="B3" t="s">
        <v>3</v>
      </c>
      <c r="C3" t="s">
        <v>5</v>
      </c>
      <c r="D3" s="9" t="s">
        <v>22</v>
      </c>
    </row>
    <row r="4" spans="1:4" x14ac:dyDescent="0.2">
      <c r="A4" t="s">
        <v>4</v>
      </c>
      <c r="D4" t="s">
        <v>28</v>
      </c>
    </row>
    <row r="5" spans="1:4" x14ac:dyDescent="0.2">
      <c r="A5" t="s">
        <v>5</v>
      </c>
    </row>
    <row r="6" spans="1:4" x14ac:dyDescent="0.2">
      <c r="A6" t="s">
        <v>38</v>
      </c>
    </row>
    <row r="7" spans="1:4" x14ac:dyDescent="0.2">
      <c r="A7" t="s">
        <v>39</v>
      </c>
    </row>
    <row r="8" spans="1:4" x14ac:dyDescent="0.2">
      <c r="A8" t="s">
        <v>37</v>
      </c>
    </row>
    <row r="9" spans="1:4" x14ac:dyDescent="0.2">
      <c r="A9" t="s">
        <v>22</v>
      </c>
    </row>
    <row r="10" spans="1:4" x14ac:dyDescent="0.2">
      <c r="A10" t="s">
        <v>21</v>
      </c>
    </row>
    <row r="11" spans="1:4" x14ac:dyDescent="0.2">
      <c r="A11" t="s">
        <v>23</v>
      </c>
    </row>
    <row r="12" spans="1:4" x14ac:dyDescent="0.2">
      <c r="A12" t="s">
        <v>24</v>
      </c>
    </row>
    <row r="13" spans="1:4" x14ac:dyDescent="0.2">
      <c r="A13" s="9" t="s">
        <v>27</v>
      </c>
    </row>
    <row r="14" spans="1:4" x14ac:dyDescent="0.2">
      <c r="A14" s="9" t="s">
        <v>29</v>
      </c>
    </row>
    <row r="15" spans="1:4" x14ac:dyDescent="0.2">
      <c r="A15" t="s">
        <v>28</v>
      </c>
    </row>
    <row r="16" spans="1:4" x14ac:dyDescent="0.2">
      <c r="A16" t="s">
        <v>0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1"/>
  <sheetViews>
    <sheetView workbookViewId="0"/>
  </sheetViews>
  <sheetFormatPr baseColWidth="10" defaultColWidth="7.42578125" defaultRowHeight="12.75" x14ac:dyDescent="0.2"/>
  <sheetData>
    <row r="1" spans="1:18" s="3" customFormat="1" x14ac:dyDescent="0.2">
      <c r="A1" s="3" t="s">
        <v>6</v>
      </c>
    </row>
    <row r="2" spans="1:18" x14ac:dyDescent="0.2">
      <c r="B2" s="10" t="s">
        <v>2</v>
      </c>
      <c r="C2" s="10" t="s">
        <v>3</v>
      </c>
      <c r="D2" s="10" t="s">
        <v>4</v>
      </c>
      <c r="E2" s="10" t="s">
        <v>5</v>
      </c>
      <c r="F2" s="10" t="s">
        <v>38</v>
      </c>
      <c r="G2" s="10" t="s">
        <v>39</v>
      </c>
      <c r="H2" s="10" t="s">
        <v>37</v>
      </c>
      <c r="I2" s="10" t="s">
        <v>22</v>
      </c>
      <c r="J2" s="10" t="s">
        <v>21</v>
      </c>
      <c r="K2" s="10" t="s">
        <v>23</v>
      </c>
      <c r="L2" s="10" t="s">
        <v>24</v>
      </c>
      <c r="M2" s="10" t="s">
        <v>27</v>
      </c>
      <c r="N2" s="10" t="s">
        <v>28</v>
      </c>
      <c r="O2" s="10" t="s">
        <v>0</v>
      </c>
      <c r="R2" s="10" t="s">
        <v>40</v>
      </c>
    </row>
    <row r="3" spans="1:18" x14ac:dyDescent="0.2">
      <c r="A3" t="s">
        <v>2</v>
      </c>
      <c r="D3">
        <v>279</v>
      </c>
      <c r="O3">
        <f t="shared" ref="O3:O15" si="0">SUM(B3:N3)</f>
        <v>279</v>
      </c>
      <c r="R3">
        <f t="shared" ref="R3:R15" si="1">$O3</f>
        <v>279</v>
      </c>
    </row>
    <row r="4" spans="1:18" x14ac:dyDescent="0.2">
      <c r="A4" t="s">
        <v>3</v>
      </c>
      <c r="E4">
        <v>394</v>
      </c>
      <c r="O4">
        <f t="shared" si="0"/>
        <v>394</v>
      </c>
      <c r="R4">
        <f t="shared" si="1"/>
        <v>394</v>
      </c>
    </row>
    <row r="5" spans="1:18" x14ac:dyDescent="0.2">
      <c r="A5" t="s">
        <v>4</v>
      </c>
      <c r="B5">
        <v>84</v>
      </c>
      <c r="C5">
        <v>55</v>
      </c>
      <c r="H5">
        <v>79</v>
      </c>
      <c r="I5">
        <v>13</v>
      </c>
      <c r="J5">
        <v>28</v>
      </c>
      <c r="N5">
        <v>30</v>
      </c>
      <c r="O5">
        <f t="shared" si="0"/>
        <v>289</v>
      </c>
      <c r="R5">
        <f t="shared" si="1"/>
        <v>289</v>
      </c>
    </row>
    <row r="6" spans="1:18" x14ac:dyDescent="0.2">
      <c r="A6" t="s">
        <v>5</v>
      </c>
      <c r="B6">
        <v>50</v>
      </c>
      <c r="C6">
        <v>99</v>
      </c>
      <c r="H6">
        <v>257</v>
      </c>
      <c r="I6">
        <v>67</v>
      </c>
      <c r="J6">
        <v>85</v>
      </c>
      <c r="O6">
        <f t="shared" si="0"/>
        <v>558</v>
      </c>
      <c r="R6">
        <f t="shared" si="1"/>
        <v>558</v>
      </c>
    </row>
    <row r="7" spans="1:18" x14ac:dyDescent="0.2">
      <c r="A7" t="s">
        <v>38</v>
      </c>
      <c r="B7">
        <v>72</v>
      </c>
      <c r="C7">
        <v>105</v>
      </c>
      <c r="O7">
        <f t="shared" si="0"/>
        <v>177</v>
      </c>
      <c r="R7">
        <f t="shared" si="1"/>
        <v>177</v>
      </c>
    </row>
    <row r="8" spans="1:18" x14ac:dyDescent="0.2">
      <c r="A8" t="s">
        <v>39</v>
      </c>
      <c r="B8">
        <v>73</v>
      </c>
      <c r="C8">
        <v>135</v>
      </c>
      <c r="N8">
        <v>-10</v>
      </c>
      <c r="O8">
        <f t="shared" si="0"/>
        <v>198</v>
      </c>
      <c r="R8">
        <f t="shared" si="1"/>
        <v>198</v>
      </c>
    </row>
    <row r="9" spans="1:18" x14ac:dyDescent="0.2">
      <c r="A9" t="s">
        <v>37</v>
      </c>
      <c r="F9">
        <v>177</v>
      </c>
      <c r="G9">
        <v>198</v>
      </c>
      <c r="I9">
        <v>30</v>
      </c>
      <c r="N9">
        <v>66</v>
      </c>
      <c r="O9">
        <f t="shared" si="0"/>
        <v>471</v>
      </c>
      <c r="R9">
        <f t="shared" si="1"/>
        <v>471</v>
      </c>
    </row>
    <row r="10" spans="1:18" x14ac:dyDescent="0.2">
      <c r="A10" t="s">
        <v>22</v>
      </c>
      <c r="K10">
        <v>25</v>
      </c>
      <c r="L10">
        <v>30</v>
      </c>
      <c r="M10">
        <v>39</v>
      </c>
      <c r="N10">
        <v>15</v>
      </c>
      <c r="O10">
        <f t="shared" si="0"/>
        <v>109</v>
      </c>
      <c r="R10">
        <f t="shared" si="1"/>
        <v>109</v>
      </c>
    </row>
    <row r="11" spans="1:18" x14ac:dyDescent="0.2">
      <c r="A11" t="s">
        <v>21</v>
      </c>
      <c r="H11">
        <v>110</v>
      </c>
      <c r="I11">
        <v>-1</v>
      </c>
      <c r="N11">
        <v>4</v>
      </c>
      <c r="O11">
        <f t="shared" si="0"/>
        <v>113</v>
      </c>
      <c r="R11">
        <f t="shared" si="1"/>
        <v>113</v>
      </c>
    </row>
    <row r="12" spans="1:18" x14ac:dyDescent="0.2">
      <c r="A12" t="s">
        <v>23</v>
      </c>
      <c r="H12">
        <v>25</v>
      </c>
      <c r="O12">
        <f t="shared" si="0"/>
        <v>25</v>
      </c>
      <c r="R12">
        <f t="shared" si="1"/>
        <v>25</v>
      </c>
    </row>
    <row r="13" spans="1:18" x14ac:dyDescent="0.2">
      <c r="A13" t="s">
        <v>24</v>
      </c>
      <c r="D13">
        <v>10</v>
      </c>
      <c r="E13">
        <v>20</v>
      </c>
      <c r="O13">
        <f t="shared" si="0"/>
        <v>30</v>
      </c>
      <c r="R13">
        <f t="shared" si="1"/>
        <v>30</v>
      </c>
    </row>
    <row r="14" spans="1:18" x14ac:dyDescent="0.2">
      <c r="A14" t="s">
        <v>27</v>
      </c>
      <c r="E14">
        <v>39</v>
      </c>
      <c r="O14">
        <f t="shared" si="0"/>
        <v>39</v>
      </c>
      <c r="R14">
        <f t="shared" si="1"/>
        <v>39</v>
      </c>
    </row>
    <row r="15" spans="1:18" x14ac:dyDescent="0.2">
      <c r="A15" t="s">
        <v>28</v>
      </c>
      <c r="E15">
        <v>105</v>
      </c>
      <c r="O15">
        <f t="shared" si="0"/>
        <v>105</v>
      </c>
      <c r="R15">
        <f t="shared" si="1"/>
        <v>105</v>
      </c>
    </row>
    <row r="16" spans="1:18" x14ac:dyDescent="0.2">
      <c r="A16" t="s">
        <v>0</v>
      </c>
      <c r="B16">
        <f t="shared" ref="B16:N16" si="2">SUM(B3:B15)</f>
        <v>279</v>
      </c>
      <c r="C16">
        <f t="shared" si="2"/>
        <v>394</v>
      </c>
      <c r="D16">
        <f t="shared" si="2"/>
        <v>289</v>
      </c>
      <c r="E16">
        <f t="shared" si="2"/>
        <v>558</v>
      </c>
      <c r="F16">
        <f t="shared" si="2"/>
        <v>177</v>
      </c>
      <c r="G16">
        <f t="shared" si="2"/>
        <v>198</v>
      </c>
      <c r="H16">
        <f t="shared" si="2"/>
        <v>471</v>
      </c>
      <c r="I16">
        <f t="shared" si="2"/>
        <v>109</v>
      </c>
      <c r="J16">
        <f t="shared" si="2"/>
        <v>113</v>
      </c>
      <c r="K16">
        <f t="shared" si="2"/>
        <v>25</v>
      </c>
      <c r="L16">
        <f t="shared" si="2"/>
        <v>30</v>
      </c>
      <c r="M16">
        <f t="shared" si="2"/>
        <v>39</v>
      </c>
      <c r="N16">
        <f t="shared" si="2"/>
        <v>105</v>
      </c>
    </row>
    <row r="19" spans="1:14" x14ac:dyDescent="0.2">
      <c r="A19" t="s">
        <v>35</v>
      </c>
      <c r="B19">
        <f>$O3</f>
        <v>279</v>
      </c>
      <c r="C19">
        <f>$O4</f>
        <v>394</v>
      </c>
      <c r="D19">
        <f>$O5</f>
        <v>289</v>
      </c>
      <c r="E19">
        <f>$O6</f>
        <v>558</v>
      </c>
      <c r="F19">
        <f>$O7</f>
        <v>177</v>
      </c>
      <c r="G19">
        <f>$O8</f>
        <v>198</v>
      </c>
      <c r="H19">
        <f>$O9</f>
        <v>471</v>
      </c>
      <c r="I19">
        <f>$O10</f>
        <v>109</v>
      </c>
      <c r="J19">
        <f>$O11</f>
        <v>113</v>
      </c>
      <c r="K19">
        <f>$O12</f>
        <v>25</v>
      </c>
      <c r="L19">
        <f>$O13</f>
        <v>30</v>
      </c>
      <c r="M19">
        <f>$O14</f>
        <v>39</v>
      </c>
      <c r="N19">
        <f>$O15</f>
        <v>105</v>
      </c>
    </row>
    <row r="21" spans="1:14" x14ac:dyDescent="0.2">
      <c r="A21" t="s">
        <v>36</v>
      </c>
      <c r="B21">
        <f>B16-B19</f>
        <v>0</v>
      </c>
      <c r="C21">
        <f t="shared" ref="C21:N21" si="3">C16-C19</f>
        <v>0</v>
      </c>
      <c r="D21">
        <f t="shared" si="3"/>
        <v>0</v>
      </c>
      <c r="E21">
        <f t="shared" si="3"/>
        <v>0</v>
      </c>
      <c r="F21">
        <f t="shared" si="3"/>
        <v>0</v>
      </c>
      <c r="G21">
        <f t="shared" si="3"/>
        <v>0</v>
      </c>
      <c r="H21">
        <f t="shared" si="3"/>
        <v>0</v>
      </c>
      <c r="I21">
        <f t="shared" si="3"/>
        <v>0</v>
      </c>
      <c r="J21">
        <f t="shared" si="3"/>
        <v>0</v>
      </c>
      <c r="K21">
        <f t="shared" si="3"/>
        <v>0</v>
      </c>
      <c r="L21">
        <f t="shared" si="3"/>
        <v>0</v>
      </c>
      <c r="M21">
        <f t="shared" si="3"/>
        <v>0</v>
      </c>
      <c r="N21">
        <f t="shared" si="3"/>
        <v>0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baseColWidth="10" defaultRowHeight="12.75" x14ac:dyDescent="0.2"/>
  <sheetData>
    <row r="1" spans="1:3" s="3" customFormat="1" x14ac:dyDescent="0.2">
      <c r="A1" s="3" t="s">
        <v>30</v>
      </c>
    </row>
    <row r="2" spans="1:3" x14ac:dyDescent="0.2">
      <c r="A2" s="11"/>
      <c r="B2" s="12" t="s">
        <v>31</v>
      </c>
      <c r="C2" s="12" t="s">
        <v>32</v>
      </c>
    </row>
    <row r="3" spans="1:3" x14ac:dyDescent="0.2">
      <c r="A3" s="11" t="s">
        <v>4</v>
      </c>
      <c r="B3" s="11">
        <v>4</v>
      </c>
      <c r="C3" s="11">
        <v>8</v>
      </c>
    </row>
    <row r="4" spans="1:3" x14ac:dyDescent="0.2">
      <c r="A4" s="11" t="s">
        <v>5</v>
      </c>
      <c r="B4" s="11">
        <v>4</v>
      </c>
      <c r="C4" s="11">
        <v>8</v>
      </c>
    </row>
    <row r="5" spans="1:3" x14ac:dyDescent="0.2">
      <c r="A5" s="11"/>
      <c r="B5" s="11"/>
      <c r="C5" s="11"/>
    </row>
    <row r="6" spans="1:3" x14ac:dyDescent="0.2">
      <c r="A6" s="11"/>
      <c r="B6" s="11"/>
      <c r="C6" s="11"/>
    </row>
    <row r="7" spans="1:3" x14ac:dyDescent="0.2">
      <c r="A7" s="11"/>
      <c r="B7" s="11"/>
      <c r="C7" s="11"/>
    </row>
    <row r="8" spans="1:3" x14ac:dyDescent="0.2">
      <c r="A8" s="11"/>
      <c r="B8" s="11"/>
      <c r="C8" s="11"/>
    </row>
    <row r="9" spans="1:3" x14ac:dyDescent="0.2">
      <c r="A9" s="11"/>
      <c r="B9" s="11"/>
      <c r="C9" s="11"/>
    </row>
    <row r="10" spans="1:3" x14ac:dyDescent="0.2">
      <c r="A10" s="11"/>
      <c r="B10" s="11"/>
      <c r="C10" s="11"/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/>
  </sheetViews>
  <sheetFormatPr baseColWidth="10" defaultRowHeight="12.75" x14ac:dyDescent="0.2"/>
  <cols>
    <col min="1" max="1" width="3.5703125" bestFit="1" customWidth="1"/>
    <col min="2" max="2" width="7.5703125" bestFit="1" customWidth="1"/>
    <col min="3" max="3" width="10.28515625" bestFit="1" customWidth="1"/>
    <col min="4" max="4" width="5.140625" bestFit="1" customWidth="1"/>
    <col min="5" max="5" width="5.42578125" bestFit="1" customWidth="1"/>
  </cols>
  <sheetData>
    <row r="1" spans="1:5" s="1" customFormat="1" x14ac:dyDescent="0.2">
      <c r="D1" s="4" t="s">
        <v>11</v>
      </c>
      <c r="E1" s="4" t="s">
        <v>12</v>
      </c>
    </row>
    <row r="2" spans="1:5" s="1" customFormat="1" x14ac:dyDescent="0.2">
      <c r="A2" s="1" t="s">
        <v>13</v>
      </c>
      <c r="B2" s="1" t="s">
        <v>7</v>
      </c>
      <c r="C2" s="1" t="s">
        <v>14</v>
      </c>
      <c r="D2" s="5">
        <v>1</v>
      </c>
      <c r="E2" s="5">
        <v>0</v>
      </c>
    </row>
    <row r="3" spans="1:5" s="1" customFormat="1" x14ac:dyDescent="0.2">
      <c r="A3" s="6" t="s">
        <v>13</v>
      </c>
      <c r="B3" s="1" t="s">
        <v>8</v>
      </c>
      <c r="C3" s="1" t="s">
        <v>15</v>
      </c>
      <c r="D3" s="1">
        <v>1</v>
      </c>
      <c r="E3" s="1">
        <v>0</v>
      </c>
    </row>
    <row r="4" spans="1:5" s="1" customFormat="1" x14ac:dyDescent="0.2">
      <c r="A4" s="6" t="s">
        <v>13</v>
      </c>
      <c r="B4" s="1" t="s">
        <v>1</v>
      </c>
      <c r="C4" s="1" t="s">
        <v>16</v>
      </c>
      <c r="D4" s="1">
        <v>1</v>
      </c>
      <c r="E4" s="1">
        <v>0</v>
      </c>
    </row>
    <row r="5" spans="1:5" x14ac:dyDescent="0.2">
      <c r="A5" s="6" t="s">
        <v>13</v>
      </c>
      <c r="B5" s="2" t="s">
        <v>26</v>
      </c>
      <c r="C5" s="2" t="s">
        <v>17</v>
      </c>
      <c r="D5">
        <v>1</v>
      </c>
      <c r="E5">
        <v>0</v>
      </c>
    </row>
    <row r="6" spans="1:5" x14ac:dyDescent="0.2">
      <c r="A6" s="8" t="s">
        <v>18</v>
      </c>
      <c r="B6" s="7" t="s">
        <v>19</v>
      </c>
      <c r="C6" s="2" t="s">
        <v>20</v>
      </c>
      <c r="D6">
        <v>1</v>
      </c>
      <c r="E6">
        <v>1</v>
      </c>
    </row>
    <row r="7" spans="1:5" x14ac:dyDescent="0.2">
      <c r="A7" s="8" t="s">
        <v>18</v>
      </c>
      <c r="B7" s="7" t="s">
        <v>33</v>
      </c>
      <c r="C7" s="2" t="s">
        <v>34</v>
      </c>
      <c r="D7">
        <v>1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sets</vt:lpstr>
      <vt:lpstr>SAM</vt:lpstr>
      <vt:lpstr>tradelas</vt:lpstr>
      <vt:lpstr>layout</vt:lpstr>
    </vt:vector>
  </TitlesOfParts>
  <Company>Depeco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</dc:creator>
  <cp:lastModifiedBy>Juan Menduiña</cp:lastModifiedBy>
  <dcterms:created xsi:type="dcterms:W3CDTF">2005-07-01T13:02:02Z</dcterms:created>
  <dcterms:modified xsi:type="dcterms:W3CDTF">2021-06-12T23:08:53Z</dcterms:modified>
</cp:coreProperties>
</file>