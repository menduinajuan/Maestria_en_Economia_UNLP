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Trabajos Prácticos\Trabajo Práctico N° 4\Datos\"/>
    </mc:Choice>
  </mc:AlternateContent>
  <xr:revisionPtr revIDLastSave="0" documentId="13_ncr:1_{D2209643-E633-4527-B104-E72AD22B989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  <sheet name="tables" sheetId="6" r:id="rId5"/>
    <sheet name="tables-sim" sheetId="7" r:id="rId6"/>
  </sheets>
  <definedNames>
    <definedName name="qn">#REF!</definedName>
    <definedName name="qo210.">#REF!</definedName>
    <definedName name="QO21O">#REF!</definedName>
    <definedName name="TOTALD.21">#REF!</definedName>
    <definedName name="TOTALOFERTA">#REF!</definedName>
    <definedName name="TOTALP.1">#REF!</definedName>
    <definedName name="TOTALP.2">#REF!</definedName>
    <definedName name="TOTALP.3">#REF!</definedName>
    <definedName name="TOTALP.31HOG">#REF!</definedName>
    <definedName name="TOTALP.5">#REF!</definedName>
    <definedName name="TOTALP.51">#REF!</definedName>
    <definedName name="TOTALP.52">#REF!</definedName>
    <definedName name="TOTALP.6">#REF!</definedName>
    <definedName name="TOTALP.7">#REF!</definedName>
    <definedName name="TOTALP2EQ">#REF!</definedName>
    <definedName name="TOTALP31ISFLSH">#REF!</definedName>
    <definedName name="TOTALP3GOB">#REF!</definedName>
    <definedName name="TOTALUTILIZ.1">#REF!</definedName>
  </definedNames>
  <calcPr calcId="191029"/>
</workbook>
</file>

<file path=xl/calcChain.xml><?xml version="1.0" encoding="utf-8"?>
<calcChain xmlns="http://schemas.openxmlformats.org/spreadsheetml/2006/main">
  <c r="BB11" i="7" l="1"/>
  <c r="AZ11" i="7"/>
  <c r="AY11" i="7"/>
  <c r="BB15" i="7"/>
  <c r="AZ15" i="7"/>
  <c r="AY15" i="7"/>
  <c r="AU12" i="7"/>
  <c r="AV12" i="7" s="1"/>
  <c r="AS12" i="7"/>
  <c r="AR12" i="7"/>
  <c r="AU10" i="7"/>
  <c r="AS10" i="7"/>
  <c r="AR10" i="7"/>
  <c r="AV10" i="7" s="1"/>
  <c r="BC8" i="7"/>
  <c r="BA8" i="7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B35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35" i="2" s="1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" i="2"/>
  <c r="N6" i="6" s="1"/>
  <c r="F15" i="7"/>
  <c r="D15" i="7"/>
  <c r="BC15" i="7"/>
  <c r="BA15" i="7"/>
  <c r="F14" i="7"/>
  <c r="D14" i="7"/>
  <c r="BC14" i="7"/>
  <c r="BA14" i="7"/>
  <c r="F13" i="7"/>
  <c r="D13" i="7"/>
  <c r="BC13" i="7"/>
  <c r="BA13" i="7"/>
  <c r="AT12" i="7"/>
  <c r="F12" i="7"/>
  <c r="D12" i="7"/>
  <c r="BC12" i="7"/>
  <c r="BA12" i="7"/>
  <c r="AV11" i="7"/>
  <c r="AT11" i="7"/>
  <c r="AG10" i="7"/>
  <c r="AE10" i="7"/>
  <c r="AD10" i="7"/>
  <c r="Z10" i="7"/>
  <c r="X10" i="7"/>
  <c r="W10" i="7"/>
  <c r="S10" i="7"/>
  <c r="F11" i="7"/>
  <c r="D11" i="7"/>
  <c r="BC11" i="7"/>
  <c r="BA11" i="7"/>
  <c r="AH9" i="7"/>
  <c r="AF9" i="7"/>
  <c r="AA9" i="7"/>
  <c r="Y9" i="7"/>
  <c r="Q10" i="7"/>
  <c r="P10" i="7"/>
  <c r="M9" i="7"/>
  <c r="K9" i="7"/>
  <c r="I10" i="7"/>
  <c r="F10" i="7"/>
  <c r="D10" i="7"/>
  <c r="BC10" i="7"/>
  <c r="BA10" i="7"/>
  <c r="AV9" i="7"/>
  <c r="AT9" i="7"/>
  <c r="AH8" i="7"/>
  <c r="AF8" i="7"/>
  <c r="AA8" i="7"/>
  <c r="Y8" i="7"/>
  <c r="T8" i="7"/>
  <c r="R8" i="7"/>
  <c r="M8" i="7"/>
  <c r="K8" i="7"/>
  <c r="F9" i="7"/>
  <c r="D9" i="7"/>
  <c r="BC9" i="7"/>
  <c r="BA9" i="7"/>
  <c r="AV8" i="7"/>
  <c r="AT8" i="7"/>
  <c r="AH7" i="7"/>
  <c r="AF7" i="7"/>
  <c r="AA7" i="7"/>
  <c r="Y7" i="7"/>
  <c r="T7" i="7"/>
  <c r="R7" i="7"/>
  <c r="M7" i="7"/>
  <c r="J10" i="7"/>
  <c r="K10" i="7" s="1"/>
  <c r="F8" i="7"/>
  <c r="D8" i="7"/>
  <c r="BC7" i="7"/>
  <c r="BA7" i="7"/>
  <c r="AV7" i="7"/>
  <c r="AT7" i="7"/>
  <c r="F7" i="7"/>
  <c r="D7" i="7"/>
  <c r="BC6" i="7"/>
  <c r="BA6" i="7"/>
  <c r="AV6" i="7"/>
  <c r="AT6" i="7"/>
  <c r="AO6" i="7"/>
  <c r="AM6" i="7"/>
  <c r="AH6" i="7"/>
  <c r="AF6" i="7"/>
  <c r="AA6" i="7"/>
  <c r="Y6" i="7"/>
  <c r="T6" i="7"/>
  <c r="R6" i="7"/>
  <c r="M6" i="7"/>
  <c r="K6" i="7"/>
  <c r="F6" i="7"/>
  <c r="D6" i="7"/>
  <c r="BC5" i="7"/>
  <c r="BA5" i="7"/>
  <c r="AV5" i="7"/>
  <c r="AT5" i="7"/>
  <c r="AO5" i="7"/>
  <c r="AM5" i="7"/>
  <c r="AH5" i="7"/>
  <c r="AF5" i="7"/>
  <c r="AA5" i="7"/>
  <c r="Y5" i="7"/>
  <c r="T5" i="7"/>
  <c r="R5" i="7"/>
  <c r="M5" i="7"/>
  <c r="K5" i="7"/>
  <c r="F5" i="7"/>
  <c r="D5" i="7"/>
  <c r="N7" i="6"/>
  <c r="S5" i="6"/>
  <c r="Q8" i="6"/>
  <c r="Q6" i="6"/>
  <c r="AT10" i="7" l="1"/>
  <c r="AA10" i="7"/>
  <c r="AH10" i="7"/>
  <c r="N4" i="6"/>
  <c r="P5" i="6"/>
  <c r="N5" i="6"/>
  <c r="N8" i="6"/>
  <c r="P7" i="6"/>
  <c r="P6" i="6"/>
  <c r="P4" i="6"/>
  <c r="P8" i="6"/>
  <c r="T10" i="7"/>
  <c r="R10" i="7"/>
  <c r="Y10" i="7"/>
  <c r="AF10" i="7"/>
  <c r="T9" i="7"/>
  <c r="L10" i="7"/>
  <c r="M10" i="7" s="1"/>
  <c r="R9" i="7"/>
  <c r="K7" i="7"/>
  <c r="T9" i="6"/>
  <c r="T8" i="6"/>
  <c r="T7" i="6"/>
  <c r="T6" i="6"/>
  <c r="T5" i="6"/>
  <c r="T4" i="6"/>
  <c r="R4" i="6"/>
  <c r="R5" i="6"/>
  <c r="R6" i="6"/>
  <c r="R8" i="6"/>
  <c r="R7" i="6"/>
  <c r="O8" i="6" l="1"/>
  <c r="O7" i="6"/>
  <c r="O6" i="6"/>
  <c r="O5" i="6"/>
  <c r="O4" i="6"/>
  <c r="AG8" i="6"/>
  <c r="AF8" i="6"/>
  <c r="AE8" i="6"/>
  <c r="AD8" i="6"/>
  <c r="AC8" i="6"/>
  <c r="AB8" i="6"/>
  <c r="AB6" i="6"/>
  <c r="AG6" i="6"/>
  <c r="AF6" i="6"/>
  <c r="AE6" i="6"/>
  <c r="AD6" i="6"/>
  <c r="AC6" i="6"/>
  <c r="X8" i="6"/>
  <c r="W8" i="6"/>
  <c r="X6" i="6"/>
  <c r="W6" i="6"/>
  <c r="S6" i="6"/>
  <c r="S8" i="6"/>
  <c r="R9" i="6"/>
  <c r="W4" i="6"/>
  <c r="AM7" i="6" l="1"/>
  <c r="AL6" i="6"/>
  <c r="AL4" i="6"/>
  <c r="AK9" i="6"/>
  <c r="AK8" i="6"/>
  <c r="AK6" i="6"/>
  <c r="AK5" i="6"/>
  <c r="AG9" i="6"/>
  <c r="AF9" i="6"/>
  <c r="AE9" i="6"/>
  <c r="AD9" i="6"/>
  <c r="AC9" i="6"/>
  <c r="AB9" i="6"/>
  <c r="X7" i="6"/>
  <c r="X4" i="6"/>
  <c r="X5" i="6"/>
  <c r="W7" i="6"/>
  <c r="S7" i="6"/>
  <c r="S4" i="6"/>
  <c r="W5" i="6"/>
  <c r="Q7" i="6"/>
  <c r="Q5" i="6"/>
  <c r="Q4" i="6"/>
  <c r="X9" i="6"/>
  <c r="W9" i="6"/>
  <c r="J8" i="6"/>
  <c r="J7" i="6"/>
  <c r="J6" i="6"/>
  <c r="J5" i="6"/>
  <c r="J4" i="6"/>
  <c r="AM10" i="6" l="1"/>
  <c r="AL10" i="6" l="1"/>
  <c r="AK10" i="6"/>
  <c r="AG7" i="6"/>
  <c r="AG5" i="6"/>
  <c r="AG4" i="6"/>
  <c r="AF7" i="6"/>
  <c r="AF5" i="6"/>
  <c r="AF4" i="6"/>
  <c r="AB7" i="6"/>
  <c r="AB5" i="6"/>
  <c r="AC7" i="6"/>
  <c r="AC5" i="6"/>
  <c r="AD7" i="6"/>
  <c r="AD5" i="6"/>
  <c r="AE7" i="6"/>
  <c r="AE5" i="6"/>
  <c r="AE4" i="6"/>
  <c r="AD4" i="6"/>
  <c r="AC4" i="6"/>
  <c r="AB4" i="6"/>
  <c r="J13" i="6"/>
  <c r="J12" i="6"/>
  <c r="J11" i="6"/>
  <c r="J9" i="6"/>
  <c r="F7" i="6"/>
  <c r="F8" i="6"/>
  <c r="F6" i="6"/>
  <c r="F5" i="6"/>
  <c r="F10" i="6"/>
  <c r="F11" i="6" s="1"/>
  <c r="F4" i="6"/>
  <c r="B13" i="6"/>
  <c r="B11" i="6"/>
  <c r="B10" i="6"/>
  <c r="B8" i="6"/>
  <c r="B7" i="6"/>
  <c r="B6" i="6"/>
  <c r="B5" i="6"/>
  <c r="AH8" i="6" l="1"/>
  <c r="AH7" i="6"/>
  <c r="AH6" i="6"/>
  <c r="AH5" i="6"/>
  <c r="AH4" i="6"/>
  <c r="AH9" i="6"/>
  <c r="Y8" i="6"/>
  <c r="Y7" i="6"/>
  <c r="Y6" i="6"/>
  <c r="Y5" i="6"/>
  <c r="Y4" i="6"/>
  <c r="S9" i="6"/>
  <c r="Q9" i="6"/>
  <c r="P9" i="6"/>
  <c r="O9" i="6"/>
  <c r="N9" i="6"/>
  <c r="J14" i="6"/>
  <c r="J10" i="6"/>
  <c r="F9" i="6"/>
  <c r="B9" i="6"/>
  <c r="B4" i="6"/>
  <c r="Y9" i="6" l="1"/>
  <c r="B12" i="6"/>
  <c r="K5" i="6" s="1"/>
  <c r="K6" i="6" l="1"/>
  <c r="G4" i="6"/>
  <c r="C10" i="6"/>
  <c r="C6" i="6"/>
  <c r="C11" i="6"/>
  <c r="C5" i="6"/>
  <c r="G7" i="6"/>
  <c r="G11" i="6"/>
  <c r="C8" i="6"/>
  <c r="G10" i="6"/>
  <c r="G6" i="6"/>
  <c r="K14" i="6"/>
  <c r="G5" i="6"/>
  <c r="K12" i="6"/>
  <c r="K9" i="6"/>
  <c r="K11" i="6"/>
  <c r="B14" i="6"/>
  <c r="C14" i="6" s="1"/>
  <c r="K13" i="6"/>
  <c r="C9" i="6"/>
  <c r="K8" i="6"/>
  <c r="G9" i="6"/>
  <c r="C13" i="6"/>
  <c r="K7" i="6"/>
  <c r="C7" i="6"/>
  <c r="C4" i="6"/>
  <c r="C12" i="6"/>
  <c r="G8" i="6"/>
  <c r="K4" i="6"/>
  <c r="K10" i="6"/>
</calcChain>
</file>

<file path=xl/sharedStrings.xml><?xml version="1.0" encoding="utf-8"?>
<sst xmlns="http://schemas.openxmlformats.org/spreadsheetml/2006/main" count="383" uniqueCount="168">
  <si>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</si>
  <si>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</si>
  <si>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</si>
  <si>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</si>
  <si>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</si>
  <si>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</si>
  <si>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</si>
  <si>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</si>
  <si>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</si>
  <si>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</si>
  <si>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</si>
  <si>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</si>
  <si>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</si>
  <si>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</si>
  <si>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</si>
  <si>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</si>
  <si>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</si>
  <si>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</si>
  <si>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</si>
  <si>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</si>
  <si>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</si>
  <si>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</si>
  <si>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</si>
  <si>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</si>
  <si>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</si>
  <si>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</si>
  <si>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</si>
  <si>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</si>
  <si>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tax-act</t>
  </si>
  <si>
    <t>dstk</t>
  </si>
  <si>
    <t>sav-inv</t>
  </si>
  <si>
    <t>tradelas(c,trdelas)</t>
  </si>
  <si>
    <t>SAM Costa Rica 2012; 10000 x millones de colones; Source: en base a Cicowiez et al. (2017)</t>
  </si>
  <si>
    <t>a-agr</t>
  </si>
  <si>
    <t>a-min</t>
  </si>
  <si>
    <t>c-agr</t>
  </si>
  <si>
    <t>c-min</t>
  </si>
  <si>
    <t>SAM!A2</t>
  </si>
  <si>
    <t>lab</t>
  </si>
  <si>
    <t>cap</t>
  </si>
  <si>
    <t>a-othind</t>
  </si>
  <si>
    <t>c-othind</t>
  </si>
  <si>
    <t>a-food</t>
  </si>
  <si>
    <t>a-refpet</t>
  </si>
  <si>
    <t>a-othmnfc</t>
  </si>
  <si>
    <t>a-admpub</t>
  </si>
  <si>
    <t>a-othsvc</t>
  </si>
  <si>
    <t>c-maq</t>
  </si>
  <si>
    <t>c-othmnfc</t>
  </si>
  <si>
    <t>c-othsvc</t>
  </si>
  <si>
    <t>c-food</t>
  </si>
  <si>
    <t>c-refpet</t>
  </si>
  <si>
    <t>a-maq</t>
  </si>
  <si>
    <t>c-admpub</t>
  </si>
  <si>
    <t>a-trdtrns</t>
  </si>
  <si>
    <t>c-trdtrns</t>
  </si>
  <si>
    <t>Ítem</t>
  </si>
  <si>
    <t>Nominal</t>
  </si>
  <si>
    <t xml:space="preserve">  Consumo privado</t>
  </si>
  <si>
    <t xml:space="preserve">  Formación bruta de capital</t>
  </si>
  <si>
    <t xml:space="preserve">  Variación de existencias</t>
  </si>
  <si>
    <t xml:space="preserve">  Exportaciones</t>
  </si>
  <si>
    <t xml:space="preserve">  Importaciones</t>
  </si>
  <si>
    <t>PBI (a precio de mercado)</t>
  </si>
  <si>
    <t>Impuestos indirectos netos</t>
  </si>
  <si>
    <t>PBI (a costo de factores)</t>
  </si>
  <si>
    <t>Tabla 1. Producto Bruto Interno (Año base, 2012)</t>
  </si>
  <si>
    <t>PBI Share (%)</t>
  </si>
  <si>
    <t>Cuenta Comercial</t>
  </si>
  <si>
    <t>Exportaciones</t>
  </si>
  <si>
    <t>Transferencias no gubernamentales</t>
  </si>
  <si>
    <t>Ingresos de factores</t>
  </si>
  <si>
    <t>Total Ingresos</t>
  </si>
  <si>
    <t>Importaciones</t>
  </si>
  <si>
    <t>Total Entradas</t>
  </si>
  <si>
    <t>Total Salidas</t>
  </si>
  <si>
    <t>Impuestos directos</t>
  </si>
  <si>
    <t>Tabla 3. Presupuesto del gobierno (Año base, 2012)</t>
  </si>
  <si>
    <t>Total</t>
  </si>
  <si>
    <t>VA Share</t>
  </si>
  <si>
    <t>VBP Share</t>
  </si>
  <si>
    <t>Expo. Share</t>
  </si>
  <si>
    <t>Expo/Prod.</t>
  </si>
  <si>
    <t>Impo. Share</t>
  </si>
  <si>
    <t>Impo./Dem.</t>
  </si>
  <si>
    <t>Tabla 5. Intensidad de uso factorial (%) (Año base, 2012)</t>
  </si>
  <si>
    <t>Tabla 4. Estructura sectorial (%) (Año base, 2012)</t>
  </si>
  <si>
    <t>Trabajo</t>
  </si>
  <si>
    <t>Capital</t>
  </si>
  <si>
    <t>Tabla 6. Estructura de la demanda (%) (Año base, 2012)</t>
  </si>
  <si>
    <t>Consumo Intermedio</t>
  </si>
  <si>
    <t>Consumo Privado</t>
  </si>
  <si>
    <t>Consumo Público</t>
  </si>
  <si>
    <t>Formación Bruta de Capital</t>
  </si>
  <si>
    <t>Variación de Existencias</t>
  </si>
  <si>
    <t>Total Demanda</t>
  </si>
  <si>
    <t>Tabla 7. Estructura de los ingresos de las instituciones (Año base, 2012)</t>
  </si>
  <si>
    <t>Hogares</t>
  </si>
  <si>
    <t>Gobierno</t>
  </si>
  <si>
    <t>Resto del mundo</t>
  </si>
  <si>
    <t>Transferencias del gobierno</t>
  </si>
  <si>
    <t>Transferencias del resto del mundo</t>
  </si>
  <si>
    <t>Transferencias gubernamentales</t>
  </si>
  <si>
    <t>Ingresos de trabajo</t>
  </si>
  <si>
    <t>Ingresos de capital</t>
  </si>
  <si>
    <t>Transferencias a los hogares</t>
  </si>
  <si>
    <t>Impuestos netos</t>
  </si>
  <si>
    <t xml:space="preserve">  Consumo público</t>
  </si>
  <si>
    <t>Consumo público</t>
  </si>
  <si>
    <t>Total Egresos</t>
  </si>
  <si>
    <t>Ahorro del resto del mundo</t>
  </si>
  <si>
    <t>Ahorro del gobierno</t>
  </si>
  <si>
    <t>Actividad</t>
  </si>
  <si>
    <t>Producto</t>
  </si>
  <si>
    <t>c-mnfc</t>
  </si>
  <si>
    <t>c-svc</t>
  </si>
  <si>
    <t>Impuestos a la producción</t>
  </si>
  <si>
    <t>Impuestos al consumo</t>
  </si>
  <si>
    <t>Impuestos a las importaciones</t>
  </si>
  <si>
    <t>Impuestos a las exportaciones</t>
  </si>
  <si>
    <t>Tabla 2. Cuenta corriente de la balanza de pagos (Año base, 2012)</t>
  </si>
  <si>
    <t>Empleo Share</t>
  </si>
  <si>
    <t>base</t>
  </si>
  <si>
    <t>Factor</t>
  </si>
  <si>
    <t>Cambio (%)</t>
  </si>
  <si>
    <t>Absortion</t>
  </si>
  <si>
    <t>In-Exports</t>
  </si>
  <si>
    <t>Inc-DirTax</t>
  </si>
  <si>
    <t>PrvCon</t>
  </si>
  <si>
    <t>In-Trnsfr-NoGov</t>
  </si>
  <si>
    <t>Inc-ActTax</t>
  </si>
  <si>
    <t>GovCon</t>
  </si>
  <si>
    <t>In-Trnsfr-Gov</t>
  </si>
  <si>
    <t>Inc-ComTax</t>
  </si>
  <si>
    <t>FixInv</t>
  </si>
  <si>
    <t>a-mnfc</t>
  </si>
  <si>
    <t>In-FacInc</t>
  </si>
  <si>
    <t>Inc-ImpTax</t>
  </si>
  <si>
    <t>StockChange</t>
  </si>
  <si>
    <t>In-RowSav</t>
  </si>
  <si>
    <t>Inc-TrnsfrFor</t>
  </si>
  <si>
    <t>Exports</t>
  </si>
  <si>
    <t>a-svc</t>
  </si>
  <si>
    <t>In-Total</t>
  </si>
  <si>
    <t>Inc-Total</t>
  </si>
  <si>
    <t>Imports</t>
  </si>
  <si>
    <t>Out-Imports</t>
  </si>
  <si>
    <t>Spnd-GovCon</t>
  </si>
  <si>
    <t>GDPMP</t>
  </si>
  <si>
    <t>Out-Total</t>
  </si>
  <si>
    <t>Spnd-TrnsfrDom</t>
  </si>
  <si>
    <t>NetIndTax</t>
  </si>
  <si>
    <t>Spnd-GovSav</t>
  </si>
  <si>
    <t>GDPFC</t>
  </si>
  <si>
    <t>Spnd-Total</t>
  </si>
  <si>
    <t>REXR</t>
  </si>
  <si>
    <t>Tabla 8. Resultados macroeconómicos</t>
  </si>
  <si>
    <t>Tabla 9. Resultados sectoriales: Valor agregado real</t>
  </si>
  <si>
    <t>Tabla 15. Resultados del presupuesto del gobierno</t>
  </si>
  <si>
    <t>Tabla 14. Resultados de la cuenta corriente de la balanza de pagos</t>
  </si>
  <si>
    <t>Tabla 13. Remuneraciones factoriales reales</t>
  </si>
  <si>
    <t>Tabla 12. Resultados sectoriales: Ventas nacionales reales</t>
  </si>
  <si>
    <t>Tabla 11. Resultados sectoriales: Importaciones reales</t>
  </si>
  <si>
    <t>Tabla 10. Resultados sectoriales: Exportaciones reales</t>
  </si>
  <si>
    <t>pwe-othsvc</t>
  </si>
  <si>
    <t>qg</t>
  </si>
  <si>
    <t>Inc-ExpTax</t>
  </si>
  <si>
    <t>Absorción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</si>
</sst>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2" applyFont="1"/>
    <xf numFmtId="0" fontId="4" fillId="0" borderId="0" xfId="0" applyFont="1"/>
    <xf numFmtId="0" fontId="4" fillId="0" borderId="0" xfId="2" applyFont="1" applyFill="1"/>
    <xf numFmtId="4" fontId="3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3" fillId="0" borderId="0" xfId="1" applyFont="1" applyAlignment="1">
      <alignment horizontal="left" vertical="center"/>
    </xf>
    <xf numFmtId="4" fontId="3" fillId="0" borderId="0" xfId="1" applyNumberFormat="1" applyFont="1" applyAlignment="1">
      <alignment horizontal="right" vertical="center"/>
    </xf>
    <xf numFmtId="10" fontId="3" fillId="0" borderId="0" xfId="1" applyNumberFormat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4" fontId="4" fillId="0" borderId="0" xfId="1" applyNumberFormat="1" applyFont="1" applyAlignment="1">
      <alignment horizontal="right" vertical="center"/>
    </xf>
    <xf numFmtId="10" fontId="4" fillId="0" borderId="0" xfId="1" applyNumberFormat="1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quotePrefix="1" applyFont="1" applyFill="1" applyAlignment="1">
      <alignment horizontal="right" vertical="center"/>
    </xf>
    <xf numFmtId="0" fontId="4" fillId="4" borderId="0" xfId="0" quotePrefix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quotePrefix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3" xr:uid="{4480BBD5-F52A-45F4-A3D9-0A6F30314AEA}"/>
    <cellStyle name="Normal_aladi-ven-data" xfId="2" xr:uid="{00000000-0005-0000-0000-000002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80" zoomScaleNormal="80" workbookViewId="0"/>
  </sheetViews>
  <sheetFormatPr baseColWidth="10" defaultRowHeight="15" customHeight="1" x14ac:dyDescent="0.2"/>
  <cols>
    <col min="1" max="16384" width="11.42578125" style="5"/>
  </cols>
  <sheetData>
    <row r="1" spans="1:4" s="28" customFormat="1" ht="15" customHeight="1" x14ac:dyDescent="0.2">
      <c r="A1" s="28" t="s">
        <v>2</v>
      </c>
      <c r="B1" s="28" t="s">
        <v>4</v>
      </c>
      <c r="C1" s="28" t="s">
        <v>5</v>
      </c>
      <c r="D1" s="28" t="s">
        <v>18</v>
      </c>
    </row>
    <row r="2" spans="1:4" ht="15" customHeight="1" x14ac:dyDescent="0.2">
      <c r="A2" s="29" t="s">
        <v>33</v>
      </c>
      <c r="B2" s="29" t="s">
        <v>33</v>
      </c>
      <c r="C2" s="29" t="s">
        <v>35</v>
      </c>
      <c r="D2" s="30" t="s">
        <v>27</v>
      </c>
    </row>
    <row r="3" spans="1:4" ht="15" customHeight="1" x14ac:dyDescent="0.2">
      <c r="A3" s="29" t="s">
        <v>34</v>
      </c>
      <c r="B3" s="29" t="s">
        <v>34</v>
      </c>
      <c r="C3" s="29" t="s">
        <v>36</v>
      </c>
      <c r="D3" s="30" t="s">
        <v>15</v>
      </c>
    </row>
    <row r="4" spans="1:4" ht="15" customHeight="1" x14ac:dyDescent="0.2">
      <c r="A4" s="29" t="s">
        <v>42</v>
      </c>
      <c r="B4" s="29" t="s">
        <v>42</v>
      </c>
      <c r="C4" s="29" t="s">
        <v>50</v>
      </c>
      <c r="D4" s="30" t="s">
        <v>21</v>
      </c>
    </row>
    <row r="5" spans="1:4" ht="15" customHeight="1" x14ac:dyDescent="0.2">
      <c r="A5" s="29" t="s">
        <v>43</v>
      </c>
      <c r="B5" s="29" t="s">
        <v>43</v>
      </c>
      <c r="C5" s="29" t="s">
        <v>51</v>
      </c>
      <c r="D5" s="30"/>
    </row>
    <row r="6" spans="1:4" ht="15" customHeight="1" x14ac:dyDescent="0.2">
      <c r="A6" s="29" t="s">
        <v>52</v>
      </c>
      <c r="B6" s="29" t="s">
        <v>52</v>
      </c>
      <c r="C6" s="29" t="s">
        <v>47</v>
      </c>
      <c r="D6" s="30"/>
    </row>
    <row r="7" spans="1:4" ht="15" customHeight="1" x14ac:dyDescent="0.2">
      <c r="A7" s="29" t="s">
        <v>44</v>
      </c>
      <c r="B7" s="29" t="s">
        <v>44</v>
      </c>
      <c r="C7" s="29" t="s">
        <v>48</v>
      </c>
      <c r="D7" s="30"/>
    </row>
    <row r="8" spans="1:4" ht="15" customHeight="1" x14ac:dyDescent="0.2">
      <c r="A8" s="29" t="s">
        <v>40</v>
      </c>
      <c r="B8" s="29" t="s">
        <v>40</v>
      </c>
      <c r="C8" s="29" t="s">
        <v>41</v>
      </c>
      <c r="D8" s="30"/>
    </row>
    <row r="9" spans="1:4" ht="15" customHeight="1" x14ac:dyDescent="0.2">
      <c r="A9" s="29" t="s">
        <v>54</v>
      </c>
      <c r="B9" s="29" t="s">
        <v>54</v>
      </c>
      <c r="C9" s="29" t="s">
        <v>55</v>
      </c>
      <c r="D9" s="30"/>
    </row>
    <row r="10" spans="1:4" ht="15" customHeight="1" x14ac:dyDescent="0.2">
      <c r="A10" s="29" t="s">
        <v>45</v>
      </c>
      <c r="B10" s="29" t="s">
        <v>45</v>
      </c>
      <c r="C10" s="29" t="s">
        <v>53</v>
      </c>
      <c r="D10" s="30"/>
    </row>
    <row r="11" spans="1:4" ht="15" customHeight="1" x14ac:dyDescent="0.2">
      <c r="A11" s="29" t="s">
        <v>46</v>
      </c>
      <c r="B11" s="29" t="s">
        <v>46</v>
      </c>
      <c r="C11" s="29" t="s">
        <v>49</v>
      </c>
      <c r="D11" s="30"/>
    </row>
    <row r="12" spans="1:4" ht="15" customHeight="1" x14ac:dyDescent="0.2">
      <c r="A12" s="29" t="s">
        <v>35</v>
      </c>
      <c r="B12" s="30"/>
      <c r="C12" s="30"/>
      <c r="D12" s="30"/>
    </row>
    <row r="13" spans="1:4" ht="15" customHeight="1" x14ac:dyDescent="0.2">
      <c r="A13" s="29" t="s">
        <v>36</v>
      </c>
      <c r="B13" s="30"/>
      <c r="C13" s="30"/>
      <c r="D13" s="30"/>
    </row>
    <row r="14" spans="1:4" ht="15" customHeight="1" x14ac:dyDescent="0.2">
      <c r="A14" s="29" t="s">
        <v>50</v>
      </c>
      <c r="B14" s="30"/>
      <c r="C14" s="30"/>
      <c r="D14" s="30"/>
    </row>
    <row r="15" spans="1:4" ht="15" customHeight="1" x14ac:dyDescent="0.2">
      <c r="A15" s="29" t="s">
        <v>51</v>
      </c>
      <c r="B15" s="30"/>
      <c r="C15" s="30"/>
      <c r="D15" s="30"/>
    </row>
    <row r="16" spans="1:4" ht="15" customHeight="1" x14ac:dyDescent="0.2">
      <c r="A16" s="29" t="s">
        <v>47</v>
      </c>
      <c r="B16" s="30"/>
      <c r="C16" s="30"/>
      <c r="D16" s="30"/>
    </row>
    <row r="17" spans="1:4" ht="15" customHeight="1" x14ac:dyDescent="0.2">
      <c r="A17" s="29" t="s">
        <v>48</v>
      </c>
      <c r="B17" s="30"/>
      <c r="C17" s="30"/>
      <c r="D17" s="30"/>
    </row>
    <row r="18" spans="1:4" ht="15" customHeight="1" x14ac:dyDescent="0.2">
      <c r="A18" s="29" t="s">
        <v>41</v>
      </c>
      <c r="B18" s="30"/>
      <c r="C18" s="30"/>
      <c r="D18" s="30"/>
    </row>
    <row r="19" spans="1:4" ht="15" customHeight="1" x14ac:dyDescent="0.2">
      <c r="A19" s="29" t="s">
        <v>55</v>
      </c>
      <c r="B19" s="30"/>
      <c r="C19" s="30"/>
      <c r="D19" s="30"/>
    </row>
    <row r="20" spans="1:4" ht="15" customHeight="1" x14ac:dyDescent="0.2">
      <c r="A20" s="29" t="s">
        <v>53</v>
      </c>
      <c r="B20" s="30"/>
      <c r="C20" s="30"/>
      <c r="D20" s="30"/>
    </row>
    <row r="21" spans="1:4" ht="15" customHeight="1" x14ac:dyDescent="0.2">
      <c r="A21" s="29" t="s">
        <v>49</v>
      </c>
      <c r="B21" s="30"/>
      <c r="C21" s="30"/>
      <c r="D21" s="30"/>
    </row>
    <row r="22" spans="1:4" ht="15" customHeight="1" x14ac:dyDescent="0.2">
      <c r="A22" s="29" t="s">
        <v>38</v>
      </c>
      <c r="B22" s="30"/>
      <c r="C22" s="30"/>
      <c r="D22" s="30"/>
    </row>
    <row r="23" spans="1:4" ht="15" customHeight="1" x14ac:dyDescent="0.2">
      <c r="A23" s="29" t="s">
        <v>39</v>
      </c>
      <c r="B23" s="30"/>
      <c r="C23" s="30"/>
      <c r="D23" s="30"/>
    </row>
    <row r="24" spans="1:4" ht="15" customHeight="1" x14ac:dyDescent="0.2">
      <c r="A24" s="29" t="s">
        <v>28</v>
      </c>
      <c r="B24" s="30"/>
      <c r="C24" s="30"/>
      <c r="D24" s="30"/>
    </row>
    <row r="25" spans="1:4" ht="15" customHeight="1" x14ac:dyDescent="0.2">
      <c r="A25" s="29" t="s">
        <v>17</v>
      </c>
      <c r="B25" s="30"/>
      <c r="C25" s="30"/>
      <c r="D25" s="30"/>
    </row>
    <row r="26" spans="1:4" ht="15" customHeight="1" x14ac:dyDescent="0.2">
      <c r="A26" s="29" t="s">
        <v>20</v>
      </c>
      <c r="B26" s="30"/>
      <c r="C26" s="30"/>
      <c r="D26" s="30"/>
    </row>
    <row r="27" spans="1:4" ht="15" customHeight="1" x14ac:dyDescent="0.2">
      <c r="A27" s="29" t="s">
        <v>22</v>
      </c>
      <c r="B27" s="30"/>
      <c r="C27" s="30"/>
      <c r="D27" s="30"/>
    </row>
    <row r="28" spans="1:4" ht="15" customHeight="1" x14ac:dyDescent="0.2">
      <c r="A28" s="29" t="s">
        <v>16</v>
      </c>
      <c r="B28" s="30"/>
      <c r="C28" s="30"/>
      <c r="D28" s="30"/>
    </row>
    <row r="29" spans="1:4" ht="15" customHeight="1" x14ac:dyDescent="0.2">
      <c r="A29" s="29" t="s">
        <v>27</v>
      </c>
      <c r="B29" s="30"/>
      <c r="C29" s="30"/>
      <c r="D29" s="30"/>
    </row>
    <row r="30" spans="1:4" ht="15" customHeight="1" x14ac:dyDescent="0.2">
      <c r="A30" s="29" t="s">
        <v>15</v>
      </c>
      <c r="B30" s="30"/>
      <c r="C30" s="30"/>
      <c r="D30" s="30"/>
    </row>
    <row r="31" spans="1:4" ht="15" customHeight="1" x14ac:dyDescent="0.2">
      <c r="A31" s="29" t="s">
        <v>21</v>
      </c>
      <c r="B31" s="30"/>
      <c r="C31" s="30"/>
      <c r="D31" s="30"/>
    </row>
    <row r="32" spans="1:4" ht="15" customHeight="1" x14ac:dyDescent="0.2">
      <c r="A32" s="29" t="s">
        <v>30</v>
      </c>
      <c r="B32" s="30"/>
      <c r="C32" s="30"/>
      <c r="D32" s="30"/>
    </row>
    <row r="33" spans="1:4" ht="15" customHeight="1" x14ac:dyDescent="0.2">
      <c r="A33" s="29" t="s">
        <v>29</v>
      </c>
      <c r="B33" s="30"/>
      <c r="C33" s="30"/>
      <c r="D33" s="30"/>
    </row>
    <row r="34" spans="1:4" ht="15" customHeight="1" x14ac:dyDescent="0.2">
      <c r="A34" s="29" t="s">
        <v>0</v>
      </c>
      <c r="B34" s="30"/>
      <c r="C34" s="30"/>
      <c r="D34" s="30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9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"/>
  <cols>
    <col min="1" max="22" width="11.42578125" style="5"/>
    <col min="23" max="23" width="13" style="5" bestFit="1" customWidth="1"/>
    <col min="24" max="31" width="11.42578125" style="5"/>
    <col min="32" max="32" width="12.42578125" style="5" bestFit="1" customWidth="1"/>
    <col min="33" max="16384" width="11.42578125" style="5"/>
  </cols>
  <sheetData>
    <row r="1" spans="1:96" s="23" customFormat="1" x14ac:dyDescent="0.2">
      <c r="A1" s="23" t="s">
        <v>32</v>
      </c>
    </row>
    <row r="2" spans="1:96" s="24" customFormat="1" x14ac:dyDescent="0.2">
      <c r="B2" s="25" t="s">
        <v>33</v>
      </c>
      <c r="C2" s="25" t="s">
        <v>34</v>
      </c>
      <c r="D2" s="25" t="s">
        <v>42</v>
      </c>
      <c r="E2" s="25" t="s">
        <v>43</v>
      </c>
      <c r="F2" s="25" t="s">
        <v>52</v>
      </c>
      <c r="G2" s="25" t="s">
        <v>44</v>
      </c>
      <c r="H2" s="25" t="s">
        <v>40</v>
      </c>
      <c r="I2" s="25" t="s">
        <v>54</v>
      </c>
      <c r="J2" s="25" t="s">
        <v>45</v>
      </c>
      <c r="K2" s="25" t="s">
        <v>46</v>
      </c>
      <c r="L2" s="25" t="s">
        <v>35</v>
      </c>
      <c r="M2" s="25" t="s">
        <v>36</v>
      </c>
      <c r="N2" s="25" t="s">
        <v>50</v>
      </c>
      <c r="O2" s="25" t="s">
        <v>51</v>
      </c>
      <c r="P2" s="25" t="s">
        <v>47</v>
      </c>
      <c r="Q2" s="25" t="s">
        <v>48</v>
      </c>
      <c r="R2" s="25" t="s">
        <v>41</v>
      </c>
      <c r="S2" s="25" t="s">
        <v>55</v>
      </c>
      <c r="T2" s="25" t="s">
        <v>53</v>
      </c>
      <c r="U2" s="25" t="s">
        <v>49</v>
      </c>
      <c r="V2" s="25" t="s">
        <v>38</v>
      </c>
      <c r="W2" s="25" t="s">
        <v>39</v>
      </c>
      <c r="X2" s="25" t="s">
        <v>28</v>
      </c>
      <c r="Y2" s="25" t="s">
        <v>20</v>
      </c>
      <c r="Z2" s="25" t="s">
        <v>22</v>
      </c>
      <c r="AA2" s="25" t="s">
        <v>17</v>
      </c>
      <c r="AB2" s="25" t="s">
        <v>16</v>
      </c>
      <c r="AC2" s="25" t="s">
        <v>27</v>
      </c>
      <c r="AD2" s="25" t="s">
        <v>15</v>
      </c>
      <c r="AE2" s="25" t="s">
        <v>21</v>
      </c>
      <c r="AF2" s="25" t="s">
        <v>30</v>
      </c>
      <c r="AG2" s="25" t="s">
        <v>29</v>
      </c>
      <c r="AH2" s="25" t="s">
        <v>0</v>
      </c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</row>
    <row r="3" spans="1:96" x14ac:dyDescent="0.2">
      <c r="A3" s="26" t="s">
        <v>33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>
        <v>253.08087008191373</v>
      </c>
      <c r="M3" s="27"/>
      <c r="N3" s="27">
        <v>5.9348687101027622</v>
      </c>
      <c r="O3" s="27"/>
      <c r="P3" s="27"/>
      <c r="Q3" s="27">
        <v>0.9490779887608578</v>
      </c>
      <c r="R3" s="27">
        <v>6.652486498127724E-4</v>
      </c>
      <c r="S3" s="27">
        <v>0.10959032237065801</v>
      </c>
      <c r="T3" s="27"/>
      <c r="U3" s="27">
        <v>0.28630702895941512</v>
      </c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>
        <f>SUM(B3:AG3)</f>
        <v>260.36137938075717</v>
      </c>
    </row>
    <row r="4" spans="1:96" x14ac:dyDescent="0.2">
      <c r="A4" s="26" t="s">
        <v>34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>
        <v>13.002556242638034</v>
      </c>
      <c r="N4" s="27"/>
      <c r="O4" s="27"/>
      <c r="P4" s="27"/>
      <c r="Q4" s="27">
        <v>5.055934812E-3</v>
      </c>
      <c r="R4" s="27"/>
      <c r="S4" s="27">
        <v>6.6927632449000005E-2</v>
      </c>
      <c r="T4" s="27"/>
      <c r="U4" s="27">
        <v>3.1393523356582284E-2</v>
      </c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>
        <f t="shared" ref="AH4:AH34" si="0">SUM(B4:AG4)</f>
        <v>13.105933333255617</v>
      </c>
    </row>
    <row r="5" spans="1:96" x14ac:dyDescent="0.2">
      <c r="A5" s="26" t="s">
        <v>42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>
        <v>8.9907910263969804</v>
      </c>
      <c r="M5" s="27"/>
      <c r="N5" s="27">
        <v>377.19745970414306</v>
      </c>
      <c r="O5" s="27"/>
      <c r="P5" s="27"/>
      <c r="Q5" s="27">
        <v>6.1133859972217586</v>
      </c>
      <c r="R5" s="27">
        <v>2.9963580970000001E-2</v>
      </c>
      <c r="S5" s="27">
        <v>3.4771157035328519</v>
      </c>
      <c r="T5" s="27"/>
      <c r="U5" s="27">
        <v>2.2437151164027087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>
        <f t="shared" si="0"/>
        <v>398.05243112866737</v>
      </c>
    </row>
    <row r="6" spans="1:96" x14ac:dyDescent="0.2">
      <c r="A6" s="26" t="s">
        <v>43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>
        <v>8.3455061970000008E-2</v>
      </c>
      <c r="P6" s="27"/>
      <c r="Q6" s="27">
        <v>18.339252885102614</v>
      </c>
      <c r="R6" s="27"/>
      <c r="S6" s="27">
        <v>0.70062991751900017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>
        <f t="shared" si="0"/>
        <v>19.123337864591612</v>
      </c>
    </row>
    <row r="7" spans="1:96" x14ac:dyDescent="0.2">
      <c r="A7" s="26" t="s">
        <v>52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>
        <v>108.13042515713208</v>
      </c>
      <c r="Q7" s="27">
        <v>31.953342364282232</v>
      </c>
      <c r="R7" s="27">
        <v>8.679647280000001E-2</v>
      </c>
      <c r="S7" s="27">
        <v>0.99241972353499974</v>
      </c>
      <c r="T7" s="27"/>
      <c r="U7" s="27">
        <v>6.8437652806298912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>
        <f t="shared" si="0"/>
        <v>148.00674899837918</v>
      </c>
    </row>
    <row r="8" spans="1:96" x14ac:dyDescent="0.2">
      <c r="A8" s="26" t="s">
        <v>44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>
        <v>2.2058044549999999E-2</v>
      </c>
      <c r="M8" s="27">
        <v>0.110122899109</v>
      </c>
      <c r="N8" s="27">
        <v>7.6099668903000003E-2</v>
      </c>
      <c r="O8" s="27">
        <v>5.0710565963713497E-2</v>
      </c>
      <c r="P8" s="27">
        <v>0.41895375964685483</v>
      </c>
      <c r="Q8" s="27">
        <v>288.09202300042938</v>
      </c>
      <c r="R8" s="27">
        <v>0.53367764186200006</v>
      </c>
      <c r="S8" s="27">
        <v>2.66675276197049</v>
      </c>
      <c r="T8" s="27"/>
      <c r="U8" s="27">
        <v>6.4815130730449928</v>
      </c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 t="shared" si="0"/>
        <v>298.45191141547946</v>
      </c>
    </row>
    <row r="9" spans="1:96" x14ac:dyDescent="0.2">
      <c r="A9" s="26" t="s">
        <v>40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>
        <v>2.4625805654000001E-2</v>
      </c>
      <c r="R9" s="27">
        <v>475.19283054939945</v>
      </c>
      <c r="S9" s="27">
        <v>0.27883735224700001</v>
      </c>
      <c r="T9" s="27"/>
      <c r="U9" s="27">
        <v>1.077373953884891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>
        <f t="shared" si="0"/>
        <v>476.57366766118537</v>
      </c>
    </row>
    <row r="10" spans="1:96" x14ac:dyDescent="0.2">
      <c r="A10" s="26" t="s">
        <v>54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>
        <v>0.69143365718985306</v>
      </c>
      <c r="P10" s="27"/>
      <c r="Q10" s="27">
        <v>0.44692879582129885</v>
      </c>
      <c r="R10" s="27">
        <v>4.3743038801E-2</v>
      </c>
      <c r="S10" s="27">
        <v>538.70214993734385</v>
      </c>
      <c r="T10" s="27"/>
      <c r="U10" s="27">
        <v>12.32387702185078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>
        <f t="shared" si="0"/>
        <v>552.2081324510068</v>
      </c>
    </row>
    <row r="11" spans="1:96" x14ac:dyDescent="0.2">
      <c r="A11" s="26" t="s">
        <v>45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>
        <v>8.7664446767112797E-2</v>
      </c>
      <c r="M11" s="27"/>
      <c r="N11" s="27">
        <v>5.5987610121300921E-2</v>
      </c>
      <c r="O11" s="27"/>
      <c r="P11" s="27"/>
      <c r="Q11" s="27">
        <v>0.1773608184032536</v>
      </c>
      <c r="R11" s="27">
        <v>1.4205438604109792E-3</v>
      </c>
      <c r="S11" s="27">
        <v>1.3281372803002762</v>
      </c>
      <c r="T11" s="27">
        <v>70.271488072290239</v>
      </c>
      <c r="U11" s="27">
        <v>3.5418415892527531</v>
      </c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>
        <f t="shared" si="0"/>
        <v>75.463900360995353</v>
      </c>
    </row>
    <row r="12" spans="1:96" x14ac:dyDescent="0.2">
      <c r="A12" s="26" t="s">
        <v>46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>
        <v>4.5999636801388626E-2</v>
      </c>
      <c r="M12" s="27">
        <v>1.398247161899999E-2</v>
      </c>
      <c r="N12" s="27">
        <v>2.3708104851727273E-2</v>
      </c>
      <c r="O12" s="27"/>
      <c r="P12" s="27">
        <v>6.5825914334300628E-2</v>
      </c>
      <c r="Q12" s="27">
        <v>7.4573528403349085</v>
      </c>
      <c r="R12" s="27">
        <v>3.0247487568610003</v>
      </c>
      <c r="S12" s="27">
        <v>5.8463772081332088</v>
      </c>
      <c r="T12" s="27"/>
      <c r="U12" s="27">
        <v>1666.8618956460912</v>
      </c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>
        <f t="shared" si="0"/>
        <v>1683.3398905790268</v>
      </c>
    </row>
    <row r="13" spans="1:96" x14ac:dyDescent="0.2">
      <c r="A13" s="26" t="s">
        <v>35</v>
      </c>
      <c r="B13" s="27">
        <v>24.096416787351874</v>
      </c>
      <c r="C13" s="27">
        <v>2.7174986820705627E-4</v>
      </c>
      <c r="D13" s="27">
        <v>114.20247942813829</v>
      </c>
      <c r="E13" s="27">
        <v>4.228697528415983E-22</v>
      </c>
      <c r="F13" s="27">
        <v>2.7630597495782619E-3</v>
      </c>
      <c r="G13" s="27">
        <v>2.9695416669200219</v>
      </c>
      <c r="H13" s="27">
        <v>1.7807706043250458E-2</v>
      </c>
      <c r="I13" s="27">
        <v>2.5494786438773741E-2</v>
      </c>
      <c r="J13" s="27">
        <v>4.7521628290057863E-2</v>
      </c>
      <c r="K13" s="27">
        <v>12.582305792613635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>
        <v>39.65321291607664</v>
      </c>
      <c r="AD13" s="27">
        <v>2.0439977177522967E-2</v>
      </c>
      <c r="AE13" s="27">
        <v>103.97596794066851</v>
      </c>
      <c r="AF13" s="27">
        <v>5.3673915862154242</v>
      </c>
      <c r="AG13" s="27">
        <v>-5.5262810999797719E-2</v>
      </c>
      <c r="AH13" s="27">
        <f t="shared" si="0"/>
        <v>302.90635221455199</v>
      </c>
    </row>
    <row r="14" spans="1:96" x14ac:dyDescent="0.2">
      <c r="A14" s="26" t="s">
        <v>36</v>
      </c>
      <c r="B14" s="27">
        <v>0.24885880201484956</v>
      </c>
      <c r="C14" s="27">
        <v>0.68327529041154822</v>
      </c>
      <c r="D14" s="27">
        <v>0.31517769714476057</v>
      </c>
      <c r="E14" s="27">
        <v>0.13047429069526484</v>
      </c>
      <c r="F14" s="27">
        <v>2.2481834535924439E-2</v>
      </c>
      <c r="G14" s="27">
        <v>2.8211104943951364</v>
      </c>
      <c r="H14" s="27">
        <v>12.694995613781284</v>
      </c>
      <c r="I14" s="27">
        <v>0.25930602407403064</v>
      </c>
      <c r="J14" s="27"/>
      <c r="K14" s="27">
        <v>0.78377033749198788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>
        <v>0.21002305991140127</v>
      </c>
      <c r="AD14" s="27"/>
      <c r="AE14" s="27">
        <v>0.20559737272600001</v>
      </c>
      <c r="AF14" s="27"/>
      <c r="AG14" s="27">
        <v>-7.8239096987200753E-3</v>
      </c>
      <c r="AH14" s="27">
        <f t="shared" si="0"/>
        <v>18.367246907483466</v>
      </c>
    </row>
    <row r="15" spans="1:96" x14ac:dyDescent="0.2">
      <c r="A15" s="26" t="s">
        <v>50</v>
      </c>
      <c r="B15" s="27">
        <v>11.809593534860957</v>
      </c>
      <c r="C15" s="27">
        <v>2.629135894300231E-3</v>
      </c>
      <c r="D15" s="27">
        <v>43.740589831643106</v>
      </c>
      <c r="E15" s="27">
        <v>4.6780911894342726E-2</v>
      </c>
      <c r="F15" s="27">
        <v>1.7991893938390541E-2</v>
      </c>
      <c r="G15" s="27">
        <v>2.1069810610811066</v>
      </c>
      <c r="H15" s="27">
        <v>0.61911801859723359</v>
      </c>
      <c r="I15" s="27">
        <v>0.25701816446171016</v>
      </c>
      <c r="J15" s="27">
        <v>0.22204969269541364</v>
      </c>
      <c r="K15" s="27">
        <v>39.276786063297138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>
        <v>254.91955991857407</v>
      </c>
      <c r="AD15" s="27">
        <v>0.67231198798220781</v>
      </c>
      <c r="AE15" s="27">
        <v>116.62017060210054</v>
      </c>
      <c r="AF15" s="27"/>
      <c r="AG15" s="27">
        <v>1.0791859615698349</v>
      </c>
      <c r="AH15" s="27">
        <f t="shared" si="0"/>
        <v>471.39076677859038</v>
      </c>
    </row>
    <row r="16" spans="1:96" x14ac:dyDescent="0.2">
      <c r="A16" s="26" t="s">
        <v>51</v>
      </c>
      <c r="B16" s="27">
        <v>11.270115826733125</v>
      </c>
      <c r="C16" s="27">
        <v>1.3292527181866949</v>
      </c>
      <c r="D16" s="27">
        <v>6.559740581852207</v>
      </c>
      <c r="E16" s="27">
        <v>0.14616821063313079</v>
      </c>
      <c r="F16" s="27">
        <v>0.18881998521265139</v>
      </c>
      <c r="G16" s="27">
        <v>6.7829719223609706</v>
      </c>
      <c r="H16" s="27">
        <v>12.48978690130539</v>
      </c>
      <c r="I16" s="27">
        <v>38.978535189634336</v>
      </c>
      <c r="J16" s="27">
        <v>0.56890302052848274</v>
      </c>
      <c r="K16" s="27">
        <v>15.97759197542381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>
        <v>63.876126758003899</v>
      </c>
      <c r="AD16" s="27"/>
      <c r="AE16" s="27">
        <v>9.2175572174093737E-2</v>
      </c>
      <c r="AF16" s="27"/>
      <c r="AG16" s="27">
        <v>-8.0111097319274815</v>
      </c>
      <c r="AH16" s="27">
        <f t="shared" si="0"/>
        <v>150.24907893012127</v>
      </c>
    </row>
    <row r="17" spans="1:34" x14ac:dyDescent="0.2">
      <c r="A17" s="26" t="s">
        <v>47</v>
      </c>
      <c r="B17" s="27">
        <v>1.302043671727009</v>
      </c>
      <c r="C17" s="27">
        <v>0.53854061668954278</v>
      </c>
      <c r="D17" s="27">
        <v>1.2621079796896599</v>
      </c>
      <c r="E17" s="27">
        <v>1.1428608870324699E-2</v>
      </c>
      <c r="F17" s="27">
        <v>14.729236281453836</v>
      </c>
      <c r="G17" s="27">
        <v>1.9230016909475247</v>
      </c>
      <c r="H17" s="27">
        <v>25.253186933746388</v>
      </c>
      <c r="I17" s="27">
        <v>5.28298756012809</v>
      </c>
      <c r="J17" s="27">
        <v>0.18441991077500125</v>
      </c>
      <c r="K17" s="27">
        <v>11.101320306941513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>
        <v>87.885676276315536</v>
      </c>
      <c r="AD17" s="27">
        <v>0.34485244019071692</v>
      </c>
      <c r="AE17" s="27">
        <v>103.78505850000354</v>
      </c>
      <c r="AF17" s="27">
        <v>106.85405252228099</v>
      </c>
      <c r="AG17" s="27">
        <v>-5.8607484940848407</v>
      </c>
      <c r="AH17" s="27">
        <f t="shared" si="0"/>
        <v>354.59716480567482</v>
      </c>
    </row>
    <row r="18" spans="1:34" x14ac:dyDescent="0.2">
      <c r="A18" s="26" t="s">
        <v>48</v>
      </c>
      <c r="B18" s="27">
        <v>36.172793347378473</v>
      </c>
      <c r="C18" s="27">
        <v>0.33067355589914904</v>
      </c>
      <c r="D18" s="27">
        <v>29.235305071410281</v>
      </c>
      <c r="E18" s="27">
        <v>9.2399790197605505</v>
      </c>
      <c r="F18" s="27">
        <v>32.308150170326044</v>
      </c>
      <c r="G18" s="27">
        <v>98.292939817722356</v>
      </c>
      <c r="H18" s="27">
        <v>95.477863294261269</v>
      </c>
      <c r="I18" s="27">
        <v>14.926479189265248</v>
      </c>
      <c r="J18" s="27">
        <v>1.549416150702309</v>
      </c>
      <c r="K18" s="27">
        <v>50.393309835703903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>
        <v>182.76703567842162</v>
      </c>
      <c r="AD18" s="27">
        <v>8.9884723740320123</v>
      </c>
      <c r="AE18" s="27">
        <v>150.66411655731545</v>
      </c>
      <c r="AF18" s="27">
        <v>15.275913767267804</v>
      </c>
      <c r="AG18" s="27">
        <v>10.351610480473134</v>
      </c>
      <c r="AH18" s="27">
        <f t="shared" si="0"/>
        <v>735.97405830993955</v>
      </c>
    </row>
    <row r="19" spans="1:34" x14ac:dyDescent="0.2">
      <c r="A19" s="26" t="s">
        <v>41</v>
      </c>
      <c r="B19" s="27">
        <v>4.9282977555869216</v>
      </c>
      <c r="C19" s="27">
        <v>0.4609321184988322</v>
      </c>
      <c r="D19" s="27">
        <v>7.5550519417687712</v>
      </c>
      <c r="E19" s="27">
        <v>0.37599488076514187</v>
      </c>
      <c r="F19" s="27">
        <v>3.0529548877776405</v>
      </c>
      <c r="G19" s="27">
        <v>7.7350826268199953</v>
      </c>
      <c r="H19" s="27">
        <v>48.501768160265321</v>
      </c>
      <c r="I19" s="27">
        <v>14.988848886535889</v>
      </c>
      <c r="J19" s="27">
        <v>1.966575030358316</v>
      </c>
      <c r="K19" s="27">
        <v>45.243044056345212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>
        <v>44.58381835843111</v>
      </c>
      <c r="AD19" s="27"/>
      <c r="AE19" s="27">
        <v>0.51131271264380496</v>
      </c>
      <c r="AF19" s="27">
        <v>303.07704915062465</v>
      </c>
      <c r="AG19" s="27"/>
      <c r="AH19" s="27">
        <f t="shared" si="0"/>
        <v>482.98073056642158</v>
      </c>
    </row>
    <row r="20" spans="1:34" x14ac:dyDescent="0.2">
      <c r="A20" s="26" t="s">
        <v>55</v>
      </c>
      <c r="B20" s="27">
        <v>27.24580017679628</v>
      </c>
      <c r="C20" s="27">
        <v>1.2508627183551941</v>
      </c>
      <c r="D20" s="27">
        <v>41.481574753263615</v>
      </c>
      <c r="E20" s="27">
        <v>2.3875787088677201</v>
      </c>
      <c r="F20" s="27">
        <v>15.709070483892969</v>
      </c>
      <c r="G20" s="27">
        <v>35.326931716862397</v>
      </c>
      <c r="H20" s="27">
        <v>37.05165844304311</v>
      </c>
      <c r="I20" s="27">
        <v>53.467268635525571</v>
      </c>
      <c r="J20" s="27">
        <v>1.0852860538402322</v>
      </c>
      <c r="K20" s="27">
        <v>52.399168360019402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>
        <v>231.79332128807752</v>
      </c>
      <c r="AD20" s="27">
        <v>2.6967773333503988</v>
      </c>
      <c r="AE20" s="27">
        <v>39.234155981355961</v>
      </c>
      <c r="AF20" s="27">
        <v>36.15455281276504</v>
      </c>
      <c r="AG20" s="27">
        <v>-0.26635076675955016</v>
      </c>
      <c r="AH20" s="27">
        <f t="shared" si="0"/>
        <v>577.01765669925578</v>
      </c>
    </row>
    <row r="21" spans="1:34" x14ac:dyDescent="0.2">
      <c r="A21" s="26" t="s">
        <v>53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>
        <v>0.25884826335900002</v>
      </c>
      <c r="AD21" s="27">
        <v>70.01263980893124</v>
      </c>
      <c r="AE21" s="27"/>
      <c r="AF21" s="27"/>
      <c r="AG21" s="27"/>
      <c r="AH21" s="27">
        <f t="shared" si="0"/>
        <v>70.271488072290239</v>
      </c>
    </row>
    <row r="22" spans="1:34" x14ac:dyDescent="0.2">
      <c r="A22" s="26" t="s">
        <v>49</v>
      </c>
      <c r="B22" s="27">
        <v>16.863815996839374</v>
      </c>
      <c r="C22" s="27">
        <v>1.6787020418771135</v>
      </c>
      <c r="D22" s="27">
        <v>32.702503076916571</v>
      </c>
      <c r="E22" s="27">
        <v>0.79682473164853884</v>
      </c>
      <c r="F22" s="27">
        <v>15.61847345227085</v>
      </c>
      <c r="G22" s="27">
        <v>27.274568116591524</v>
      </c>
      <c r="H22" s="27">
        <v>63.511407550051416</v>
      </c>
      <c r="I22" s="27">
        <v>116.69392971862489</v>
      </c>
      <c r="J22" s="27">
        <v>17.058331373786501</v>
      </c>
      <c r="K22" s="27">
        <v>298.25671029009226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>
        <v>642.32783873217625</v>
      </c>
      <c r="AD22" s="27">
        <v>316.43021918612357</v>
      </c>
      <c r="AE22" s="27">
        <v>223.11612711297045</v>
      </c>
      <c r="AF22" s="27">
        <v>14.678466908816308</v>
      </c>
      <c r="AG22" s="27"/>
      <c r="AH22" s="27">
        <f t="shared" si="0"/>
        <v>1787.0079182887857</v>
      </c>
    </row>
    <row r="23" spans="1:34" x14ac:dyDescent="0.2">
      <c r="A23" s="26" t="s">
        <v>38</v>
      </c>
      <c r="B23" s="27">
        <v>76.243953491450142</v>
      </c>
      <c r="C23" s="27">
        <v>1.8609190548707215</v>
      </c>
      <c r="D23" s="27">
        <v>47.756943233241685</v>
      </c>
      <c r="E23" s="27">
        <v>0.89638632233265458</v>
      </c>
      <c r="F23" s="27">
        <v>25.436664625260899</v>
      </c>
      <c r="G23" s="27">
        <v>57.368870970308286</v>
      </c>
      <c r="H23" s="27">
        <v>90.745355890911341</v>
      </c>
      <c r="I23" s="27">
        <v>195.96530415954282</v>
      </c>
      <c r="J23" s="27">
        <v>51.634376619783069</v>
      </c>
      <c r="K23" s="27">
        <v>719.23310555403509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>
        <v>-1.5553350413912266</v>
      </c>
      <c r="AF23" s="27"/>
      <c r="AG23" s="27"/>
      <c r="AH23" s="27">
        <f t="shared" si="0"/>
        <v>1265.5865448803456</v>
      </c>
    </row>
    <row r="24" spans="1:34" x14ac:dyDescent="0.2">
      <c r="A24" s="26" t="s">
        <v>39</v>
      </c>
      <c r="B24" s="27">
        <v>46.782550455313896</v>
      </c>
      <c r="C24" s="27">
        <v>4.7311428789760779</v>
      </c>
      <c r="D24" s="27">
        <v>69.092483740140139</v>
      </c>
      <c r="E24" s="27">
        <v>4.9768829995157624</v>
      </c>
      <c r="F24" s="27">
        <v>39.289703625153173</v>
      </c>
      <c r="G24" s="27">
        <v>52.373535108400617</v>
      </c>
      <c r="H24" s="27">
        <v>84.248773032616356</v>
      </c>
      <c r="I24" s="27">
        <v>97.693889111812965</v>
      </c>
      <c r="J24" s="27">
        <v>0.55768563161528428</v>
      </c>
      <c r="K24" s="27">
        <v>406.46061503236081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>
        <f t="shared" si="0"/>
        <v>806.20726161590505</v>
      </c>
    </row>
    <row r="25" spans="1:34" x14ac:dyDescent="0.2">
      <c r="A25" s="26" t="s">
        <v>28</v>
      </c>
      <c r="B25" s="27">
        <v>3.3971395347043662</v>
      </c>
      <c r="C25" s="27">
        <v>0.23873145372823393</v>
      </c>
      <c r="D25" s="27">
        <v>4.1484737934584102</v>
      </c>
      <c r="E25" s="27">
        <v>0.11483917960818285</v>
      </c>
      <c r="F25" s="27">
        <v>1.6304386988072435</v>
      </c>
      <c r="G25" s="27">
        <v>3.4763762230695381</v>
      </c>
      <c r="H25" s="27">
        <v>5.9619461165628724</v>
      </c>
      <c r="I25" s="27">
        <v>13.669071024962347</v>
      </c>
      <c r="J25" s="27">
        <v>0.58933524862069764</v>
      </c>
      <c r="K25" s="27">
        <v>31.632162974702453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>
        <f t="shared" si="0"/>
        <v>64.858514248224338</v>
      </c>
    </row>
    <row r="26" spans="1:34" x14ac:dyDescent="0.2">
      <c r="A26" s="26" t="s">
        <v>20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>
        <v>0.30390296712546744</v>
      </c>
      <c r="M26" s="27">
        <v>0.26640479705429942</v>
      </c>
      <c r="N26" s="27">
        <v>5.2110080045291856</v>
      </c>
      <c r="O26" s="27">
        <v>35.175739908627889</v>
      </c>
      <c r="P26" s="27">
        <v>18.469231063403221</v>
      </c>
      <c r="Q26" s="27">
        <v>10.74332569293496</v>
      </c>
      <c r="R26" s="27">
        <v>7.1585234303811651E-7</v>
      </c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>
        <f t="shared" si="0"/>
        <v>70.169613149527351</v>
      </c>
    </row>
    <row r="27" spans="1:34" x14ac:dyDescent="0.2">
      <c r="A27" s="26" t="s">
        <v>22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>
        <v>0.53766818034253894</v>
      </c>
      <c r="M27" s="27"/>
      <c r="N27" s="27">
        <v>0.32819355477600004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>
        <f t="shared" si="0"/>
        <v>0.86586173511853892</v>
      </c>
    </row>
    <row r="28" spans="1:34" x14ac:dyDescent="0.2">
      <c r="A28" s="26" t="s">
        <v>17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>
        <v>1.1212358963209037</v>
      </c>
      <c r="M28" s="27">
        <v>1.4677688210981321</v>
      </c>
      <c r="N28" s="27">
        <v>25.399264257410621</v>
      </c>
      <c r="O28" s="27">
        <v>0.90488606829023466</v>
      </c>
      <c r="P28" s="27">
        <v>19.84516000723724</v>
      </c>
      <c r="Q28" s="27">
        <v>37.242736663108943</v>
      </c>
      <c r="R28" s="27">
        <v>3.5391001347703295</v>
      </c>
      <c r="S28" s="27">
        <v>6.685547177283464</v>
      </c>
      <c r="T28" s="27"/>
      <c r="U28" s="27">
        <v>31.691762749143692</v>
      </c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>
        <f t="shared" si="0"/>
        <v>127.89746177466355</v>
      </c>
    </row>
    <row r="29" spans="1:34" x14ac:dyDescent="0.2">
      <c r="A29" s="26" t="s">
        <v>16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>
        <v>102.25379149174648</v>
      </c>
      <c r="AD29" s="27"/>
      <c r="AE29" s="27"/>
      <c r="AF29" s="27"/>
      <c r="AG29" s="27"/>
      <c r="AH29" s="27">
        <f t="shared" si="0"/>
        <v>102.25379149174648</v>
      </c>
    </row>
    <row r="30" spans="1:34" x14ac:dyDescent="0.2">
      <c r="A30" s="26" t="s">
        <v>27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>
        <v>1265.5865448803461</v>
      </c>
      <c r="W30" s="27">
        <v>806.2072616159046</v>
      </c>
      <c r="X30" s="27"/>
      <c r="Y30" s="27"/>
      <c r="Z30" s="27"/>
      <c r="AA30" s="27"/>
      <c r="AB30" s="27"/>
      <c r="AC30" s="27"/>
      <c r="AD30" s="27">
        <v>-49.149379284255303</v>
      </c>
      <c r="AE30" s="27">
        <v>-54.682334236038059</v>
      </c>
      <c r="AF30" s="27"/>
      <c r="AG30" s="27"/>
      <c r="AH30" s="27">
        <f t="shared" si="0"/>
        <v>1967.9620929759576</v>
      </c>
    </row>
    <row r="31" spans="1:34" x14ac:dyDescent="0.2">
      <c r="A31" s="26" t="s">
        <v>15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>
        <v>64.858514248224367</v>
      </c>
      <c r="Y31" s="27">
        <v>70.169613149527365</v>
      </c>
      <c r="Z31" s="27">
        <v>0.86586173511853892</v>
      </c>
      <c r="AA31" s="27">
        <v>127.89746177466358</v>
      </c>
      <c r="AB31" s="27">
        <v>102.2537914917465</v>
      </c>
      <c r="AC31" s="27"/>
      <c r="AD31" s="27"/>
      <c r="AE31" s="27">
        <v>4.0043814320229112</v>
      </c>
      <c r="AF31" s="27"/>
      <c r="AG31" s="27"/>
      <c r="AH31" s="27">
        <f t="shared" si="0"/>
        <v>370.04962383130328</v>
      </c>
    </row>
    <row r="32" spans="1:34" x14ac:dyDescent="0.2">
      <c r="A32" s="26" t="s">
        <v>21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>
        <v>38.716161934333819</v>
      </c>
      <c r="M32" s="27">
        <v>3.5064116759650004</v>
      </c>
      <c r="N32" s="27">
        <v>57.164177163752619</v>
      </c>
      <c r="O32" s="27">
        <v>113.3428536680796</v>
      </c>
      <c r="P32" s="27">
        <v>207.66756890392116</v>
      </c>
      <c r="Q32" s="27">
        <v>334.42958952307333</v>
      </c>
      <c r="R32" s="27">
        <v>0.52778388259525144</v>
      </c>
      <c r="S32" s="27">
        <v>16.163171682570834</v>
      </c>
      <c r="T32" s="27"/>
      <c r="U32" s="27">
        <v>55.624473306168817</v>
      </c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>
        <f t="shared" si="0"/>
        <v>827.14219174046048</v>
      </c>
    </row>
    <row r="33" spans="1:34" x14ac:dyDescent="0.2">
      <c r="A33" s="26" t="s">
        <v>30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>
        <v>317.43284023486314</v>
      </c>
      <c r="AD33" s="27">
        <v>20.033290007770809</v>
      </c>
      <c r="AE33" s="27">
        <v>141.1707972339091</v>
      </c>
      <c r="AF33" s="27"/>
      <c r="AG33" s="27"/>
      <c r="AH33" s="27">
        <f t="shared" si="0"/>
        <v>478.63692747654306</v>
      </c>
    </row>
    <row r="34" spans="1:34" x14ac:dyDescent="0.2">
      <c r="A34" s="26" t="s">
        <v>29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>
        <v>-2.770499271427421</v>
      </c>
      <c r="AG34" s="27"/>
      <c r="AH34" s="27">
        <f t="shared" si="0"/>
        <v>-2.770499271427421</v>
      </c>
    </row>
    <row r="35" spans="1:34" x14ac:dyDescent="0.2">
      <c r="A35" s="26" t="s">
        <v>0</v>
      </c>
      <c r="B35" s="27">
        <f>SUM(B3:B34)</f>
        <v>260.36137938075728</v>
      </c>
      <c r="C35" s="27">
        <f t="shared" ref="C35:AG35" si="1">SUM(C3:C34)</f>
        <v>13.105933333255615</v>
      </c>
      <c r="D35" s="27">
        <f t="shared" si="1"/>
        <v>398.05243112866754</v>
      </c>
      <c r="E35" s="27">
        <f t="shared" si="1"/>
        <v>19.123337864591612</v>
      </c>
      <c r="F35" s="27">
        <f t="shared" si="1"/>
        <v>148.00674899837921</v>
      </c>
      <c r="G35" s="27">
        <f t="shared" si="1"/>
        <v>298.45191141547951</v>
      </c>
      <c r="H35" s="27">
        <f t="shared" si="1"/>
        <v>476.57366766118525</v>
      </c>
      <c r="I35" s="27">
        <f t="shared" si="1"/>
        <v>552.20813245100669</v>
      </c>
      <c r="J35" s="27">
        <f t="shared" si="1"/>
        <v>75.463900360995368</v>
      </c>
      <c r="K35" s="27">
        <f t="shared" si="1"/>
        <v>1683.339890579027</v>
      </c>
      <c r="L35" s="27">
        <f t="shared" si="1"/>
        <v>302.90635221455199</v>
      </c>
      <c r="M35" s="27">
        <f t="shared" si="1"/>
        <v>18.367246907483466</v>
      </c>
      <c r="N35" s="27">
        <f t="shared" si="1"/>
        <v>471.39076677859026</v>
      </c>
      <c r="O35" s="27">
        <f t="shared" si="1"/>
        <v>150.2490789301213</v>
      </c>
      <c r="P35" s="27">
        <f t="shared" si="1"/>
        <v>354.59716480567488</v>
      </c>
      <c r="Q35" s="27">
        <f t="shared" si="1"/>
        <v>735.97405830993955</v>
      </c>
      <c r="R35" s="27">
        <f t="shared" si="1"/>
        <v>482.98073056642164</v>
      </c>
      <c r="S35" s="27">
        <f t="shared" si="1"/>
        <v>577.01765669925555</v>
      </c>
      <c r="T35" s="27">
        <f t="shared" si="1"/>
        <v>70.271488072290239</v>
      </c>
      <c r="U35" s="27">
        <f t="shared" si="1"/>
        <v>1787.0079182887855</v>
      </c>
      <c r="V35" s="27">
        <f t="shared" si="1"/>
        <v>1265.5865448803461</v>
      </c>
      <c r="W35" s="27">
        <f t="shared" si="1"/>
        <v>806.2072616159046</v>
      </c>
      <c r="X35" s="27">
        <f t="shared" si="1"/>
        <v>64.858514248224367</v>
      </c>
      <c r="Y35" s="27">
        <f t="shared" si="1"/>
        <v>70.169613149527365</v>
      </c>
      <c r="Z35" s="27">
        <f t="shared" si="1"/>
        <v>0.86586173511853892</v>
      </c>
      <c r="AA35" s="27">
        <f t="shared" si="1"/>
        <v>127.89746177466358</v>
      </c>
      <c r="AB35" s="27">
        <f t="shared" si="1"/>
        <v>102.2537914917465</v>
      </c>
      <c r="AC35" s="27">
        <f t="shared" si="1"/>
        <v>1967.9620929759569</v>
      </c>
      <c r="AD35" s="27">
        <f t="shared" si="1"/>
        <v>370.04962383130317</v>
      </c>
      <c r="AE35" s="27">
        <f t="shared" si="1"/>
        <v>827.14219174046104</v>
      </c>
      <c r="AF35" s="27">
        <f t="shared" si="1"/>
        <v>478.63692747654278</v>
      </c>
      <c r="AG35" s="27">
        <f t="shared" si="1"/>
        <v>-2.770499271427421</v>
      </c>
      <c r="AH35" s="27">
        <f>SUM(AH3:AH34)</f>
        <v>14954.30918039483</v>
      </c>
    </row>
    <row r="36" spans="1:34" x14ac:dyDescent="0.2">
      <c r="A36" s="26"/>
    </row>
    <row r="37" spans="1:34" x14ac:dyDescent="0.2">
      <c r="A37" s="26"/>
    </row>
    <row r="38" spans="1:34" x14ac:dyDescent="0.2">
      <c r="A38" s="26"/>
    </row>
    <row r="39" spans="1:34" x14ac:dyDescent="0.2">
      <c r="A39" s="26"/>
    </row>
    <row r="40" spans="1:34" x14ac:dyDescent="0.2">
      <c r="A40" s="26"/>
    </row>
    <row r="41" spans="1:34" x14ac:dyDescent="0.2">
      <c r="A41" s="26"/>
    </row>
    <row r="42" spans="1:34" x14ac:dyDescent="0.2">
      <c r="A42" s="26"/>
    </row>
    <row r="43" spans="1:34" x14ac:dyDescent="0.2">
      <c r="A43" s="26"/>
    </row>
    <row r="44" spans="1:34" x14ac:dyDescent="0.2">
      <c r="A44" s="26"/>
    </row>
    <row r="45" spans="1:34" x14ac:dyDescent="0.2">
      <c r="A45" s="26"/>
    </row>
    <row r="46" spans="1:34" x14ac:dyDescent="0.2">
      <c r="A46" s="26"/>
    </row>
    <row r="47" spans="1:34" x14ac:dyDescent="0.2">
      <c r="A47" s="26"/>
    </row>
    <row r="48" spans="1:34" x14ac:dyDescent="0.2">
      <c r="A48" s="26"/>
    </row>
    <row r="49" spans="1:1" x14ac:dyDescent="0.2">
      <c r="A49" s="26"/>
    </row>
    <row r="50" spans="1:1" x14ac:dyDescent="0.2">
      <c r="A50" s="26"/>
    </row>
    <row r="51" spans="1:1" x14ac:dyDescent="0.2">
      <c r="A51" s="26"/>
    </row>
    <row r="52" spans="1:1" x14ac:dyDescent="0.2">
      <c r="A52" s="26"/>
    </row>
    <row r="53" spans="1:1" x14ac:dyDescent="0.2">
      <c r="A53" s="26"/>
    </row>
    <row r="54" spans="1:1" x14ac:dyDescent="0.2">
      <c r="A54" s="26"/>
    </row>
    <row r="55" spans="1:1" x14ac:dyDescent="0.2">
      <c r="A55" s="26"/>
    </row>
    <row r="56" spans="1:1" x14ac:dyDescent="0.2">
      <c r="A56" s="26"/>
    </row>
    <row r="57" spans="1:1" x14ac:dyDescent="0.2">
      <c r="A57" s="26"/>
    </row>
    <row r="58" spans="1:1" x14ac:dyDescent="0.2">
      <c r="A58" s="26"/>
    </row>
    <row r="59" spans="1:1" x14ac:dyDescent="0.2">
      <c r="A59" s="26"/>
    </row>
    <row r="60" spans="1:1" x14ac:dyDescent="0.2">
      <c r="A60" s="26"/>
    </row>
    <row r="61" spans="1:1" x14ac:dyDescent="0.2">
      <c r="A61" s="26"/>
    </row>
    <row r="62" spans="1:1" x14ac:dyDescent="0.2">
      <c r="A62" s="26"/>
    </row>
    <row r="63" spans="1:1" x14ac:dyDescent="0.2">
      <c r="A63" s="26"/>
    </row>
    <row r="64" spans="1:1" x14ac:dyDescent="0.2">
      <c r="A64" s="26"/>
    </row>
    <row r="65" spans="1:1" x14ac:dyDescent="0.2">
      <c r="A65" s="26"/>
    </row>
    <row r="66" spans="1:1" x14ac:dyDescent="0.2">
      <c r="A66" s="26"/>
    </row>
    <row r="67" spans="1:1" x14ac:dyDescent="0.2">
      <c r="A67" s="26"/>
    </row>
    <row r="68" spans="1:1" x14ac:dyDescent="0.2">
      <c r="A68" s="26"/>
    </row>
    <row r="69" spans="1:1" x14ac:dyDescent="0.2">
      <c r="A69" s="26"/>
    </row>
    <row r="70" spans="1:1" x14ac:dyDescent="0.2">
      <c r="A70" s="26"/>
    </row>
    <row r="71" spans="1:1" x14ac:dyDescent="0.2">
      <c r="A71" s="26"/>
    </row>
    <row r="72" spans="1:1" x14ac:dyDescent="0.2">
      <c r="A72" s="26"/>
    </row>
    <row r="73" spans="1:1" x14ac:dyDescent="0.2">
      <c r="A73" s="26"/>
    </row>
    <row r="74" spans="1:1" x14ac:dyDescent="0.2">
      <c r="A74" s="26"/>
    </row>
    <row r="75" spans="1:1" x14ac:dyDescent="0.2">
      <c r="A75" s="26"/>
    </row>
    <row r="76" spans="1:1" x14ac:dyDescent="0.2">
      <c r="A76" s="26"/>
    </row>
    <row r="77" spans="1:1" x14ac:dyDescent="0.2">
      <c r="A77" s="26"/>
    </row>
    <row r="78" spans="1:1" x14ac:dyDescent="0.2">
      <c r="A78" s="26"/>
    </row>
    <row r="79" spans="1:1" x14ac:dyDescent="0.2">
      <c r="A79" s="26"/>
    </row>
    <row r="80" spans="1:1" x14ac:dyDescent="0.2">
      <c r="A80" s="26"/>
    </row>
    <row r="81" spans="1:1" x14ac:dyDescent="0.2">
      <c r="A81" s="26"/>
    </row>
    <row r="82" spans="1:1" x14ac:dyDescent="0.2">
      <c r="A82" s="26"/>
    </row>
    <row r="83" spans="1:1" x14ac:dyDescent="0.2">
      <c r="A83" s="26"/>
    </row>
    <row r="84" spans="1:1" x14ac:dyDescent="0.2">
      <c r="A84" s="26"/>
    </row>
    <row r="85" spans="1:1" x14ac:dyDescent="0.2">
      <c r="A85" s="26"/>
    </row>
    <row r="86" spans="1:1" x14ac:dyDescent="0.2">
      <c r="A86" s="26"/>
    </row>
    <row r="87" spans="1:1" x14ac:dyDescent="0.2">
      <c r="A87" s="26"/>
    </row>
    <row r="88" spans="1:1" x14ac:dyDescent="0.2">
      <c r="A88" s="26"/>
    </row>
    <row r="89" spans="1:1" x14ac:dyDescent="0.2">
      <c r="A89" s="26"/>
    </row>
    <row r="90" spans="1:1" x14ac:dyDescent="0.2">
      <c r="A90" s="26"/>
    </row>
    <row r="91" spans="1:1" x14ac:dyDescent="0.2">
      <c r="A91" s="26"/>
    </row>
    <row r="92" spans="1:1" x14ac:dyDescent="0.2">
      <c r="A92" s="26"/>
    </row>
    <row r="93" spans="1:1" x14ac:dyDescent="0.2">
      <c r="A93" s="26"/>
    </row>
    <row r="94" spans="1:1" x14ac:dyDescent="0.2">
      <c r="A94" s="26"/>
    </row>
    <row r="95" spans="1:1" x14ac:dyDescent="0.2">
      <c r="A95" s="26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zoomScale="80" zoomScaleNormal="80" workbookViewId="0"/>
  </sheetViews>
  <sheetFormatPr baseColWidth="10" defaultRowHeight="15" x14ac:dyDescent="0.2"/>
  <cols>
    <col min="1" max="1" width="17.85546875" style="5" customWidth="1"/>
    <col min="2" max="16384" width="11.42578125" style="5"/>
  </cols>
  <sheetData>
    <row r="1" spans="1:3" s="28" customFormat="1" x14ac:dyDescent="0.2">
      <c r="A1" s="28" t="s">
        <v>31</v>
      </c>
    </row>
    <row r="2" spans="1:3" x14ac:dyDescent="0.2">
      <c r="A2" s="30"/>
      <c r="B2" s="31" t="s">
        <v>23</v>
      </c>
      <c r="C2" s="31" t="s">
        <v>24</v>
      </c>
    </row>
    <row r="3" spans="1:3" x14ac:dyDescent="0.2">
      <c r="A3" s="29" t="s">
        <v>35</v>
      </c>
      <c r="B3" s="30">
        <v>2</v>
      </c>
      <c r="C3" s="30">
        <v>2</v>
      </c>
    </row>
    <row r="4" spans="1:3" x14ac:dyDescent="0.2">
      <c r="A4" s="29" t="s">
        <v>36</v>
      </c>
      <c r="B4" s="30">
        <v>2</v>
      </c>
      <c r="C4" s="30">
        <v>2</v>
      </c>
    </row>
    <row r="5" spans="1:3" x14ac:dyDescent="0.2">
      <c r="A5" s="29" t="s">
        <v>50</v>
      </c>
      <c r="B5" s="30">
        <v>2</v>
      </c>
      <c r="C5" s="30">
        <v>2</v>
      </c>
    </row>
    <row r="6" spans="1:3" x14ac:dyDescent="0.2">
      <c r="A6" s="29" t="s">
        <v>51</v>
      </c>
      <c r="B6" s="30">
        <v>2</v>
      </c>
      <c r="C6" s="30">
        <v>2</v>
      </c>
    </row>
    <row r="7" spans="1:3" x14ac:dyDescent="0.2">
      <c r="A7" s="29" t="s">
        <v>47</v>
      </c>
      <c r="B7" s="30">
        <v>2</v>
      </c>
      <c r="C7" s="30">
        <v>2</v>
      </c>
    </row>
    <row r="8" spans="1:3" x14ac:dyDescent="0.2">
      <c r="A8" s="29" t="s">
        <v>48</v>
      </c>
      <c r="B8" s="30">
        <v>2</v>
      </c>
      <c r="C8" s="30">
        <v>2</v>
      </c>
    </row>
    <row r="9" spans="1:3" x14ac:dyDescent="0.2">
      <c r="A9" s="29" t="s">
        <v>41</v>
      </c>
      <c r="B9" s="30">
        <v>2</v>
      </c>
      <c r="C9" s="30">
        <v>2</v>
      </c>
    </row>
    <row r="10" spans="1:3" x14ac:dyDescent="0.2">
      <c r="A10" s="29" t="s">
        <v>55</v>
      </c>
      <c r="B10" s="30">
        <v>2</v>
      </c>
      <c r="C10" s="30">
        <v>2</v>
      </c>
    </row>
    <row r="11" spans="1:3" x14ac:dyDescent="0.2">
      <c r="A11" s="29" t="s">
        <v>53</v>
      </c>
      <c r="B11" s="30">
        <v>2</v>
      </c>
      <c r="C11" s="30">
        <v>2</v>
      </c>
    </row>
    <row r="12" spans="1:3" x14ac:dyDescent="0.2">
      <c r="A12" s="29" t="s">
        <v>49</v>
      </c>
      <c r="B12" s="30">
        <v>2</v>
      </c>
      <c r="C12" s="30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="80" zoomScaleNormal="80" workbookViewId="0"/>
  </sheetViews>
  <sheetFormatPr baseColWidth="10" defaultRowHeight="15" x14ac:dyDescent="0.25"/>
  <cols>
    <col min="1" max="1" width="5.85546875" style="9" customWidth="1"/>
    <col min="2" max="2" width="11.42578125" style="9" customWidth="1"/>
    <col min="3" max="3" width="14.28515625" style="9" customWidth="1"/>
    <col min="4" max="5" width="5.7109375" style="9" customWidth="1"/>
    <col min="6" max="16384" width="11.42578125" style="9"/>
  </cols>
  <sheetData>
    <row r="1" spans="1:5" s="5" customFormat="1" x14ac:dyDescent="0.2">
      <c r="D1" s="6" t="s">
        <v>6</v>
      </c>
      <c r="E1" s="6" t="s">
        <v>7</v>
      </c>
    </row>
    <row r="2" spans="1:5" s="5" customFormat="1" x14ac:dyDescent="0.2">
      <c r="A2" s="5" t="s">
        <v>8</v>
      </c>
      <c r="B2" s="5" t="s">
        <v>2</v>
      </c>
      <c r="C2" s="5" t="s">
        <v>9</v>
      </c>
      <c r="D2" s="7">
        <v>1</v>
      </c>
      <c r="E2" s="7">
        <v>0</v>
      </c>
    </row>
    <row r="3" spans="1:5" s="5" customFormat="1" x14ac:dyDescent="0.25">
      <c r="A3" s="8" t="s">
        <v>8</v>
      </c>
      <c r="B3" s="5" t="s">
        <v>3</v>
      </c>
      <c r="C3" s="5" t="s">
        <v>10</v>
      </c>
      <c r="D3" s="5">
        <v>1</v>
      </c>
      <c r="E3" s="5">
        <v>0</v>
      </c>
    </row>
    <row r="4" spans="1:5" s="5" customFormat="1" x14ac:dyDescent="0.25">
      <c r="A4" s="8" t="s">
        <v>8</v>
      </c>
      <c r="B4" s="5" t="s">
        <v>1</v>
      </c>
      <c r="C4" s="5" t="s">
        <v>11</v>
      </c>
      <c r="D4" s="5">
        <v>1</v>
      </c>
      <c r="E4" s="5">
        <v>0</v>
      </c>
    </row>
    <row r="5" spans="1:5" x14ac:dyDescent="0.25">
      <c r="A5" s="8" t="s">
        <v>8</v>
      </c>
      <c r="B5" s="5" t="s">
        <v>19</v>
      </c>
      <c r="C5" s="5" t="s">
        <v>12</v>
      </c>
      <c r="D5" s="9">
        <v>1</v>
      </c>
      <c r="E5" s="9">
        <v>0</v>
      </c>
    </row>
    <row r="6" spans="1:5" x14ac:dyDescent="0.25">
      <c r="A6" s="10" t="s">
        <v>13</v>
      </c>
      <c r="B6" s="5" t="s">
        <v>14</v>
      </c>
      <c r="C6" s="5" t="s">
        <v>37</v>
      </c>
      <c r="D6" s="9">
        <v>1</v>
      </c>
      <c r="E6" s="9">
        <v>1</v>
      </c>
    </row>
    <row r="7" spans="1:5" x14ac:dyDescent="0.25">
      <c r="A7" s="10" t="s">
        <v>13</v>
      </c>
      <c r="B7" s="5" t="s">
        <v>25</v>
      </c>
      <c r="C7" s="5" t="s">
        <v>26</v>
      </c>
      <c r="D7" s="9">
        <v>1</v>
      </c>
      <c r="E7" s="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F527-F1D8-422C-9E39-EB49A44106E3}">
  <dimension ref="A1:AM14"/>
  <sheetViews>
    <sheetView zoomScale="80" zoomScaleNormal="80" workbookViewId="0">
      <selection sqref="A1:C1"/>
    </sheetView>
  </sheetViews>
  <sheetFormatPr baseColWidth="10" defaultRowHeight="15" customHeight="1" x14ac:dyDescent="0.2"/>
  <cols>
    <col min="1" max="1" width="28.5703125" style="3" customWidth="1"/>
    <col min="2" max="2" width="11.42578125" style="3" customWidth="1"/>
    <col min="3" max="3" width="14.28515625" style="3" customWidth="1"/>
    <col min="4" max="4" width="11.42578125" style="3"/>
    <col min="5" max="5" width="35.7109375" style="3" customWidth="1"/>
    <col min="6" max="6" width="11.42578125" style="3" customWidth="1"/>
    <col min="7" max="7" width="14.28515625" style="3" customWidth="1"/>
    <col min="8" max="8" width="11.42578125" style="3"/>
    <col min="9" max="9" width="35.85546875" style="3" customWidth="1"/>
    <col min="10" max="10" width="11.42578125" style="3" customWidth="1"/>
    <col min="11" max="11" width="14.28515625" style="3" customWidth="1"/>
    <col min="12" max="15" width="11.42578125" style="3"/>
    <col min="16" max="16" width="14.28515625" style="3" customWidth="1"/>
    <col min="17" max="18" width="11.42578125" style="3" customWidth="1"/>
    <col min="19" max="20" width="11.28515625" style="3" customWidth="1"/>
    <col min="21" max="27" width="11.42578125" style="3"/>
    <col min="28" max="28" width="21.42578125" style="3" customWidth="1"/>
    <col min="29" max="30" width="17.85546875" style="3" customWidth="1"/>
    <col min="31" max="32" width="25" style="3" customWidth="1"/>
    <col min="33" max="34" width="14.28515625" style="3" customWidth="1"/>
    <col min="35" max="35" width="11.42578125" style="3"/>
    <col min="36" max="36" width="35.5703125" style="3" customWidth="1"/>
    <col min="37" max="37" width="11.42578125" style="3"/>
    <col min="38" max="38" width="11.42578125" style="3" customWidth="1"/>
    <col min="39" max="39" width="17.85546875" style="3" customWidth="1"/>
    <col min="40" max="16384" width="11.42578125" style="3"/>
  </cols>
  <sheetData>
    <row r="1" spans="1:39" s="1" customFormat="1" ht="30" customHeight="1" x14ac:dyDescent="0.2">
      <c r="A1" s="32" t="s">
        <v>66</v>
      </c>
      <c r="B1" s="32"/>
      <c r="C1" s="32"/>
      <c r="E1" s="32" t="s">
        <v>120</v>
      </c>
      <c r="F1" s="32"/>
      <c r="G1" s="32"/>
      <c r="I1" s="32" t="s">
        <v>77</v>
      </c>
      <c r="J1" s="32"/>
      <c r="K1" s="32"/>
      <c r="M1" s="32" t="s">
        <v>86</v>
      </c>
      <c r="N1" s="32"/>
      <c r="O1" s="32"/>
      <c r="P1" s="32"/>
      <c r="Q1" s="32"/>
      <c r="R1" s="32"/>
      <c r="S1" s="32"/>
      <c r="T1" s="32"/>
      <c r="V1" s="32" t="s">
        <v>85</v>
      </c>
      <c r="W1" s="32"/>
      <c r="X1" s="32"/>
      <c r="Y1" s="32"/>
      <c r="AA1" s="32" t="s">
        <v>89</v>
      </c>
      <c r="AB1" s="32"/>
      <c r="AC1" s="32"/>
      <c r="AD1" s="32"/>
      <c r="AE1" s="32"/>
      <c r="AF1" s="32"/>
      <c r="AG1" s="32"/>
      <c r="AH1" s="32"/>
      <c r="AJ1" s="32" t="s">
        <v>96</v>
      </c>
      <c r="AK1" s="32"/>
      <c r="AL1" s="32"/>
      <c r="AM1" s="32"/>
    </row>
    <row r="3" spans="1:39" ht="15" customHeight="1" x14ac:dyDescent="0.2">
      <c r="A3" s="2" t="s">
        <v>56</v>
      </c>
      <c r="B3" s="6" t="s">
        <v>57</v>
      </c>
      <c r="C3" s="6" t="s">
        <v>67</v>
      </c>
      <c r="E3" s="2" t="s">
        <v>56</v>
      </c>
      <c r="F3" s="6" t="s">
        <v>57</v>
      </c>
      <c r="G3" s="6" t="s">
        <v>67</v>
      </c>
      <c r="I3" s="2" t="s">
        <v>56</v>
      </c>
      <c r="J3" s="6" t="s">
        <v>57</v>
      </c>
      <c r="K3" s="6" t="s">
        <v>67</v>
      </c>
      <c r="M3" s="2" t="s">
        <v>113</v>
      </c>
      <c r="N3" s="6" t="s">
        <v>79</v>
      </c>
      <c r="O3" s="6" t="s">
        <v>80</v>
      </c>
      <c r="P3" s="6" t="s">
        <v>121</v>
      </c>
      <c r="Q3" s="6" t="s">
        <v>81</v>
      </c>
      <c r="R3" s="6" t="s">
        <v>82</v>
      </c>
      <c r="S3" s="6" t="s">
        <v>83</v>
      </c>
      <c r="T3" s="6" t="s">
        <v>84</v>
      </c>
      <c r="V3" s="2" t="s">
        <v>112</v>
      </c>
      <c r="W3" s="6" t="s">
        <v>87</v>
      </c>
      <c r="X3" s="6" t="s">
        <v>88</v>
      </c>
      <c r="Y3" s="6" t="s">
        <v>78</v>
      </c>
      <c r="AA3" s="2" t="s">
        <v>113</v>
      </c>
      <c r="AB3" s="6" t="s">
        <v>90</v>
      </c>
      <c r="AC3" s="6" t="s">
        <v>91</v>
      </c>
      <c r="AD3" s="6" t="s">
        <v>92</v>
      </c>
      <c r="AE3" s="6" t="s">
        <v>93</v>
      </c>
      <c r="AF3" s="6" t="s">
        <v>94</v>
      </c>
      <c r="AG3" s="6" t="s">
        <v>69</v>
      </c>
      <c r="AH3" s="6" t="s">
        <v>95</v>
      </c>
      <c r="AJ3" s="2" t="s">
        <v>56</v>
      </c>
      <c r="AK3" s="6" t="s">
        <v>97</v>
      </c>
      <c r="AL3" s="6" t="s">
        <v>98</v>
      </c>
      <c r="AM3" s="6" t="s">
        <v>99</v>
      </c>
    </row>
    <row r="4" spans="1:39" ht="15" customHeight="1" x14ac:dyDescent="0.2">
      <c r="A4" s="2" t="s">
        <v>167</v>
      </c>
      <c r="B4" s="11">
        <f>SUM(B5:B8)</f>
        <v>2426.0781018336775</v>
      </c>
      <c r="C4" s="13">
        <f t="shared" ref="C4:C14" si="0">B4/$B$12</f>
        <v>1.0380539834342841</v>
      </c>
      <c r="E4" s="4" t="s">
        <v>69</v>
      </c>
      <c r="F4" s="12">
        <f>SUM(SAM!AE13:AE22)</f>
        <v>738.20468235195835</v>
      </c>
      <c r="G4" s="14">
        <f t="shared" ref="G4:G11" si="1">F4/$B$12</f>
        <v>0.3158580552398989</v>
      </c>
      <c r="I4" s="4" t="s">
        <v>76</v>
      </c>
      <c r="J4" s="12">
        <f>SAM!AB31</f>
        <v>102.2537914917465</v>
      </c>
      <c r="K4" s="14">
        <f t="shared" ref="K4:K14" si="2">J4/$B$12</f>
        <v>4.3751664671899775E-2</v>
      </c>
      <c r="M4" s="4" t="s">
        <v>35</v>
      </c>
      <c r="N4" s="14">
        <f>(SAM!$L$3/SAM!$AH$3*SUM(SAM!B$23:B$24)+SAM!$L$4/SAM!$AH$4*SUM(SAM!C$23:C$24)+SAM!$L$5/SAM!$AH$5*SUM(SAM!D$23:D$24)+SAM!$L$6/SAM!$AH$6*SUM(SAM!E$23:E$24)+SAM!$L$7/SAM!$AH$7*SUM(SAM!F$23:F$24)+SAM!$L$8/SAM!$AH$8*SUM(SAM!G$23:G$24)+SAM!$L$9/SAM!$AH$9*SUM(SAM!H$23:H$24)+SAM!$L$10/SAM!$AH$10*SUM(SAM!I$23:I$24)+SAM!$L$11/SAM!$AH$11*SUM(SAM!J$23:J$24)+SAM!$L$12/SAM!$AH$12*SUM(SAM!K$23:K$24))/SUM(SAM!$B$23:K$24)</f>
        <v>5.8998783444297924E-2</v>
      </c>
      <c r="O4" s="14">
        <f>SUM(SAM!L$3:L$12)/SUM(SAM!AH$3:AH$12)</f>
        <v>6.6814846884733284E-2</v>
      </c>
      <c r="P4" s="14">
        <f>(SAM!$L$3/SAM!$AH$3*SAM!$B$23+SAM!$L$4/SAM!$AH$4*SAM!$C$23+SAM!$L$5/SAM!$AH$5*SAM!$D$23+SAM!$L$6/SAM!$AH$6*SAM!$E$23+SAM!$L$7/SAM!$AH$7*SAM!$F$23+SAM!$L$8/SAM!$AH$8*SAM!$G$23+SAM!$L$9/SAM!$AH$9*SAM!$H$23+SAM!$L$10/SAM!$AH$10*SAM!$I$23+SAM!$L$11/SAM!$AH$11*SAM!$J$23+SAM!$L$12/SAM!$AH$12*SAM!$K$23)/SUM(SAM!B$23:K$23)</f>
        <v>5.9404947574485535E-2</v>
      </c>
      <c r="Q4" s="14">
        <f>SAM!$AE13/SUM(SAM!AE$13:AE$22)</f>
        <v>0.14084978113305335</v>
      </c>
      <c r="R4" s="14">
        <f>(SAM!$AE13-SAM!L$27)/SUM(SAM!$L$3:$L$12)</f>
        <v>0.39446032860368369</v>
      </c>
      <c r="S4" s="14">
        <f>SAM!$L$32/SUM(SAM!L$32:U$32)</f>
        <v>4.6807141892819946E-2</v>
      </c>
      <c r="T4" s="14">
        <f>SUM(SAM!$L$26,SAM!$L$32)/(SUM(SAM!$L$3:$L$12)-SAM!AE13+SUM(SAM!$L$26,SAM!$L$32)+SUM(SAM!L$28))</f>
        <v>0.19668093501508174</v>
      </c>
      <c r="V4" s="4" t="s">
        <v>35</v>
      </c>
      <c r="W4" s="14">
        <f>SAM!$B$23/SUM(SAM!$B$23:$B$24)</f>
        <v>0.61973600033731258</v>
      </c>
      <c r="X4" s="14">
        <f>SAM!$B$24/SUM(SAM!$B$23:$B$24)</f>
        <v>0.38026399966268742</v>
      </c>
      <c r="Y4" s="14">
        <f t="shared" ref="Y4:Y9" si="3">SUM(W4:X4)</f>
        <v>1</v>
      </c>
      <c r="AA4" s="4" t="s">
        <v>35</v>
      </c>
      <c r="AB4" s="14">
        <f>SUM(SAM!B13:K13)/SAM!$AH13</f>
        <v>0.50822507180824317</v>
      </c>
      <c r="AC4" s="14">
        <f>SAM!AC13/SAM!$AH13</f>
        <v>0.13090914939938209</v>
      </c>
      <c r="AD4" s="14">
        <f>SAM!AD13/SAM!$AH13</f>
        <v>6.747952635554206E-5</v>
      </c>
      <c r="AE4" s="14">
        <f>SAM!AF13/SAM!$AH13</f>
        <v>1.7719640235255418E-2</v>
      </c>
      <c r="AF4" s="14">
        <f>SAM!AG13/SAM!$AH13</f>
        <v>-1.8244190191381147E-4</v>
      </c>
      <c r="AG4" s="14">
        <f>SAM!AE13/SAM!$AH13</f>
        <v>0.34326110093267759</v>
      </c>
      <c r="AH4" s="14">
        <f t="shared" ref="AH4:AH9" si="4">SUM(AB4:AG4)</f>
        <v>0.99999999999999989</v>
      </c>
      <c r="AJ4" s="4" t="s">
        <v>106</v>
      </c>
      <c r="AK4" s="14"/>
      <c r="AL4" s="14">
        <f>SUM(SAM!X31:AB31)/SAM!AH$31</f>
        <v>0.98917879880389115</v>
      </c>
      <c r="AM4" s="14"/>
    </row>
    <row r="5" spans="1:39" ht="15" customHeight="1" x14ac:dyDescent="0.2">
      <c r="A5" s="4" t="s">
        <v>58</v>
      </c>
      <c r="B5" s="12">
        <f>SUM(SAM!AC13:AC22)</f>
        <v>1548.2754612493472</v>
      </c>
      <c r="C5" s="14">
        <f t="shared" si="0"/>
        <v>0.66246569258783972</v>
      </c>
      <c r="E5" s="4" t="s">
        <v>70</v>
      </c>
      <c r="F5" s="12">
        <f>SAM!AE30</f>
        <v>-54.682334236038059</v>
      </c>
      <c r="G5" s="14">
        <f t="shared" si="1"/>
        <v>-2.3397109447672558E-2</v>
      </c>
      <c r="I5" s="4" t="s">
        <v>116</v>
      </c>
      <c r="J5" s="12">
        <f>SAM!X31</f>
        <v>64.858514248224367</v>
      </c>
      <c r="K5" s="14">
        <f t="shared" si="2"/>
        <v>2.7751224918980057E-2</v>
      </c>
      <c r="M5" s="4" t="s">
        <v>36</v>
      </c>
      <c r="N5" s="14">
        <f>(SAM!$M$3/SAM!$AH$3*SUM(SAM!B$23:B$24)+SAM!$M$4/SAM!$AH$4*SUM(SAM!C$23:C$24)+SAM!$M$5/SAM!$AH$5*SUM(SAM!D$23:D$24)+SAM!$M$6/SAM!$AH$6*SUM(SAM!E$23:E$24)+SAM!$M$7/SAM!$AH$7*SUM(SAM!F$23:F$24)+SAM!$M$8/SAM!$AH$8*SUM(SAM!G$23:G$24)+SAM!$M$9/SAM!$AH$9*SUM(SAM!H$23:H$24)+SAM!$M$10/SAM!$AH$10*SUM(SAM!I$23:I$24)+SAM!$M$11/SAM!$AH$11*SUM(SAM!J$23:J$24)+SAM!$M$12/SAM!$AH$12*SUM(SAM!K$23:K$24))/SUM(SAM!$B$23:K$24)</f>
        <v>3.1783881074662385E-3</v>
      </c>
      <c r="O5" s="14">
        <f>SUM(SAM!M$3:M$12)/SUM(SAM!AH$3:AH$12)</f>
        <v>3.3446388206299078E-3</v>
      </c>
      <c r="P5" s="14">
        <f>(SAM!$M$3/SAM!$AH$3*SAM!$B$23+SAM!$M$4/SAM!$AH$4*SAM!$C$23+SAM!$M$5/SAM!$AH$5*SAM!$D$23+SAM!$M$6/SAM!$AH$6*SAM!$E$23+SAM!$M$7/SAM!$AH$7*SAM!$F$23+SAM!$M$8/SAM!$AH$8*SAM!$G$23+SAM!$M$9/SAM!$AH$9*SAM!$H$23+SAM!$M$10/SAM!$AH$10*SAM!$I$23+SAM!$M$11/SAM!$AH$11*SAM!$J$23+SAM!$M$12/SAM!$AH$12*SAM!$K$23)/SUM(SAM!B$23:K$23)</f>
        <v>1.4784316795675488E-3</v>
      </c>
      <c r="Q5" s="14">
        <f>SAM!$AE14/SUM(SAM!AE$13:AE$22)</f>
        <v>2.7850998190766837E-4</v>
      </c>
      <c r="R5" s="14">
        <f>(SAM!$AE14-SAM!M$27)/SUM(SAM!$M$3:$M$12)</f>
        <v>1.5662578862903988E-2</v>
      </c>
      <c r="S5" s="14">
        <f>SAM!$M$32/SUM(SAM!L$32:U$32)</f>
        <v>4.2391885107285606E-3</v>
      </c>
      <c r="T5" s="14">
        <f>SUM(SAM!$M$26,SAM!$M$32)/(SUM(SAM!$M$3:$M$12)-SAM!AE14+SUM(SAM!$M$26,SAM!$M$32)+SUM(SAM!M$28))</f>
        <v>0.20773534175951067</v>
      </c>
      <c r="V5" s="4" t="s">
        <v>36</v>
      </c>
      <c r="W5" s="14">
        <f>SAM!$C$23/SUM(SAM!$C$23:$C$24)</f>
        <v>0.2822969616404653</v>
      </c>
      <c r="X5" s="14">
        <f>SAM!$C$24/SUM(SAM!$C$23:$C$24)</f>
        <v>0.71770303835953475</v>
      </c>
      <c r="Y5" s="14">
        <f t="shared" si="3"/>
        <v>1</v>
      </c>
      <c r="AA5" s="4" t="s">
        <v>36</v>
      </c>
      <c r="AB5" s="14">
        <f>SUM(SAM!B14:K14)/SAM!$AH14</f>
        <v>0.97779762394479885</v>
      </c>
      <c r="AC5" s="14">
        <f>SAM!AC14/SAM!$AH14</f>
        <v>1.143465109220209E-2</v>
      </c>
      <c r="AD5" s="14">
        <f>SAM!AD14/SAM!$AH14</f>
        <v>0</v>
      </c>
      <c r="AE5" s="14">
        <f>SAM!AF14/SAM!$AH14</f>
        <v>0</v>
      </c>
      <c r="AF5" s="14">
        <f>SAM!AG14/SAM!$AH14</f>
        <v>-4.2597073683004377E-4</v>
      </c>
      <c r="AG5" s="14">
        <f>SAM!AE14/SAM!$AH14</f>
        <v>1.1193695699829264E-2</v>
      </c>
      <c r="AH5" s="14">
        <f t="shared" si="4"/>
        <v>1.0000000000000002</v>
      </c>
      <c r="AJ5" s="4" t="s">
        <v>100</v>
      </c>
      <c r="AK5" s="14">
        <f>SAM!AD30/SAM!AH$30</f>
        <v>-2.4974759147891653E-2</v>
      </c>
      <c r="AL5" s="14"/>
      <c r="AM5" s="14"/>
    </row>
    <row r="6" spans="1:39" ht="15" customHeight="1" x14ac:dyDescent="0.2">
      <c r="A6" s="4" t="s">
        <v>107</v>
      </c>
      <c r="B6" s="12">
        <f>SUM(SAM!AD13:AD22)</f>
        <v>399.16571310778767</v>
      </c>
      <c r="C6" s="14">
        <f t="shared" si="0"/>
        <v>0.17079234103335239</v>
      </c>
      <c r="E6" s="4" t="s">
        <v>102</v>
      </c>
      <c r="F6" s="12">
        <f>SAM!AE31</f>
        <v>4.0043814320229112</v>
      </c>
      <c r="G6" s="14">
        <f t="shared" si="1"/>
        <v>1.7133677986540922E-3</v>
      </c>
      <c r="I6" s="4" t="s">
        <v>117</v>
      </c>
      <c r="J6" s="12">
        <f>SAM!AA31</f>
        <v>127.89746177466358</v>
      </c>
      <c r="K6" s="14">
        <f t="shared" si="2"/>
        <v>5.4723905865181187E-2</v>
      </c>
      <c r="M6" s="4" t="s">
        <v>114</v>
      </c>
      <c r="N6" s="14">
        <f>(SUM(SAM!$N$3:$Q$3)/SAM!$AH$3*SUM(SAM!B$23:B$24)+SUM(SAM!$N$4:$Q$4)/SAM!$AH$4*SUM(SAM!C$23:C$24)+SUM(SAM!$N$5:$Q$5)/SAM!$AH$5*SUM(SAM!D$23:D$24)+SUM(SAM!$N$6:$Q$6)/SAM!$AH$6*SUM(SAM!E$23:E$24)+SUM(SAM!$N$7:$Q$7)/SAM!$AH$7*SUM(SAM!F$23:F$24)+SUM(SAM!$N$8:$Q$8)/SAM!$AH$8*SUM(SAM!G$23:G$24)+SUM(SAM!$N$9:$Q$9)/SAM!$AH$9*SUM(SAM!H$23:H$24)+SUM(SAM!$N$10:$Q$10)/SAM!$AH$10*SUM(SAM!I$23:I$24)+SUM(SAM!$N$11:$Q$11)/SAM!$AH$11*SUM(SAM!J$23:J$24)+SUM(SAM!$N$12:$Q$12)/SAM!$AH$12*SUM(SAM!K$23:K$24))/SUM(SAM!$B$23:K$24)</f>
        <v>0.14211462153183713</v>
      </c>
      <c r="O6" s="14">
        <f>SUM(SAM!N$3:Q$12)/SUM(SAM!AH$3:AH$12)</f>
        <v>0.21563178477733841</v>
      </c>
      <c r="P6" s="14">
        <f>(SUM(SAM!$N$3:$Q$3)/SAM!$AH$3*SAM!$B$23+SUM(SAM!$N$4:$Q$4)/SAM!$AH$4*SAM!$C$23+SUM(SAM!$N$5:$Q$5)/SAM!$AH$5*SAM!$D$23+SUM(SAM!$N$6:$Q$6)/SAM!$AH$6*SAM!$E$23+SUM(SAM!$N$7:$Q$7)/SAM!$AH$7*SAM!$F$23+SUM(SAM!$N$8:$Q$8)/SAM!$AH$8*SAM!$G$23+SUM(SAM!$N$9:$Q$9)/SAM!$AH$9*SAM!$H$23+SUM(SAM!$N$10:$Q$10)/SAM!$AH$10*SAM!$I$23+SUM(SAM!$N$11:$Q$11)/SAM!$AH$11*SAM!$J$23+SUM(SAM!$N$12:$Q$12)/SAM!$AH$12*SAM!$K$23)/SUM(SAM!$B$23:$K$23)</f>
        <v>0.10434403624868442</v>
      </c>
      <c r="Q6" s="14">
        <f>SUM(SAM!$AE15:$AE18)/SUM(SAM!AE$13:AE$22)</f>
        <v>0.50278944323280883</v>
      </c>
      <c r="R6" s="14">
        <f>(SUM(SAM!$AE15:$AE18)-SUM(SAM!N$27:Q$27))/SUM(SAM!$N$3:$Q$12)</f>
        <v>0.4381884410024306</v>
      </c>
      <c r="S6" s="14">
        <f>SUM(SAM!$N$32:$Q$32)/SUM(SAM!L$32:U$32)</f>
        <v>0.86152561962698992</v>
      </c>
      <c r="T6" s="14">
        <f>SUM(SAM!$N$26:$Q$26,SAM!$N$32:$Q$32)/(SUM(SAM!$N$3:$Q$12)-SUM(SAM!AE15:'SAM'!AE18)+SUM(SAM!$N$26:$Q$26,SAM!$N$32:$Q$32)+SUM(SAM!N$28:Q$28))</f>
        <v>0.58341988182145232</v>
      </c>
      <c r="V6" s="4" t="s">
        <v>114</v>
      </c>
      <c r="W6" s="14">
        <f>SUM(SAM!$D$23:$G$23)/SUM(SAM!$D$23:$G$24)</f>
        <v>0.44233727460269573</v>
      </c>
      <c r="X6" s="14">
        <f>SUM(SAM!$D$24:'SAM'!$G$24)/SUM(SAM!$D$23:$G$24)</f>
        <v>0.5576627253973041</v>
      </c>
      <c r="Y6" s="14">
        <f t="shared" si="3"/>
        <v>0.99999999999999978</v>
      </c>
      <c r="AA6" s="4" t="s">
        <v>114</v>
      </c>
      <c r="AB6" s="14">
        <f>SUM(SAM!B15:K18)/SUM(SAM!$AH15:$AH18)</f>
        <v>0.36321842498113238</v>
      </c>
      <c r="AC6" s="14">
        <f>SUM(SAM!AC15:AC18)/SUM(SAM!$AH15:$AH18)</f>
        <v>0.34426152789448705</v>
      </c>
      <c r="AD6" s="14">
        <f>SUM(SAM!AD15:AD18)/SUM(SAM!$AH15:$AH18)</f>
        <v>5.8436935634782541E-3</v>
      </c>
      <c r="AE6" s="14">
        <f>SUM(SAM!AF15:AF18)/SUM(SAM!$AH15:$AH18)</f>
        <v>7.1328803155914777E-2</v>
      </c>
      <c r="AF6" s="14">
        <f>SUM(SAM!AG15:AG18)/SUM(SAM!$AH15:$AH18)</f>
        <v>-1.4256780769706654E-3</v>
      </c>
      <c r="AG6" s="14">
        <f>SUM(SAM!AE15:AE18)/SUM(SAM!$AH15:$AH18)</f>
        <v>0.21677322848195826</v>
      </c>
      <c r="AH6" s="14">
        <f t="shared" si="4"/>
        <v>1</v>
      </c>
      <c r="AJ6" s="4" t="s">
        <v>101</v>
      </c>
      <c r="AK6" s="14">
        <f>SAM!AE30/SAM!AH$30</f>
        <v>-2.7786274151931089E-2</v>
      </c>
      <c r="AL6" s="14">
        <f>SAM!AE31/SAM!AH$31</f>
        <v>1.0821201196108802E-2</v>
      </c>
      <c r="AM6" s="14"/>
    </row>
    <row r="7" spans="1:39" ht="15" customHeight="1" x14ac:dyDescent="0.2">
      <c r="A7" s="4" t="s">
        <v>59</v>
      </c>
      <c r="B7" s="12">
        <f>SUM(SAM!AF13:AF22)</f>
        <v>481.40742674797019</v>
      </c>
      <c r="C7" s="14">
        <f t="shared" si="0"/>
        <v>0.20598137241042463</v>
      </c>
      <c r="E7" s="4" t="s">
        <v>71</v>
      </c>
      <c r="F7" s="12">
        <f>SAM!AE23</f>
        <v>-1.5553350413912266</v>
      </c>
      <c r="G7" s="14">
        <f t="shared" si="1"/>
        <v>-6.654862982650076E-4</v>
      </c>
      <c r="I7" s="4" t="s">
        <v>118</v>
      </c>
      <c r="J7" s="12">
        <f>SAM!Y31</f>
        <v>70.169613149527365</v>
      </c>
      <c r="K7" s="14">
        <f t="shared" si="2"/>
        <v>3.0023702201036243E-2</v>
      </c>
      <c r="M7" s="4" t="s">
        <v>41</v>
      </c>
      <c r="N7" s="14">
        <f>(SAM!$R$3/SAM!$AH$3*SUM(SAM!B$23:B$24)+SAM!$R$4/SAM!$AH$4*SUM(SAM!C$23:C$24)+SAM!$R$5/SAM!$AH$5*SUM(SAM!D$23:D$24)+SAM!$R$6/SAM!$AH$6*SUM(SAM!E$23:E$24)+SAM!$R$7/SAM!$AH$7*SUM(SAM!F$23:F$24)+SAM!$R$8/SAM!$AH$8*SUM(SAM!G$23:G$24)+SAM!$R$9/SAM!$AH$9*SUM(SAM!H$23:H$24)+SAM!$R$10/SAM!$AH$10*SUM(SAM!I$23:I$24)+SAM!$R$11/SAM!$AH$11*SUM(SAM!J$23:J$24)+SAM!$R$12/SAM!$AH$12*SUM(SAM!K$23:K$24))/SUM(SAM!$B$23:K$24)</f>
        <v>8.5261749146929966E-2</v>
      </c>
      <c r="O7" s="14">
        <f>SUM(SAM!R$3:R$12)/SUM(SAM!AH$3:AH$12)</f>
        <v>0.12202598708569561</v>
      </c>
      <c r="P7" s="14">
        <f>(SAM!$R$3/SAM!$AH$3*SAM!$B$23+SAM!$R$4/SAM!$AH$4*SAM!$C$23+SAM!$R$5/SAM!$AH$5*SAM!$D$23+SAM!$R$6/SAM!$AH$6*SAM!$E$23+SAM!$R$7/SAM!$AH$7*SAM!$F$23+SAM!$R$8/SAM!$AH$8*SAM!$G$23+SAM!$R$9/SAM!$AH$9*SAM!$H$23+SAM!$R$10/SAM!$AH$10*SAM!$I$23+SAM!$R$11/SAM!$AH$11*SAM!$J$23+SAM!$R$12/SAM!$AH$12*SAM!$K$23)/SUM(SAM!$B$23:$K$23)</f>
        <v>7.2535354227415638E-2</v>
      </c>
      <c r="Q7" s="14">
        <f>SAM!$AE19/SUM(SAM!AE$13:AE$22)</f>
        <v>6.9264355112830787E-4</v>
      </c>
      <c r="R7" s="14">
        <f>(SAM!$AE19-SAM!R$27)/SUM(SAM!$R$3:$R$12)</f>
        <v>1.0676507206723882E-3</v>
      </c>
      <c r="S7" s="14">
        <f>SAM!$R$32/SUM(SAM!L$32:U$32)</f>
        <v>6.3808120038550602E-4</v>
      </c>
      <c r="T7" s="14">
        <f>SUM(SAM!$R$26,SAM!$R$32)/(SUM(SAM!R$3:R$12)-SAM!AE19+SUM(SAM!R$26,SAM!R$32)+SUM(SAM!R$28))</f>
        <v>1.093923425852352E-3</v>
      </c>
      <c r="V7" s="4" t="s">
        <v>41</v>
      </c>
      <c r="W7" s="14">
        <f>SAM!$H$23/SUM(SAM!$H$23:$H$24)</f>
        <v>0.51856228805577242</v>
      </c>
      <c r="X7" s="14">
        <f>SAM!$H$24/SUM(SAM!$H$23:$H$24)</f>
        <v>0.48143771194422763</v>
      </c>
      <c r="Y7" s="14">
        <f t="shared" si="3"/>
        <v>1</v>
      </c>
      <c r="AA7" s="4" t="s">
        <v>41</v>
      </c>
      <c r="AB7" s="14">
        <f>SUM(SAM!B19:K19)/SAM!$AH19</f>
        <v>0.27911786498526281</v>
      </c>
      <c r="AC7" s="14">
        <f>SAM!AC19/SAM!$AH19</f>
        <v>9.2309724874830704E-2</v>
      </c>
      <c r="AD7" s="14">
        <f>SAM!AD19/SAM!$AH19</f>
        <v>0</v>
      </c>
      <c r="AE7" s="14">
        <f>SAM!AF19/SAM!$AH19</f>
        <v>0.62751374945163407</v>
      </c>
      <c r="AF7" s="14">
        <f>SAM!AG19/SAM!$AH19</f>
        <v>0</v>
      </c>
      <c r="AG7" s="14">
        <f>SAM!AE19/SAM!$AH19</f>
        <v>1.0586606882725046E-3</v>
      </c>
      <c r="AH7" s="14">
        <f t="shared" si="4"/>
        <v>1</v>
      </c>
      <c r="AJ7" s="4" t="s">
        <v>73</v>
      </c>
      <c r="AK7" s="14"/>
      <c r="AL7" s="14"/>
      <c r="AM7" s="14">
        <f>SUM(SAM!L32:U32)/SAM!AH$32</f>
        <v>1</v>
      </c>
    </row>
    <row r="8" spans="1:39" ht="15" customHeight="1" x14ac:dyDescent="0.2">
      <c r="A8" s="4" t="s">
        <v>60</v>
      </c>
      <c r="B8" s="12">
        <f>SUM(SAM!AG13:AG20)</f>
        <v>-2.770499271427421</v>
      </c>
      <c r="C8" s="14">
        <f t="shared" si="0"/>
        <v>-1.1854225973324329E-3</v>
      </c>
      <c r="E8" s="4" t="s">
        <v>110</v>
      </c>
      <c r="F8" s="12">
        <f>SAM!AE33</f>
        <v>141.1707972339091</v>
      </c>
      <c r="G8" s="14">
        <f t="shared" si="1"/>
        <v>6.0403211381568039E-2</v>
      </c>
      <c r="I8" s="4" t="s">
        <v>119</v>
      </c>
      <c r="J8" s="12">
        <f>SAM!Z31</f>
        <v>0.86586173511853892</v>
      </c>
      <c r="K8" s="14">
        <f t="shared" si="2"/>
        <v>3.7047909651539296E-4</v>
      </c>
      <c r="M8" s="4" t="s">
        <v>115</v>
      </c>
      <c r="N8" s="14">
        <f>(SUM(SAM!$S$3:$U$3)/SAM!$AH$3*SUM(SAM!B$23:B$24)+SUM(SAM!$S$4:$U$4)/SAM!$AH$4*SUM(SAM!C$23:C$24)+SUM(SAM!$S$5:$U$5)/SAM!$AH$5*SUM(SAM!D$23:D$24)+SUM(SAM!$S$6:$U$6)/SAM!$AH$6*SUM(SAM!E$23:E$24)+SUM(SAM!$S$7:$U$7)/SAM!$AH$7*SUM(SAM!F$23:F$24)+SUM(SAM!$S$8:$U$8)/SAM!$AH$8*SUM(SAM!G$23:G$24)+SUM(SAM!$S$9:$U$9)/SAM!$AH$9*SUM(SAM!H$23:H$24)+SUM(SAM!$S$10:$U$10)/SAM!$AH$10*SUM(SAM!I$23:I$24)+SUM(SAM!$S$11:$U$11)/SAM!$AH$11*SUM(SAM!J$23:J$24)+SUM(SAM!$S$12:$U$12)/SAM!$AH$12*SUM(SAM!K$23:K$24))/SUM(SAM!$B$23:K$24)</f>
        <v>0.71044645776946891</v>
      </c>
      <c r="O8" s="14">
        <f>SUM(SAM!S$3:U$12)/SUM(SAM!AH$3:AH$12)</f>
        <v>0.59218274243160274</v>
      </c>
      <c r="P8" s="14">
        <f>(SUM(SAM!$S$3:$U$3)/SAM!$AH$3*SAM!$B$23+SUM(SAM!$S$4:$U$4)/SAM!$AH$4*SAM!$C$23+SUM(SAM!$S$5:$U$5)/SAM!$AH$5*SAM!$D$23+SUM(SAM!$S$6:$U$6)/SAM!$AH$6*SAM!$E$23+SUM(SAM!$S$7:$U$7)/SAM!$AH$7*SAM!$F$23+SUM(SAM!$S$8:$U$8)/SAM!$AH$8*SAM!$G$23+SUM(SAM!$S$9:$U$9)/SAM!$AH$9*SAM!$H$23+SUM(SAM!$S$10:$U$10)/SAM!$AH$10*SAM!$I$23+SUM(SAM!$S$11:$U$11)/SAM!$AH$11*SAM!$J$23+SUM(SAM!$S$12:$U$12)/SAM!$AH$12*SAM!$K$23)/SUM(SAM!$B$23:$K$23)</f>
        <v>0.7622372302698468</v>
      </c>
      <c r="Q8" s="14">
        <f>SUM(SAM!$AE20:$AE22)/SUM(SAM!AE$13:AE$22)</f>
        <v>0.35538962210110187</v>
      </c>
      <c r="R8" s="14">
        <f>(SUM(SAM!$AE20:$AE22)-SUM(SAM!S$27:U$27))/SUM(SAM!$S$3:$U$12)</f>
        <v>0.1128809684160777</v>
      </c>
      <c r="S8" s="14">
        <f>SUM(SAM!$S$32:$U$32)/SUM(SAM!L$32:U$32)</f>
        <v>8.678996876907602E-2</v>
      </c>
      <c r="T8" s="14">
        <f>SUM(SAM!$S$26:$U$26,SAM!$S$32:$U$32)/(SUM(SAM!$S$3:$U$12)-SUM(SAM!AE20:AE22)+SUM(SAM!$S$26:$U$26,SAM!$S$32:$U$32)+SUM(SAM!S$28:U$28))</f>
        <v>3.3052211799528192E-2</v>
      </c>
      <c r="V8" s="4" t="s">
        <v>115</v>
      </c>
      <c r="W8" s="14">
        <f>SUM(SAM!$I$23:'SAM'!$K$23)/SUM(SAM!$I$23:$K$24)</f>
        <v>0.65701884891736229</v>
      </c>
      <c r="X8" s="14">
        <f>SUM(SAM!$I$24:'SAM'!$K$24)/SUM(SAM!$I$23:$K$24)</f>
        <v>0.34298115108263783</v>
      </c>
      <c r="Y8" s="14">
        <f t="shared" si="3"/>
        <v>1</v>
      </c>
      <c r="AA8" s="4" t="s">
        <v>115</v>
      </c>
      <c r="AB8" s="14">
        <f>SUM(SAM!B20:K22)/SUM(SAM!$AH20:$AH22)</f>
        <v>0.35240582565575901</v>
      </c>
      <c r="AC8" s="14">
        <f>SUM(SAM!AC20:AC22)/SUM(SAM!$AH20:$AH22)</f>
        <v>0.35919199080179892</v>
      </c>
      <c r="AD8" s="14">
        <f>SUM(SAM!AD20:AD22)/SUM(SAM!$AH20:$AH22)</f>
        <v>0.15985708656247136</v>
      </c>
      <c r="AE8" s="14">
        <f>SUM(SAM!AF20:AF22)/SUM(SAM!$AH20:$AH22)</f>
        <v>2.0882011687462444E-2</v>
      </c>
      <c r="AF8" s="14">
        <f>SUM(SAM!AG20:AG22)/SUM(SAM!$AH20:$AH22)</f>
        <v>-1.0941588469268465E-4</v>
      </c>
      <c r="AG8" s="14">
        <f>SUM(SAM!AE20:AE22)/SUM(SAM!$AH20:$AH22)</f>
        <v>0.10777250117720094</v>
      </c>
      <c r="AH8" s="14">
        <f t="shared" si="4"/>
        <v>0.99999999999999989</v>
      </c>
      <c r="AJ8" s="4" t="s">
        <v>103</v>
      </c>
      <c r="AK8" s="14">
        <f>SAM!V30/SAM!AH$30</f>
        <v>0.64309498104535268</v>
      </c>
      <c r="AL8" s="14"/>
      <c r="AM8" s="14"/>
    </row>
    <row r="9" spans="1:39" ht="15" customHeight="1" x14ac:dyDescent="0.2">
      <c r="A9" s="2" t="s">
        <v>68</v>
      </c>
      <c r="B9" s="11">
        <f>B10-B11</f>
        <v>-88.937509388502122</v>
      </c>
      <c r="C9" s="13">
        <f t="shared" si="0"/>
        <v>-3.8053983434284309E-2</v>
      </c>
      <c r="E9" s="2" t="s">
        <v>74</v>
      </c>
      <c r="F9" s="11">
        <f>SUM(F4:F8)</f>
        <v>827.14219174046104</v>
      </c>
      <c r="G9" s="13">
        <f t="shared" si="1"/>
        <v>0.35391203867418347</v>
      </c>
      <c r="I9" s="4" t="s">
        <v>101</v>
      </c>
      <c r="J9" s="12">
        <f>SAM!AE31</f>
        <v>4.0043814320229112</v>
      </c>
      <c r="K9" s="14">
        <f t="shared" si="2"/>
        <v>1.7133677986540922E-3</v>
      </c>
      <c r="M9" s="2" t="s">
        <v>78</v>
      </c>
      <c r="N9" s="13">
        <f>SUM(N4:N8)</f>
        <v>1.0000000000000002</v>
      </c>
      <c r="O9" s="13">
        <f>SUM(O4:O8)</f>
        <v>1</v>
      </c>
      <c r="P9" s="13">
        <f>SUM(P4:P8)</f>
        <v>1</v>
      </c>
      <c r="Q9" s="13">
        <f>SUM(Q4:Q8)</f>
        <v>1</v>
      </c>
      <c r="R9" s="13">
        <f>(SUM(SAM!AE13:AE22)-SUM(SAM!L27:U27))/SUM(SAM!L3:U12)</f>
        <v>0.18787199030722718</v>
      </c>
      <c r="S9" s="13">
        <f>SUM(S4:S8)</f>
        <v>1</v>
      </c>
      <c r="T9" s="13">
        <f>SUM(SAM!L26:U26,SAM!L32:U32)/(SUM(SAM!L3:U12)-SUM(SAM!AE13:AE22)+SUM(SAM!L26:U26,SAM!L32:U32)+SUM(SAM!L$28:U$28))</f>
        <v>0.21305257423140156</v>
      </c>
      <c r="V9" s="2" t="s">
        <v>78</v>
      </c>
      <c r="W9" s="13">
        <f>SUM(SAM!B$23:K$23)/SUM(SAM!B$23:K$24)</f>
        <v>0.61115701863025174</v>
      </c>
      <c r="X9" s="13">
        <f>SUM(SAM!B$24:K$24)/SUM(SAM!B$23:K$24)</f>
        <v>0.38884298136974843</v>
      </c>
      <c r="Y9" s="13">
        <f t="shared" si="3"/>
        <v>1.0000000000000002</v>
      </c>
      <c r="AA9" s="2" t="s">
        <v>78</v>
      </c>
      <c r="AB9" s="13">
        <f>SUM(SAM!B13:K22)/SUM(SAM!$AH13:$AH22)</f>
        <v>0.3608494027442839</v>
      </c>
      <c r="AC9" s="13">
        <f>SUM(SAM!AC13:AC22)/SUM(SAM!$AH13:$AH22)</f>
        <v>0.31273475010501306</v>
      </c>
      <c r="AD9" s="13">
        <f>SUM(SAM!AD13:AD22)/SUM(SAM!$AH13:$AH22)</f>
        <v>8.0627118793526589E-2</v>
      </c>
      <c r="AE9" s="13">
        <f>SUM(SAM!AF13:AF22)/SUM(SAM!$AH13:$AH22)</f>
        <v>9.7239047618334337E-2</v>
      </c>
      <c r="AF9" s="13">
        <f>SUM(SAM!AG13:AG22)/SUM(SAM!$AH13:$AH22)</f>
        <v>-5.5961062420819305E-4</v>
      </c>
      <c r="AG9" s="13">
        <f>SUM(SAM!AE13:AE22)/SUM(SAM!$AH13:$AH22)</f>
        <v>0.14910929136305043</v>
      </c>
      <c r="AH9" s="13">
        <f t="shared" si="4"/>
        <v>1.0000000000000002</v>
      </c>
      <c r="AJ9" s="4" t="s">
        <v>104</v>
      </c>
      <c r="AK9" s="14">
        <f>SAM!W30/SAM!AH$30</f>
        <v>0.40966605225446989</v>
      </c>
      <c r="AL9" s="14"/>
      <c r="AM9" s="14"/>
    </row>
    <row r="10" spans="1:39" ht="15" customHeight="1" x14ac:dyDescent="0.2">
      <c r="A10" s="4" t="s">
        <v>61</v>
      </c>
      <c r="B10" s="12">
        <f>SUM(SAM!AE13:AE22)</f>
        <v>738.20468235195835</v>
      </c>
      <c r="C10" s="14">
        <f t="shared" si="0"/>
        <v>0.3158580552398989</v>
      </c>
      <c r="E10" s="4" t="s">
        <v>73</v>
      </c>
      <c r="F10" s="12">
        <f>SUM(SAM!L32:U32)</f>
        <v>827.14219174046048</v>
      </c>
      <c r="G10" s="14">
        <f t="shared" si="1"/>
        <v>0.35391203867418325</v>
      </c>
      <c r="I10" s="2" t="s">
        <v>72</v>
      </c>
      <c r="J10" s="11">
        <f>SUM(J4:J9)</f>
        <v>370.04962383130322</v>
      </c>
      <c r="K10" s="13">
        <f t="shared" si="2"/>
        <v>0.15833434455226672</v>
      </c>
      <c r="AJ10" s="2" t="s">
        <v>78</v>
      </c>
      <c r="AK10" s="13">
        <f>SUM(AK4:AK9)</f>
        <v>0.99999999999999978</v>
      </c>
      <c r="AL10" s="13">
        <f>SUM(AL4:AL9)</f>
        <v>1</v>
      </c>
      <c r="AM10" s="13">
        <f>SUM(AM4:AM9)</f>
        <v>1</v>
      </c>
    </row>
    <row r="11" spans="1:39" ht="15" customHeight="1" x14ac:dyDescent="0.2">
      <c r="A11" s="4" t="s">
        <v>62</v>
      </c>
      <c r="B11" s="12">
        <f>SUM(SAM!L32:U32)</f>
        <v>827.14219174046048</v>
      </c>
      <c r="C11" s="14">
        <f t="shared" si="0"/>
        <v>0.35391203867418325</v>
      </c>
      <c r="E11" s="2" t="s">
        <v>75</v>
      </c>
      <c r="F11" s="11">
        <f>SUM(F10)</f>
        <v>827.14219174046048</v>
      </c>
      <c r="G11" s="13">
        <f t="shared" si="1"/>
        <v>0.35391203867418325</v>
      </c>
      <c r="I11" s="4" t="s">
        <v>108</v>
      </c>
      <c r="J11" s="12">
        <f>SUM(SAM!AD13:AD22)</f>
        <v>399.16571310778767</v>
      </c>
      <c r="K11" s="14">
        <f t="shared" si="2"/>
        <v>0.17079234103335239</v>
      </c>
    </row>
    <row r="12" spans="1:39" ht="15" customHeight="1" x14ac:dyDescent="0.2">
      <c r="A12" s="2" t="s">
        <v>63</v>
      </c>
      <c r="B12" s="11">
        <f>B4+B9</f>
        <v>2337.1405924451756</v>
      </c>
      <c r="C12" s="13">
        <f t="shared" si="0"/>
        <v>1</v>
      </c>
      <c r="I12" s="4" t="s">
        <v>105</v>
      </c>
      <c r="J12" s="12">
        <f>SAM!AD30</f>
        <v>-49.149379284255303</v>
      </c>
      <c r="K12" s="14">
        <f t="shared" si="2"/>
        <v>-2.1029705890664448E-2</v>
      </c>
    </row>
    <row r="13" spans="1:39" ht="15" customHeight="1" x14ac:dyDescent="0.2">
      <c r="A13" s="4" t="s">
        <v>64</v>
      </c>
      <c r="B13" s="12">
        <f>SUM(SAM!AH25:AH28)</f>
        <v>263.79145090753377</v>
      </c>
      <c r="C13" s="14">
        <f t="shared" si="0"/>
        <v>0.11286931208171284</v>
      </c>
      <c r="I13" s="4" t="s">
        <v>111</v>
      </c>
      <c r="J13" s="12">
        <f>SAM!AD33</f>
        <v>20.033290007770809</v>
      </c>
      <c r="K13" s="14">
        <f t="shared" si="2"/>
        <v>8.5717094095787687E-3</v>
      </c>
    </row>
    <row r="14" spans="1:39" ht="15" customHeight="1" x14ac:dyDescent="0.2">
      <c r="A14" s="2" t="s">
        <v>65</v>
      </c>
      <c r="B14" s="11">
        <f>B12-B13</f>
        <v>2073.349141537642</v>
      </c>
      <c r="C14" s="13">
        <f t="shared" si="0"/>
        <v>0.8871306879182872</v>
      </c>
      <c r="I14" s="2" t="s">
        <v>109</v>
      </c>
      <c r="J14" s="11">
        <f>SUM(J11:J13)</f>
        <v>370.04962383130317</v>
      </c>
      <c r="K14" s="13">
        <f t="shared" si="2"/>
        <v>0.15833434455226669</v>
      </c>
    </row>
  </sheetData>
  <mergeCells count="7">
    <mergeCell ref="AJ1:AM1"/>
    <mergeCell ref="A1:C1"/>
    <mergeCell ref="E1:G1"/>
    <mergeCell ref="I1:K1"/>
    <mergeCell ref="M1:T1"/>
    <mergeCell ref="V1:Y1"/>
    <mergeCell ref="AA1:AH1"/>
  </mergeCells>
  <pageMargins left="0.7" right="0.7" top="0.75" bottom="0.75" header="0.3" footer="0.3"/>
  <pageSetup paperSize="9" orientation="portrait" horizontalDpi="0" verticalDpi="0" r:id="rId1"/>
  <ignoredErrors>
    <ignoredError sqref="C4:C14" evalError="1"/>
    <ignoredError sqref="B10 B13 F4 AB9:AG9 T8:T9 AC6:AG6 AB7:AG8 AB6 R6:R8 T6" formulaRange="1"/>
    <ignoredError sqref="N5 N7" formula="1"/>
    <ignoredError sqref="R9" formula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1D9F-62EC-4CDA-BA5A-E4354EA5DC31}">
  <dimension ref="A1:BC15"/>
  <sheetViews>
    <sheetView zoomScale="80" zoomScaleNormal="80" workbookViewId="0">
      <selection sqref="A1:F1"/>
    </sheetView>
  </sheetViews>
  <sheetFormatPr baseColWidth="10" defaultRowHeight="15" x14ac:dyDescent="0.2"/>
  <cols>
    <col min="1" max="42" width="14.28515625" style="15" customWidth="1"/>
    <col min="43" max="43" width="17.85546875" style="15" customWidth="1"/>
    <col min="44" max="49" width="14.28515625" style="15" customWidth="1"/>
    <col min="50" max="50" width="17.85546875" style="15" customWidth="1"/>
    <col min="51" max="55" width="14.28515625" style="15" customWidth="1"/>
    <col min="56" max="16384" width="11.42578125" style="15"/>
  </cols>
  <sheetData>
    <row r="1" spans="1:55" ht="30" customHeight="1" x14ac:dyDescent="0.2">
      <c r="A1" s="33" t="s">
        <v>156</v>
      </c>
      <c r="B1" s="33"/>
      <c r="C1" s="33"/>
      <c r="D1" s="33"/>
      <c r="E1" s="33"/>
      <c r="F1" s="33"/>
      <c r="H1" s="33" t="s">
        <v>157</v>
      </c>
      <c r="I1" s="33"/>
      <c r="J1" s="33"/>
      <c r="K1" s="33"/>
      <c r="L1" s="33"/>
      <c r="M1" s="33"/>
      <c r="O1" s="33" t="s">
        <v>163</v>
      </c>
      <c r="P1" s="33"/>
      <c r="Q1" s="33"/>
      <c r="R1" s="33"/>
      <c r="S1" s="33"/>
      <c r="T1" s="33"/>
      <c r="V1" s="33" t="s">
        <v>162</v>
      </c>
      <c r="W1" s="33"/>
      <c r="X1" s="33"/>
      <c r="Y1" s="33"/>
      <c r="Z1" s="33"/>
      <c r="AA1" s="33"/>
      <c r="AC1" s="33" t="s">
        <v>161</v>
      </c>
      <c r="AD1" s="33"/>
      <c r="AE1" s="33"/>
      <c r="AF1" s="33"/>
      <c r="AG1" s="33"/>
      <c r="AH1" s="33"/>
      <c r="AJ1" s="33" t="s">
        <v>160</v>
      </c>
      <c r="AK1" s="33"/>
      <c r="AL1" s="33"/>
      <c r="AM1" s="33"/>
      <c r="AN1" s="33"/>
      <c r="AO1" s="33"/>
      <c r="AQ1" s="33" t="s">
        <v>159</v>
      </c>
      <c r="AR1" s="33"/>
      <c r="AS1" s="33"/>
      <c r="AT1" s="33"/>
      <c r="AU1" s="33"/>
      <c r="AV1" s="33"/>
      <c r="AX1" s="33" t="s">
        <v>158</v>
      </c>
      <c r="AY1" s="33"/>
      <c r="AZ1" s="33"/>
      <c r="BA1" s="33"/>
      <c r="BB1" s="33"/>
      <c r="BC1" s="33"/>
    </row>
    <row r="3" spans="1:55" x14ac:dyDescent="0.2">
      <c r="A3" s="34" t="s">
        <v>56</v>
      </c>
      <c r="B3" s="35" t="s">
        <v>122</v>
      </c>
      <c r="C3" s="35" t="s">
        <v>164</v>
      </c>
      <c r="D3" s="35"/>
      <c r="E3" s="35" t="s">
        <v>165</v>
      </c>
      <c r="F3" s="35"/>
      <c r="H3" s="34" t="s">
        <v>112</v>
      </c>
      <c r="I3" s="35" t="s">
        <v>122</v>
      </c>
      <c r="J3" s="35" t="s">
        <v>164</v>
      </c>
      <c r="K3" s="35"/>
      <c r="L3" s="35" t="s">
        <v>165</v>
      </c>
      <c r="M3" s="35"/>
      <c r="O3" s="34" t="s">
        <v>113</v>
      </c>
      <c r="P3" s="35" t="s">
        <v>122</v>
      </c>
      <c r="Q3" s="35" t="s">
        <v>164</v>
      </c>
      <c r="R3" s="35"/>
      <c r="S3" s="35" t="s">
        <v>165</v>
      </c>
      <c r="T3" s="35"/>
      <c r="V3" s="34" t="s">
        <v>113</v>
      </c>
      <c r="W3" s="35" t="s">
        <v>122</v>
      </c>
      <c r="X3" s="35" t="s">
        <v>164</v>
      </c>
      <c r="Y3" s="35"/>
      <c r="Z3" s="35" t="s">
        <v>165</v>
      </c>
      <c r="AA3" s="35"/>
      <c r="AC3" s="34" t="s">
        <v>113</v>
      </c>
      <c r="AD3" s="35" t="s">
        <v>122</v>
      </c>
      <c r="AE3" s="35" t="s">
        <v>164</v>
      </c>
      <c r="AF3" s="35"/>
      <c r="AG3" s="35" t="s">
        <v>165</v>
      </c>
      <c r="AH3" s="35"/>
      <c r="AJ3" s="34" t="s">
        <v>123</v>
      </c>
      <c r="AK3" s="35" t="s">
        <v>122</v>
      </c>
      <c r="AL3" s="35" t="s">
        <v>164</v>
      </c>
      <c r="AM3" s="35"/>
      <c r="AN3" s="35" t="s">
        <v>165</v>
      </c>
      <c r="AO3" s="35"/>
      <c r="AQ3" s="34" t="s">
        <v>56</v>
      </c>
      <c r="AR3" s="35" t="s">
        <v>122</v>
      </c>
      <c r="AS3" s="35" t="s">
        <v>164</v>
      </c>
      <c r="AT3" s="35"/>
      <c r="AU3" s="35" t="s">
        <v>165</v>
      </c>
      <c r="AV3" s="35"/>
      <c r="AX3" s="34" t="s">
        <v>56</v>
      </c>
      <c r="AY3" s="35" t="s">
        <v>122</v>
      </c>
      <c r="AZ3" s="35" t="s">
        <v>164</v>
      </c>
      <c r="BA3" s="35"/>
      <c r="BB3" s="35" t="s">
        <v>165</v>
      </c>
      <c r="BC3" s="35"/>
    </row>
    <row r="4" spans="1:55" x14ac:dyDescent="0.2">
      <c r="A4" s="34"/>
      <c r="B4" s="35"/>
      <c r="C4" s="16" t="s">
        <v>57</v>
      </c>
      <c r="D4" s="16" t="s">
        <v>124</v>
      </c>
      <c r="E4" s="16" t="s">
        <v>57</v>
      </c>
      <c r="F4" s="16" t="s">
        <v>124</v>
      </c>
      <c r="H4" s="34"/>
      <c r="I4" s="35"/>
      <c r="J4" s="16" t="s">
        <v>57</v>
      </c>
      <c r="K4" s="16" t="s">
        <v>124</v>
      </c>
      <c r="L4" s="16" t="s">
        <v>57</v>
      </c>
      <c r="M4" s="16" t="s">
        <v>124</v>
      </c>
      <c r="O4" s="34"/>
      <c r="P4" s="35"/>
      <c r="Q4" s="16" t="s">
        <v>57</v>
      </c>
      <c r="R4" s="16" t="s">
        <v>124</v>
      </c>
      <c r="S4" s="16" t="s">
        <v>57</v>
      </c>
      <c r="T4" s="16" t="s">
        <v>124</v>
      </c>
      <c r="V4" s="34"/>
      <c r="W4" s="35"/>
      <c r="X4" s="16" t="s">
        <v>57</v>
      </c>
      <c r="Y4" s="16" t="s">
        <v>124</v>
      </c>
      <c r="Z4" s="16" t="s">
        <v>57</v>
      </c>
      <c r="AA4" s="16" t="s">
        <v>124</v>
      </c>
      <c r="AC4" s="34"/>
      <c r="AD4" s="35"/>
      <c r="AE4" s="16" t="s">
        <v>57</v>
      </c>
      <c r="AF4" s="16" t="s">
        <v>124</v>
      </c>
      <c r="AG4" s="16" t="s">
        <v>57</v>
      </c>
      <c r="AH4" s="16" t="s">
        <v>124</v>
      </c>
      <c r="AJ4" s="34"/>
      <c r="AK4" s="35"/>
      <c r="AL4" s="16" t="s">
        <v>57</v>
      </c>
      <c r="AM4" s="16" t="s">
        <v>124</v>
      </c>
      <c r="AN4" s="16" t="s">
        <v>57</v>
      </c>
      <c r="AO4" s="16" t="s">
        <v>124</v>
      </c>
      <c r="AQ4" s="34"/>
      <c r="AR4" s="35"/>
      <c r="AS4" s="16" t="s">
        <v>57</v>
      </c>
      <c r="AT4" s="16" t="s">
        <v>124</v>
      </c>
      <c r="AU4" s="16" t="s">
        <v>57</v>
      </c>
      <c r="AV4" s="16" t="s">
        <v>124</v>
      </c>
      <c r="AX4" s="34"/>
      <c r="AY4" s="35"/>
      <c r="AZ4" s="16" t="s">
        <v>57</v>
      </c>
      <c r="BA4" s="16" t="s">
        <v>124</v>
      </c>
      <c r="BB4" s="16" t="s">
        <v>57</v>
      </c>
      <c r="BC4" s="16" t="s">
        <v>124</v>
      </c>
    </row>
    <row r="5" spans="1:55" x14ac:dyDescent="0.2">
      <c r="A5" s="17" t="s">
        <v>125</v>
      </c>
      <c r="B5" s="18"/>
      <c r="C5" s="18"/>
      <c r="D5" s="19" t="e">
        <f>C5/$B5-1</f>
        <v>#DIV/0!</v>
      </c>
      <c r="E5" s="18"/>
      <c r="F5" s="19" t="e">
        <f>E5/$B5-1</f>
        <v>#DIV/0!</v>
      </c>
      <c r="H5" s="20" t="s">
        <v>33</v>
      </c>
      <c r="I5" s="21"/>
      <c r="J5" s="21"/>
      <c r="K5" s="22" t="e">
        <f t="shared" ref="K5:K10" si="0">J5/$I5-1</f>
        <v>#DIV/0!</v>
      </c>
      <c r="L5" s="21"/>
      <c r="M5" s="22" t="e">
        <f t="shared" ref="M5:M10" si="1">L5/$I5-1</f>
        <v>#DIV/0!</v>
      </c>
      <c r="O5" s="20" t="s">
        <v>35</v>
      </c>
      <c r="P5" s="21"/>
      <c r="Q5" s="21"/>
      <c r="R5" s="22" t="e">
        <f t="shared" ref="R5:R10" si="2">Q5/$P5-1</f>
        <v>#DIV/0!</v>
      </c>
      <c r="S5" s="21"/>
      <c r="T5" s="22" t="e">
        <f t="shared" ref="T5:T10" si="3">S5/$P5-1</f>
        <v>#DIV/0!</v>
      </c>
      <c r="V5" s="20" t="s">
        <v>35</v>
      </c>
      <c r="W5" s="21"/>
      <c r="X5" s="21"/>
      <c r="Y5" s="22" t="e">
        <f>X5/$W5-1</f>
        <v>#DIV/0!</v>
      </c>
      <c r="Z5" s="21"/>
      <c r="AA5" s="22" t="e">
        <f>Z5/$W5-1</f>
        <v>#DIV/0!</v>
      </c>
      <c r="AC5" s="20" t="s">
        <v>35</v>
      </c>
      <c r="AD5" s="21"/>
      <c r="AE5" s="21"/>
      <c r="AF5" s="22" t="e">
        <f>AE5/$AD5-1</f>
        <v>#DIV/0!</v>
      </c>
      <c r="AG5" s="21"/>
      <c r="AH5" s="22" t="e">
        <f>AG5/$AD5-1</f>
        <v>#DIV/0!</v>
      </c>
      <c r="AJ5" s="20" t="s">
        <v>38</v>
      </c>
      <c r="AK5" s="21"/>
      <c r="AL5" s="21"/>
      <c r="AM5" s="22" t="e">
        <f>AL5/$AK5-1</f>
        <v>#DIV/0!</v>
      </c>
      <c r="AN5" s="21"/>
      <c r="AO5" s="22" t="e">
        <f>AN5/$AK5-1</f>
        <v>#DIV/0!</v>
      </c>
      <c r="AQ5" s="20" t="s">
        <v>126</v>
      </c>
      <c r="AR5" s="21"/>
      <c r="AS5" s="21"/>
      <c r="AT5" s="22" t="e">
        <f>AS5/$AR5-1</f>
        <v>#DIV/0!</v>
      </c>
      <c r="AU5" s="21"/>
      <c r="AV5" s="22" t="e">
        <f>AU5/$AR5-1</f>
        <v>#DIV/0!</v>
      </c>
      <c r="AX5" s="20" t="s">
        <v>127</v>
      </c>
      <c r="AY5" s="21"/>
      <c r="AZ5" s="21"/>
      <c r="BA5" s="22" t="e">
        <f>AZ5/$AY5-1</f>
        <v>#DIV/0!</v>
      </c>
      <c r="BB5" s="21"/>
      <c r="BC5" s="22" t="e">
        <f>BB5/$AY5-1</f>
        <v>#DIV/0!</v>
      </c>
    </row>
    <row r="6" spans="1:55" x14ac:dyDescent="0.2">
      <c r="A6" s="20" t="s">
        <v>128</v>
      </c>
      <c r="B6" s="21"/>
      <c r="C6" s="21"/>
      <c r="D6" s="22" t="e">
        <f t="shared" ref="D6:D15" si="4">C6/$B6-1</f>
        <v>#DIV/0!</v>
      </c>
      <c r="E6" s="21"/>
      <c r="F6" s="22" t="e">
        <f t="shared" ref="F6:F15" si="5">E6/$B6-1</f>
        <v>#DIV/0!</v>
      </c>
      <c r="H6" s="20" t="s">
        <v>34</v>
      </c>
      <c r="I6" s="21"/>
      <c r="J6" s="21"/>
      <c r="K6" s="22" t="e">
        <f t="shared" si="0"/>
        <v>#DIV/0!</v>
      </c>
      <c r="L6" s="21"/>
      <c r="M6" s="22" t="e">
        <f t="shared" si="1"/>
        <v>#DIV/0!</v>
      </c>
      <c r="O6" s="20" t="s">
        <v>36</v>
      </c>
      <c r="P6" s="21"/>
      <c r="Q6" s="21"/>
      <c r="R6" s="22" t="e">
        <f t="shared" si="2"/>
        <v>#DIV/0!</v>
      </c>
      <c r="S6" s="21"/>
      <c r="T6" s="22" t="e">
        <f t="shared" si="3"/>
        <v>#DIV/0!</v>
      </c>
      <c r="V6" s="20" t="s">
        <v>36</v>
      </c>
      <c r="W6" s="21"/>
      <c r="X6" s="21"/>
      <c r="Y6" s="22" t="e">
        <f>X6/$W6-1</f>
        <v>#DIV/0!</v>
      </c>
      <c r="Z6" s="21"/>
      <c r="AA6" s="22" t="e">
        <f>Z6/$W6-1</f>
        <v>#DIV/0!</v>
      </c>
      <c r="AC6" s="20" t="s">
        <v>36</v>
      </c>
      <c r="AD6" s="21"/>
      <c r="AE6" s="21"/>
      <c r="AF6" s="22" t="e">
        <f>AE6/$AD6-1</f>
        <v>#DIV/0!</v>
      </c>
      <c r="AG6" s="21"/>
      <c r="AH6" s="22" t="e">
        <f>AG6/$AD6-1</f>
        <v>#DIV/0!</v>
      </c>
      <c r="AJ6" s="20" t="s">
        <v>39</v>
      </c>
      <c r="AK6" s="21"/>
      <c r="AL6" s="21"/>
      <c r="AM6" s="22" t="e">
        <f>AL6/$AK6-1</f>
        <v>#DIV/0!</v>
      </c>
      <c r="AN6" s="21"/>
      <c r="AO6" s="22" t="e">
        <f>AN6/$AK6-1</f>
        <v>#DIV/0!</v>
      </c>
      <c r="AQ6" s="20" t="s">
        <v>129</v>
      </c>
      <c r="AR6" s="21"/>
      <c r="AS6" s="21"/>
      <c r="AT6" s="22" t="e">
        <f t="shared" ref="AT6:AV12" si="6">AS6/$AR6-1</f>
        <v>#DIV/0!</v>
      </c>
      <c r="AU6" s="21"/>
      <c r="AV6" s="22" t="e">
        <f t="shared" si="6"/>
        <v>#DIV/0!</v>
      </c>
      <c r="AX6" s="20" t="s">
        <v>130</v>
      </c>
      <c r="AY6" s="21"/>
      <c r="AZ6" s="21"/>
      <c r="BA6" s="22" t="e">
        <f t="shared" ref="BA6:BC15" si="7">AZ6/$AY6-1</f>
        <v>#DIV/0!</v>
      </c>
      <c r="BB6" s="21"/>
      <c r="BC6" s="22" t="e">
        <f t="shared" si="7"/>
        <v>#DIV/0!</v>
      </c>
    </row>
    <row r="7" spans="1:55" x14ac:dyDescent="0.2">
      <c r="A7" s="20" t="s">
        <v>131</v>
      </c>
      <c r="B7" s="21"/>
      <c r="C7" s="21"/>
      <c r="D7" s="22" t="e">
        <f t="shared" si="4"/>
        <v>#DIV/0!</v>
      </c>
      <c r="E7" s="21"/>
      <c r="F7" s="22" t="e">
        <f t="shared" si="5"/>
        <v>#DIV/0!</v>
      </c>
      <c r="H7" s="20" t="s">
        <v>135</v>
      </c>
      <c r="I7" s="21"/>
      <c r="J7" s="21"/>
      <c r="K7" s="22" t="e">
        <f t="shared" si="0"/>
        <v>#DIV/0!</v>
      </c>
      <c r="L7" s="21"/>
      <c r="M7" s="22" t="e">
        <f t="shared" si="1"/>
        <v>#DIV/0!</v>
      </c>
      <c r="O7" s="20" t="s">
        <v>114</v>
      </c>
      <c r="P7" s="21"/>
      <c r="Q7" s="21"/>
      <c r="R7" s="22" t="e">
        <f t="shared" si="2"/>
        <v>#DIV/0!</v>
      </c>
      <c r="S7" s="21"/>
      <c r="T7" s="22" t="e">
        <f t="shared" si="3"/>
        <v>#DIV/0!</v>
      </c>
      <c r="V7" s="20" t="s">
        <v>114</v>
      </c>
      <c r="W7" s="21"/>
      <c r="X7" s="21"/>
      <c r="Y7" s="22" t="e">
        <f>X7/$W7-1</f>
        <v>#DIV/0!</v>
      </c>
      <c r="Z7" s="21"/>
      <c r="AA7" s="22" t="e">
        <f>Z7/$W7-1</f>
        <v>#DIV/0!</v>
      </c>
      <c r="AC7" s="20" t="s">
        <v>114</v>
      </c>
      <c r="AD7" s="21"/>
      <c r="AE7" s="21"/>
      <c r="AF7" s="22" t="e">
        <f>AE7/$AD7-1</f>
        <v>#DIV/0!</v>
      </c>
      <c r="AG7" s="21"/>
      <c r="AH7" s="22" t="e">
        <f>AG7/$AD7-1</f>
        <v>#DIV/0!</v>
      </c>
      <c r="AQ7" s="20" t="s">
        <v>132</v>
      </c>
      <c r="AR7" s="21"/>
      <c r="AS7" s="21"/>
      <c r="AT7" s="22" t="e">
        <f t="shared" si="6"/>
        <v>#DIV/0!</v>
      </c>
      <c r="AU7" s="21"/>
      <c r="AV7" s="22" t="e">
        <f t="shared" si="6"/>
        <v>#DIV/0!</v>
      </c>
      <c r="AX7" s="20" t="s">
        <v>133</v>
      </c>
      <c r="AY7" s="21"/>
      <c r="AZ7" s="21"/>
      <c r="BA7" s="22" t="e">
        <f t="shared" si="7"/>
        <v>#DIV/0!</v>
      </c>
      <c r="BB7" s="21"/>
      <c r="BC7" s="22" t="e">
        <f t="shared" si="7"/>
        <v>#DIV/0!</v>
      </c>
    </row>
    <row r="8" spans="1:55" x14ac:dyDescent="0.2">
      <c r="A8" s="20" t="s">
        <v>134</v>
      </c>
      <c r="B8" s="21"/>
      <c r="C8" s="21"/>
      <c r="D8" s="22" t="e">
        <f t="shared" si="4"/>
        <v>#DIV/0!</v>
      </c>
      <c r="E8" s="21"/>
      <c r="F8" s="22" t="e">
        <f t="shared" si="5"/>
        <v>#DIV/0!</v>
      </c>
      <c r="H8" s="20" t="s">
        <v>40</v>
      </c>
      <c r="I8" s="21"/>
      <c r="J8" s="21"/>
      <c r="K8" s="22" t="e">
        <f t="shared" si="0"/>
        <v>#DIV/0!</v>
      </c>
      <c r="L8" s="21"/>
      <c r="M8" s="22" t="e">
        <f t="shared" si="1"/>
        <v>#DIV/0!</v>
      </c>
      <c r="O8" s="20" t="s">
        <v>41</v>
      </c>
      <c r="P8" s="21"/>
      <c r="Q8" s="21"/>
      <c r="R8" s="22" t="e">
        <f t="shared" si="2"/>
        <v>#DIV/0!</v>
      </c>
      <c r="S8" s="21"/>
      <c r="T8" s="22" t="e">
        <f t="shared" si="3"/>
        <v>#DIV/0!</v>
      </c>
      <c r="V8" s="20" t="s">
        <v>41</v>
      </c>
      <c r="W8" s="21"/>
      <c r="X8" s="21"/>
      <c r="Y8" s="22" t="e">
        <f>X8/$W8-1</f>
        <v>#DIV/0!</v>
      </c>
      <c r="Z8" s="21"/>
      <c r="AA8" s="22" t="e">
        <f>Z8/$W8-1</f>
        <v>#DIV/0!</v>
      </c>
      <c r="AC8" s="20" t="s">
        <v>41</v>
      </c>
      <c r="AD8" s="21"/>
      <c r="AE8" s="21"/>
      <c r="AF8" s="22" t="e">
        <f>AE8/$AD8-1</f>
        <v>#DIV/0!</v>
      </c>
      <c r="AG8" s="21"/>
      <c r="AH8" s="22" t="e">
        <f>AG8/$AD8-1</f>
        <v>#DIV/0!</v>
      </c>
      <c r="AQ8" s="20" t="s">
        <v>136</v>
      </c>
      <c r="AR8" s="21"/>
      <c r="AS8" s="21"/>
      <c r="AT8" s="22" t="e">
        <f t="shared" si="6"/>
        <v>#DIV/0!</v>
      </c>
      <c r="AU8" s="21"/>
      <c r="AV8" s="22" t="e">
        <f t="shared" si="6"/>
        <v>#DIV/0!</v>
      </c>
      <c r="AX8" s="20" t="s">
        <v>137</v>
      </c>
      <c r="AY8" s="21"/>
      <c r="AZ8" s="21"/>
      <c r="BA8" s="22" t="e">
        <f t="shared" si="7"/>
        <v>#DIV/0!</v>
      </c>
      <c r="BB8" s="21"/>
      <c r="BC8" s="22" t="e">
        <f t="shared" si="7"/>
        <v>#DIV/0!</v>
      </c>
    </row>
    <row r="9" spans="1:55" x14ac:dyDescent="0.2">
      <c r="A9" s="20" t="s">
        <v>138</v>
      </c>
      <c r="B9" s="21"/>
      <c r="C9" s="21"/>
      <c r="D9" s="22" t="e">
        <f t="shared" si="4"/>
        <v>#DIV/0!</v>
      </c>
      <c r="E9" s="21"/>
      <c r="F9" s="22" t="e">
        <f t="shared" si="5"/>
        <v>#DIV/0!</v>
      </c>
      <c r="H9" s="20" t="s">
        <v>142</v>
      </c>
      <c r="I9" s="21"/>
      <c r="J9" s="21"/>
      <c r="K9" s="22" t="e">
        <f t="shared" si="0"/>
        <v>#DIV/0!</v>
      </c>
      <c r="L9" s="21"/>
      <c r="M9" s="22" t="e">
        <f t="shared" si="1"/>
        <v>#DIV/0!</v>
      </c>
      <c r="O9" s="20" t="s">
        <v>115</v>
      </c>
      <c r="P9" s="21"/>
      <c r="Q9" s="21"/>
      <c r="R9" s="22" t="e">
        <f t="shared" si="2"/>
        <v>#DIV/0!</v>
      </c>
      <c r="S9" s="21"/>
      <c r="T9" s="22" t="e">
        <f t="shared" si="3"/>
        <v>#DIV/0!</v>
      </c>
      <c r="V9" s="20" t="s">
        <v>115</v>
      </c>
      <c r="W9" s="21"/>
      <c r="X9" s="21"/>
      <c r="Y9" s="22" t="e">
        <f>X9/$W9-1</f>
        <v>#DIV/0!</v>
      </c>
      <c r="Z9" s="21"/>
      <c r="AA9" s="22" t="e">
        <f>Z9/$W9-1</f>
        <v>#DIV/0!</v>
      </c>
      <c r="AC9" s="20" t="s">
        <v>115</v>
      </c>
      <c r="AD9" s="21"/>
      <c r="AE9" s="21"/>
      <c r="AF9" s="22" t="e">
        <f>AE9/$AD9-1</f>
        <v>#DIV/0!</v>
      </c>
      <c r="AG9" s="21"/>
      <c r="AH9" s="22" t="e">
        <f>AG9/$AD9-1</f>
        <v>#DIV/0!</v>
      </c>
      <c r="AQ9" s="20" t="s">
        <v>139</v>
      </c>
      <c r="AR9" s="21"/>
      <c r="AS9" s="21"/>
      <c r="AT9" s="22" t="e">
        <f t="shared" si="6"/>
        <v>#DIV/0!</v>
      </c>
      <c r="AU9" s="21"/>
      <c r="AV9" s="22" t="e">
        <f t="shared" si="6"/>
        <v>#DIV/0!</v>
      </c>
      <c r="AX9" s="20" t="s">
        <v>166</v>
      </c>
      <c r="AY9" s="21"/>
      <c r="AZ9" s="21"/>
      <c r="BA9" s="22" t="e">
        <f t="shared" si="7"/>
        <v>#DIV/0!</v>
      </c>
      <c r="BB9" s="21"/>
      <c r="BC9" s="22" t="e">
        <f t="shared" si="7"/>
        <v>#DIV/0!</v>
      </c>
    </row>
    <row r="10" spans="1:55" x14ac:dyDescent="0.2">
      <c r="A10" s="20" t="s">
        <v>141</v>
      </c>
      <c r="B10" s="21"/>
      <c r="C10" s="21"/>
      <c r="D10" s="22" t="e">
        <f t="shared" si="4"/>
        <v>#DIV/0!</v>
      </c>
      <c r="E10" s="21"/>
      <c r="F10" s="22" t="e">
        <f t="shared" si="5"/>
        <v>#DIV/0!</v>
      </c>
      <c r="H10" s="17" t="s">
        <v>78</v>
      </c>
      <c r="I10" s="18">
        <f>SUM(I5:I9)</f>
        <v>0</v>
      </c>
      <c r="J10" s="18">
        <f>SUM(J5:J9)</f>
        <v>0</v>
      </c>
      <c r="K10" s="19" t="e">
        <f t="shared" si="0"/>
        <v>#DIV/0!</v>
      </c>
      <c r="L10" s="18">
        <f>SUM(L5:L9)</f>
        <v>0</v>
      </c>
      <c r="M10" s="19" t="e">
        <f t="shared" si="1"/>
        <v>#DIV/0!</v>
      </c>
      <c r="O10" s="17" t="s">
        <v>78</v>
      </c>
      <c r="P10" s="18">
        <f>SUM(P5:P9)</f>
        <v>0</v>
      </c>
      <c r="Q10" s="18">
        <f>SUM(Q5:Q9)</f>
        <v>0</v>
      </c>
      <c r="R10" s="19" t="e">
        <f t="shared" si="2"/>
        <v>#DIV/0!</v>
      </c>
      <c r="S10" s="18">
        <f>SUM(S5:S9)</f>
        <v>0</v>
      </c>
      <c r="T10" s="19" t="e">
        <f t="shared" si="3"/>
        <v>#DIV/0!</v>
      </c>
      <c r="V10" s="17" t="s">
        <v>78</v>
      </c>
      <c r="W10" s="18">
        <f>SUM(W5:W9)</f>
        <v>0</v>
      </c>
      <c r="X10" s="18">
        <f>SUM(X5:X9)</f>
        <v>0</v>
      </c>
      <c r="Y10" s="19" t="e">
        <f t="shared" ref="Y10" si="8">X10/$P10-1</f>
        <v>#DIV/0!</v>
      </c>
      <c r="Z10" s="18">
        <f>SUM(Z5:Z9)</f>
        <v>0</v>
      </c>
      <c r="AA10" s="19" t="e">
        <f t="shared" ref="AA10" si="9">Z10/$P10-1</f>
        <v>#DIV/0!</v>
      </c>
      <c r="AC10" s="17" t="s">
        <v>78</v>
      </c>
      <c r="AD10" s="18">
        <f>SUM(AD5:AD9)</f>
        <v>0</v>
      </c>
      <c r="AE10" s="18">
        <f>SUM(AE5:AE9)</f>
        <v>0</v>
      </c>
      <c r="AF10" s="19" t="e">
        <f t="shared" ref="AF10" si="10">AE10/$P10-1</f>
        <v>#DIV/0!</v>
      </c>
      <c r="AG10" s="18">
        <f>SUM(AG5:AG9)</f>
        <v>0</v>
      </c>
      <c r="AH10" s="19" t="e">
        <f t="shared" ref="AH10" si="11">AG10/$P10-1</f>
        <v>#DIV/0!</v>
      </c>
      <c r="AQ10" s="17" t="s">
        <v>143</v>
      </c>
      <c r="AR10" s="11">
        <f>SUM(AR5:AR9)</f>
        <v>0</v>
      </c>
      <c r="AS10" s="11">
        <f>SUM(AS5:AS9)</f>
        <v>0</v>
      </c>
      <c r="AT10" s="19" t="e">
        <f t="shared" si="6"/>
        <v>#DIV/0!</v>
      </c>
      <c r="AU10" s="11">
        <f>SUM(AU5:AU9)</f>
        <v>0</v>
      </c>
      <c r="AV10" s="19" t="e">
        <f t="shared" si="6"/>
        <v>#DIV/0!</v>
      </c>
      <c r="AX10" s="20" t="s">
        <v>140</v>
      </c>
      <c r="AY10" s="21"/>
      <c r="AZ10" s="21"/>
      <c r="BA10" s="22" t="e">
        <f t="shared" si="7"/>
        <v>#DIV/0!</v>
      </c>
      <c r="BB10" s="21"/>
      <c r="BC10" s="22" t="e">
        <f t="shared" si="7"/>
        <v>#DIV/0!</v>
      </c>
    </row>
    <row r="11" spans="1:55" x14ac:dyDescent="0.2">
      <c r="A11" s="20" t="s">
        <v>145</v>
      </c>
      <c r="B11" s="21"/>
      <c r="C11" s="21"/>
      <c r="D11" s="22" t="e">
        <f t="shared" si="4"/>
        <v>#DIV/0!</v>
      </c>
      <c r="E11" s="21"/>
      <c r="F11" s="22" t="e">
        <f t="shared" si="5"/>
        <v>#DIV/0!</v>
      </c>
      <c r="AQ11" s="20" t="s">
        <v>146</v>
      </c>
      <c r="AR11" s="21"/>
      <c r="AS11" s="21"/>
      <c r="AT11" s="22" t="e">
        <f t="shared" si="6"/>
        <v>#DIV/0!</v>
      </c>
      <c r="AU11" s="21"/>
      <c r="AV11" s="22" t="e">
        <f t="shared" si="6"/>
        <v>#DIV/0!</v>
      </c>
      <c r="AX11" s="17" t="s">
        <v>144</v>
      </c>
      <c r="AY11" s="11">
        <f>SUM(AY5:AY10)</f>
        <v>0</v>
      </c>
      <c r="AZ11" s="11">
        <f>SUM(AZ5:AZ10)</f>
        <v>0</v>
      </c>
      <c r="BA11" s="19" t="e">
        <f t="shared" si="7"/>
        <v>#DIV/0!</v>
      </c>
      <c r="BB11" s="11">
        <f>SUM(BB5:BB10)</f>
        <v>0</v>
      </c>
      <c r="BC11" s="19" t="e">
        <f t="shared" si="7"/>
        <v>#DIV/0!</v>
      </c>
    </row>
    <row r="12" spans="1:55" x14ac:dyDescent="0.2">
      <c r="A12" s="17" t="s">
        <v>148</v>
      </c>
      <c r="B12" s="18"/>
      <c r="C12" s="18"/>
      <c r="D12" s="19" t="e">
        <f t="shared" si="4"/>
        <v>#DIV/0!</v>
      </c>
      <c r="E12" s="18"/>
      <c r="F12" s="19" t="e">
        <f t="shared" si="5"/>
        <v>#DIV/0!</v>
      </c>
      <c r="AQ12" s="17" t="s">
        <v>149</v>
      </c>
      <c r="AR12" s="11">
        <f>SUM(AR11)</f>
        <v>0</v>
      </c>
      <c r="AS12" s="11">
        <f>SUM(AS11)</f>
        <v>0</v>
      </c>
      <c r="AT12" s="19" t="e">
        <f t="shared" si="6"/>
        <v>#DIV/0!</v>
      </c>
      <c r="AU12" s="11">
        <f>SUM(AU11)</f>
        <v>0</v>
      </c>
      <c r="AV12" s="19" t="e">
        <f t="shared" si="6"/>
        <v>#DIV/0!</v>
      </c>
      <c r="AX12" s="20" t="s">
        <v>147</v>
      </c>
      <c r="AY12" s="21"/>
      <c r="AZ12" s="21"/>
      <c r="BA12" s="22" t="e">
        <f t="shared" si="7"/>
        <v>#DIV/0!</v>
      </c>
      <c r="BB12" s="21"/>
      <c r="BC12" s="22" t="e">
        <f t="shared" si="7"/>
        <v>#DIV/0!</v>
      </c>
    </row>
    <row r="13" spans="1:55" x14ac:dyDescent="0.2">
      <c r="A13" s="20" t="s">
        <v>151</v>
      </c>
      <c r="B13" s="21"/>
      <c r="C13" s="21"/>
      <c r="D13" s="22" t="e">
        <f t="shared" si="4"/>
        <v>#DIV/0!</v>
      </c>
      <c r="E13" s="21"/>
      <c r="F13" s="22" t="e">
        <f t="shared" si="5"/>
        <v>#DIV/0!</v>
      </c>
      <c r="AX13" s="20" t="s">
        <v>150</v>
      </c>
      <c r="AY13" s="21"/>
      <c r="AZ13" s="21"/>
      <c r="BA13" s="22" t="e">
        <f t="shared" si="7"/>
        <v>#DIV/0!</v>
      </c>
      <c r="BB13" s="21"/>
      <c r="BC13" s="22" t="e">
        <f t="shared" si="7"/>
        <v>#DIV/0!</v>
      </c>
    </row>
    <row r="14" spans="1:55" x14ac:dyDescent="0.2">
      <c r="A14" s="17" t="s">
        <v>153</v>
      </c>
      <c r="B14" s="18"/>
      <c r="C14" s="18"/>
      <c r="D14" s="19" t="e">
        <f t="shared" si="4"/>
        <v>#DIV/0!</v>
      </c>
      <c r="E14" s="18"/>
      <c r="F14" s="19" t="e">
        <f t="shared" si="5"/>
        <v>#DIV/0!</v>
      </c>
      <c r="AX14" s="20" t="s">
        <v>152</v>
      </c>
      <c r="AY14" s="21"/>
      <c r="AZ14" s="21"/>
      <c r="BA14" s="22" t="e">
        <f t="shared" si="7"/>
        <v>#DIV/0!</v>
      </c>
      <c r="BB14" s="21"/>
      <c r="BC14" s="22" t="e">
        <f t="shared" si="7"/>
        <v>#DIV/0!</v>
      </c>
    </row>
    <row r="15" spans="1:55" x14ac:dyDescent="0.2">
      <c r="A15" s="17" t="s">
        <v>155</v>
      </c>
      <c r="B15" s="18"/>
      <c r="C15" s="18"/>
      <c r="D15" s="19" t="e">
        <f t="shared" si="4"/>
        <v>#DIV/0!</v>
      </c>
      <c r="E15" s="18"/>
      <c r="F15" s="19" t="e">
        <f t="shared" si="5"/>
        <v>#DIV/0!</v>
      </c>
      <c r="AX15" s="17" t="s">
        <v>154</v>
      </c>
      <c r="AY15" s="11">
        <f>SUM(AY12:AY14)</f>
        <v>0</v>
      </c>
      <c r="AZ15" s="11">
        <f>SUM(AZ12:AZ14)</f>
        <v>0</v>
      </c>
      <c r="BA15" s="19" t="e">
        <f t="shared" si="7"/>
        <v>#DIV/0!</v>
      </c>
      <c r="BB15" s="11">
        <f>SUM(BB12:BB14)</f>
        <v>0</v>
      </c>
      <c r="BC15" s="19" t="e">
        <f t="shared" si="7"/>
        <v>#DIV/0!</v>
      </c>
    </row>
  </sheetData>
  <mergeCells count="40">
    <mergeCell ref="BB3:BC3"/>
    <mergeCell ref="AS3:AT3"/>
    <mergeCell ref="AU3:AV3"/>
    <mergeCell ref="AX3:AX4"/>
    <mergeCell ref="AY3:AY4"/>
    <mergeCell ref="AZ3:BA3"/>
    <mergeCell ref="AK3:AK4"/>
    <mergeCell ref="AL3:AM3"/>
    <mergeCell ref="AN3:AO3"/>
    <mergeCell ref="AQ3:AQ4"/>
    <mergeCell ref="AR3:AR4"/>
    <mergeCell ref="AC3:AC4"/>
    <mergeCell ref="AD3:AD4"/>
    <mergeCell ref="AE3:AF3"/>
    <mergeCell ref="AG3:AH3"/>
    <mergeCell ref="AJ3:AJ4"/>
    <mergeCell ref="W3:W4"/>
    <mergeCell ref="X3:Y3"/>
    <mergeCell ref="Z3:AA3"/>
    <mergeCell ref="L3:M3"/>
    <mergeCell ref="O3:O4"/>
    <mergeCell ref="P3:P4"/>
    <mergeCell ref="Q3:R3"/>
    <mergeCell ref="S3:T3"/>
    <mergeCell ref="AQ1:AV1"/>
    <mergeCell ref="AX1:BC1"/>
    <mergeCell ref="A3:A4"/>
    <mergeCell ref="B3:B4"/>
    <mergeCell ref="C3:D3"/>
    <mergeCell ref="E3:F3"/>
    <mergeCell ref="H3:H4"/>
    <mergeCell ref="I3:I4"/>
    <mergeCell ref="J3:K3"/>
    <mergeCell ref="A1:F1"/>
    <mergeCell ref="H1:M1"/>
    <mergeCell ref="O1:T1"/>
    <mergeCell ref="V1:AA1"/>
    <mergeCell ref="AC1:AH1"/>
    <mergeCell ref="AJ1:AO1"/>
    <mergeCell ref="V3:V4"/>
  </mergeCells>
  <pageMargins left="0.7" right="0.7" top="0.75" bottom="0.75" header="0.3" footer="0.3"/>
  <pageSetup paperSize="9" orientation="portrait" horizontalDpi="0" verticalDpi="0" r:id="rId1"/>
  <ignoredErrors>
    <ignoredError sqref="A12:C14 H11:M14 H10:J10 H7:M9 A7:D11 D12:D15 AX10:BC10 A5:M6 E7:G15 AI12:AO15 BD12:BQ15 AI7:AO10 AX7:BC7 AJ11:AO11 BA8:BC8 AW5:BC6 AW12:AW15 AW7:AW10 AW11 AP5:AV6 AP13:AV15 AP7:AV9 AP11:AS11 AI6 AB11:AH14 AB7:AH9 AB5:AH6 U11:AA14 U7:AA9 U5:AA6 N11:T14 N7:T9 N5:T6 AY9:BC9 AI5 AK5:AO5 AK6:AO6 AP10:AQ10 AV10 AP12:AQ12 AV12 AV11 AX16:BC16 AX15 BC15 AX12:AZ14 AX11 BC11 BC12:BC14" evalError="1"/>
    <ignoredError sqref="K10:M10 AI11 AB10:AH10 U10:AA10 N10:T10 AT12 AT10 AT11:AU11 BA11 BA12:BA14 BA15 BB12:BB14" evalError="1" formula="1"/>
    <ignoredError sqref="AU10 AU12 BB11 BB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sets</vt:lpstr>
      <vt:lpstr>SAM</vt:lpstr>
      <vt:lpstr>tradelas</vt:lpstr>
      <vt:lpstr>layout</vt:lpstr>
      <vt:lpstr>tables</vt:lpstr>
      <vt:lpstr>tables-sim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2021-08-21T13:28:06Z</dcterms:modified>
</cp:coreProperties>
</file>