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JM\Facultad de Ciencias Económicas (FCE)\Maestría en Economía\20. Equilibrio General Computable\Trabajos Prácticos\Trabajo Práctico N° 5\Datos\"/>
    </mc:Choice>
  </mc:AlternateContent>
  <xr:revisionPtr revIDLastSave="0" documentId="13_ncr:1_{D6F33F63-AB09-436A-A960-88166ACF835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3" r:id="rId1"/>
    <sheet name="SAM" sheetId="2" r:id="rId2"/>
    <sheet name="SAM-agg" sheetId="9" r:id="rId3"/>
    <sheet name="tradelas" sheetId="5" r:id="rId4"/>
    <sheet name="layout" sheetId="4" r:id="rId5"/>
    <sheet name="agg" sheetId="7" r:id="rId6"/>
    <sheet name="names" sheetId="10" r:id="rId7"/>
    <sheet name="tables_agg" sheetId="6" r:id="rId8"/>
  </sheets>
  <definedNames>
    <definedName name="qn" localSheetId="6">#REF!</definedName>
    <definedName name="qn">#REF!</definedName>
    <definedName name="qo210." localSheetId="6">#REF!</definedName>
    <definedName name="qo210.">#REF!</definedName>
    <definedName name="QO21O" localSheetId="6">#REF!</definedName>
    <definedName name="QO21O">#REF!</definedName>
    <definedName name="TOTALD.21" localSheetId="6">#REF!</definedName>
    <definedName name="TOTALD.21">#REF!</definedName>
    <definedName name="TOTALOFERTA" localSheetId="6">#REF!</definedName>
    <definedName name="TOTALOFERTA">#REF!</definedName>
    <definedName name="TOTALP.1" localSheetId="6">#REF!</definedName>
    <definedName name="TOTALP.1">#REF!</definedName>
    <definedName name="TOTALP.2" localSheetId="6">#REF!</definedName>
    <definedName name="TOTALP.2">#REF!</definedName>
    <definedName name="TOTALP.3" localSheetId="6">#REF!</definedName>
    <definedName name="TOTALP.3">#REF!</definedName>
    <definedName name="TOTALP.31HOG" localSheetId="6">#REF!</definedName>
    <definedName name="TOTALP.31HOG">#REF!</definedName>
    <definedName name="TOTALP.5" localSheetId="6">#REF!</definedName>
    <definedName name="TOTALP.5">#REF!</definedName>
    <definedName name="TOTALP.51" localSheetId="6">#REF!</definedName>
    <definedName name="TOTALP.51">#REF!</definedName>
    <definedName name="TOTALP.52" localSheetId="6">#REF!</definedName>
    <definedName name="TOTALP.52">#REF!</definedName>
    <definedName name="TOTALP.6" localSheetId="6">#REF!</definedName>
    <definedName name="TOTALP.6">#REF!</definedName>
    <definedName name="TOTALP.7" localSheetId="6">#REF!</definedName>
    <definedName name="TOTALP.7">#REF!</definedName>
    <definedName name="TOTALP2EQ" localSheetId="6">#REF!</definedName>
    <definedName name="TOTALP2EQ">#REF!</definedName>
    <definedName name="TOTALP31ISFLSH" localSheetId="6">#REF!</definedName>
    <definedName name="TOTALP31ISFLSH">#REF!</definedName>
    <definedName name="TOTALP3GOB" localSheetId="6">#REF!</definedName>
    <definedName name="TOTALP3GOB">#REF!</definedName>
    <definedName name="TOTALUTILIZ.1" localSheetId="6">#REF!</definedName>
    <definedName name="TOTALUTILIZ.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0" i="6" l="1"/>
  <c r="T9" i="6"/>
  <c r="T8" i="6"/>
  <c r="T7" i="6"/>
  <c r="T6" i="6"/>
  <c r="T5" i="6"/>
  <c r="T4" i="6"/>
  <c r="R4" i="6"/>
  <c r="O7" i="6"/>
  <c r="O9" i="6"/>
  <c r="O8" i="6"/>
  <c r="O6" i="6"/>
  <c r="O5" i="6"/>
  <c r="O4" i="6"/>
  <c r="R7" i="6"/>
  <c r="R5" i="6"/>
  <c r="R9" i="6"/>
  <c r="R10" i="6"/>
  <c r="R8" i="6"/>
  <c r="R6" i="6"/>
  <c r="AI3" i="2" l="1"/>
  <c r="AM11" i="6"/>
  <c r="AM9" i="6"/>
  <c r="AL11" i="6"/>
  <c r="AL10" i="6"/>
  <c r="AM8" i="6" l="1"/>
  <c r="AM6" i="6"/>
  <c r="AL7" i="6"/>
  <c r="AL5" i="6"/>
  <c r="AL4" i="6"/>
  <c r="AK12" i="6"/>
  <c r="AK11" i="6"/>
  <c r="AK10" i="6"/>
  <c r="AK9" i="6"/>
  <c r="AK6" i="6"/>
  <c r="F7" i="6"/>
  <c r="AC10" i="6"/>
  <c r="AC9" i="6"/>
  <c r="F6" i="6"/>
  <c r="J17" i="6"/>
  <c r="F13" i="6"/>
  <c r="J12" i="6"/>
  <c r="AB10" i="6"/>
  <c r="AB9" i="6"/>
  <c r="AG9" i="6"/>
  <c r="AG8" i="6"/>
  <c r="AG7" i="6"/>
  <c r="AF9" i="6"/>
  <c r="AF8" i="6"/>
  <c r="AF7" i="6"/>
  <c r="AE9" i="6"/>
  <c r="AE8" i="6"/>
  <c r="AE7" i="6"/>
  <c r="AD9" i="6"/>
  <c r="AD8" i="6"/>
  <c r="AD7" i="6"/>
  <c r="AC8" i="6"/>
  <c r="AC7" i="6"/>
  <c r="AB8" i="6"/>
  <c r="AB7" i="6"/>
  <c r="AG6" i="6"/>
  <c r="AF6" i="6"/>
  <c r="AE6" i="6"/>
  <c r="AD6" i="6"/>
  <c r="AC6" i="6"/>
  <c r="AB6" i="6"/>
  <c r="AG10" i="6"/>
  <c r="AF10" i="6"/>
  <c r="AE10" i="6"/>
  <c r="AD10" i="6"/>
  <c r="AG5" i="6"/>
  <c r="AF5" i="6"/>
  <c r="AE5" i="6"/>
  <c r="AD5" i="6"/>
  <c r="AC5" i="6"/>
  <c r="AB5" i="6"/>
  <c r="AG4" i="6"/>
  <c r="AF4" i="6"/>
  <c r="AE4" i="6"/>
  <c r="AD4" i="6"/>
  <c r="AC4" i="6"/>
  <c r="AB4" i="6"/>
  <c r="X9" i="6"/>
  <c r="W9" i="6"/>
  <c r="X8" i="6"/>
  <c r="W8" i="6"/>
  <c r="X7" i="6"/>
  <c r="W7" i="6"/>
  <c r="N7" i="6"/>
  <c r="X6" i="6"/>
  <c r="W6" i="6"/>
  <c r="X5" i="6"/>
  <c r="W5" i="6"/>
  <c r="X10" i="6"/>
  <c r="W10" i="6"/>
  <c r="X4" i="6"/>
  <c r="W4" i="6"/>
  <c r="S5" i="6"/>
  <c r="P7" i="6"/>
  <c r="S9" i="6"/>
  <c r="S8" i="6"/>
  <c r="S7" i="6"/>
  <c r="S6" i="6"/>
  <c r="S4" i="6"/>
  <c r="Q7" i="6"/>
  <c r="N4" i="6"/>
  <c r="Q9" i="6"/>
  <c r="Q8" i="6"/>
  <c r="Q6" i="6"/>
  <c r="Q5" i="6"/>
  <c r="Q4" i="6"/>
  <c r="P9" i="6"/>
  <c r="P8" i="6"/>
  <c r="P6" i="6"/>
  <c r="P5" i="6"/>
  <c r="P4" i="6"/>
  <c r="N9" i="6"/>
  <c r="N8" i="6"/>
  <c r="N6" i="6"/>
  <c r="N5" i="6"/>
  <c r="B13" i="6"/>
  <c r="J16" i="6"/>
  <c r="J18" i="6"/>
  <c r="J15" i="6"/>
  <c r="J14" i="6"/>
  <c r="J9" i="6"/>
  <c r="J11" i="6"/>
  <c r="J6" i="6"/>
  <c r="J10" i="6"/>
  <c r="J8" i="6"/>
  <c r="J7" i="6"/>
  <c r="J5" i="6"/>
  <c r="J4" i="6"/>
  <c r="F12" i="6"/>
  <c r="F11" i="6"/>
  <c r="F10" i="6"/>
  <c r="F4" i="6"/>
  <c r="B10" i="6"/>
  <c r="F8" i="6"/>
  <c r="F5" i="6"/>
  <c r="B11" i="6"/>
  <c r="B8" i="6"/>
  <c r="B7" i="6"/>
  <c r="B6" i="6"/>
  <c r="B5" i="6"/>
  <c r="AM13" i="6" l="1"/>
  <c r="AL13" i="6"/>
  <c r="AK13" i="6"/>
  <c r="F14" i="6"/>
  <c r="F9" i="6"/>
  <c r="J19" i="6"/>
  <c r="AH10" i="6"/>
  <c r="J13" i="6"/>
  <c r="Q36" i="2" l="1"/>
  <c r="AI18" i="2"/>
  <c r="AI7" i="2"/>
  <c r="F36" i="2"/>
  <c r="B36" i="2" l="1"/>
  <c r="C36" i="2"/>
  <c r="D36" i="2"/>
  <c r="E36" i="2"/>
  <c r="G36" i="2"/>
  <c r="H36" i="2"/>
  <c r="I36" i="2"/>
  <c r="J36" i="2"/>
  <c r="K36" i="2"/>
  <c r="L36" i="2"/>
  <c r="M36" i="2"/>
  <c r="N36" i="2"/>
  <c r="O36" i="2"/>
  <c r="P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4" i="2"/>
  <c r="AI5" i="2"/>
  <c r="AI6" i="2"/>
  <c r="AI8" i="2"/>
  <c r="AI9" i="2"/>
  <c r="AI10" i="2"/>
  <c r="AI11" i="2"/>
  <c r="AI12" i="2"/>
  <c r="AI13" i="2"/>
  <c r="AI14" i="2"/>
  <c r="AI15" i="2"/>
  <c r="AI16" i="2"/>
  <c r="AI17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H9" i="6" l="1"/>
  <c r="AH7" i="6"/>
  <c r="AH8" i="6"/>
  <c r="AH6" i="6"/>
  <c r="AH5" i="6"/>
  <c r="AH4" i="6"/>
  <c r="Y9" i="6"/>
  <c r="Y8" i="6"/>
  <c r="Y7" i="6"/>
  <c r="Y6" i="6"/>
  <c r="Y5" i="6"/>
  <c r="Y4" i="6"/>
  <c r="S10" i="6"/>
  <c r="Q10" i="6"/>
  <c r="P10" i="6"/>
  <c r="O10" i="6"/>
  <c r="N10" i="6"/>
  <c r="B9" i="6"/>
  <c r="B4" i="6"/>
  <c r="Y10" i="6" l="1"/>
  <c r="B12" i="6"/>
  <c r="G6" i="6" l="1"/>
  <c r="G7" i="6"/>
  <c r="G13" i="6"/>
  <c r="K17" i="6"/>
  <c r="K16" i="6"/>
  <c r="K12" i="6"/>
  <c r="K6" i="6"/>
  <c r="K11" i="6"/>
  <c r="K9" i="6"/>
  <c r="K5" i="6"/>
  <c r="G11" i="6"/>
  <c r="G10" i="6"/>
  <c r="K7" i="6"/>
  <c r="G4" i="6"/>
  <c r="C10" i="6"/>
  <c r="C6" i="6"/>
  <c r="C11" i="6"/>
  <c r="C5" i="6"/>
  <c r="G14" i="6"/>
  <c r="C8" i="6"/>
  <c r="G12" i="6"/>
  <c r="G5" i="6"/>
  <c r="K19" i="6"/>
  <c r="K15" i="6"/>
  <c r="K10" i="6"/>
  <c r="K14" i="6"/>
  <c r="B14" i="6"/>
  <c r="C14" i="6" s="1"/>
  <c r="K18" i="6"/>
  <c r="C9" i="6"/>
  <c r="G9" i="6"/>
  <c r="C13" i="6"/>
  <c r="K8" i="6"/>
  <c r="C7" i="6"/>
  <c r="C4" i="6"/>
  <c r="C12" i="6"/>
  <c r="G8" i="6"/>
  <c r="K4" i="6"/>
  <c r="K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Menduiña</author>
  </authors>
  <commentList>
    <comment ref="AB9" authorId="0" shapeId="0" xr:uid="{51E33B74-2161-499A-A209-7122B5E2D86C}">
      <text>
        <r>
          <rPr>
            <b/>
            <sz val="9"/>
            <color indexed="81"/>
            <rFont val="Tahoma"/>
            <family val="2"/>
          </rPr>
          <t>SUMÉ ACÁ LOS MÁRGENES</t>
        </r>
      </text>
    </comment>
    <comment ref="AC9" authorId="0" shapeId="0" xr:uid="{1394038F-B893-4937-BC83-C695DA57F472}">
      <text>
        <r>
          <rPr>
            <b/>
            <sz val="9"/>
            <color indexed="81"/>
            <rFont val="Tahoma"/>
            <family val="2"/>
          </rPr>
          <t>SUMÉ ACÁ "npish"</t>
        </r>
      </text>
    </comment>
    <comment ref="AB10" authorId="0" shapeId="0" xr:uid="{69E4181F-E686-4E93-9E4F-7A7E04AEDAD4}">
      <text>
        <r>
          <rPr>
            <b/>
            <sz val="9"/>
            <color indexed="81"/>
            <rFont val="Tahoma"/>
            <family val="2"/>
          </rPr>
          <t>SUMÉ ACÁ LOS MÁRGENES</t>
        </r>
      </text>
    </comment>
    <comment ref="AC10" authorId="0" shapeId="0" xr:uid="{3DDB34FB-D8B7-4AAD-BDA0-82EF97C91384}">
      <text>
        <r>
          <rPr>
            <b/>
            <sz val="9"/>
            <color indexed="81"/>
            <rFont val="Tahoma"/>
            <family val="2"/>
          </rPr>
          <t>SUMÉ ACÁ "npish"</t>
        </r>
      </text>
    </comment>
  </commentList>
</comments>
</file>

<file path=xl/sharedStrings.xml><?xml version="1.0" encoding="utf-8"?>
<sst xmlns="http://schemas.openxmlformats.org/spreadsheetml/2006/main" count="1613" uniqueCount="535">
  <si>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</si>
  <si>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</si>
  <si>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</si>
  <si>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</si>
  <si>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</si>
  <si>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</si>
  <si>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</si>
  <si>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</si>
  <si>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</si>
  <si>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</si>
  <si>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</si>
  <si>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</si>
  <si>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</si>
  <si>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</si>
  <si>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</si>
  <si>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</si>
  <si>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</si>
  <si>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</si>
  <si>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</si>
  <si>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</si>
  <si>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</si>
  <si>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</si>
  <si>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</si>
  <si>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sigma_Q</t>
  </si>
  <si>
    <t>sigma_X</t>
  </si>
  <si>
    <t>tradelas</t>
  </si>
  <si>
    <t>tradelas!A2</t>
  </si>
  <si>
    <t>hhd</t>
  </si>
  <si>
    <t>tax-act</t>
  </si>
  <si>
    <t>dstk</t>
  </si>
  <si>
    <t>sav-inv</t>
  </si>
  <si>
    <t>tradelas(c,trdelas)</t>
  </si>
  <si>
    <t>a-agr</t>
  </si>
  <si>
    <t>a-min</t>
  </si>
  <si>
    <t>c-agr</t>
  </si>
  <si>
    <t>c-min</t>
  </si>
  <si>
    <t>SAM!A2</t>
  </si>
  <si>
    <t>lab</t>
  </si>
  <si>
    <t>cap</t>
  </si>
  <si>
    <t>a-othind</t>
  </si>
  <si>
    <t>c-othind</t>
  </si>
  <si>
    <t>a-food</t>
  </si>
  <si>
    <t>a-refpet</t>
  </si>
  <si>
    <t>a-othmnfc</t>
  </si>
  <si>
    <t>a-admpub</t>
  </si>
  <si>
    <t>a-othsvc</t>
  </si>
  <si>
    <t>c-maq</t>
  </si>
  <si>
    <t>c-othmnfc</t>
  </si>
  <si>
    <t>c-othsvc</t>
  </si>
  <si>
    <t>c-food</t>
  </si>
  <si>
    <t>c-refpet</t>
  </si>
  <si>
    <t>a-maq</t>
  </si>
  <si>
    <t>c-admpub</t>
  </si>
  <si>
    <t>a-trdtrns</t>
  </si>
  <si>
    <t>c-trdtrns</t>
  </si>
  <si>
    <t>Ítem</t>
  </si>
  <si>
    <t>Nominal</t>
  </si>
  <si>
    <t xml:space="preserve">  Consumo privado</t>
  </si>
  <si>
    <t xml:space="preserve">  Formación bruta de capital</t>
  </si>
  <si>
    <t xml:space="preserve">  Variación de existencias</t>
  </si>
  <si>
    <t xml:space="preserve">  Exportaciones</t>
  </si>
  <si>
    <t xml:space="preserve">  Importaciones</t>
  </si>
  <si>
    <t>PBI (a precio de mercado)</t>
  </si>
  <si>
    <t>Impuestos indirectos netos</t>
  </si>
  <si>
    <t>PBI (a costo de factores)</t>
  </si>
  <si>
    <t>PBI Share (%)</t>
  </si>
  <si>
    <t>Cuenta Comercial</t>
  </si>
  <si>
    <t>Exportaciones</t>
  </si>
  <si>
    <t>Ingresos de factores</t>
  </si>
  <si>
    <t>Total Ingresos</t>
  </si>
  <si>
    <t>Importaciones</t>
  </si>
  <si>
    <t>Total Entradas</t>
  </si>
  <si>
    <t>Total Salidas</t>
  </si>
  <si>
    <t>Impuestos directos</t>
  </si>
  <si>
    <t>Total</t>
  </si>
  <si>
    <t>VA Share</t>
  </si>
  <si>
    <t>VBP Share</t>
  </si>
  <si>
    <t>Salario Share</t>
  </si>
  <si>
    <t>Expo. Share</t>
  </si>
  <si>
    <t>Expo/Prod.</t>
  </si>
  <si>
    <t>Impo. Share</t>
  </si>
  <si>
    <t>Impo./Dem.</t>
  </si>
  <si>
    <t>Trabajo</t>
  </si>
  <si>
    <t>Capital</t>
  </si>
  <si>
    <t>Consumo Intermedio</t>
  </si>
  <si>
    <t>Consumo Privado</t>
  </si>
  <si>
    <t>Consumo Público</t>
  </si>
  <si>
    <t>Formación Bruta de Capital</t>
  </si>
  <si>
    <t>Variación de Existencias</t>
  </si>
  <si>
    <t>Total Demanda</t>
  </si>
  <si>
    <t>Hogares</t>
  </si>
  <si>
    <t>Gobierno</t>
  </si>
  <si>
    <t>Resto del mundo</t>
  </si>
  <si>
    <t>Transferencias del gobierno</t>
  </si>
  <si>
    <t>Transferencias del resto del mundo</t>
  </si>
  <si>
    <t>SAM Brazil 2017; 1 000 000 R$</t>
  </si>
  <si>
    <t>Tabla 3. Presupuesto del gobierno (Año base, 2017)</t>
  </si>
  <si>
    <t>Tabla 4. Estructura sectorial (%) (Año base, 2017)</t>
  </si>
  <si>
    <t>Tabla 5. Intensidad de uso factorial (%) (Año base, 2017)</t>
  </si>
  <si>
    <t>Tabla 6. Estructura de la demanda (%) (Año base, 2017)</t>
  </si>
  <si>
    <t>Tabla 7. Estructura de los ingresos de las instituciones (Año base, 2017)</t>
  </si>
  <si>
    <t>a-livestock</t>
  </si>
  <si>
    <t>a-forfsh</t>
  </si>
  <si>
    <t>a-carbonminnmet</t>
  </si>
  <si>
    <t>a-petgas</t>
  </si>
  <si>
    <t>a-ironore</t>
  </si>
  <si>
    <t>a-nferrmetmin</t>
  </si>
  <si>
    <t>a-biofuels</t>
  </si>
  <si>
    <t>a-meatdairy</t>
  </si>
  <si>
    <t>a-sugar</t>
  </si>
  <si>
    <t>a-othfood</t>
  </si>
  <si>
    <t>a-bev</t>
  </si>
  <si>
    <t>a-tob</t>
  </si>
  <si>
    <t>a-woodprod</t>
  </si>
  <si>
    <t>a-paper</t>
  </si>
  <si>
    <t>a-chemicalsinorgorg</t>
  </si>
  <si>
    <t>c-autoparts</t>
  </si>
  <si>
    <t>a-othchemicals</t>
  </si>
  <si>
    <t>a-rubberplast</t>
  </si>
  <si>
    <t>a-minnmetprod</t>
  </si>
  <si>
    <t>a-steelferroalloys</t>
  </si>
  <si>
    <t>a-castmetal</t>
  </si>
  <si>
    <t>a-machineryoffice</t>
  </si>
  <si>
    <t>a-machineryeqelect</t>
  </si>
  <si>
    <t>a-machineryeqmechanic</t>
  </si>
  <si>
    <t>a-repairmachinery</t>
  </si>
  <si>
    <t>a-carstrucks</t>
  </si>
  <si>
    <t>a-autoparts</t>
  </si>
  <si>
    <t>a-textiles</t>
  </si>
  <si>
    <t>a-wapp</t>
  </si>
  <si>
    <t>a-leather</t>
  </si>
  <si>
    <t>a-printing</t>
  </si>
  <si>
    <t>a-perfumery</t>
  </si>
  <si>
    <t>a-pharmaceuticals</t>
  </si>
  <si>
    <t>a-metprod</t>
  </si>
  <si>
    <t>a-othvehicles</t>
  </si>
  <si>
    <t>a-elegas</t>
  </si>
  <si>
    <t>a-wat</t>
  </si>
  <si>
    <t>a-cns</t>
  </si>
  <si>
    <t>a-edug</t>
  </si>
  <si>
    <t>a-healthg</t>
  </si>
  <si>
    <t>a-trdvehicles</t>
  </si>
  <si>
    <t>a-trd</t>
  </si>
  <si>
    <t>a-trnsland</t>
  </si>
  <si>
    <t>a-trnswat</t>
  </si>
  <si>
    <t>a-trnsair</t>
  </si>
  <si>
    <t>a-trnsauxpostal</t>
  </si>
  <si>
    <t>a-hotel</t>
  </si>
  <si>
    <t>a-rest</t>
  </si>
  <si>
    <t>a-books</t>
  </si>
  <si>
    <t>a-tvradio</t>
  </si>
  <si>
    <t>a-telecom</t>
  </si>
  <si>
    <t>a-softwaredev</t>
  </si>
  <si>
    <t>a-fin</t>
  </si>
  <si>
    <t>a-realestate</t>
  </si>
  <si>
    <t>a-legalaccounting</t>
  </si>
  <si>
    <t>a-architect</t>
  </si>
  <si>
    <t>a-otrprofessionals</t>
  </si>
  <si>
    <t>a-intellectualprop</t>
  </si>
  <si>
    <t>a-othadmsvc</t>
  </si>
  <si>
    <t>a-svcsecurity</t>
  </si>
  <si>
    <t>a-edung</t>
  </si>
  <si>
    <t>a-healthng</t>
  </si>
  <si>
    <t>a-recreation</t>
  </si>
  <si>
    <t>a-organizations</t>
  </si>
  <si>
    <t>a-domest</t>
  </si>
  <si>
    <t>c-cereal</t>
  </si>
  <si>
    <t>c-corn</t>
  </si>
  <si>
    <t>c-cotton</t>
  </si>
  <si>
    <t>c-sugarcane</t>
  </si>
  <si>
    <t>c-soy</t>
  </si>
  <si>
    <t>c-othagrtemp</t>
  </si>
  <si>
    <t>c-orange</t>
  </si>
  <si>
    <t>c-coffee</t>
  </si>
  <si>
    <t>c-othagrpermanent</t>
  </si>
  <si>
    <t>c-livestock</t>
  </si>
  <si>
    <t>c-milkraw</t>
  </si>
  <si>
    <t>c-pigs</t>
  </si>
  <si>
    <t>c-poultry</t>
  </si>
  <si>
    <t>c-fsh</t>
  </si>
  <si>
    <t>c-meatbeef</t>
  </si>
  <si>
    <t>c-meatpork</t>
  </si>
  <si>
    <t>c-meatpoultry</t>
  </si>
  <si>
    <t>c-fshprod</t>
  </si>
  <si>
    <t>c-milk</t>
  </si>
  <si>
    <t>c-dairy</t>
  </si>
  <si>
    <t>c-sugar</t>
  </si>
  <si>
    <t>c-fruitsprod</t>
  </si>
  <si>
    <t>c-oilsfats</t>
  </si>
  <si>
    <t>c-coffeeprod</t>
  </si>
  <si>
    <t>c-riceprod</t>
  </si>
  <si>
    <t>c-milling</t>
  </si>
  <si>
    <t>c-animalfeed</t>
  </si>
  <si>
    <t>c-othfood</t>
  </si>
  <si>
    <t>c-bev</t>
  </si>
  <si>
    <t>c-tob</t>
  </si>
  <si>
    <t>c-for</t>
  </si>
  <si>
    <t>c-coal</t>
  </si>
  <si>
    <t>c-minnmet</t>
  </si>
  <si>
    <t>c-petgas</t>
  </si>
  <si>
    <t>c-ironore</t>
  </si>
  <si>
    <t>c-nferrmetmin</t>
  </si>
  <si>
    <t>c-texfibers</t>
  </si>
  <si>
    <t>c-aviationfuel</t>
  </si>
  <si>
    <t>c-gasalcohol</t>
  </si>
  <si>
    <t>c-fuelpetrochemicals</t>
  </si>
  <si>
    <t>c-fueloil</t>
  </si>
  <si>
    <t>c-diesel</t>
  </si>
  <si>
    <t>c-othrefpet</t>
  </si>
  <si>
    <t>c-ferroalloys</t>
  </si>
  <si>
    <t>c-woodprod</t>
  </si>
  <si>
    <t>c-cellulose</t>
  </si>
  <si>
    <t>c-paper</t>
  </si>
  <si>
    <t>c-ethanol</t>
  </si>
  <si>
    <t>c-chemicalinorg</t>
  </si>
  <si>
    <t>c-fertilizers</t>
  </si>
  <si>
    <t>c-chemicalorg</t>
  </si>
  <si>
    <t>c-resins</t>
  </si>
  <si>
    <t>c-agrochemicals</t>
  </si>
  <si>
    <t>c-othchemicals</t>
  </si>
  <si>
    <t>c-rubber</t>
  </si>
  <si>
    <t>c-plast</t>
  </si>
  <si>
    <t>c-cement</t>
  </si>
  <si>
    <t>c-cementprod</t>
  </si>
  <si>
    <t>c-steeltubes</t>
  </si>
  <si>
    <t>c-nferrousmetprod</t>
  </si>
  <si>
    <t>c-caststeelnferrousmet</t>
  </si>
  <si>
    <t>c-fabrics</t>
  </si>
  <si>
    <t>c-paints</t>
  </si>
  <si>
    <t>c-othminnmetprod</t>
  </si>
  <si>
    <t>c-metprod</t>
  </si>
  <si>
    <t>c-textiles</t>
  </si>
  <si>
    <t>c-wapp</t>
  </si>
  <si>
    <t>c-leather</t>
  </si>
  <si>
    <t>c-printing</t>
  </si>
  <si>
    <t>c-perfumery</t>
  </si>
  <si>
    <t>c-pharmaceuticals</t>
  </si>
  <si>
    <t>c-homeappliances</t>
  </si>
  <si>
    <t>c-aircraft</t>
  </si>
  <si>
    <t>c-furniture</t>
  </si>
  <si>
    <t>c-electcomponents</t>
  </si>
  <si>
    <t>c-machineryoffice</t>
  </si>
  <si>
    <t>c-eqcomm</t>
  </si>
  <si>
    <t>c-eqoptical</t>
  </si>
  <si>
    <t>c-machineryelect</t>
  </si>
  <si>
    <t>c-machineryagr</t>
  </si>
  <si>
    <t>c-machinerymin</t>
  </si>
  <si>
    <t>c-othmachinery</t>
  </si>
  <si>
    <t>c-repairmachinery</t>
  </si>
  <si>
    <t>c-cars</t>
  </si>
  <si>
    <t>c-trucks</t>
  </si>
  <si>
    <t>c-elegas</t>
  </si>
  <si>
    <t>c-wat</t>
  </si>
  <si>
    <t>c-cns</t>
  </si>
  <si>
    <t>c-cnsinfra</t>
  </si>
  <si>
    <t>c-cnssvc</t>
  </si>
  <si>
    <t>c-trdvehicles</t>
  </si>
  <si>
    <t>c-trd</t>
  </si>
  <si>
    <t>c-trnsfreight</t>
  </si>
  <si>
    <t>c-trnspassenger</t>
  </si>
  <si>
    <t>c-trnswat</t>
  </si>
  <si>
    <t>c-trnsair</t>
  </si>
  <si>
    <t>c-trnsaux</t>
  </si>
  <si>
    <t>c-postal</t>
  </si>
  <si>
    <t>c-hotel</t>
  </si>
  <si>
    <t>c-rest</t>
  </si>
  <si>
    <t>c-books</t>
  </si>
  <si>
    <t>c-tvradio</t>
  </si>
  <si>
    <t>c-telecom</t>
  </si>
  <si>
    <t>c-softwaredev</t>
  </si>
  <si>
    <t>c-fin</t>
  </si>
  <si>
    <t>c-realestate</t>
  </si>
  <si>
    <t>c-imputedrent</t>
  </si>
  <si>
    <t>c-legalaccounting</t>
  </si>
  <si>
    <t>c-researchdev</t>
  </si>
  <si>
    <t>c-architect</t>
  </si>
  <si>
    <t>c-otrprofessionals</t>
  </si>
  <si>
    <t>c-intellectualprop</t>
  </si>
  <si>
    <t>c-buildingsvc</t>
  </si>
  <si>
    <t>c-othadmsvc</t>
  </si>
  <si>
    <t>c-svcsecurity</t>
  </si>
  <si>
    <t>c-socsec</t>
  </si>
  <si>
    <t>c-edug</t>
  </si>
  <si>
    <t>c-edung</t>
  </si>
  <si>
    <t>c-healthg</t>
  </si>
  <si>
    <t>c-healthng</t>
  </si>
  <si>
    <t>c-recreation</t>
  </si>
  <si>
    <t>c-organizations</t>
  </si>
  <si>
    <t>c-mainthhappliances</t>
  </si>
  <si>
    <t>c-personalsvc</t>
  </si>
  <si>
    <t>c-domest</t>
  </si>
  <si>
    <t>marg-d</t>
  </si>
  <si>
    <t>marg-m</t>
  </si>
  <si>
    <t>marg-e</t>
  </si>
  <si>
    <t>f-lab</t>
  </si>
  <si>
    <t>f-cap</t>
  </si>
  <si>
    <t>f-land</t>
  </si>
  <si>
    <t>f-natres-forfsh</t>
  </si>
  <si>
    <t>f-natres-carbonminnmet</t>
  </si>
  <si>
    <t>f-natres-petgas</t>
  </si>
  <si>
    <t>f-natres-ironore</t>
  </si>
  <si>
    <t>f-natres-nferrmetmin</t>
  </si>
  <si>
    <t>f-ext</t>
  </si>
  <si>
    <t>npish</t>
  </si>
  <si>
    <t>ent</t>
  </si>
  <si>
    <t>cssec</t>
  </si>
  <si>
    <t>sub-act</t>
  </si>
  <si>
    <t>tax-ipi</t>
  </si>
  <si>
    <t>tax-icms</t>
  </si>
  <si>
    <t>cap-hhd</t>
  </si>
  <si>
    <t>cap-npish</t>
  </si>
  <si>
    <t>cap-ent</t>
  </si>
  <si>
    <t>cap-gov</t>
  </si>
  <si>
    <t>cap-row</t>
  </si>
  <si>
    <t>inv-prv</t>
  </si>
  <si>
    <t>inv-gov</t>
  </si>
  <si>
    <t>com</t>
  </si>
  <si>
    <t>act</t>
  </si>
  <si>
    <t>Arroz, trigo e outros cereais</t>
  </si>
  <si>
    <t>Milho em grão</t>
  </si>
  <si>
    <t>Algodão herbáceo, outras fibras da lav. temporária</t>
  </si>
  <si>
    <t>Cana-de-açúcar</t>
  </si>
  <si>
    <t>Soja  em grão</t>
  </si>
  <si>
    <t>Outros produtos e serviços da lavoura temporária</t>
  </si>
  <si>
    <t>Laranja</t>
  </si>
  <si>
    <t>Café em grão</t>
  </si>
  <si>
    <t>Outros produtos da lavoura permanente</t>
  </si>
  <si>
    <t>Bovinos e outros animais vivos, prods. animal, caça e serv.</t>
  </si>
  <si>
    <t>Leite de vaca e de outros animais</t>
  </si>
  <si>
    <t>Suínos</t>
  </si>
  <si>
    <t>Aves e ovos</t>
  </si>
  <si>
    <t>Produtos da exploração florestal e da silvicultura</t>
  </si>
  <si>
    <t>Pesca e aquicultura (peixe, crustáceos e moluscos)</t>
  </si>
  <si>
    <t>Carvão mineral</t>
  </si>
  <si>
    <t>Minerais não-metálicos</t>
  </si>
  <si>
    <t>Petróleo, gás natural e serviços de apoio</t>
  </si>
  <si>
    <t>Minério de ferro</t>
  </si>
  <si>
    <t>Minerais metálicos não-ferrosos</t>
  </si>
  <si>
    <t>Carne de bovinos e outros prod. de carne</t>
  </si>
  <si>
    <t>Carne de suíno</t>
  </si>
  <si>
    <t>Carne de aves</t>
  </si>
  <si>
    <t>Pescado industrializado</t>
  </si>
  <si>
    <t>Leite resfriado, esterilizado e pasteurizado</t>
  </si>
  <si>
    <t>Outros produtos do laticínio</t>
  </si>
  <si>
    <t>Açúcar</t>
  </si>
  <si>
    <t>Conservas de frutas, legumes, outros vegetais e sucos de frutas</t>
  </si>
  <si>
    <t>Óleos e gorduras vegetais e animais</t>
  </si>
  <si>
    <t>Café beneficiado</t>
  </si>
  <si>
    <t>Arroz beneficiado e produtos derivados do arroz</t>
  </si>
  <si>
    <t>Produtos derivados do trigo, mandioca ou milho</t>
  </si>
  <si>
    <t>Rações balanceadas para animais</t>
  </si>
  <si>
    <t>Outros produtos alimentares</t>
  </si>
  <si>
    <t>Bebidas</t>
  </si>
  <si>
    <t>Produtos do fumo</t>
  </si>
  <si>
    <t>Fios e fibras têxteis beneficiadas</t>
  </si>
  <si>
    <t>Tecidos</t>
  </si>
  <si>
    <t>Art. têxteis de uso doméstico e outros têxteis</t>
  </si>
  <si>
    <t>Artigos do vestuário e acessórios</t>
  </si>
  <si>
    <t>Calçados e artefatos de couro</t>
  </si>
  <si>
    <t>Produtos de madeira, exclusive móveis</t>
  </si>
  <si>
    <t>Celulose</t>
  </si>
  <si>
    <t>Papel, papelão, embalagens e artefatos de papel</t>
  </si>
  <si>
    <t>Serviços de impressão e reprodução</t>
  </si>
  <si>
    <t>Combustíveis para aviação</t>
  </si>
  <si>
    <t>Gasoálcool</t>
  </si>
  <si>
    <t>Naftas para petroquímica</t>
  </si>
  <si>
    <t xml:space="preserve">Óleo combustível  </t>
  </si>
  <si>
    <t>Diesel - biodiesel</t>
  </si>
  <si>
    <t>Outros produtos do refino do petróleo</t>
  </si>
  <si>
    <t>Etanol e outros biocombustíveis</t>
  </si>
  <si>
    <t>Produtos químicos inorgânicos</t>
  </si>
  <si>
    <t>Adubos e fertilizantes</t>
  </si>
  <si>
    <t>Produtos químicos orgânicos</t>
  </si>
  <si>
    <t>Resinas,elastômeros e fibras artif. e sintéticas</t>
  </si>
  <si>
    <t>Defensivos agrícolas e desinfestantes domissanitários</t>
  </si>
  <si>
    <t xml:space="preserve">Produtos químicos diversos </t>
  </si>
  <si>
    <t>Tintas, vernizes, esmaltes e lacas</t>
  </si>
  <si>
    <t>Perfumaria, sabões e artigos de limpeza</t>
  </si>
  <si>
    <t>Produtos farmacêuticos</t>
  </si>
  <si>
    <t>Artigos de borracha</t>
  </si>
  <si>
    <t>Artigos de plástico</t>
  </si>
  <si>
    <t>Cimento</t>
  </si>
  <si>
    <t>Artefatos de cimento, gesso e semelhantes</t>
  </si>
  <si>
    <t>Vidros, cerâmicos e outros prod. de minerais não-metálicos</t>
  </si>
  <si>
    <t>Ferro-gusa e ferroligas</t>
  </si>
  <si>
    <t>Semi-acabacados, laminados planos, longos e tubos de aço</t>
  </si>
  <si>
    <t>Produtos da metalurgia de metais não-ferrosos</t>
  </si>
  <si>
    <t>Peças fundidas de aço e de metais não ferrosos</t>
  </si>
  <si>
    <t>Produtos de metal, excl. máquinas e equipamentos</t>
  </si>
  <si>
    <t>Componentes eletrônicos</t>
  </si>
  <si>
    <t>Máquinas para escritório e equip. de informática</t>
  </si>
  <si>
    <t>Material eletrônico e equip. de comunicações</t>
  </si>
  <si>
    <t>Equip. de medida, teste e controle, ópticos e eletromédicos</t>
  </si>
  <si>
    <t>Máquinas, aparelhos e materiais elétricos</t>
  </si>
  <si>
    <t>Eletrodomésticos</t>
  </si>
  <si>
    <t>Tratores e outras máquinas agrícolas</t>
  </si>
  <si>
    <t>Máquinas para a extração mineral e a construção</t>
  </si>
  <si>
    <t>Outras máquinas e equipamentos mecânicos</t>
  </si>
  <si>
    <t>Automóveis, camionetas e utilitários</t>
  </si>
  <si>
    <t>Caminhões e ônibus, incl. cabines, carrocerias e reboques</t>
  </si>
  <si>
    <t>Peças e acessórios para veículos automotores</t>
  </si>
  <si>
    <t>Aeronaves, embarcações e outros equipamentos de transporte</t>
  </si>
  <si>
    <t>Móveis</t>
  </si>
  <si>
    <t>Produtos de industrias diversas</t>
  </si>
  <si>
    <t>Manutenção, reparação e instalação de máquinas e equipamentos</t>
  </si>
  <si>
    <t>Eletricidade, gás e outras utilidades</t>
  </si>
  <si>
    <t>Água, esgoto, reciclagem e gestão de resíduos</t>
  </si>
  <si>
    <t>Edificações</t>
  </si>
  <si>
    <t>Obras de infra-estrutura</t>
  </si>
  <si>
    <t>Serviços especializados para construção</t>
  </si>
  <si>
    <t>Comércio e reparação de veículos</t>
  </si>
  <si>
    <t>Comércio por atacado e a varejo, exceto veículos automotores</t>
  </si>
  <si>
    <t>Transporte terrestre de carga</t>
  </si>
  <si>
    <t>Transporte terrestre de passageiros</t>
  </si>
  <si>
    <t>Transporte aquaviário</t>
  </si>
  <si>
    <t>Transporte aéreo</t>
  </si>
  <si>
    <t>Armazenamento e serviços auxiliares aos transportes</t>
  </si>
  <si>
    <t>Correio e outros serviços de entrega</t>
  </si>
  <si>
    <t>Serviços de alojamento em hotéis e similares</t>
  </si>
  <si>
    <t>Serviços  de alimentação</t>
  </si>
  <si>
    <t>Livros, jornais e revistas</t>
  </si>
  <si>
    <t>Serviços cinematográficos, música, rádio e televisão</t>
  </si>
  <si>
    <t>Telecomunicações, TV por assinatura e outros serv. relacionados</t>
  </si>
  <si>
    <t>Desenvolvimento de sistemas e outros serviços de informação</t>
  </si>
  <si>
    <t>Intermediação financeira, seguros e previdência complementar</t>
  </si>
  <si>
    <t>Aluguel efetivo e serviços imobiliários</t>
  </si>
  <si>
    <t>Aluguel imputado</t>
  </si>
  <si>
    <t>Serviços jurídicos, contabilidade e consultoria</t>
  </si>
  <si>
    <t>Pesquisa e desenvolvimento</t>
  </si>
  <si>
    <t>Serviços de arquitetura e engenharia</t>
  </si>
  <si>
    <t>Publicidade e outros serviços técnicos</t>
  </si>
  <si>
    <t>Aluguéis não-imob. e gestão de ativos de propriedade intelectual</t>
  </si>
  <si>
    <t>Condomínios e serviços para edifícios</t>
  </si>
  <si>
    <t>Outros serviços administrativos</t>
  </si>
  <si>
    <t>Serviços de vigilância, segurança e investigação</t>
  </si>
  <si>
    <t>Serviços coletivos da administração pública</t>
  </si>
  <si>
    <t>Serviços de previdência e assistência social</t>
  </si>
  <si>
    <t>Educação pública</t>
  </si>
  <si>
    <t>Educação privada</t>
  </si>
  <si>
    <t>Saúde pública</t>
  </si>
  <si>
    <t>Saúde privada</t>
  </si>
  <si>
    <t>Serviços de artes, cultura, esporte e recreação</t>
  </si>
  <si>
    <t>Organizações patronais, sindicais e outros serviços associativos</t>
  </si>
  <si>
    <t>Manutenção de computadores, telefones e objetos domésticos</t>
  </si>
  <si>
    <t>Serviços pessoais</t>
  </si>
  <si>
    <t>Serviços domésticos</t>
  </si>
  <si>
    <t>SAM Brazil 2017; 1 000 000 R$; Source: sam-adj.gms; automatic</t>
  </si>
  <si>
    <t>c-biofuels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</si>
  <si>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</si>
  <si>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</si>
  <si>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</si>
  <si>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</si>
  <si>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</si>
  <si>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</si>
  <si>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</si>
  <si>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</si>
  <si>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</si>
  <si>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</si>
  <si>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</si>
  <si>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</si>
  <si>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</si>
  <si>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</si>
  <si>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</si>
  <si>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</si>
  <si>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</si>
  <si>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Refino de petróleo e 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</si>
  <si>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</si>
  <si>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</si>
  <si>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</si>
  <si>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</si>
  <si>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</si>
  <si>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</si>
  <si>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</si>
  <si>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</si>
  <si>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</si>
  <si>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</si>
  <si>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</si>
  <si>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</si>
  <si>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</si>
  <si>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</si>
  <si>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</si>
  <si>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</si>
  <si>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</si>
  <si>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Energia elétrica, gás natural e outras utilidades</t>
  </si>
  <si>
    <t>Água, esgoto e gestão de resíduos</t>
  </si>
  <si>
    <t>Construção</t>
  </si>
  <si>
    <t>Comércio e reparação de veículos automotores e motocicletas</t>
  </si>
  <si>
    <t>Transporte terrestre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</si>
  <si>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</si>
  <si>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</si>
  <si>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</si>
  <si>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</si>
  <si>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</si>
  <si>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</si>
  <si>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</si>
  <si>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</si>
  <si>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</si>
  <si>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</si>
  <si>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</si>
  <si>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</si>
  <si>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</si>
  <si>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</si>
  <si>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Atividades artísticas, criativas e de espetáculos</t>
  </si>
  <si>
    <t>Organizações associativas e outros serviços pessoais</t>
  </si>
  <si>
    <t>Tabla 1. Producto Bruto Interno (Año base, 2017)</t>
  </si>
  <si>
    <t>Egresos de factores</t>
  </si>
  <si>
    <t>Transferencias al resto del mundo</t>
  </si>
  <si>
    <t>c-mnfc</t>
  </si>
  <si>
    <t>c-svc</t>
  </si>
  <si>
    <t>a-mnfc</t>
  </si>
  <si>
    <t>a-svc</t>
  </si>
  <si>
    <t>Transferencias gubernamentales</t>
  </si>
  <si>
    <t>Ingresos de trabajo</t>
  </si>
  <si>
    <t>Ingresos de capital</t>
  </si>
  <si>
    <t>Transferencias de los hogares</t>
  </si>
  <si>
    <t>Transferencias a los hogares</t>
  </si>
  <si>
    <t>Impuestos netos</t>
  </si>
  <si>
    <t>Ingresos de instituciones sin fines de lucro de los hogares</t>
  </si>
  <si>
    <t>Egresos de instituciones sin fines de lucro de los hogares</t>
  </si>
  <si>
    <t xml:space="preserve">  Consumo público</t>
  </si>
  <si>
    <t>Consumo público</t>
  </si>
  <si>
    <t>Total Egresos</t>
  </si>
  <si>
    <t>Ahorro del resto del mundo</t>
  </si>
  <si>
    <t>Ahorro del gobierno</t>
  </si>
  <si>
    <t>Producto</t>
  </si>
  <si>
    <t>Actividad</t>
  </si>
  <si>
    <t>Impuestos a la producción</t>
  </si>
  <si>
    <t>Subsidios a la producción</t>
  </si>
  <si>
    <t>Impuestos al consumo</t>
  </si>
  <si>
    <t>Impuestos a las importaciones</t>
  </si>
  <si>
    <t>Tabla 2. Cuenta corriente de la balanza de pagos (Año base, 2017)</t>
  </si>
  <si>
    <t>Absorción</t>
  </si>
  <si>
    <t>Ingresos de empresas</t>
  </si>
  <si>
    <t>Egresos de empresas</t>
  </si>
  <si>
    <t>Ingresos de jubilaciones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</si>
</sst>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</cellStyleXfs>
  <cellXfs count="80">
    <xf numFmtId="0" fontId="0" fillId="0" borderId="0" xfId="0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2" borderId="0" xfId="4" applyFont="1" applyFill="1" applyAlignment="1">
      <alignment vertical="center"/>
    </xf>
    <xf numFmtId="0" fontId="6" fillId="0" borderId="0" xfId="4" applyFont="1" applyAlignment="1">
      <alignment vertical="center"/>
    </xf>
    <xf numFmtId="0" fontId="2" fillId="0" borderId="0" xfId="5" applyAlignment="1">
      <alignment vertical="center"/>
    </xf>
    <xf numFmtId="0" fontId="2" fillId="2" borderId="0" xfId="5" quotePrefix="1" applyFill="1" applyAlignment="1">
      <alignment vertical="center"/>
    </xf>
    <xf numFmtId="0" fontId="6" fillId="2" borderId="0" xfId="5" quotePrefix="1" applyFont="1" applyFill="1" applyAlignment="1">
      <alignment vertical="center"/>
    </xf>
    <xf numFmtId="0" fontId="4" fillId="2" borderId="0" xfId="5" applyFont="1" applyFill="1" applyAlignment="1">
      <alignment vertical="center"/>
    </xf>
    <xf numFmtId="0" fontId="6" fillId="2" borderId="0" xfId="5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5" quotePrefix="1" applyAlignment="1">
      <alignment vertical="center"/>
    </xf>
    <xf numFmtId="0" fontId="6" fillId="0" borderId="0" xfId="5" quotePrefix="1" applyFont="1" applyAlignment="1">
      <alignment vertical="center"/>
    </xf>
    <xf numFmtId="0" fontId="6" fillId="5" borderId="0" xfId="4" applyFont="1" applyFill="1" applyAlignment="1">
      <alignment vertical="center"/>
    </xf>
    <xf numFmtId="0" fontId="2" fillId="5" borderId="0" xfId="5" quotePrefix="1" applyFill="1" applyAlignment="1">
      <alignment vertical="center"/>
    </xf>
    <xf numFmtId="0" fontId="2" fillId="6" borderId="0" xfId="5" quotePrefix="1" applyFill="1" applyAlignment="1">
      <alignment vertical="center"/>
    </xf>
    <xf numFmtId="0" fontId="6" fillId="6" borderId="0" xfId="4" applyFont="1" applyFill="1" applyAlignment="1">
      <alignment vertical="center"/>
    </xf>
    <xf numFmtId="0" fontId="6" fillId="7" borderId="0" xfId="5" quotePrefix="1" applyFont="1" applyFill="1" applyAlignment="1">
      <alignment vertical="center"/>
    </xf>
    <xf numFmtId="0" fontId="6" fillId="7" borderId="0" xfId="4" applyFont="1" applyFill="1" applyAlignment="1">
      <alignment vertical="center"/>
    </xf>
    <xf numFmtId="0" fontId="2" fillId="9" borderId="0" xfId="5" quotePrefix="1" applyFill="1" applyAlignment="1">
      <alignment vertical="center"/>
    </xf>
    <xf numFmtId="0" fontId="2" fillId="10" borderId="0" xfId="5" quotePrefix="1" applyFill="1" applyAlignment="1">
      <alignment vertical="center"/>
    </xf>
    <xf numFmtId="0" fontId="2" fillId="11" borderId="0" xfId="5" quotePrefix="1" applyFill="1" applyAlignment="1">
      <alignment vertical="center"/>
    </xf>
    <xf numFmtId="0" fontId="6" fillId="11" borderId="0" xfId="4" applyFont="1" applyFill="1" applyAlignment="1">
      <alignment vertical="center"/>
    </xf>
    <xf numFmtId="0" fontId="6" fillId="12" borderId="0" xfId="4" applyFont="1" applyFill="1" applyAlignment="1">
      <alignment vertical="center"/>
    </xf>
    <xf numFmtId="0" fontId="6" fillId="13" borderId="0" xfId="4" applyFont="1" applyFill="1" applyAlignment="1">
      <alignment vertical="center"/>
    </xf>
    <xf numFmtId="0" fontId="2" fillId="13" borderId="0" xfId="5" quotePrefix="1" applyFill="1" applyAlignment="1">
      <alignment vertical="center"/>
    </xf>
    <xf numFmtId="0" fontId="2" fillId="7" borderId="0" xfId="5" quotePrefix="1" applyFill="1" applyAlignment="1">
      <alignment vertical="center"/>
    </xf>
    <xf numFmtId="0" fontId="6" fillId="8" borderId="0" xfId="5" quotePrefix="1" applyFont="1" applyFill="1" applyAlignment="1">
      <alignment vertical="center"/>
    </xf>
    <xf numFmtId="0" fontId="6" fillId="8" borderId="0" xfId="4" applyFont="1" applyFill="1" applyAlignment="1">
      <alignment vertical="center"/>
    </xf>
    <xf numFmtId="0" fontId="2" fillId="10" borderId="0" xfId="5" applyFill="1" applyAlignment="1">
      <alignment vertical="center"/>
    </xf>
    <xf numFmtId="0" fontId="6" fillId="6" borderId="0" xfId="5" quotePrefix="1" applyFont="1" applyFill="1" applyAlignment="1">
      <alignment vertical="center"/>
    </xf>
    <xf numFmtId="0" fontId="6" fillId="5" borderId="0" xfId="5" quotePrefix="1" applyFont="1" applyFill="1" applyAlignment="1">
      <alignment vertical="center"/>
    </xf>
    <xf numFmtId="0" fontId="6" fillId="9" borderId="0" xfId="5" quotePrefix="1" applyFont="1" applyFill="1" applyAlignment="1">
      <alignment vertical="center"/>
    </xf>
    <xf numFmtId="0" fontId="6" fillId="9" borderId="0" xfId="4" applyFont="1" applyFill="1" applyAlignment="1">
      <alignment vertical="center"/>
    </xf>
    <xf numFmtId="0" fontId="6" fillId="10" borderId="0" xfId="5" quotePrefix="1" applyFont="1" applyFill="1" applyAlignment="1">
      <alignment vertical="center"/>
    </xf>
    <xf numFmtId="0" fontId="6" fillId="10" borderId="0" xfId="4" applyFont="1" applyFill="1" applyAlignment="1">
      <alignment vertical="center"/>
    </xf>
    <xf numFmtId="0" fontId="6" fillId="11" borderId="0" xfId="5" quotePrefix="1" applyFont="1" applyFill="1" applyAlignment="1">
      <alignment vertical="center"/>
    </xf>
    <xf numFmtId="0" fontId="6" fillId="12" borderId="0" xfId="5" quotePrefix="1" applyFont="1" applyFill="1" applyAlignment="1">
      <alignment vertical="center"/>
    </xf>
    <xf numFmtId="0" fontId="6" fillId="13" borderId="0" xfId="5" quotePrefix="1" applyFont="1" applyFill="1" applyAlignment="1">
      <alignment vertical="center"/>
    </xf>
    <xf numFmtId="0" fontId="6" fillId="14" borderId="0" xfId="4" applyFont="1" applyFill="1" applyAlignment="1">
      <alignment vertical="center"/>
    </xf>
    <xf numFmtId="0" fontId="2" fillId="14" borderId="0" xfId="5" quotePrefix="1" applyFill="1" applyAlignment="1">
      <alignment vertical="center"/>
    </xf>
    <xf numFmtId="0" fontId="2" fillId="12" borderId="0" xfId="5" applyFill="1" applyAlignment="1">
      <alignment vertical="center"/>
    </xf>
    <xf numFmtId="0" fontId="2" fillId="14" borderId="0" xfId="5" applyFill="1" applyAlignment="1">
      <alignment vertical="center"/>
    </xf>
    <xf numFmtId="0" fontId="2" fillId="5" borderId="0" xfId="5" applyFill="1" applyAlignment="1">
      <alignment vertical="center"/>
    </xf>
    <xf numFmtId="0" fontId="2" fillId="6" borderId="0" xfId="5" applyFill="1" applyAlignment="1">
      <alignment vertical="center"/>
    </xf>
    <xf numFmtId="0" fontId="2" fillId="7" borderId="0" xfId="5" applyFill="1" applyAlignment="1">
      <alignment vertical="center"/>
    </xf>
    <xf numFmtId="0" fontId="2" fillId="2" borderId="0" xfId="5" applyFill="1" applyAlignment="1">
      <alignment vertical="center"/>
    </xf>
    <xf numFmtId="0" fontId="2" fillId="8" borderId="0" xfId="5" applyFill="1" applyAlignment="1">
      <alignment vertical="center"/>
    </xf>
    <xf numFmtId="0" fontId="2" fillId="9" borderId="0" xfId="5" applyFill="1" applyAlignment="1">
      <alignment vertical="center"/>
    </xf>
    <xf numFmtId="0" fontId="2" fillId="11" borderId="0" xfId="5" applyFill="1" applyAlignment="1">
      <alignment vertical="center"/>
    </xf>
    <xf numFmtId="0" fontId="2" fillId="13" borderId="0" xfId="5" applyFill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right" vertical="center"/>
    </xf>
    <xf numFmtId="0" fontId="6" fillId="3" borderId="0" xfId="0" quotePrefix="1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quotePrefix="1" applyFont="1" applyFill="1" applyAlignment="1">
      <alignment horizontal="right" vertical="center"/>
    </xf>
    <xf numFmtId="0" fontId="6" fillId="4" borderId="0" xfId="0" quotePrefix="1" applyFont="1" applyFill="1" applyAlignment="1">
      <alignment vertical="center"/>
    </xf>
    <xf numFmtId="0" fontId="2" fillId="15" borderId="0" xfId="5" quotePrefix="1" applyFill="1" applyAlignment="1">
      <alignment vertical="center"/>
    </xf>
    <xf numFmtId="4" fontId="5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10" fontId="6" fillId="0" borderId="0" xfId="0" applyNumberFormat="1" applyFont="1" applyAlignment="1">
      <alignment horizontal="right" vertical="center"/>
    </xf>
    <xf numFmtId="164" fontId="6" fillId="2" borderId="0" xfId="5" applyNumberFormat="1" applyFont="1" applyFill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0" xfId="2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" fillId="2" borderId="0" xfId="5" applyFont="1" applyFill="1" applyAlignment="1">
      <alignment vertical="center"/>
    </xf>
    <xf numFmtId="0" fontId="1" fillId="0" borderId="0" xfId="5" applyFont="1" applyAlignment="1">
      <alignment vertical="center"/>
    </xf>
    <xf numFmtId="0" fontId="1" fillId="0" borderId="0" xfId="5" quotePrefix="1" applyFont="1" applyAlignment="1">
      <alignment vertical="center"/>
    </xf>
    <xf numFmtId="0" fontId="1" fillId="2" borderId="0" xfId="5" quotePrefix="1" applyFont="1" applyFill="1" applyAlignment="1">
      <alignment vertical="center"/>
    </xf>
    <xf numFmtId="164" fontId="1" fillId="0" borderId="0" xfId="5" applyNumberFormat="1" applyFont="1" applyAlignment="1">
      <alignment vertical="center"/>
    </xf>
    <xf numFmtId="164" fontId="1" fillId="2" borderId="0" xfId="5" applyNumberFormat="1" applyFont="1" applyFill="1" applyAlignment="1">
      <alignment vertical="center"/>
    </xf>
    <xf numFmtId="0" fontId="4" fillId="2" borderId="0" xfId="5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3" xfId="4" xr:uid="{6FE09643-9901-4A3B-B111-702C3909E876}"/>
    <cellStyle name="Normal 2" xfId="1" xr:uid="{00000000-0005-0000-0000-000001000000}"/>
    <cellStyle name="Normal 3" xfId="3" xr:uid="{4480BBD5-F52A-45F4-A3D9-0A6F30314AEA}"/>
    <cellStyle name="Normal 4" xfId="5" xr:uid="{716D6328-5675-4FD1-A55D-E23DAD55A298}"/>
    <cellStyle name="Normal_aladi-ven-data" xfId="2" xr:uid="{00000000-0005-0000-0000-000002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zoomScale="80" zoomScaleNormal="80" workbookViewId="0"/>
  </sheetViews>
  <sheetFormatPr baseColWidth="10" defaultRowHeight="15" customHeight="1" x14ac:dyDescent="0.2"/>
  <cols>
    <col min="1" max="3" width="11.42578125" style="53" customWidth="1"/>
    <col min="4" max="16384" width="11.42578125" style="53"/>
  </cols>
  <sheetData>
    <row r="1" spans="1:4" s="56" customFormat="1" ht="15" customHeight="1" x14ac:dyDescent="0.2">
      <c r="A1" s="56" t="s">
        <v>2</v>
      </c>
      <c r="B1" s="56" t="s">
        <v>4</v>
      </c>
      <c r="C1" s="56" t="s">
        <v>5</v>
      </c>
      <c r="D1" s="56" t="s">
        <v>18</v>
      </c>
    </row>
    <row r="2" spans="1:4" ht="15" customHeight="1" x14ac:dyDescent="0.2">
      <c r="A2" s="59" t="s">
        <v>32</v>
      </c>
      <c r="B2" s="59" t="s">
        <v>32</v>
      </c>
      <c r="C2" s="59" t="s">
        <v>34</v>
      </c>
      <c r="D2" s="57" t="s">
        <v>27</v>
      </c>
    </row>
    <row r="3" spans="1:4" ht="15" customHeight="1" x14ac:dyDescent="0.2">
      <c r="A3" s="59" t="s">
        <v>33</v>
      </c>
      <c r="B3" s="59" t="s">
        <v>33</v>
      </c>
      <c r="C3" s="59" t="s">
        <v>35</v>
      </c>
      <c r="D3" s="57" t="s">
        <v>15</v>
      </c>
    </row>
    <row r="4" spans="1:4" ht="15" customHeight="1" x14ac:dyDescent="0.2">
      <c r="A4" s="59" t="s">
        <v>41</v>
      </c>
      <c r="B4" s="59" t="s">
        <v>41</v>
      </c>
      <c r="C4" s="59" t="s">
        <v>49</v>
      </c>
      <c r="D4" s="57" t="s">
        <v>21</v>
      </c>
    </row>
    <row r="5" spans="1:4" ht="15" customHeight="1" x14ac:dyDescent="0.2">
      <c r="A5" s="59" t="s">
        <v>42</v>
      </c>
      <c r="B5" s="59" t="s">
        <v>42</v>
      </c>
      <c r="C5" s="59" t="s">
        <v>50</v>
      </c>
      <c r="D5" s="57"/>
    </row>
    <row r="6" spans="1:4" ht="15" customHeight="1" x14ac:dyDescent="0.2">
      <c r="A6" s="59" t="s">
        <v>107</v>
      </c>
      <c r="B6" s="59" t="s">
        <v>107</v>
      </c>
      <c r="C6" s="59" t="s">
        <v>447</v>
      </c>
      <c r="D6" s="57"/>
    </row>
    <row r="7" spans="1:4" ht="15" customHeight="1" x14ac:dyDescent="0.2">
      <c r="A7" s="59" t="s">
        <v>51</v>
      </c>
      <c r="B7" s="59" t="s">
        <v>51</v>
      </c>
      <c r="C7" s="59" t="s">
        <v>46</v>
      </c>
      <c r="D7" s="57"/>
    </row>
    <row r="8" spans="1:4" ht="15" customHeight="1" x14ac:dyDescent="0.2">
      <c r="A8" s="59" t="s">
        <v>43</v>
      </c>
      <c r="B8" s="59" t="s">
        <v>43</v>
      </c>
      <c r="C8" s="59" t="s">
        <v>47</v>
      </c>
      <c r="D8" s="57"/>
    </row>
    <row r="9" spans="1:4" ht="15" customHeight="1" x14ac:dyDescent="0.2">
      <c r="A9" s="59" t="s">
        <v>39</v>
      </c>
      <c r="B9" s="59" t="s">
        <v>39</v>
      </c>
      <c r="C9" s="59" t="s">
        <v>40</v>
      </c>
      <c r="D9" s="57"/>
    </row>
    <row r="10" spans="1:4" ht="15" customHeight="1" x14ac:dyDescent="0.2">
      <c r="A10" s="59" t="s">
        <v>53</v>
      </c>
      <c r="B10" s="59" t="s">
        <v>53</v>
      </c>
      <c r="C10" s="59" t="s">
        <v>54</v>
      </c>
      <c r="D10" s="57"/>
    </row>
    <row r="11" spans="1:4" ht="15" customHeight="1" x14ac:dyDescent="0.2">
      <c r="A11" s="59" t="s">
        <v>44</v>
      </c>
      <c r="B11" s="59" t="s">
        <v>44</v>
      </c>
      <c r="C11" s="59" t="s">
        <v>52</v>
      </c>
      <c r="D11" s="57"/>
    </row>
    <row r="12" spans="1:4" ht="15" customHeight="1" x14ac:dyDescent="0.2">
      <c r="A12" s="59" t="s">
        <v>45</v>
      </c>
      <c r="B12" s="59" t="s">
        <v>45</v>
      </c>
      <c r="C12" s="59" t="s">
        <v>48</v>
      </c>
      <c r="D12" s="57"/>
    </row>
    <row r="13" spans="1:4" ht="15" customHeight="1" x14ac:dyDescent="0.2">
      <c r="A13" s="59" t="s">
        <v>34</v>
      </c>
      <c r="B13" s="57"/>
      <c r="C13" s="57"/>
      <c r="D13" s="57"/>
    </row>
    <row r="14" spans="1:4" ht="15" customHeight="1" x14ac:dyDescent="0.2">
      <c r="A14" s="59" t="s">
        <v>35</v>
      </c>
      <c r="B14" s="57"/>
      <c r="C14" s="57"/>
      <c r="D14" s="57"/>
    </row>
    <row r="15" spans="1:4" ht="15" customHeight="1" x14ac:dyDescent="0.2">
      <c r="A15" s="59" t="s">
        <v>49</v>
      </c>
      <c r="B15" s="57"/>
      <c r="C15" s="57"/>
      <c r="D15" s="57"/>
    </row>
    <row r="16" spans="1:4" ht="15" customHeight="1" x14ac:dyDescent="0.2">
      <c r="A16" s="59" t="s">
        <v>50</v>
      </c>
      <c r="B16" s="57"/>
      <c r="C16" s="57"/>
      <c r="D16" s="57"/>
    </row>
    <row r="17" spans="1:4" ht="15" customHeight="1" x14ac:dyDescent="0.2">
      <c r="A17" s="59" t="s">
        <v>447</v>
      </c>
      <c r="B17" s="57"/>
      <c r="C17" s="57"/>
      <c r="D17" s="57"/>
    </row>
    <row r="18" spans="1:4" ht="15" customHeight="1" x14ac:dyDescent="0.2">
      <c r="A18" s="59" t="s">
        <v>46</v>
      </c>
      <c r="B18" s="57"/>
      <c r="C18" s="57"/>
      <c r="D18" s="57"/>
    </row>
    <row r="19" spans="1:4" ht="15" customHeight="1" x14ac:dyDescent="0.2">
      <c r="A19" s="59" t="s">
        <v>47</v>
      </c>
      <c r="B19" s="57"/>
      <c r="C19" s="57"/>
      <c r="D19" s="57"/>
    </row>
    <row r="20" spans="1:4" ht="15" customHeight="1" x14ac:dyDescent="0.2">
      <c r="A20" s="59" t="s">
        <v>40</v>
      </c>
      <c r="B20" s="57"/>
      <c r="C20" s="57"/>
      <c r="D20" s="57"/>
    </row>
    <row r="21" spans="1:4" ht="15" customHeight="1" x14ac:dyDescent="0.2">
      <c r="A21" s="59" t="s">
        <v>54</v>
      </c>
      <c r="B21" s="57"/>
      <c r="C21" s="57"/>
      <c r="D21" s="57"/>
    </row>
    <row r="22" spans="1:4" ht="15" customHeight="1" x14ac:dyDescent="0.2">
      <c r="A22" s="59" t="s">
        <v>52</v>
      </c>
      <c r="B22" s="57"/>
      <c r="C22" s="57"/>
      <c r="D22" s="57"/>
    </row>
    <row r="23" spans="1:4" ht="15" customHeight="1" x14ac:dyDescent="0.2">
      <c r="A23" s="59" t="s">
        <v>48</v>
      </c>
      <c r="B23" s="57"/>
      <c r="C23" s="57"/>
      <c r="D23" s="57"/>
    </row>
    <row r="24" spans="1:4" ht="15" customHeight="1" x14ac:dyDescent="0.2">
      <c r="A24" s="59" t="s">
        <v>37</v>
      </c>
      <c r="B24" s="57"/>
      <c r="C24" s="57"/>
      <c r="D24" s="57"/>
    </row>
    <row r="25" spans="1:4" ht="15" customHeight="1" x14ac:dyDescent="0.2">
      <c r="A25" s="59" t="s">
        <v>38</v>
      </c>
      <c r="B25" s="57"/>
      <c r="C25" s="57"/>
      <c r="D25" s="57"/>
    </row>
    <row r="26" spans="1:4" ht="15" customHeight="1" x14ac:dyDescent="0.2">
      <c r="A26" s="59" t="s">
        <v>28</v>
      </c>
      <c r="B26" s="57"/>
      <c r="C26" s="57"/>
      <c r="D26" s="57"/>
    </row>
    <row r="27" spans="1:4" ht="15" customHeight="1" x14ac:dyDescent="0.2">
      <c r="A27" s="59" t="s">
        <v>17</v>
      </c>
      <c r="B27" s="57"/>
      <c r="C27" s="57"/>
      <c r="D27" s="57"/>
    </row>
    <row r="28" spans="1:4" ht="15" customHeight="1" x14ac:dyDescent="0.2">
      <c r="A28" s="59" t="s">
        <v>20</v>
      </c>
      <c r="B28" s="57"/>
      <c r="C28" s="57"/>
      <c r="D28" s="57"/>
    </row>
    <row r="29" spans="1:4" ht="15" customHeight="1" x14ac:dyDescent="0.2">
      <c r="A29" s="59" t="s">
        <v>22</v>
      </c>
      <c r="B29" s="57"/>
      <c r="C29" s="57"/>
      <c r="D29" s="57"/>
    </row>
    <row r="30" spans="1:4" ht="15" customHeight="1" x14ac:dyDescent="0.2">
      <c r="A30" s="59" t="s">
        <v>16</v>
      </c>
      <c r="B30" s="57"/>
      <c r="C30" s="57"/>
      <c r="D30" s="57"/>
    </row>
    <row r="31" spans="1:4" ht="15" customHeight="1" x14ac:dyDescent="0.2">
      <c r="A31" s="59" t="s">
        <v>27</v>
      </c>
      <c r="B31" s="57"/>
      <c r="C31" s="57"/>
      <c r="D31" s="57"/>
    </row>
    <row r="32" spans="1:4" ht="15" customHeight="1" x14ac:dyDescent="0.2">
      <c r="A32" s="59" t="s">
        <v>15</v>
      </c>
      <c r="B32" s="57"/>
      <c r="C32" s="57"/>
      <c r="D32" s="57"/>
    </row>
    <row r="33" spans="1:4" ht="15" customHeight="1" x14ac:dyDescent="0.2">
      <c r="A33" s="59" t="s">
        <v>21</v>
      </c>
      <c r="B33" s="57"/>
      <c r="C33" s="57"/>
      <c r="D33" s="57"/>
    </row>
    <row r="34" spans="1:4" ht="15" customHeight="1" x14ac:dyDescent="0.2">
      <c r="A34" s="59" t="s">
        <v>30</v>
      </c>
      <c r="B34" s="57"/>
      <c r="C34" s="57"/>
      <c r="D34" s="57"/>
    </row>
    <row r="35" spans="1:4" ht="15" customHeight="1" x14ac:dyDescent="0.2">
      <c r="A35" s="59" t="s">
        <v>29</v>
      </c>
      <c r="B35" s="57"/>
      <c r="C35" s="57"/>
      <c r="D35" s="57"/>
    </row>
    <row r="36" spans="1:4" ht="15" customHeight="1" x14ac:dyDescent="0.2">
      <c r="A36" s="59" t="s">
        <v>0</v>
      </c>
      <c r="B36" s="57"/>
      <c r="C36" s="57"/>
      <c r="D36" s="57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9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"/>
  <cols>
    <col min="1" max="35" width="14.28515625" style="53" customWidth="1"/>
    <col min="36" max="16384" width="11.42578125" style="53"/>
  </cols>
  <sheetData>
    <row r="1" spans="1:97" s="12" customFormat="1" x14ac:dyDescent="0.2">
      <c r="A1" s="12" t="s">
        <v>95</v>
      </c>
    </row>
    <row r="2" spans="1:97" s="60" customFormat="1" x14ac:dyDescent="0.2">
      <c r="B2" s="61" t="s">
        <v>32</v>
      </c>
      <c r="C2" s="61" t="s">
        <v>33</v>
      </c>
      <c r="D2" s="61" t="s">
        <v>41</v>
      </c>
      <c r="E2" s="61" t="s">
        <v>42</v>
      </c>
      <c r="F2" s="61" t="s">
        <v>107</v>
      </c>
      <c r="G2" s="61" t="s">
        <v>51</v>
      </c>
      <c r="H2" s="61" t="s">
        <v>43</v>
      </c>
      <c r="I2" s="61" t="s">
        <v>39</v>
      </c>
      <c r="J2" s="61" t="s">
        <v>53</v>
      </c>
      <c r="K2" s="61" t="s">
        <v>44</v>
      </c>
      <c r="L2" s="61" t="s">
        <v>45</v>
      </c>
      <c r="M2" s="61" t="s">
        <v>34</v>
      </c>
      <c r="N2" s="61" t="s">
        <v>35</v>
      </c>
      <c r="O2" s="61" t="s">
        <v>49</v>
      </c>
      <c r="P2" s="61" t="s">
        <v>50</v>
      </c>
      <c r="Q2" s="61" t="s">
        <v>447</v>
      </c>
      <c r="R2" s="61" t="s">
        <v>46</v>
      </c>
      <c r="S2" s="61" t="s">
        <v>47</v>
      </c>
      <c r="T2" s="61" t="s">
        <v>40</v>
      </c>
      <c r="U2" s="61" t="s">
        <v>54</v>
      </c>
      <c r="V2" s="61" t="s">
        <v>52</v>
      </c>
      <c r="W2" s="61" t="s">
        <v>48</v>
      </c>
      <c r="X2" s="61" t="s">
        <v>37</v>
      </c>
      <c r="Y2" s="61" t="s">
        <v>38</v>
      </c>
      <c r="Z2" s="61" t="s">
        <v>28</v>
      </c>
      <c r="AA2" s="61" t="s">
        <v>20</v>
      </c>
      <c r="AB2" s="61" t="s">
        <v>17</v>
      </c>
      <c r="AC2" s="61" t="s">
        <v>16</v>
      </c>
      <c r="AD2" s="61" t="s">
        <v>27</v>
      </c>
      <c r="AE2" s="61" t="s">
        <v>15</v>
      </c>
      <c r="AF2" s="61" t="s">
        <v>21</v>
      </c>
      <c r="AG2" s="61" t="s">
        <v>30</v>
      </c>
      <c r="AH2" s="61" t="s">
        <v>29</v>
      </c>
      <c r="AI2" s="61" t="s">
        <v>0</v>
      </c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</row>
    <row r="3" spans="1:97" x14ac:dyDescent="0.2">
      <c r="A3" s="62" t="s">
        <v>32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>
        <v>524682</v>
      </c>
      <c r="N3" s="71">
        <v>269</v>
      </c>
      <c r="O3" s="71">
        <v>7563</v>
      </c>
      <c r="P3" s="71"/>
      <c r="Q3" s="71">
        <v>25</v>
      </c>
      <c r="R3" s="71"/>
      <c r="S3" s="71">
        <v>1205</v>
      </c>
      <c r="T3" s="71">
        <v>6613</v>
      </c>
      <c r="U3" s="71"/>
      <c r="V3" s="71"/>
      <c r="W3" s="71">
        <v>219</v>
      </c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69">
        <f t="shared" ref="AI3:AI35" si="0">SUM(B3:AH3)</f>
        <v>540576</v>
      </c>
    </row>
    <row r="4" spans="1:97" x14ac:dyDescent="0.2">
      <c r="A4" s="62" t="s">
        <v>33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>
        <v>104418</v>
      </c>
      <c r="O4" s="71">
        <v>154</v>
      </c>
      <c r="P4" s="71">
        <v>138952</v>
      </c>
      <c r="Q4" s="71"/>
      <c r="R4" s="71">
        <v>336</v>
      </c>
      <c r="S4" s="71">
        <v>2070</v>
      </c>
      <c r="T4" s="71">
        <v>6464</v>
      </c>
      <c r="U4" s="71">
        <v>76</v>
      </c>
      <c r="V4" s="71"/>
      <c r="W4" s="71">
        <v>819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69">
        <f t="shared" si="0"/>
        <v>253289</v>
      </c>
    </row>
    <row r="5" spans="1:97" x14ac:dyDescent="0.2">
      <c r="A5" s="62" t="s">
        <v>41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>
        <v>67</v>
      </c>
      <c r="O5" s="71">
        <v>674106</v>
      </c>
      <c r="P5" s="71">
        <v>8</v>
      </c>
      <c r="Q5" s="71">
        <v>24835</v>
      </c>
      <c r="R5" s="71">
        <v>855</v>
      </c>
      <c r="S5" s="71">
        <v>4582</v>
      </c>
      <c r="T5" s="71"/>
      <c r="U5" s="71">
        <v>8795</v>
      </c>
      <c r="V5" s="71"/>
      <c r="W5" s="71">
        <v>1965</v>
      </c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69">
        <f t="shared" si="0"/>
        <v>715213</v>
      </c>
    </row>
    <row r="6" spans="1:97" x14ac:dyDescent="0.2">
      <c r="A6" s="62" t="s">
        <v>42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>
        <v>373076</v>
      </c>
      <c r="Q6" s="71"/>
      <c r="R6" s="71">
        <v>2</v>
      </c>
      <c r="S6" s="71">
        <v>391</v>
      </c>
      <c r="T6" s="71"/>
      <c r="U6" s="71">
        <v>21</v>
      </c>
      <c r="V6" s="71"/>
      <c r="W6" s="71">
        <v>272</v>
      </c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69">
        <f t="shared" si="0"/>
        <v>373762</v>
      </c>
    </row>
    <row r="7" spans="1:97" x14ac:dyDescent="0.2">
      <c r="A7" s="62" t="s">
        <v>107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>
        <v>8958</v>
      </c>
      <c r="P7" s="71"/>
      <c r="Q7" s="71">
        <v>38657</v>
      </c>
      <c r="R7" s="71">
        <v>284</v>
      </c>
      <c r="S7" s="71">
        <v>135</v>
      </c>
      <c r="T7" s="71"/>
      <c r="U7" s="71">
        <v>154</v>
      </c>
      <c r="V7" s="71"/>
      <c r="W7" s="71">
        <v>46</v>
      </c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69">
        <f t="shared" si="0"/>
        <v>48234</v>
      </c>
    </row>
    <row r="8" spans="1:97" x14ac:dyDescent="0.2">
      <c r="A8" s="62" t="s">
        <v>51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>
        <v>161</v>
      </c>
      <c r="Q8" s="71"/>
      <c r="R8" s="71">
        <v>624074</v>
      </c>
      <c r="S8" s="71">
        <v>17516</v>
      </c>
      <c r="T8" s="71"/>
      <c r="U8" s="71">
        <v>4301</v>
      </c>
      <c r="V8" s="71"/>
      <c r="W8" s="71">
        <v>10347</v>
      </c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69">
        <f t="shared" si="0"/>
        <v>656399</v>
      </c>
    </row>
    <row r="9" spans="1:97" x14ac:dyDescent="0.2">
      <c r="A9" s="62" t="s">
        <v>43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>
        <v>1823</v>
      </c>
      <c r="O9" s="71">
        <v>2793</v>
      </c>
      <c r="P9" s="71">
        <v>2884</v>
      </c>
      <c r="Q9" s="71">
        <v>218</v>
      </c>
      <c r="R9" s="71">
        <v>11379</v>
      </c>
      <c r="S9" s="71">
        <v>1110909</v>
      </c>
      <c r="T9" s="71"/>
      <c r="U9" s="71">
        <v>4302</v>
      </c>
      <c r="V9" s="71"/>
      <c r="W9" s="71">
        <v>20888</v>
      </c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69">
        <f t="shared" si="0"/>
        <v>1155196</v>
      </c>
    </row>
    <row r="10" spans="1:97" x14ac:dyDescent="0.2">
      <c r="A10" s="62" t="s">
        <v>39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>
        <v>38</v>
      </c>
      <c r="S10" s="71"/>
      <c r="T10" s="71">
        <v>904913</v>
      </c>
      <c r="U10" s="71">
        <v>182</v>
      </c>
      <c r="V10" s="71"/>
      <c r="W10" s="71">
        <v>8359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69">
        <f t="shared" si="0"/>
        <v>913492</v>
      </c>
    </row>
    <row r="11" spans="1:97" x14ac:dyDescent="0.2">
      <c r="A11" s="62" t="s">
        <v>53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>
        <v>326</v>
      </c>
      <c r="N11" s="71">
        <v>112</v>
      </c>
      <c r="O11" s="71">
        <v>42540</v>
      </c>
      <c r="P11" s="71">
        <v>2981</v>
      </c>
      <c r="Q11" s="71">
        <v>607</v>
      </c>
      <c r="R11" s="71">
        <v>9702</v>
      </c>
      <c r="S11" s="71">
        <v>12356</v>
      </c>
      <c r="T11" s="71"/>
      <c r="U11" s="71">
        <v>1661284</v>
      </c>
      <c r="V11" s="71"/>
      <c r="W11" s="71">
        <v>34562</v>
      </c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69">
        <f t="shared" si="0"/>
        <v>1764470</v>
      </c>
    </row>
    <row r="12" spans="1:97" x14ac:dyDescent="0.2">
      <c r="A12" s="62" t="s">
        <v>44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>
        <v>768</v>
      </c>
      <c r="N12" s="71">
        <v>8</v>
      </c>
      <c r="O12" s="71"/>
      <c r="P12" s="71"/>
      <c r="Q12" s="71"/>
      <c r="R12" s="71">
        <v>213</v>
      </c>
      <c r="S12" s="71">
        <v>1044</v>
      </c>
      <c r="T12" s="71">
        <v>5967</v>
      </c>
      <c r="U12" s="71">
        <v>6169</v>
      </c>
      <c r="V12" s="71">
        <v>1259476</v>
      </c>
      <c r="W12" s="71">
        <v>68308</v>
      </c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69">
        <f t="shared" si="0"/>
        <v>1341953</v>
      </c>
    </row>
    <row r="13" spans="1:97" x14ac:dyDescent="0.2">
      <c r="A13" s="62" t="s">
        <v>45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>
        <v>2491</v>
      </c>
      <c r="S13" s="71">
        <v>623</v>
      </c>
      <c r="T13" s="71"/>
      <c r="U13" s="71">
        <v>2426</v>
      </c>
      <c r="V13" s="71"/>
      <c r="W13" s="71">
        <v>3266668</v>
      </c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69">
        <f t="shared" si="0"/>
        <v>3272208</v>
      </c>
    </row>
    <row r="14" spans="1:97" x14ac:dyDescent="0.2">
      <c r="A14" s="62" t="s">
        <v>34</v>
      </c>
      <c r="B14" s="71">
        <v>25283.020987566008</v>
      </c>
      <c r="C14" s="71">
        <v>1.6569794532598883</v>
      </c>
      <c r="D14" s="71">
        <v>195689.27342999281</v>
      </c>
      <c r="E14" s="71"/>
      <c r="F14" s="71">
        <v>18441.352825055928</v>
      </c>
      <c r="G14" s="71"/>
      <c r="H14" s="71">
        <v>12805.137214792418</v>
      </c>
      <c r="I14" s="71">
        <v>846.71650061580294</v>
      </c>
      <c r="J14" s="71">
        <v>10162.254986842894</v>
      </c>
      <c r="K14" s="71">
        <v>2675.1933272880897</v>
      </c>
      <c r="L14" s="71">
        <v>8278.269348486403</v>
      </c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>
        <v>131965.15761652403</v>
      </c>
      <c r="AE14" s="71">
        <v>42.252976058127153</v>
      </c>
      <c r="AF14" s="71">
        <v>126429</v>
      </c>
      <c r="AG14" s="71">
        <v>14928.556384144964</v>
      </c>
      <c r="AH14" s="71">
        <v>7385.157423179322</v>
      </c>
      <c r="AI14" s="69">
        <f t="shared" si="0"/>
        <v>554933.00000000012</v>
      </c>
    </row>
    <row r="15" spans="1:97" x14ac:dyDescent="0.2">
      <c r="A15" s="62" t="s">
        <v>35</v>
      </c>
      <c r="B15" s="71">
        <v>444.25708521471813</v>
      </c>
      <c r="C15" s="71">
        <v>3268.0480353540215</v>
      </c>
      <c r="D15" s="71">
        <v>354.9701220097993</v>
      </c>
      <c r="E15" s="71">
        <v>35.569603227975804</v>
      </c>
      <c r="F15" s="71">
        <v>237.37265827649156</v>
      </c>
      <c r="G15" s="71">
        <v>136.47113075223368</v>
      </c>
      <c r="H15" s="71">
        <v>36983.676433855326</v>
      </c>
      <c r="I15" s="71">
        <v>8922.8890383322141</v>
      </c>
      <c r="J15" s="71">
        <v>77.67239888557981</v>
      </c>
      <c r="K15" s="71">
        <v>84.205591315208011</v>
      </c>
      <c r="L15" s="71">
        <v>395.62109712748594</v>
      </c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>
        <v>73400</v>
      </c>
      <c r="AG15" s="71"/>
      <c r="AH15" s="71">
        <v>1951.2468056489581</v>
      </c>
      <c r="AI15" s="69">
        <f t="shared" si="0"/>
        <v>126292.00000000001</v>
      </c>
    </row>
    <row r="16" spans="1:97" x14ac:dyDescent="0.2">
      <c r="A16" s="62" t="s">
        <v>49</v>
      </c>
      <c r="B16" s="71">
        <v>17046.881411550181</v>
      </c>
      <c r="C16" s="71">
        <v>27.059735033105802</v>
      </c>
      <c r="D16" s="71">
        <v>98380.176668695</v>
      </c>
      <c r="E16" s="71"/>
      <c r="F16" s="71">
        <v>3716.955270519672</v>
      </c>
      <c r="G16" s="71">
        <v>1.5033186129503222</v>
      </c>
      <c r="H16" s="71">
        <v>5906.5388302818164</v>
      </c>
      <c r="I16" s="71"/>
      <c r="J16" s="71">
        <v>3747.0216427786786</v>
      </c>
      <c r="K16" s="71">
        <v>10938.146227826546</v>
      </c>
      <c r="L16" s="71">
        <v>73527.313359400257</v>
      </c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>
        <v>533563.8553827802</v>
      </c>
      <c r="AE16" s="71">
        <v>177.39159632813804</v>
      </c>
      <c r="AF16" s="71">
        <v>137722</v>
      </c>
      <c r="AG16" s="71"/>
      <c r="AH16" s="71">
        <v>1543.1565561935058</v>
      </c>
      <c r="AI16" s="69">
        <f t="shared" si="0"/>
        <v>886298</v>
      </c>
    </row>
    <row r="17" spans="1:35" x14ac:dyDescent="0.2">
      <c r="A17" s="62" t="s">
        <v>50</v>
      </c>
      <c r="B17" s="71">
        <v>19063.259433060834</v>
      </c>
      <c r="C17" s="71">
        <v>17656.772028170009</v>
      </c>
      <c r="D17" s="71">
        <v>9193.0636797961561</v>
      </c>
      <c r="E17" s="71">
        <v>233006.89989029267</v>
      </c>
      <c r="F17" s="71">
        <v>1036.4988993877623</v>
      </c>
      <c r="G17" s="71">
        <v>3731.7500937820714</v>
      </c>
      <c r="H17" s="71">
        <v>36632.402604664334</v>
      </c>
      <c r="I17" s="71">
        <v>20737.059107477791</v>
      </c>
      <c r="J17" s="71">
        <v>105343.1626924302</v>
      </c>
      <c r="K17" s="71">
        <v>3313.9640301518207</v>
      </c>
      <c r="L17" s="71">
        <v>10078.203645114485</v>
      </c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>
        <v>169225.48426938459</v>
      </c>
      <c r="AE17" s="71"/>
      <c r="AF17" s="71">
        <v>67589</v>
      </c>
      <c r="AG17" s="71">
        <v>4229.1987542909719</v>
      </c>
      <c r="AH17" s="71">
        <v>-7962.7191280036805</v>
      </c>
      <c r="AI17" s="69">
        <f t="shared" si="0"/>
        <v>692874</v>
      </c>
    </row>
    <row r="18" spans="1:35" x14ac:dyDescent="0.2">
      <c r="A18" s="62" t="s">
        <v>447</v>
      </c>
      <c r="B18" s="71">
        <v>273.17486704351609</v>
      </c>
      <c r="C18" s="71">
        <v>843.96196942837071</v>
      </c>
      <c r="D18" s="71">
        <v>264.44723550857947</v>
      </c>
      <c r="E18" s="71">
        <v>30840.831555005519</v>
      </c>
      <c r="F18" s="71">
        <v>528.02170786366526</v>
      </c>
      <c r="G18" s="71">
        <v>16.582499916379568</v>
      </c>
      <c r="H18" s="71">
        <v>3782.5555072415291</v>
      </c>
      <c r="I18" s="71">
        <v>328.15894571361673</v>
      </c>
      <c r="J18" s="71">
        <v>1385.9478877479346</v>
      </c>
      <c r="K18" s="71">
        <v>1030.7332842760143</v>
      </c>
      <c r="L18" s="71">
        <v>606.57039167809478</v>
      </c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>
        <v>35817.327056226379</v>
      </c>
      <c r="AE18" s="71"/>
      <c r="AF18" s="71">
        <v>2701</v>
      </c>
      <c r="AG18" s="71"/>
      <c r="AH18" s="71">
        <v>2560.687092350403</v>
      </c>
      <c r="AI18" s="69">
        <f t="shared" si="0"/>
        <v>80979.999999999985</v>
      </c>
    </row>
    <row r="19" spans="1:35" x14ac:dyDescent="0.2">
      <c r="A19" s="62" t="s">
        <v>46</v>
      </c>
      <c r="B19" s="71">
        <v>462.34120737487507</v>
      </c>
      <c r="C19" s="71">
        <v>17699.452423093215</v>
      </c>
      <c r="D19" s="71">
        <v>3061.6009220067945</v>
      </c>
      <c r="E19" s="71">
        <v>612.15908990401579</v>
      </c>
      <c r="F19" s="71">
        <v>811.11079412282083</v>
      </c>
      <c r="G19" s="71">
        <v>176941.3630468089</v>
      </c>
      <c r="H19" s="71">
        <v>24053.019398307526</v>
      </c>
      <c r="I19" s="71">
        <v>30577.346540705588</v>
      </c>
      <c r="J19" s="71">
        <v>57096.722693336924</v>
      </c>
      <c r="K19" s="71">
        <v>7027.7474465954438</v>
      </c>
      <c r="L19" s="71">
        <v>28380.823069431572</v>
      </c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>
        <v>220473.92906385157</v>
      </c>
      <c r="AE19" s="71">
        <v>12827.149350949278</v>
      </c>
      <c r="AF19" s="71">
        <v>124138</v>
      </c>
      <c r="AG19" s="71">
        <v>247619.15733866108</v>
      </c>
      <c r="AH19" s="71">
        <v>-8024.9223851496172</v>
      </c>
      <c r="AI19" s="69">
        <f t="shared" si="0"/>
        <v>943757</v>
      </c>
    </row>
    <row r="20" spans="1:35" x14ac:dyDescent="0.2">
      <c r="A20" s="62" t="s">
        <v>47</v>
      </c>
      <c r="B20" s="71">
        <v>94725.195977058698</v>
      </c>
      <c r="C20" s="71">
        <v>17700.869184346961</v>
      </c>
      <c r="D20" s="71">
        <v>45317.788585399321</v>
      </c>
      <c r="E20" s="71">
        <v>975.38664882128683</v>
      </c>
      <c r="F20" s="71">
        <v>1356.0996265032882</v>
      </c>
      <c r="G20" s="71">
        <v>120602.25707010432</v>
      </c>
      <c r="H20" s="71">
        <v>347754.65520407027</v>
      </c>
      <c r="I20" s="71">
        <v>131540.1409189082</v>
      </c>
      <c r="J20" s="71">
        <v>48973.394597101898</v>
      </c>
      <c r="K20" s="71">
        <v>25430.104057246946</v>
      </c>
      <c r="L20" s="71">
        <v>91959.696907176636</v>
      </c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>
        <v>454988.55677584885</v>
      </c>
      <c r="AE20" s="71">
        <v>6445.4707121562797</v>
      </c>
      <c r="AF20" s="71">
        <v>178624</v>
      </c>
      <c r="AG20" s="71">
        <v>25783.405700535845</v>
      </c>
      <c r="AH20" s="71">
        <v>4729.9780347211818</v>
      </c>
      <c r="AI20" s="69">
        <f t="shared" si="0"/>
        <v>1596907</v>
      </c>
    </row>
    <row r="21" spans="1:35" x14ac:dyDescent="0.2">
      <c r="A21" s="62" t="s">
        <v>40</v>
      </c>
      <c r="B21" s="71">
        <v>14154.512882834322</v>
      </c>
      <c r="C21" s="71">
        <v>7491.3406438967022</v>
      </c>
      <c r="D21" s="71">
        <v>7734.2169549664331</v>
      </c>
      <c r="E21" s="71">
        <v>487.74341157445974</v>
      </c>
      <c r="F21" s="71">
        <v>208.03749595726956</v>
      </c>
      <c r="G21" s="71">
        <v>5930.561726858431</v>
      </c>
      <c r="H21" s="71">
        <v>41899.149843681087</v>
      </c>
      <c r="I21" s="71">
        <v>184346.10628607831</v>
      </c>
      <c r="J21" s="71">
        <v>37461.680193071006</v>
      </c>
      <c r="K21" s="71">
        <v>42557.105751947864</v>
      </c>
      <c r="L21" s="71">
        <v>60403.537641985597</v>
      </c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>
        <v>142699.78670064194</v>
      </c>
      <c r="AE21" s="71"/>
      <c r="AF21" s="71">
        <v>2819</v>
      </c>
      <c r="AG21" s="71">
        <v>469843.22836967709</v>
      </c>
      <c r="AH21" s="71">
        <v>433.99209682951926</v>
      </c>
      <c r="AI21" s="69">
        <f t="shared" si="0"/>
        <v>1018470.0000000001</v>
      </c>
    </row>
    <row r="22" spans="1:35" x14ac:dyDescent="0.2">
      <c r="A22" s="62" t="s">
        <v>54</v>
      </c>
      <c r="B22" s="71">
        <v>51832.528512299781</v>
      </c>
      <c r="C22" s="71">
        <v>42925.407487010583</v>
      </c>
      <c r="D22" s="71">
        <v>141712.15652824845</v>
      </c>
      <c r="E22" s="71">
        <v>39714.546406439717</v>
      </c>
      <c r="F22" s="71">
        <v>8478.1741855561449</v>
      </c>
      <c r="G22" s="71">
        <v>110340.51598997373</v>
      </c>
      <c r="H22" s="71">
        <v>201203.78494624756</v>
      </c>
      <c r="I22" s="71">
        <v>66787.987584106493</v>
      </c>
      <c r="J22" s="71">
        <v>201056.73963065102</v>
      </c>
      <c r="K22" s="71">
        <v>31510.909330624028</v>
      </c>
      <c r="L22" s="71">
        <v>109406.29324148272</v>
      </c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>
        <v>625281.30028404971</v>
      </c>
      <c r="AE22" s="71">
        <v>5351.2716339437511</v>
      </c>
      <c r="AF22" s="71">
        <v>27773</v>
      </c>
      <c r="AG22" s="71">
        <v>74036.658603150237</v>
      </c>
      <c r="AH22" s="71">
        <v>1661.7256362159442</v>
      </c>
      <c r="AI22" s="69">
        <f t="shared" si="0"/>
        <v>1739072.9999999995</v>
      </c>
    </row>
    <row r="23" spans="1:35" x14ac:dyDescent="0.2">
      <c r="A23" s="62" t="s">
        <v>52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>
        <v>1259476</v>
      </c>
      <c r="AF23" s="71"/>
      <c r="AG23" s="71"/>
      <c r="AH23" s="71"/>
      <c r="AI23" s="69">
        <f t="shared" si="0"/>
        <v>1259476</v>
      </c>
    </row>
    <row r="24" spans="1:35" x14ac:dyDescent="0.2">
      <c r="A24" s="62" t="s">
        <v>48</v>
      </c>
      <c r="B24" s="71">
        <v>14319.827635997062</v>
      </c>
      <c r="C24" s="71">
        <v>55097.431514213771</v>
      </c>
      <c r="D24" s="71">
        <v>67618.305873376667</v>
      </c>
      <c r="E24" s="71">
        <v>11811.863394734346</v>
      </c>
      <c r="F24" s="71">
        <v>3430.3765367569567</v>
      </c>
      <c r="G24" s="71">
        <v>68441.99512319098</v>
      </c>
      <c r="H24" s="71">
        <v>105127.0800168581</v>
      </c>
      <c r="I24" s="71">
        <v>68584.595078061975</v>
      </c>
      <c r="J24" s="71">
        <v>307837.40327715385</v>
      </c>
      <c r="K24" s="71">
        <v>216409.89095272805</v>
      </c>
      <c r="L24" s="71">
        <v>711610.67129811668</v>
      </c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>
        <v>1931083.6028506928</v>
      </c>
      <c r="AE24" s="71">
        <v>59363.463730564428</v>
      </c>
      <c r="AF24" s="71">
        <v>83239</v>
      </c>
      <c r="AG24" s="71">
        <v>122338.79484953982</v>
      </c>
      <c r="AH24" s="71">
        <v>107.69786801446259</v>
      </c>
      <c r="AI24" s="69">
        <f t="shared" si="0"/>
        <v>3826421.9999999995</v>
      </c>
    </row>
    <row r="25" spans="1:35" x14ac:dyDescent="0.2">
      <c r="A25" s="62" t="s">
        <v>37</v>
      </c>
      <c r="B25" s="71">
        <v>109808.50260385932</v>
      </c>
      <c r="C25" s="71">
        <v>27445.808181818182</v>
      </c>
      <c r="D25" s="71">
        <v>85510.110631129035</v>
      </c>
      <c r="E25" s="71">
        <v>7664</v>
      </c>
      <c r="F25" s="71">
        <v>6646</v>
      </c>
      <c r="G25" s="71">
        <v>113847.75770659956</v>
      </c>
      <c r="H25" s="71">
        <v>214412.72608643898</v>
      </c>
      <c r="I25" s="71">
        <v>185624.92919188266</v>
      </c>
      <c r="J25" s="71">
        <v>585155.61827217089</v>
      </c>
      <c r="K25" s="71">
        <v>897677</v>
      </c>
      <c r="L25" s="71">
        <v>981175.39606995124</v>
      </c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>
        <v>908</v>
      </c>
      <c r="AG25" s="71"/>
      <c r="AH25" s="71"/>
      <c r="AI25" s="69">
        <f t="shared" si="0"/>
        <v>3215875.8487438504</v>
      </c>
    </row>
    <row r="26" spans="1:35" x14ac:dyDescent="0.2">
      <c r="A26" s="62" t="s">
        <v>38</v>
      </c>
      <c r="B26" s="71">
        <v>201153.49739614068</v>
      </c>
      <c r="C26" s="71">
        <v>61289.191818181811</v>
      </c>
      <c r="D26" s="71">
        <v>54089.889368870972</v>
      </c>
      <c r="E26" s="71">
        <v>47753</v>
      </c>
      <c r="F26" s="71">
        <v>3081</v>
      </c>
      <c r="G26" s="71">
        <v>51337.242293400443</v>
      </c>
      <c r="H26" s="71">
        <v>114651.27391356103</v>
      </c>
      <c r="I26" s="71">
        <v>209085.07080811734</v>
      </c>
      <c r="J26" s="71">
        <v>390371.38172782917</v>
      </c>
      <c r="K26" s="71">
        <v>103129</v>
      </c>
      <c r="L26" s="71">
        <v>1164946.6039300491</v>
      </c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69">
        <f t="shared" si="0"/>
        <v>2400887.1512561506</v>
      </c>
    </row>
    <row r="27" spans="1:35" x14ac:dyDescent="0.2">
      <c r="A27" s="62" t="s">
        <v>28</v>
      </c>
      <c r="B27" s="71">
        <v>-7991</v>
      </c>
      <c r="C27" s="71">
        <v>1842</v>
      </c>
      <c r="D27" s="71">
        <v>6287</v>
      </c>
      <c r="E27" s="71">
        <v>860</v>
      </c>
      <c r="F27" s="71">
        <v>263</v>
      </c>
      <c r="G27" s="71">
        <v>5071</v>
      </c>
      <c r="H27" s="71">
        <v>9984</v>
      </c>
      <c r="I27" s="71">
        <v>6111</v>
      </c>
      <c r="J27" s="71">
        <v>15801</v>
      </c>
      <c r="K27" s="71">
        <v>169</v>
      </c>
      <c r="L27" s="71">
        <v>31439</v>
      </c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69">
        <f t="shared" si="0"/>
        <v>69836</v>
      </c>
    </row>
    <row r="28" spans="1:35" x14ac:dyDescent="0.2">
      <c r="A28" s="62" t="s">
        <v>20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>
        <v>488</v>
      </c>
      <c r="N28" s="71">
        <v>24</v>
      </c>
      <c r="O28" s="71">
        <v>1385</v>
      </c>
      <c r="P28" s="71">
        <v>23</v>
      </c>
      <c r="Q28" s="71">
        <v>76</v>
      </c>
      <c r="R28" s="71">
        <v>13372</v>
      </c>
      <c r="S28" s="71">
        <v>16905</v>
      </c>
      <c r="T28" s="71"/>
      <c r="U28" s="71"/>
      <c r="V28" s="71"/>
      <c r="W28" s="71">
        <v>11</v>
      </c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69">
        <f t="shared" si="0"/>
        <v>32284</v>
      </c>
    </row>
    <row r="29" spans="1:35" x14ac:dyDescent="0.2">
      <c r="A29" s="62" t="s">
        <v>17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>
        <v>14656</v>
      </c>
      <c r="N29" s="71">
        <v>2476</v>
      </c>
      <c r="O29" s="71">
        <v>114057</v>
      </c>
      <c r="P29" s="71">
        <v>112063</v>
      </c>
      <c r="Q29" s="71">
        <v>13327</v>
      </c>
      <c r="R29" s="71">
        <v>95207</v>
      </c>
      <c r="S29" s="71">
        <v>183699</v>
      </c>
      <c r="T29" s="71">
        <v>87258</v>
      </c>
      <c r="U29" s="71">
        <v>33217</v>
      </c>
      <c r="V29" s="71"/>
      <c r="W29" s="71">
        <v>225309</v>
      </c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69">
        <f t="shared" si="0"/>
        <v>881269</v>
      </c>
    </row>
    <row r="30" spans="1:35" x14ac:dyDescent="0.2">
      <c r="A30" s="62" t="s">
        <v>16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>
        <v>1147901</v>
      </c>
      <c r="AE30" s="71"/>
      <c r="AF30" s="71"/>
      <c r="AG30" s="71"/>
      <c r="AH30" s="71"/>
      <c r="AI30" s="69">
        <f t="shared" si="0"/>
        <v>1147901</v>
      </c>
    </row>
    <row r="31" spans="1:35" x14ac:dyDescent="0.2">
      <c r="A31" s="62" t="s">
        <v>27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>
        <v>3215875.8487438499</v>
      </c>
      <c r="Y31" s="71">
        <v>2400887.1512561506</v>
      </c>
      <c r="Z31" s="71"/>
      <c r="AA31" s="71"/>
      <c r="AB31" s="71"/>
      <c r="AC31" s="71"/>
      <c r="AD31" s="71"/>
      <c r="AE31" s="71">
        <v>1886954.0138351414</v>
      </c>
      <c r="AF31" s="71">
        <v>4982.8775247724971</v>
      </c>
      <c r="AG31" s="71"/>
      <c r="AH31" s="71"/>
      <c r="AI31" s="69">
        <f t="shared" si="0"/>
        <v>7508699.8913599141</v>
      </c>
    </row>
    <row r="32" spans="1:35" x14ac:dyDescent="0.2">
      <c r="A32" s="62" t="s">
        <v>15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>
        <v>69836</v>
      </c>
      <c r="AA32" s="71">
        <v>32284</v>
      </c>
      <c r="AB32" s="71">
        <v>881269</v>
      </c>
      <c r="AC32" s="71">
        <v>1147901</v>
      </c>
      <c r="AD32" s="71">
        <v>767036.87752477254</v>
      </c>
      <c r="AE32" s="71"/>
      <c r="AF32" s="71">
        <v>2275.1224752275025</v>
      </c>
      <c r="AG32" s="71"/>
      <c r="AH32" s="71"/>
      <c r="AI32" s="69">
        <f t="shared" si="0"/>
        <v>2900602</v>
      </c>
    </row>
    <row r="33" spans="1:35" x14ac:dyDescent="0.2">
      <c r="A33" s="62" t="s">
        <v>21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>
        <v>14013</v>
      </c>
      <c r="N33" s="71">
        <v>17095</v>
      </c>
      <c r="O33" s="71">
        <v>34742</v>
      </c>
      <c r="P33" s="71">
        <v>62726</v>
      </c>
      <c r="Q33" s="71">
        <v>3235</v>
      </c>
      <c r="R33" s="71">
        <v>185804</v>
      </c>
      <c r="S33" s="71">
        <v>245472</v>
      </c>
      <c r="T33" s="71">
        <v>7255</v>
      </c>
      <c r="U33" s="71">
        <v>18146</v>
      </c>
      <c r="V33" s="71"/>
      <c r="W33" s="71">
        <v>188649</v>
      </c>
      <c r="X33" s="71"/>
      <c r="Y33" s="71"/>
      <c r="Z33" s="71"/>
      <c r="AA33" s="71"/>
      <c r="AB33" s="71"/>
      <c r="AC33" s="71"/>
      <c r="AD33" s="71">
        <v>81430.013835141493</v>
      </c>
      <c r="AE33" s="71">
        <v>42593.986164858499</v>
      </c>
      <c r="AF33" s="71"/>
      <c r="AG33" s="71"/>
      <c r="AH33" s="71"/>
      <c r="AI33" s="69">
        <f t="shared" si="0"/>
        <v>901160.99999999988</v>
      </c>
    </row>
    <row r="34" spans="1:35" x14ac:dyDescent="0.2">
      <c r="A34" s="62" t="s">
        <v>30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>
        <v>1267233</v>
      </c>
      <c r="AE34" s="71">
        <v>-372629</v>
      </c>
      <c r="AF34" s="71">
        <v>68561</v>
      </c>
      <c r="AG34" s="71"/>
      <c r="AH34" s="71"/>
      <c r="AI34" s="69">
        <f t="shared" si="0"/>
        <v>963165</v>
      </c>
    </row>
    <row r="35" spans="1:35" x14ac:dyDescent="0.2">
      <c r="A35" s="62" t="s">
        <v>29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>
        <v>4386</v>
      </c>
      <c r="AH35" s="71"/>
      <c r="AI35" s="69">
        <f t="shared" si="0"/>
        <v>4386</v>
      </c>
    </row>
    <row r="36" spans="1:35" x14ac:dyDescent="0.2">
      <c r="A36" s="62" t="s">
        <v>0</v>
      </c>
      <c r="B36" s="69">
        <f t="shared" ref="B36:AH36" si="1">SUM(B3:B35)</f>
        <v>540576</v>
      </c>
      <c r="C36" s="69">
        <f t="shared" si="1"/>
        <v>253288.99999999997</v>
      </c>
      <c r="D36" s="69">
        <f t="shared" si="1"/>
        <v>715213.00000000012</v>
      </c>
      <c r="E36" s="69">
        <f t="shared" si="1"/>
        <v>373762</v>
      </c>
      <c r="F36" s="69">
        <f t="shared" si="1"/>
        <v>48234</v>
      </c>
      <c r="G36" s="69">
        <f t="shared" si="1"/>
        <v>656399</v>
      </c>
      <c r="H36" s="69">
        <f t="shared" si="1"/>
        <v>1155196</v>
      </c>
      <c r="I36" s="69">
        <f t="shared" si="1"/>
        <v>913492</v>
      </c>
      <c r="J36" s="69">
        <f t="shared" si="1"/>
        <v>1764470</v>
      </c>
      <c r="K36" s="69">
        <f t="shared" si="1"/>
        <v>1341953</v>
      </c>
      <c r="L36" s="69">
        <f t="shared" si="1"/>
        <v>3272208.0000000005</v>
      </c>
      <c r="M36" s="69">
        <f t="shared" si="1"/>
        <v>554933</v>
      </c>
      <c r="N36" s="69">
        <f t="shared" si="1"/>
        <v>126292</v>
      </c>
      <c r="O36" s="69">
        <f t="shared" si="1"/>
        <v>886298</v>
      </c>
      <c r="P36" s="69">
        <f t="shared" si="1"/>
        <v>692874</v>
      </c>
      <c r="Q36" s="69">
        <f t="shared" si="1"/>
        <v>80980</v>
      </c>
      <c r="R36" s="69">
        <f t="shared" si="1"/>
        <v>943757</v>
      </c>
      <c r="S36" s="69">
        <f t="shared" si="1"/>
        <v>1596907</v>
      </c>
      <c r="T36" s="69">
        <f t="shared" si="1"/>
        <v>1018470</v>
      </c>
      <c r="U36" s="69">
        <f t="shared" si="1"/>
        <v>1739073</v>
      </c>
      <c r="V36" s="69">
        <f t="shared" si="1"/>
        <v>1259476</v>
      </c>
      <c r="W36" s="69">
        <f t="shared" si="1"/>
        <v>3826422</v>
      </c>
      <c r="X36" s="69">
        <f t="shared" si="1"/>
        <v>3215875.8487438499</v>
      </c>
      <c r="Y36" s="69">
        <f t="shared" si="1"/>
        <v>2400887.1512561506</v>
      </c>
      <c r="Z36" s="69">
        <f t="shared" si="1"/>
        <v>69836</v>
      </c>
      <c r="AA36" s="69">
        <f t="shared" si="1"/>
        <v>32284</v>
      </c>
      <c r="AB36" s="69">
        <f t="shared" si="1"/>
        <v>881269</v>
      </c>
      <c r="AC36" s="69">
        <f t="shared" si="1"/>
        <v>1147901</v>
      </c>
      <c r="AD36" s="69">
        <f t="shared" si="1"/>
        <v>7508699.8913599141</v>
      </c>
      <c r="AE36" s="69">
        <f t="shared" si="1"/>
        <v>2900602</v>
      </c>
      <c r="AF36" s="69">
        <f t="shared" si="1"/>
        <v>901161</v>
      </c>
      <c r="AG36" s="69">
        <f t="shared" si="1"/>
        <v>963165</v>
      </c>
      <c r="AH36" s="69">
        <f t="shared" si="1"/>
        <v>4385.9999999999991</v>
      </c>
      <c r="AI36" s="69"/>
    </row>
    <row r="37" spans="1:35" x14ac:dyDescent="0.2">
      <c r="A37" s="62"/>
    </row>
    <row r="38" spans="1:35" x14ac:dyDescent="0.2">
      <c r="A38" s="62"/>
    </row>
    <row r="39" spans="1:35" x14ac:dyDescent="0.2">
      <c r="A39" s="62"/>
    </row>
    <row r="40" spans="1:35" x14ac:dyDescent="0.2">
      <c r="A40" s="62"/>
    </row>
    <row r="41" spans="1:35" x14ac:dyDescent="0.2">
      <c r="A41" s="62"/>
    </row>
    <row r="42" spans="1:35" x14ac:dyDescent="0.2">
      <c r="A42" s="62"/>
    </row>
    <row r="43" spans="1:35" x14ac:dyDescent="0.2">
      <c r="A43" s="62"/>
    </row>
    <row r="44" spans="1:35" x14ac:dyDescent="0.2">
      <c r="A44" s="62"/>
    </row>
    <row r="45" spans="1:35" x14ac:dyDescent="0.2">
      <c r="A45" s="62"/>
    </row>
    <row r="46" spans="1:35" x14ac:dyDescent="0.2">
      <c r="A46" s="62"/>
    </row>
    <row r="47" spans="1:35" x14ac:dyDescent="0.2">
      <c r="A47" s="62"/>
    </row>
    <row r="48" spans="1:35" x14ac:dyDescent="0.2">
      <c r="A48" s="62"/>
    </row>
    <row r="49" spans="1:1" x14ac:dyDescent="0.2">
      <c r="A49" s="62"/>
    </row>
    <row r="50" spans="1:1" x14ac:dyDescent="0.2">
      <c r="A50" s="62"/>
    </row>
    <row r="51" spans="1:1" x14ac:dyDescent="0.2">
      <c r="A51" s="62"/>
    </row>
    <row r="52" spans="1:1" x14ac:dyDescent="0.2">
      <c r="A52" s="62"/>
    </row>
    <row r="53" spans="1:1" x14ac:dyDescent="0.2">
      <c r="A53" s="62"/>
    </row>
    <row r="54" spans="1:1" x14ac:dyDescent="0.2">
      <c r="A54" s="62"/>
    </row>
    <row r="55" spans="1:1" x14ac:dyDescent="0.2">
      <c r="A55" s="62"/>
    </row>
    <row r="56" spans="1:1" x14ac:dyDescent="0.2">
      <c r="A56" s="62"/>
    </row>
    <row r="57" spans="1:1" x14ac:dyDescent="0.2">
      <c r="A57" s="62"/>
    </row>
    <row r="58" spans="1:1" x14ac:dyDescent="0.2">
      <c r="A58" s="62"/>
    </row>
    <row r="59" spans="1:1" x14ac:dyDescent="0.2">
      <c r="A59" s="62"/>
    </row>
    <row r="60" spans="1:1" x14ac:dyDescent="0.2">
      <c r="A60" s="62"/>
    </row>
    <row r="61" spans="1:1" x14ac:dyDescent="0.2">
      <c r="A61" s="62"/>
    </row>
    <row r="62" spans="1:1" x14ac:dyDescent="0.2">
      <c r="A62" s="62"/>
    </row>
    <row r="63" spans="1:1" x14ac:dyDescent="0.2">
      <c r="A63" s="62"/>
    </row>
    <row r="64" spans="1:1" x14ac:dyDescent="0.2">
      <c r="A64" s="62"/>
    </row>
    <row r="65" spans="1:1" x14ac:dyDescent="0.2">
      <c r="A65" s="62"/>
    </row>
    <row r="66" spans="1:1" x14ac:dyDescent="0.2">
      <c r="A66" s="62"/>
    </row>
    <row r="67" spans="1:1" x14ac:dyDescent="0.2">
      <c r="A67" s="62"/>
    </row>
    <row r="68" spans="1:1" x14ac:dyDescent="0.2">
      <c r="A68" s="62"/>
    </row>
    <row r="69" spans="1:1" x14ac:dyDescent="0.2">
      <c r="A69" s="62"/>
    </row>
    <row r="70" spans="1:1" x14ac:dyDescent="0.2">
      <c r="A70" s="62"/>
    </row>
    <row r="71" spans="1:1" x14ac:dyDescent="0.2">
      <c r="A71" s="62"/>
    </row>
    <row r="72" spans="1:1" x14ac:dyDescent="0.2">
      <c r="A72" s="62"/>
    </row>
    <row r="73" spans="1:1" x14ac:dyDescent="0.2">
      <c r="A73" s="62"/>
    </row>
    <row r="74" spans="1:1" x14ac:dyDescent="0.2">
      <c r="A74" s="62"/>
    </row>
    <row r="75" spans="1:1" x14ac:dyDescent="0.2">
      <c r="A75" s="62"/>
    </row>
    <row r="76" spans="1:1" x14ac:dyDescent="0.2">
      <c r="A76" s="62"/>
    </row>
    <row r="77" spans="1:1" x14ac:dyDescent="0.2">
      <c r="A77" s="62"/>
    </row>
    <row r="78" spans="1:1" x14ac:dyDescent="0.2">
      <c r="A78" s="62"/>
    </row>
    <row r="79" spans="1:1" x14ac:dyDescent="0.2">
      <c r="A79" s="62"/>
    </row>
    <row r="80" spans="1:1" x14ac:dyDescent="0.2">
      <c r="A80" s="62"/>
    </row>
    <row r="81" spans="1:1" x14ac:dyDescent="0.2">
      <c r="A81" s="62"/>
    </row>
    <row r="82" spans="1:1" x14ac:dyDescent="0.2">
      <c r="A82" s="62"/>
    </row>
    <row r="83" spans="1:1" x14ac:dyDescent="0.2">
      <c r="A83" s="62"/>
    </row>
    <row r="84" spans="1:1" x14ac:dyDescent="0.2">
      <c r="A84" s="62"/>
    </row>
    <row r="85" spans="1:1" x14ac:dyDescent="0.2">
      <c r="A85" s="62"/>
    </row>
    <row r="86" spans="1:1" x14ac:dyDescent="0.2">
      <c r="A86" s="62"/>
    </row>
    <row r="87" spans="1:1" x14ac:dyDescent="0.2">
      <c r="A87" s="62"/>
    </row>
    <row r="88" spans="1:1" x14ac:dyDescent="0.2">
      <c r="A88" s="62"/>
    </row>
    <row r="89" spans="1:1" x14ac:dyDescent="0.2">
      <c r="A89" s="62"/>
    </row>
    <row r="90" spans="1:1" x14ac:dyDescent="0.2">
      <c r="A90" s="62"/>
    </row>
    <row r="91" spans="1:1" x14ac:dyDescent="0.2">
      <c r="A91" s="62"/>
    </row>
    <row r="92" spans="1:1" x14ac:dyDescent="0.2">
      <c r="A92" s="62"/>
    </row>
    <row r="93" spans="1:1" x14ac:dyDescent="0.2">
      <c r="A93" s="62"/>
    </row>
    <row r="94" spans="1:1" x14ac:dyDescent="0.2">
      <c r="A94" s="62"/>
    </row>
    <row r="95" spans="1:1" x14ac:dyDescent="0.2">
      <c r="A95" s="62"/>
    </row>
    <row r="96" spans="1:1" x14ac:dyDescent="0.2">
      <c r="A96" s="62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6F93-9613-4095-AED5-8A16329311CC}">
  <dimension ref="A1:HV2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"/>
  <cols>
    <col min="1" max="1" width="28.5703125" style="73" customWidth="1"/>
    <col min="2" max="20" width="14.28515625" style="73" customWidth="1"/>
    <col min="21" max="21" width="14.28515625" style="72" customWidth="1"/>
    <col min="22" max="120" width="14.28515625" style="73" customWidth="1"/>
    <col min="121" max="121" width="14.28515625" style="11" customWidth="1"/>
    <col min="122" max="230" width="14.28515625" style="73" customWidth="1"/>
    <col min="231" max="16384" width="11.42578125" style="73"/>
  </cols>
  <sheetData>
    <row r="1" spans="1:230" s="72" customFormat="1" x14ac:dyDescent="0.2">
      <c r="A1" s="10" t="s">
        <v>446</v>
      </c>
      <c r="DQ1" s="11"/>
    </row>
    <row r="2" spans="1:230" x14ac:dyDescent="0.2">
      <c r="B2" s="74" t="s">
        <v>32</v>
      </c>
      <c r="C2" s="74" t="s">
        <v>101</v>
      </c>
      <c r="D2" s="74" t="s">
        <v>102</v>
      </c>
      <c r="E2" s="74" t="s">
        <v>103</v>
      </c>
      <c r="F2" s="74" t="s">
        <v>104</v>
      </c>
      <c r="G2" s="74" t="s">
        <v>105</v>
      </c>
      <c r="H2" s="74" t="s">
        <v>106</v>
      </c>
      <c r="I2" s="74" t="s">
        <v>108</v>
      </c>
      <c r="J2" s="74" t="s">
        <v>109</v>
      </c>
      <c r="K2" s="74" t="s">
        <v>110</v>
      </c>
      <c r="L2" s="74" t="s">
        <v>111</v>
      </c>
      <c r="M2" s="74" t="s">
        <v>112</v>
      </c>
      <c r="N2" s="74" t="s">
        <v>128</v>
      </c>
      <c r="O2" s="74" t="s">
        <v>129</v>
      </c>
      <c r="P2" s="74" t="s">
        <v>130</v>
      </c>
      <c r="Q2" s="74" t="s">
        <v>113</v>
      </c>
      <c r="R2" s="74" t="s">
        <v>114</v>
      </c>
      <c r="S2" s="74" t="s">
        <v>131</v>
      </c>
      <c r="T2" s="74" t="s">
        <v>42</v>
      </c>
      <c r="U2" s="75" t="s">
        <v>107</v>
      </c>
      <c r="V2" s="74" t="s">
        <v>115</v>
      </c>
      <c r="W2" s="74" t="s">
        <v>117</v>
      </c>
      <c r="X2" s="74" t="s">
        <v>132</v>
      </c>
      <c r="Y2" s="74" t="s">
        <v>133</v>
      </c>
      <c r="Z2" s="74" t="s">
        <v>118</v>
      </c>
      <c r="AA2" s="74" t="s">
        <v>119</v>
      </c>
      <c r="AB2" s="74" t="s">
        <v>120</v>
      </c>
      <c r="AC2" s="74" t="s">
        <v>121</v>
      </c>
      <c r="AD2" s="74" t="s">
        <v>134</v>
      </c>
      <c r="AE2" s="74" t="s">
        <v>122</v>
      </c>
      <c r="AF2" s="74" t="s">
        <v>123</v>
      </c>
      <c r="AG2" s="74" t="s">
        <v>124</v>
      </c>
      <c r="AH2" s="74" t="s">
        <v>126</v>
      </c>
      <c r="AI2" s="74" t="s">
        <v>127</v>
      </c>
      <c r="AJ2" s="74" t="s">
        <v>135</v>
      </c>
      <c r="AK2" s="74" t="s">
        <v>43</v>
      </c>
      <c r="AL2" s="74" t="s">
        <v>125</v>
      </c>
      <c r="AM2" s="74" t="s">
        <v>136</v>
      </c>
      <c r="AN2" s="74" t="s">
        <v>137</v>
      </c>
      <c r="AO2" s="74" t="s">
        <v>138</v>
      </c>
      <c r="AP2" s="74" t="s">
        <v>141</v>
      </c>
      <c r="AQ2" s="74" t="s">
        <v>142</v>
      </c>
      <c r="AR2" s="74" t="s">
        <v>143</v>
      </c>
      <c r="AS2" s="74" t="s">
        <v>144</v>
      </c>
      <c r="AT2" s="74" t="s">
        <v>145</v>
      </c>
      <c r="AU2" s="74" t="s">
        <v>146</v>
      </c>
      <c r="AV2" s="74" t="s">
        <v>147</v>
      </c>
      <c r="AW2" s="74" t="s">
        <v>148</v>
      </c>
      <c r="AX2" s="74" t="s">
        <v>149</v>
      </c>
      <c r="AY2" s="74" t="s">
        <v>150</v>
      </c>
      <c r="AZ2" s="74" t="s">
        <v>151</v>
      </c>
      <c r="BA2" s="74" t="s">
        <v>152</v>
      </c>
      <c r="BB2" s="74" t="s">
        <v>153</v>
      </c>
      <c r="BC2" s="74" t="s">
        <v>154</v>
      </c>
      <c r="BD2" s="74" t="s">
        <v>155</v>
      </c>
      <c r="BE2" s="74" t="s">
        <v>156</v>
      </c>
      <c r="BF2" s="74" t="s">
        <v>157</v>
      </c>
      <c r="BG2" s="74" t="s">
        <v>158</v>
      </c>
      <c r="BH2" s="74" t="s">
        <v>159</v>
      </c>
      <c r="BI2" s="74" t="s">
        <v>160</v>
      </c>
      <c r="BJ2" s="74" t="s">
        <v>44</v>
      </c>
      <c r="BK2" s="74" t="s">
        <v>139</v>
      </c>
      <c r="BL2" s="74" t="s">
        <v>161</v>
      </c>
      <c r="BM2" s="74" t="s">
        <v>140</v>
      </c>
      <c r="BN2" s="74" t="s">
        <v>162</v>
      </c>
      <c r="BO2" s="74" t="s">
        <v>163</v>
      </c>
      <c r="BP2" s="74" t="s">
        <v>164</v>
      </c>
      <c r="BQ2" s="74" t="s">
        <v>165</v>
      </c>
      <c r="BR2" s="74" t="s">
        <v>166</v>
      </c>
      <c r="BS2" s="74" t="s">
        <v>167</v>
      </c>
      <c r="BT2" s="74" t="s">
        <v>168</v>
      </c>
      <c r="BU2" s="74" t="s">
        <v>169</v>
      </c>
      <c r="BV2" s="74" t="s">
        <v>170</v>
      </c>
      <c r="BW2" s="74" t="s">
        <v>171</v>
      </c>
      <c r="BX2" s="74" t="s">
        <v>172</v>
      </c>
      <c r="BY2" s="74" t="s">
        <v>173</v>
      </c>
      <c r="BZ2" s="74" t="s">
        <v>174</v>
      </c>
      <c r="CA2" s="74" t="s">
        <v>175</v>
      </c>
      <c r="CB2" s="74" t="s">
        <v>176</v>
      </c>
      <c r="CC2" s="74" t="s">
        <v>177</v>
      </c>
      <c r="CD2" s="74" t="s">
        <v>178</v>
      </c>
      <c r="CE2" s="74" t="s">
        <v>196</v>
      </c>
      <c r="CF2" s="74" t="s">
        <v>179</v>
      </c>
      <c r="CG2" s="74" t="s">
        <v>197</v>
      </c>
      <c r="CH2" s="74" t="s">
        <v>198</v>
      </c>
      <c r="CI2" s="74" t="s">
        <v>199</v>
      </c>
      <c r="CJ2" s="74" t="s">
        <v>200</v>
      </c>
      <c r="CK2" s="74" t="s">
        <v>201</v>
      </c>
      <c r="CL2" s="74" t="s">
        <v>180</v>
      </c>
      <c r="CM2" s="74" t="s">
        <v>181</v>
      </c>
      <c r="CN2" s="74" t="s">
        <v>182</v>
      </c>
      <c r="CO2" s="74" t="s">
        <v>183</v>
      </c>
      <c r="CP2" s="74" t="s">
        <v>184</v>
      </c>
      <c r="CQ2" s="74" t="s">
        <v>185</v>
      </c>
      <c r="CR2" s="74" t="s">
        <v>186</v>
      </c>
      <c r="CS2" s="74" t="s">
        <v>187</v>
      </c>
      <c r="CT2" s="74" t="s">
        <v>188</v>
      </c>
      <c r="CU2" s="74" t="s">
        <v>189</v>
      </c>
      <c r="CV2" s="74" t="s">
        <v>190</v>
      </c>
      <c r="CW2" s="74" t="s">
        <v>191</v>
      </c>
      <c r="CX2" s="74" t="s">
        <v>192</v>
      </c>
      <c r="CY2" s="74" t="s">
        <v>193</v>
      </c>
      <c r="CZ2" s="74" t="s">
        <v>194</v>
      </c>
      <c r="DA2" s="74" t="s">
        <v>195</v>
      </c>
      <c r="DB2" s="74" t="s">
        <v>202</v>
      </c>
      <c r="DC2" s="74" t="s">
        <v>227</v>
      </c>
      <c r="DD2" s="74" t="s">
        <v>231</v>
      </c>
      <c r="DE2" s="74" t="s">
        <v>232</v>
      </c>
      <c r="DF2" s="74" t="s">
        <v>233</v>
      </c>
      <c r="DG2" s="74" t="s">
        <v>210</v>
      </c>
      <c r="DH2" s="74" t="s">
        <v>211</v>
      </c>
      <c r="DI2" s="74" t="s">
        <v>212</v>
      </c>
      <c r="DJ2" s="74" t="s">
        <v>234</v>
      </c>
      <c r="DK2" s="74" t="s">
        <v>203</v>
      </c>
      <c r="DL2" s="74" t="s">
        <v>204</v>
      </c>
      <c r="DM2" s="74" t="s">
        <v>205</v>
      </c>
      <c r="DN2" s="74" t="s">
        <v>206</v>
      </c>
      <c r="DO2" s="74" t="s">
        <v>207</v>
      </c>
      <c r="DP2" s="74" t="s">
        <v>208</v>
      </c>
      <c r="DQ2" s="9" t="s">
        <v>213</v>
      </c>
      <c r="DR2" s="74" t="s">
        <v>214</v>
      </c>
      <c r="DS2" s="74" t="s">
        <v>215</v>
      </c>
      <c r="DT2" s="74" t="s">
        <v>216</v>
      </c>
      <c r="DU2" s="74" t="s">
        <v>217</v>
      </c>
      <c r="DV2" s="74" t="s">
        <v>218</v>
      </c>
      <c r="DW2" s="74" t="s">
        <v>219</v>
      </c>
      <c r="DX2" s="74" t="s">
        <v>228</v>
      </c>
      <c r="DY2" s="74" t="s">
        <v>235</v>
      </c>
      <c r="DZ2" s="74" t="s">
        <v>236</v>
      </c>
      <c r="EA2" s="74" t="s">
        <v>220</v>
      </c>
      <c r="EB2" s="74" t="s">
        <v>221</v>
      </c>
      <c r="EC2" s="74" t="s">
        <v>222</v>
      </c>
      <c r="ED2" s="74" t="s">
        <v>223</v>
      </c>
      <c r="EE2" s="74" t="s">
        <v>229</v>
      </c>
      <c r="EF2" s="74" t="s">
        <v>209</v>
      </c>
      <c r="EG2" s="74" t="s">
        <v>224</v>
      </c>
      <c r="EH2" s="74" t="s">
        <v>225</v>
      </c>
      <c r="EI2" s="74" t="s">
        <v>226</v>
      </c>
      <c r="EJ2" s="74" t="s">
        <v>230</v>
      </c>
      <c r="EK2" s="74" t="s">
        <v>240</v>
      </c>
      <c r="EL2" s="74" t="s">
        <v>241</v>
      </c>
      <c r="EM2" s="74" t="s">
        <v>242</v>
      </c>
      <c r="EN2" s="74" t="s">
        <v>243</v>
      </c>
      <c r="EO2" s="74" t="s">
        <v>244</v>
      </c>
      <c r="EP2" s="74" t="s">
        <v>237</v>
      </c>
      <c r="EQ2" s="74" t="s">
        <v>245</v>
      </c>
      <c r="ER2" s="74" t="s">
        <v>246</v>
      </c>
      <c r="ES2" s="74" t="s">
        <v>247</v>
      </c>
      <c r="ET2" s="74" t="s">
        <v>249</v>
      </c>
      <c r="EU2" s="74" t="s">
        <v>250</v>
      </c>
      <c r="EV2" s="74" t="s">
        <v>116</v>
      </c>
      <c r="EW2" s="74" t="s">
        <v>238</v>
      </c>
      <c r="EX2" s="74" t="s">
        <v>239</v>
      </c>
      <c r="EY2" s="74" t="s">
        <v>47</v>
      </c>
      <c r="EZ2" s="74" t="s">
        <v>248</v>
      </c>
      <c r="FA2" s="74" t="s">
        <v>251</v>
      </c>
      <c r="FB2" s="74" t="s">
        <v>252</v>
      </c>
      <c r="FC2" s="74" t="s">
        <v>253</v>
      </c>
      <c r="FD2" s="74" t="s">
        <v>254</v>
      </c>
      <c r="FE2" s="74" t="s">
        <v>255</v>
      </c>
      <c r="FF2" s="74" t="s">
        <v>256</v>
      </c>
      <c r="FG2" s="74" t="s">
        <v>257</v>
      </c>
      <c r="FH2" s="74" t="s">
        <v>258</v>
      </c>
      <c r="FI2" s="74" t="s">
        <v>259</v>
      </c>
      <c r="FJ2" s="74" t="s">
        <v>260</v>
      </c>
      <c r="FK2" s="74" t="s">
        <v>261</v>
      </c>
      <c r="FL2" s="74" t="s">
        <v>262</v>
      </c>
      <c r="FM2" s="74" t="s">
        <v>263</v>
      </c>
      <c r="FN2" s="74" t="s">
        <v>264</v>
      </c>
      <c r="FO2" s="74" t="s">
        <v>265</v>
      </c>
      <c r="FP2" s="74" t="s">
        <v>266</v>
      </c>
      <c r="FQ2" s="74" t="s">
        <v>267</v>
      </c>
      <c r="FR2" s="74" t="s">
        <v>268</v>
      </c>
      <c r="FS2" s="74" t="s">
        <v>269</v>
      </c>
      <c r="FT2" s="74" t="s">
        <v>270</v>
      </c>
      <c r="FU2" s="74" t="s">
        <v>271</v>
      </c>
      <c r="FV2" s="74" t="s">
        <v>272</v>
      </c>
      <c r="FW2" s="74" t="s">
        <v>273</v>
      </c>
      <c r="FX2" s="74" t="s">
        <v>274</v>
      </c>
      <c r="FY2" s="74" t="s">
        <v>275</v>
      </c>
      <c r="FZ2" s="74" t="s">
        <v>276</v>
      </c>
      <c r="GA2" s="74" t="s">
        <v>277</v>
      </c>
      <c r="GB2" s="74" t="s">
        <v>278</v>
      </c>
      <c r="GC2" s="74" t="s">
        <v>279</v>
      </c>
      <c r="GD2" s="74" t="s">
        <v>280</v>
      </c>
      <c r="GE2" s="74" t="s">
        <v>52</v>
      </c>
      <c r="GF2" s="74" t="s">
        <v>281</v>
      </c>
      <c r="GG2" s="74" t="s">
        <v>282</v>
      </c>
      <c r="GH2" s="74" t="s">
        <v>283</v>
      </c>
      <c r="GI2" s="74" t="s">
        <v>284</v>
      </c>
      <c r="GJ2" s="74" t="s">
        <v>285</v>
      </c>
      <c r="GK2" s="74" t="s">
        <v>286</v>
      </c>
      <c r="GL2" s="74" t="s">
        <v>287</v>
      </c>
      <c r="GM2" s="74" t="s">
        <v>288</v>
      </c>
      <c r="GN2" s="74" t="s">
        <v>289</v>
      </c>
      <c r="GO2" s="74" t="s">
        <v>290</v>
      </c>
      <c r="GP2" s="74" t="s">
        <v>291</v>
      </c>
      <c r="GQ2" s="74" t="s">
        <v>292</v>
      </c>
      <c r="GR2" s="74" t="s">
        <v>293</v>
      </c>
      <c r="GS2" s="74" t="s">
        <v>294</v>
      </c>
      <c r="GT2" s="74" t="s">
        <v>295</v>
      </c>
      <c r="GU2" s="74" t="s">
        <v>296</v>
      </c>
      <c r="GV2" s="74" t="s">
        <v>297</v>
      </c>
      <c r="GW2" s="74" t="s">
        <v>298</v>
      </c>
      <c r="GX2" s="74" t="s">
        <v>299</v>
      </c>
      <c r="GY2" s="74" t="s">
        <v>300</v>
      </c>
      <c r="GZ2" s="74" t="s">
        <v>301</v>
      </c>
      <c r="HA2" s="74" t="s">
        <v>27</v>
      </c>
      <c r="HB2" s="74" t="s">
        <v>303</v>
      </c>
      <c r="HC2" s="74" t="s">
        <v>304</v>
      </c>
      <c r="HD2" s="74" t="s">
        <v>15</v>
      </c>
      <c r="HE2" s="74" t="s">
        <v>21</v>
      </c>
      <c r="HF2" s="74" t="s">
        <v>305</v>
      </c>
      <c r="HG2" s="74" t="s">
        <v>28</v>
      </c>
      <c r="HH2" s="74" t="s">
        <v>306</v>
      </c>
      <c r="HI2" s="74" t="s">
        <v>20</v>
      </c>
      <c r="HJ2" s="74" t="s">
        <v>307</v>
      </c>
      <c r="HK2" s="74" t="s">
        <v>308</v>
      </c>
      <c r="HL2" s="74" t="s">
        <v>17</v>
      </c>
      <c r="HM2" s="74" t="s">
        <v>16</v>
      </c>
      <c r="HN2" s="74" t="s">
        <v>309</v>
      </c>
      <c r="HO2" s="74" t="s">
        <v>310</v>
      </c>
      <c r="HP2" s="74" t="s">
        <v>311</v>
      </c>
      <c r="HQ2" s="74" t="s">
        <v>312</v>
      </c>
      <c r="HR2" s="74" t="s">
        <v>313</v>
      </c>
      <c r="HS2" s="74" t="s">
        <v>314</v>
      </c>
      <c r="HT2" s="74" t="s">
        <v>315</v>
      </c>
      <c r="HU2" s="74" t="s">
        <v>29</v>
      </c>
      <c r="HV2" s="74" t="s">
        <v>0</v>
      </c>
    </row>
    <row r="3" spans="1:230" x14ac:dyDescent="0.2">
      <c r="A3" s="74" t="s">
        <v>32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7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>
        <v>11034</v>
      </c>
      <c r="BS3" s="76">
        <v>28441</v>
      </c>
      <c r="BT3" s="76">
        <v>9737</v>
      </c>
      <c r="BU3" s="76">
        <v>55067</v>
      </c>
      <c r="BV3" s="76">
        <v>124932</v>
      </c>
      <c r="BW3" s="76">
        <v>57953</v>
      </c>
      <c r="BX3" s="76">
        <v>8963</v>
      </c>
      <c r="BY3" s="76">
        <v>18151</v>
      </c>
      <c r="BZ3" s="76">
        <v>25346</v>
      </c>
      <c r="CA3" s="76">
        <v>4866</v>
      </c>
      <c r="CB3" s="76">
        <v>2672</v>
      </c>
      <c r="CC3" s="76">
        <v>536</v>
      </c>
      <c r="CD3" s="76">
        <v>562</v>
      </c>
      <c r="CE3" s="76">
        <v>969</v>
      </c>
      <c r="CF3" s="76">
        <v>433</v>
      </c>
      <c r="CG3" s="76"/>
      <c r="CH3" s="76">
        <v>47</v>
      </c>
      <c r="CI3" s="76"/>
      <c r="CJ3" s="76"/>
      <c r="CK3" s="76"/>
      <c r="CL3" s="76">
        <v>111</v>
      </c>
      <c r="CM3" s="76">
        <v>28</v>
      </c>
      <c r="CN3" s="76"/>
      <c r="CO3" s="76"/>
      <c r="CP3" s="76"/>
      <c r="CQ3" s="76">
        <v>137</v>
      </c>
      <c r="CR3" s="76">
        <v>183</v>
      </c>
      <c r="CS3" s="76">
        <v>70</v>
      </c>
      <c r="CT3" s="76">
        <v>13</v>
      </c>
      <c r="CU3" s="76">
        <v>105</v>
      </c>
      <c r="CV3" s="76">
        <v>577</v>
      </c>
      <c r="CW3" s="76">
        <v>2361</v>
      </c>
      <c r="CX3" s="76"/>
      <c r="CY3" s="76">
        <v>18</v>
      </c>
      <c r="CZ3" s="76">
        <v>202</v>
      </c>
      <c r="DA3" s="76">
        <v>117</v>
      </c>
      <c r="DB3" s="76">
        <v>834</v>
      </c>
      <c r="DC3" s="76"/>
      <c r="DD3" s="76"/>
      <c r="DE3" s="76"/>
      <c r="DF3" s="76"/>
      <c r="DG3" s="76">
        <v>15</v>
      </c>
      <c r="DH3" s="76"/>
      <c r="DI3" s="76"/>
      <c r="DJ3" s="76"/>
      <c r="DK3" s="76"/>
      <c r="DL3" s="76"/>
      <c r="DM3" s="76"/>
      <c r="DN3" s="76"/>
      <c r="DO3" s="76"/>
      <c r="DP3" s="76"/>
      <c r="DQ3" s="68">
        <v>25</v>
      </c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>
        <v>528</v>
      </c>
      <c r="FD3" s="76">
        <v>3</v>
      </c>
      <c r="FE3" s="76">
        <v>1744</v>
      </c>
      <c r="FF3" s="76"/>
      <c r="FG3" s="76"/>
      <c r="FH3" s="76"/>
      <c r="FI3" s="76"/>
      <c r="FJ3" s="76"/>
      <c r="FK3" s="76"/>
      <c r="FL3" s="76"/>
      <c r="FM3" s="76"/>
      <c r="FN3" s="76">
        <v>27</v>
      </c>
      <c r="FO3" s="76"/>
      <c r="FP3" s="76"/>
      <c r="FQ3" s="76"/>
      <c r="FR3" s="76"/>
      <c r="FS3" s="76"/>
      <c r="FT3" s="76"/>
      <c r="FU3" s="76">
        <v>40</v>
      </c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  <c r="HD3" s="76"/>
      <c r="HE3" s="76"/>
      <c r="HF3" s="76"/>
      <c r="HG3" s="76"/>
      <c r="HH3" s="76"/>
      <c r="HI3" s="76"/>
      <c r="HJ3" s="76"/>
      <c r="HK3" s="76"/>
      <c r="HL3" s="76"/>
      <c r="HM3" s="76"/>
      <c r="HN3" s="76"/>
      <c r="HO3" s="76"/>
      <c r="HP3" s="76"/>
      <c r="HQ3" s="76"/>
      <c r="HR3" s="76"/>
      <c r="HS3" s="76"/>
      <c r="HT3" s="76"/>
      <c r="HU3" s="76"/>
      <c r="HV3" s="76">
        <v>356847</v>
      </c>
    </row>
    <row r="4" spans="1:230" x14ac:dyDescent="0.2">
      <c r="A4" s="74" t="s">
        <v>101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7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>
        <v>329</v>
      </c>
      <c r="BS4" s="76">
        <v>1645</v>
      </c>
      <c r="BT4" s="76">
        <v>8</v>
      </c>
      <c r="BU4" s="76">
        <v>291</v>
      </c>
      <c r="BV4" s="76">
        <v>3227</v>
      </c>
      <c r="BW4" s="76">
        <v>2365</v>
      </c>
      <c r="BX4" s="76">
        <v>67</v>
      </c>
      <c r="BY4" s="76">
        <v>760</v>
      </c>
      <c r="BZ4" s="76">
        <v>569</v>
      </c>
      <c r="CA4" s="76">
        <v>66819</v>
      </c>
      <c r="CB4" s="76">
        <v>24512</v>
      </c>
      <c r="CC4" s="76">
        <v>9135</v>
      </c>
      <c r="CD4" s="76">
        <v>28216</v>
      </c>
      <c r="CE4" s="76">
        <v>1237</v>
      </c>
      <c r="CF4" s="76">
        <v>507</v>
      </c>
      <c r="CG4" s="76"/>
      <c r="CH4" s="76">
        <v>204</v>
      </c>
      <c r="CI4" s="76"/>
      <c r="CJ4" s="76"/>
      <c r="CK4" s="76"/>
      <c r="CL4" s="76">
        <v>405</v>
      </c>
      <c r="CM4" s="76">
        <v>49</v>
      </c>
      <c r="CN4" s="76">
        <v>27</v>
      </c>
      <c r="CO4" s="76"/>
      <c r="CP4" s="76"/>
      <c r="CQ4" s="76">
        <v>1294</v>
      </c>
      <c r="CR4" s="76">
        <v>63</v>
      </c>
      <c r="CS4" s="76">
        <v>33</v>
      </c>
      <c r="CT4" s="76">
        <v>3</v>
      </c>
      <c r="CU4" s="76">
        <v>52</v>
      </c>
      <c r="CV4" s="76">
        <v>36</v>
      </c>
      <c r="CW4" s="76">
        <v>861</v>
      </c>
      <c r="CX4" s="76"/>
      <c r="CY4" s="76">
        <v>25</v>
      </c>
      <c r="CZ4" s="76">
        <v>256</v>
      </c>
      <c r="DA4" s="76">
        <v>67</v>
      </c>
      <c r="DB4" s="76">
        <v>326</v>
      </c>
      <c r="DC4" s="76"/>
      <c r="DD4" s="76"/>
      <c r="DE4" s="76"/>
      <c r="DF4" s="76"/>
      <c r="DG4" s="76">
        <v>21</v>
      </c>
      <c r="DH4" s="76"/>
      <c r="DI4" s="76"/>
      <c r="DJ4" s="76"/>
      <c r="DK4" s="76"/>
      <c r="DL4" s="76"/>
      <c r="DM4" s="76"/>
      <c r="DN4" s="76"/>
      <c r="DO4" s="76"/>
      <c r="DP4" s="76"/>
      <c r="DQ4" s="68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>
        <v>907</v>
      </c>
      <c r="FD4" s="76">
        <v>6</v>
      </c>
      <c r="FE4" s="76">
        <v>3129</v>
      </c>
      <c r="FF4" s="76"/>
      <c r="FG4" s="76"/>
      <c r="FH4" s="76"/>
      <c r="FI4" s="76"/>
      <c r="FJ4" s="76"/>
      <c r="FK4" s="76"/>
      <c r="FL4" s="76"/>
      <c r="FM4" s="76"/>
      <c r="FN4" s="76">
        <v>109</v>
      </c>
      <c r="FO4" s="76"/>
      <c r="FP4" s="76"/>
      <c r="FQ4" s="76"/>
      <c r="FR4" s="76"/>
      <c r="FS4" s="76"/>
      <c r="FT4" s="76"/>
      <c r="FU4" s="76">
        <v>23</v>
      </c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  <c r="HD4" s="76"/>
      <c r="HE4" s="76"/>
      <c r="HF4" s="76"/>
      <c r="HG4" s="76"/>
      <c r="HH4" s="76"/>
      <c r="HI4" s="76"/>
      <c r="HJ4" s="76"/>
      <c r="HK4" s="76"/>
      <c r="HL4" s="76"/>
      <c r="HM4" s="76"/>
      <c r="HN4" s="76"/>
      <c r="HO4" s="76"/>
      <c r="HP4" s="76"/>
      <c r="HQ4" s="76"/>
      <c r="HR4" s="76"/>
      <c r="HS4" s="76"/>
      <c r="HT4" s="76"/>
      <c r="HU4" s="76"/>
      <c r="HV4" s="76">
        <v>147583</v>
      </c>
    </row>
    <row r="5" spans="1:230" x14ac:dyDescent="0.2">
      <c r="A5" s="74" t="s">
        <v>102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7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>
        <v>9</v>
      </c>
      <c r="BS5" s="76">
        <v>57</v>
      </c>
      <c r="BT5" s="76"/>
      <c r="BU5" s="76">
        <v>1</v>
      </c>
      <c r="BV5" s="76">
        <v>55</v>
      </c>
      <c r="BW5" s="76">
        <v>132</v>
      </c>
      <c r="BX5" s="76"/>
      <c r="BY5" s="76">
        <v>21</v>
      </c>
      <c r="BZ5" s="76">
        <v>121</v>
      </c>
      <c r="CA5" s="76">
        <v>248</v>
      </c>
      <c r="CB5" s="76">
        <v>74</v>
      </c>
      <c r="CC5" s="76"/>
      <c r="CD5" s="76">
        <v>16</v>
      </c>
      <c r="CE5" s="76">
        <v>21240</v>
      </c>
      <c r="CF5" s="76">
        <v>13359</v>
      </c>
      <c r="CG5" s="76"/>
      <c r="CH5" s="76">
        <v>18</v>
      </c>
      <c r="CI5" s="76"/>
      <c r="CJ5" s="76"/>
      <c r="CK5" s="76"/>
      <c r="CL5" s="76">
        <v>4</v>
      </c>
      <c r="CM5" s="76">
        <v>1</v>
      </c>
      <c r="CN5" s="76"/>
      <c r="CO5" s="76">
        <v>8</v>
      </c>
      <c r="CP5" s="76"/>
      <c r="CQ5" s="76">
        <v>4</v>
      </c>
      <c r="CR5" s="76">
        <v>4</v>
      </c>
      <c r="CS5" s="76">
        <v>35</v>
      </c>
      <c r="CT5" s="76">
        <v>2</v>
      </c>
      <c r="CU5" s="76">
        <v>2</v>
      </c>
      <c r="CV5" s="76">
        <v>8</v>
      </c>
      <c r="CW5" s="76">
        <v>391</v>
      </c>
      <c r="CX5" s="76"/>
      <c r="CY5" s="76">
        <v>3</v>
      </c>
      <c r="CZ5" s="76">
        <v>7</v>
      </c>
      <c r="DA5" s="76">
        <v>1</v>
      </c>
      <c r="DB5" s="76">
        <v>5</v>
      </c>
      <c r="DC5" s="76"/>
      <c r="DD5" s="76"/>
      <c r="DE5" s="76"/>
      <c r="DF5" s="76"/>
      <c r="DG5" s="76">
        <v>4</v>
      </c>
      <c r="DH5" s="76"/>
      <c r="DI5" s="76"/>
      <c r="DJ5" s="76"/>
      <c r="DK5" s="76"/>
      <c r="DL5" s="76"/>
      <c r="DM5" s="76"/>
      <c r="DN5" s="76"/>
      <c r="DO5" s="76"/>
      <c r="DP5" s="76"/>
      <c r="DQ5" s="68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>
        <v>65</v>
      </c>
      <c r="FD5" s="76"/>
      <c r="FE5" s="76">
        <v>231</v>
      </c>
      <c r="FF5" s="76"/>
      <c r="FG5" s="76"/>
      <c r="FH5" s="76"/>
      <c r="FI5" s="76"/>
      <c r="FJ5" s="76"/>
      <c r="FK5" s="76"/>
      <c r="FL5" s="76"/>
      <c r="FM5" s="76"/>
      <c r="FN5" s="76">
        <v>12</v>
      </c>
      <c r="FO5" s="76"/>
      <c r="FP5" s="76"/>
      <c r="FQ5" s="76"/>
      <c r="FR5" s="76"/>
      <c r="FS5" s="76"/>
      <c r="FT5" s="76"/>
      <c r="FU5" s="76">
        <v>8</v>
      </c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>
        <v>36146</v>
      </c>
    </row>
    <row r="6" spans="1:230" x14ac:dyDescent="0.2">
      <c r="A6" s="74" t="s">
        <v>103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7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>
        <v>996</v>
      </c>
      <c r="CH6" s="76">
        <v>16490</v>
      </c>
      <c r="CI6" s="76"/>
      <c r="CJ6" s="76"/>
      <c r="CK6" s="76">
        <v>7</v>
      </c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>
        <v>40</v>
      </c>
      <c r="CY6" s="76">
        <v>106</v>
      </c>
      <c r="CZ6" s="76">
        <v>8</v>
      </c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>
        <v>40</v>
      </c>
      <c r="DQ6" s="68"/>
      <c r="DR6" s="76">
        <v>140</v>
      </c>
      <c r="DS6" s="76">
        <v>18</v>
      </c>
      <c r="DT6" s="76"/>
      <c r="DU6" s="76">
        <v>6</v>
      </c>
      <c r="DV6" s="76"/>
      <c r="DW6" s="76">
        <v>10</v>
      </c>
      <c r="DX6" s="76"/>
      <c r="DY6" s="76"/>
      <c r="DZ6" s="76"/>
      <c r="EA6" s="76"/>
      <c r="EB6" s="76"/>
      <c r="EC6" s="76">
        <v>240</v>
      </c>
      <c r="ED6" s="76">
        <v>88</v>
      </c>
      <c r="EE6" s="76">
        <v>397</v>
      </c>
      <c r="EF6" s="76">
        <v>23</v>
      </c>
      <c r="EG6" s="76"/>
      <c r="EH6" s="76"/>
      <c r="EI6" s="76"/>
      <c r="EJ6" s="76">
        <v>15</v>
      </c>
      <c r="EK6" s="76"/>
      <c r="EL6" s="76"/>
      <c r="EM6" s="76"/>
      <c r="EN6" s="76"/>
      <c r="EO6" s="76"/>
      <c r="EP6" s="76"/>
      <c r="EQ6" s="76"/>
      <c r="ER6" s="76"/>
      <c r="ES6" s="76">
        <v>10</v>
      </c>
      <c r="ET6" s="76"/>
      <c r="EU6" s="76"/>
      <c r="EV6" s="76">
        <v>87</v>
      </c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>
        <v>69</v>
      </c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>
        <v>35</v>
      </c>
      <c r="FV6" s="76"/>
      <c r="FW6" s="76"/>
      <c r="FX6" s="76">
        <v>7</v>
      </c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  <c r="HD6" s="76"/>
      <c r="HE6" s="76"/>
      <c r="HF6" s="76"/>
      <c r="HG6" s="76"/>
      <c r="HH6" s="76"/>
      <c r="HI6" s="76"/>
      <c r="HJ6" s="76"/>
      <c r="HK6" s="76"/>
      <c r="HL6" s="76"/>
      <c r="HM6" s="76"/>
      <c r="HN6" s="76"/>
      <c r="HO6" s="76"/>
      <c r="HP6" s="76"/>
      <c r="HQ6" s="76"/>
      <c r="HR6" s="76"/>
      <c r="HS6" s="76"/>
      <c r="HT6" s="76"/>
      <c r="HU6" s="76"/>
      <c r="HV6" s="76">
        <v>18832</v>
      </c>
    </row>
    <row r="7" spans="1:230" x14ac:dyDescent="0.2">
      <c r="A7" s="74" t="s">
        <v>104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7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>
        <v>62</v>
      </c>
      <c r="CI7" s="76">
        <v>136890</v>
      </c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>
        <v>2022</v>
      </c>
      <c r="DQ7" s="68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>
        <v>22</v>
      </c>
      <c r="EK7" s="76"/>
      <c r="EL7" s="76"/>
      <c r="EM7" s="76"/>
      <c r="EN7" s="76"/>
      <c r="EO7" s="76"/>
      <c r="EP7" s="76"/>
      <c r="EQ7" s="76"/>
      <c r="ER7" s="76">
        <v>211</v>
      </c>
      <c r="ES7" s="76"/>
      <c r="ET7" s="76"/>
      <c r="EU7" s="76"/>
      <c r="EV7" s="76"/>
      <c r="EW7" s="76"/>
      <c r="EX7" s="76"/>
      <c r="EY7" s="76"/>
      <c r="EZ7" s="76">
        <v>28</v>
      </c>
      <c r="FA7" s="76"/>
      <c r="FB7" s="76"/>
      <c r="FC7" s="76"/>
      <c r="FD7" s="76">
        <v>6464</v>
      </c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>
        <v>471</v>
      </c>
      <c r="FV7" s="76"/>
      <c r="FW7" s="76"/>
      <c r="FX7" s="76">
        <v>24</v>
      </c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  <c r="HD7" s="76"/>
      <c r="HE7" s="76"/>
      <c r="HF7" s="76"/>
      <c r="HG7" s="76"/>
      <c r="HH7" s="76"/>
      <c r="HI7" s="76"/>
      <c r="HJ7" s="76"/>
      <c r="HK7" s="76"/>
      <c r="HL7" s="76"/>
      <c r="HM7" s="76"/>
      <c r="HN7" s="76"/>
      <c r="HO7" s="76"/>
      <c r="HP7" s="76"/>
      <c r="HQ7" s="76"/>
      <c r="HR7" s="76"/>
      <c r="HS7" s="76"/>
      <c r="HT7" s="76"/>
      <c r="HU7" s="76"/>
      <c r="HV7" s="76">
        <v>146194</v>
      </c>
    </row>
    <row r="8" spans="1:230" x14ac:dyDescent="0.2">
      <c r="A8" s="74" t="s">
        <v>105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7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>
        <v>71286</v>
      </c>
      <c r="CK8" s="76">
        <v>36</v>
      </c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68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  <c r="EW8" s="76"/>
      <c r="EX8" s="76"/>
      <c r="EY8" s="76"/>
      <c r="EZ8" s="76"/>
      <c r="FA8" s="76"/>
      <c r="FB8" s="76"/>
      <c r="FC8" s="76"/>
      <c r="FD8" s="76"/>
      <c r="FE8" s="76"/>
      <c r="FF8" s="76"/>
      <c r="FG8" s="76">
        <v>7</v>
      </c>
      <c r="FH8" s="76"/>
      <c r="FI8" s="76"/>
      <c r="FJ8" s="76"/>
      <c r="FK8" s="76"/>
      <c r="FL8" s="76"/>
      <c r="FM8" s="76"/>
      <c r="FN8" s="76"/>
      <c r="FO8" s="76"/>
      <c r="FP8" s="76"/>
      <c r="FQ8" s="76"/>
      <c r="FR8" s="76"/>
      <c r="FS8" s="76"/>
      <c r="FT8" s="76"/>
      <c r="FU8" s="76">
        <v>6</v>
      </c>
      <c r="FV8" s="76"/>
      <c r="FW8" s="76"/>
      <c r="FX8" s="76">
        <v>255</v>
      </c>
      <c r="FY8" s="76"/>
      <c r="FZ8" s="76"/>
      <c r="GA8" s="76"/>
      <c r="GB8" s="76"/>
      <c r="GC8" s="76"/>
      <c r="GD8" s="76"/>
      <c r="GE8" s="76"/>
      <c r="GF8" s="76"/>
      <c r="GG8" s="76"/>
      <c r="GH8" s="76"/>
      <c r="GI8" s="76"/>
      <c r="GJ8" s="76"/>
      <c r="GK8" s="76"/>
      <c r="GL8" s="76"/>
      <c r="GM8" s="76"/>
      <c r="GN8" s="76"/>
      <c r="GO8" s="76"/>
      <c r="GP8" s="76"/>
      <c r="GQ8" s="76"/>
      <c r="GR8" s="76"/>
      <c r="GS8" s="76"/>
      <c r="GT8" s="76"/>
      <c r="GU8" s="76"/>
      <c r="GV8" s="76"/>
      <c r="GW8" s="76"/>
      <c r="GX8" s="76"/>
      <c r="GY8" s="76"/>
      <c r="GZ8" s="76"/>
      <c r="HA8" s="76"/>
      <c r="HB8" s="76"/>
      <c r="HC8" s="76"/>
      <c r="HD8" s="76"/>
      <c r="HE8" s="76"/>
      <c r="HF8" s="76"/>
      <c r="HG8" s="76"/>
      <c r="HH8" s="76"/>
      <c r="HI8" s="76"/>
      <c r="HJ8" s="76"/>
      <c r="HK8" s="76"/>
      <c r="HL8" s="76"/>
      <c r="HM8" s="76"/>
      <c r="HN8" s="76"/>
      <c r="HO8" s="76"/>
      <c r="HP8" s="76"/>
      <c r="HQ8" s="76"/>
      <c r="HR8" s="76"/>
      <c r="HS8" s="76"/>
      <c r="HT8" s="76"/>
      <c r="HU8" s="76"/>
      <c r="HV8" s="76">
        <v>71590</v>
      </c>
    </row>
    <row r="9" spans="1:230" x14ac:dyDescent="0.2">
      <c r="A9" s="74" t="s">
        <v>106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7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>
        <v>61</v>
      </c>
      <c r="CI9" s="76"/>
      <c r="CJ9" s="76"/>
      <c r="CK9" s="76">
        <v>15480</v>
      </c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68"/>
      <c r="DR9" s="76">
        <v>20</v>
      </c>
      <c r="DS9" s="76"/>
      <c r="DT9" s="76"/>
      <c r="DU9" s="76"/>
      <c r="DV9" s="76"/>
      <c r="DW9" s="76">
        <v>196</v>
      </c>
      <c r="DX9" s="76"/>
      <c r="DY9" s="76"/>
      <c r="DZ9" s="76"/>
      <c r="EA9" s="76"/>
      <c r="EB9" s="76">
        <v>9</v>
      </c>
      <c r="EC9" s="76"/>
      <c r="ED9" s="76"/>
      <c r="EE9" s="76"/>
      <c r="EF9" s="76">
        <v>118</v>
      </c>
      <c r="EG9" s="76"/>
      <c r="EH9" s="76">
        <v>768</v>
      </c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>
        <v>21</v>
      </c>
      <c r="FY9" s="76"/>
      <c r="FZ9" s="76"/>
      <c r="GA9" s="76"/>
      <c r="GB9" s="76"/>
      <c r="GC9" s="76"/>
      <c r="GD9" s="76"/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  <c r="HN9" s="76"/>
      <c r="HO9" s="76"/>
      <c r="HP9" s="76"/>
      <c r="HQ9" s="76"/>
      <c r="HR9" s="76"/>
      <c r="HS9" s="76"/>
      <c r="HT9" s="76"/>
      <c r="HU9" s="76"/>
      <c r="HV9" s="76">
        <v>16673</v>
      </c>
    </row>
    <row r="10" spans="1:230" x14ac:dyDescent="0.2">
      <c r="A10" s="74" t="s">
        <v>108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7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>
        <v>127209</v>
      </c>
      <c r="CM10" s="76">
        <v>15583</v>
      </c>
      <c r="CN10" s="76">
        <v>52682</v>
      </c>
      <c r="CO10" s="76">
        <v>4447</v>
      </c>
      <c r="CP10" s="76">
        <v>16064</v>
      </c>
      <c r="CQ10" s="76">
        <v>50639</v>
      </c>
      <c r="CR10" s="76"/>
      <c r="CS10" s="76">
        <v>382</v>
      </c>
      <c r="CT10" s="76">
        <v>1103</v>
      </c>
      <c r="CU10" s="76"/>
      <c r="CV10" s="76"/>
      <c r="CW10" s="76"/>
      <c r="CX10" s="76">
        <v>887</v>
      </c>
      <c r="CY10" s="76">
        <v>1598</v>
      </c>
      <c r="CZ10" s="76">
        <v>158</v>
      </c>
      <c r="DA10" s="76"/>
      <c r="DB10" s="76"/>
      <c r="DC10" s="76"/>
      <c r="DD10" s="76"/>
      <c r="DE10" s="76">
        <v>19</v>
      </c>
      <c r="DF10" s="76">
        <v>51</v>
      </c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68"/>
      <c r="DR10" s="76"/>
      <c r="DS10" s="76"/>
      <c r="DT10" s="76">
        <v>6</v>
      </c>
      <c r="DU10" s="76"/>
      <c r="DV10" s="76"/>
      <c r="DW10" s="76">
        <v>123</v>
      </c>
      <c r="DX10" s="76"/>
      <c r="DY10" s="76"/>
      <c r="DZ10" s="76">
        <v>31</v>
      </c>
      <c r="EA10" s="76"/>
      <c r="EB10" s="76">
        <v>33</v>
      </c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>
        <v>1</v>
      </c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>
        <v>886</v>
      </c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  <c r="FU10" s="76">
        <v>59</v>
      </c>
      <c r="FV10" s="76"/>
      <c r="FW10" s="76"/>
      <c r="FX10" s="76">
        <v>381</v>
      </c>
      <c r="FY10" s="76"/>
      <c r="FZ10" s="76"/>
      <c r="GA10" s="76"/>
      <c r="GB10" s="76"/>
      <c r="GC10" s="76"/>
      <c r="GD10" s="76"/>
      <c r="GE10" s="76"/>
      <c r="GF10" s="76"/>
      <c r="GG10" s="76"/>
      <c r="GH10" s="76"/>
      <c r="GI10" s="76"/>
      <c r="GJ10" s="76"/>
      <c r="GK10" s="76"/>
      <c r="GL10" s="76"/>
      <c r="GM10" s="76"/>
      <c r="GN10" s="76"/>
      <c r="GO10" s="76"/>
      <c r="GP10" s="76"/>
      <c r="GQ10" s="76"/>
      <c r="GR10" s="76"/>
      <c r="GS10" s="76"/>
      <c r="GT10" s="76"/>
      <c r="GU10" s="76"/>
      <c r="GV10" s="76"/>
      <c r="GW10" s="76"/>
      <c r="GX10" s="76"/>
      <c r="GY10" s="76"/>
      <c r="GZ10" s="76"/>
      <c r="HA10" s="76"/>
      <c r="HB10" s="76"/>
      <c r="HC10" s="76"/>
      <c r="HD10" s="76"/>
      <c r="HE10" s="76"/>
      <c r="HF10" s="76"/>
      <c r="HG10" s="76"/>
      <c r="HH10" s="76"/>
      <c r="HI10" s="76"/>
      <c r="HJ10" s="76"/>
      <c r="HK10" s="76"/>
      <c r="HL10" s="76"/>
      <c r="HM10" s="76"/>
      <c r="HN10" s="76"/>
      <c r="HO10" s="76"/>
      <c r="HP10" s="76"/>
      <c r="HQ10" s="76"/>
      <c r="HR10" s="76"/>
      <c r="HS10" s="76"/>
      <c r="HT10" s="76"/>
      <c r="HU10" s="76"/>
      <c r="HV10" s="76">
        <v>272342</v>
      </c>
    </row>
    <row r="11" spans="1:230" x14ac:dyDescent="0.2">
      <c r="A11" s="74" t="s">
        <v>109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7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>
        <v>40822</v>
      </c>
      <c r="CS11" s="76"/>
      <c r="CT11" s="76"/>
      <c r="CU11" s="76">
        <v>15</v>
      </c>
      <c r="CV11" s="76">
        <v>100</v>
      </c>
      <c r="CW11" s="76">
        <v>16</v>
      </c>
      <c r="CX11" s="76"/>
      <c r="CY11" s="76">
        <v>38</v>
      </c>
      <c r="CZ11" s="76">
        <v>116</v>
      </c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68">
        <v>19657</v>
      </c>
      <c r="DR11" s="76">
        <v>9</v>
      </c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>
        <v>510</v>
      </c>
      <c r="ET11" s="76"/>
      <c r="EU11" s="76"/>
      <c r="EV11" s="76"/>
      <c r="EW11" s="76"/>
      <c r="EX11" s="76"/>
      <c r="EY11" s="76"/>
      <c r="EZ11" s="76">
        <v>13</v>
      </c>
      <c r="FA11" s="76"/>
      <c r="FB11" s="76"/>
      <c r="FC11" s="76"/>
      <c r="FD11" s="76"/>
      <c r="FE11" s="76"/>
      <c r="FF11" s="76"/>
      <c r="FG11" s="76">
        <v>1208</v>
      </c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6"/>
      <c r="FT11" s="76"/>
      <c r="FU11" s="76">
        <v>115</v>
      </c>
      <c r="FV11" s="76"/>
      <c r="FW11" s="76"/>
      <c r="FX11" s="76">
        <v>40</v>
      </c>
      <c r="FY11" s="76"/>
      <c r="FZ11" s="76"/>
      <c r="GA11" s="76"/>
      <c r="GB11" s="76"/>
      <c r="GC11" s="76"/>
      <c r="GD11" s="76"/>
      <c r="GE11" s="76"/>
      <c r="GF11" s="76"/>
      <c r="GG11" s="76"/>
      <c r="GH11" s="76"/>
      <c r="GI11" s="76"/>
      <c r="GJ11" s="76"/>
      <c r="GK11" s="76"/>
      <c r="GL11" s="76"/>
      <c r="GM11" s="76"/>
      <c r="GN11" s="76"/>
      <c r="GO11" s="76"/>
      <c r="GP11" s="76"/>
      <c r="GQ11" s="76"/>
      <c r="GR11" s="76"/>
      <c r="GS11" s="76"/>
      <c r="GT11" s="76"/>
      <c r="GU11" s="76"/>
      <c r="GV11" s="76"/>
      <c r="GW11" s="76"/>
      <c r="GX11" s="76"/>
      <c r="GY11" s="76"/>
      <c r="GZ11" s="76"/>
      <c r="HA11" s="76"/>
      <c r="HB11" s="76"/>
      <c r="HC11" s="76"/>
      <c r="HD11" s="76"/>
      <c r="HE11" s="76"/>
      <c r="HF11" s="76"/>
      <c r="HG11" s="76"/>
      <c r="HH11" s="76"/>
      <c r="HI11" s="76"/>
      <c r="HJ11" s="76"/>
      <c r="HK11" s="76"/>
      <c r="HL11" s="76"/>
      <c r="HM11" s="76"/>
      <c r="HN11" s="76"/>
      <c r="HO11" s="76"/>
      <c r="HP11" s="76"/>
      <c r="HQ11" s="76"/>
      <c r="HR11" s="76"/>
      <c r="HS11" s="76"/>
      <c r="HT11" s="76"/>
      <c r="HU11" s="76"/>
      <c r="HV11" s="76">
        <v>62659</v>
      </c>
    </row>
    <row r="12" spans="1:230" x14ac:dyDescent="0.2">
      <c r="A12" s="74" t="s">
        <v>110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7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>
        <v>67</v>
      </c>
      <c r="CI12" s="76"/>
      <c r="CJ12" s="76"/>
      <c r="CK12" s="76"/>
      <c r="CL12" s="76">
        <v>1048</v>
      </c>
      <c r="CM12" s="76">
        <v>95</v>
      </c>
      <c r="CN12" s="76">
        <v>1540</v>
      </c>
      <c r="CO12" s="76">
        <v>46</v>
      </c>
      <c r="CP12" s="76">
        <v>15</v>
      </c>
      <c r="CQ12" s="76">
        <v>1130</v>
      </c>
      <c r="CR12" s="76">
        <v>492</v>
      </c>
      <c r="CS12" s="76">
        <v>26799</v>
      </c>
      <c r="CT12" s="76">
        <v>56805</v>
      </c>
      <c r="CU12" s="76">
        <v>13263</v>
      </c>
      <c r="CV12" s="76">
        <v>14348</v>
      </c>
      <c r="CW12" s="76">
        <v>34807</v>
      </c>
      <c r="CX12" s="76">
        <v>31821</v>
      </c>
      <c r="CY12" s="76">
        <v>90013</v>
      </c>
      <c r="CZ12" s="76">
        <v>2323</v>
      </c>
      <c r="DA12" s="76"/>
      <c r="DB12" s="76">
        <v>9</v>
      </c>
      <c r="DC12" s="76"/>
      <c r="DD12" s="76"/>
      <c r="DE12" s="76"/>
      <c r="DF12" s="76">
        <v>30</v>
      </c>
      <c r="DG12" s="76"/>
      <c r="DH12" s="76"/>
      <c r="DI12" s="76"/>
      <c r="DJ12" s="76"/>
      <c r="DK12" s="76"/>
      <c r="DL12" s="76"/>
      <c r="DM12" s="76"/>
      <c r="DN12" s="76"/>
      <c r="DO12" s="76"/>
      <c r="DP12" s="76">
        <v>8</v>
      </c>
      <c r="DQ12" s="68">
        <v>5070</v>
      </c>
      <c r="DR12" s="76">
        <v>31</v>
      </c>
      <c r="DS12" s="76">
        <v>592</v>
      </c>
      <c r="DT12" s="76">
        <v>763</v>
      </c>
      <c r="DU12" s="76">
        <v>14</v>
      </c>
      <c r="DV12" s="76">
        <v>33</v>
      </c>
      <c r="DW12" s="76">
        <v>2009</v>
      </c>
      <c r="DX12" s="76"/>
      <c r="DY12" s="76">
        <v>152</v>
      </c>
      <c r="DZ12" s="76">
        <v>330</v>
      </c>
      <c r="EA12" s="76">
        <v>8</v>
      </c>
      <c r="EB12" s="76">
        <v>36</v>
      </c>
      <c r="EC12" s="76"/>
      <c r="ED12" s="76"/>
      <c r="EE12" s="76"/>
      <c r="EF12" s="76"/>
      <c r="EG12" s="76"/>
      <c r="EH12" s="76"/>
      <c r="EI12" s="76"/>
      <c r="EJ12" s="76">
        <v>37</v>
      </c>
      <c r="EK12" s="76"/>
      <c r="EL12" s="76"/>
      <c r="EM12" s="76"/>
      <c r="EN12" s="76"/>
      <c r="EO12" s="76"/>
      <c r="EP12" s="76"/>
      <c r="EQ12" s="76"/>
      <c r="ER12" s="76"/>
      <c r="ES12" s="76">
        <v>116</v>
      </c>
      <c r="ET12" s="76"/>
      <c r="EU12" s="76"/>
      <c r="EV12" s="76"/>
      <c r="EW12" s="76"/>
      <c r="EX12" s="76"/>
      <c r="EY12" s="76">
        <v>7</v>
      </c>
      <c r="EZ12" s="76"/>
      <c r="FA12" s="76"/>
      <c r="FB12" s="76"/>
      <c r="FC12" s="76"/>
      <c r="FD12" s="76"/>
      <c r="FE12" s="76"/>
      <c r="FF12" s="76"/>
      <c r="FG12" s="76">
        <v>5461</v>
      </c>
      <c r="FH12" s="76"/>
      <c r="FI12" s="76"/>
      <c r="FJ12" s="76"/>
      <c r="FK12" s="76"/>
      <c r="FL12" s="76"/>
      <c r="FM12" s="76"/>
      <c r="FN12" s="76"/>
      <c r="FO12" s="76"/>
      <c r="FP12" s="76"/>
      <c r="FQ12" s="76"/>
      <c r="FR12" s="76"/>
      <c r="FS12" s="76"/>
      <c r="FT12" s="76"/>
      <c r="FU12" s="76">
        <v>824</v>
      </c>
      <c r="FV12" s="76"/>
      <c r="FW12" s="76"/>
      <c r="FX12" s="76">
        <v>245</v>
      </c>
      <c r="FY12" s="76"/>
      <c r="FZ12" s="76"/>
      <c r="GA12" s="76"/>
      <c r="GB12" s="76"/>
      <c r="GC12" s="76"/>
      <c r="GD12" s="76"/>
      <c r="GE12" s="76"/>
      <c r="GF12" s="76"/>
      <c r="GG12" s="76"/>
      <c r="GH12" s="76"/>
      <c r="GI12" s="76"/>
      <c r="GJ12" s="76"/>
      <c r="GK12" s="76"/>
      <c r="GL12" s="76"/>
      <c r="GM12" s="76"/>
      <c r="GN12" s="76"/>
      <c r="GO12" s="76"/>
      <c r="GP12" s="76"/>
      <c r="GQ12" s="76"/>
      <c r="GR12" s="76"/>
      <c r="GS12" s="76"/>
      <c r="GT12" s="76"/>
      <c r="GU12" s="76"/>
      <c r="GV12" s="76"/>
      <c r="GW12" s="76"/>
      <c r="GX12" s="76"/>
      <c r="GY12" s="76"/>
      <c r="GZ12" s="76"/>
      <c r="HA12" s="76"/>
      <c r="HB12" s="76"/>
      <c r="HC12" s="76"/>
      <c r="HD12" s="76"/>
      <c r="HE12" s="76"/>
      <c r="HF12" s="76"/>
      <c r="HG12" s="76"/>
      <c r="HH12" s="76"/>
      <c r="HI12" s="76"/>
      <c r="HJ12" s="76"/>
      <c r="HK12" s="76"/>
      <c r="HL12" s="76"/>
      <c r="HM12" s="76"/>
      <c r="HN12" s="76"/>
      <c r="HO12" s="76"/>
      <c r="HP12" s="76"/>
      <c r="HQ12" s="76"/>
      <c r="HR12" s="76"/>
      <c r="HS12" s="76"/>
      <c r="HT12" s="76"/>
      <c r="HU12" s="76"/>
      <c r="HV12" s="76">
        <v>290387</v>
      </c>
    </row>
    <row r="13" spans="1:230" x14ac:dyDescent="0.2">
      <c r="A13" s="74" t="s">
        <v>111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7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>
        <v>9</v>
      </c>
      <c r="CS13" s="76">
        <v>541</v>
      </c>
      <c r="CT13" s="76"/>
      <c r="CU13" s="76"/>
      <c r="CV13" s="76"/>
      <c r="CW13" s="76">
        <v>69</v>
      </c>
      <c r="CX13" s="76"/>
      <c r="CY13" s="76">
        <v>267</v>
      </c>
      <c r="CZ13" s="76">
        <v>72017</v>
      </c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68">
        <v>108</v>
      </c>
      <c r="DR13" s="76"/>
      <c r="DS13" s="76"/>
      <c r="DT13" s="76"/>
      <c r="DU13" s="76"/>
      <c r="DV13" s="76"/>
      <c r="DW13" s="76">
        <v>38</v>
      </c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>
        <v>221</v>
      </c>
      <c r="EK13" s="76"/>
      <c r="EL13" s="76"/>
      <c r="EM13" s="76"/>
      <c r="EN13" s="76"/>
      <c r="EO13" s="76"/>
      <c r="EP13" s="76"/>
      <c r="EQ13" s="76"/>
      <c r="ER13" s="76"/>
      <c r="ES13" s="76">
        <v>214</v>
      </c>
      <c r="ET13" s="76"/>
      <c r="EU13" s="76"/>
      <c r="EV13" s="76"/>
      <c r="EW13" s="76"/>
      <c r="EX13" s="76"/>
      <c r="EY13" s="76"/>
      <c r="EZ13" s="76"/>
      <c r="FA13" s="76"/>
      <c r="FB13" s="76"/>
      <c r="FC13" s="76"/>
      <c r="FD13" s="76"/>
      <c r="FE13" s="76"/>
      <c r="FF13" s="76"/>
      <c r="FG13" s="76">
        <v>1154</v>
      </c>
      <c r="FH13" s="76"/>
      <c r="FI13" s="76"/>
      <c r="FJ13" s="76"/>
      <c r="FK13" s="76"/>
      <c r="FL13" s="76"/>
      <c r="FM13" s="76"/>
      <c r="FN13" s="76"/>
      <c r="FO13" s="76"/>
      <c r="FP13" s="76"/>
      <c r="FQ13" s="76"/>
      <c r="FR13" s="76"/>
      <c r="FS13" s="76"/>
      <c r="FT13" s="76"/>
      <c r="FU13" s="76">
        <v>228</v>
      </c>
      <c r="FV13" s="76"/>
      <c r="FW13" s="76"/>
      <c r="FX13" s="76">
        <v>6</v>
      </c>
      <c r="FY13" s="76"/>
      <c r="FZ13" s="76"/>
      <c r="GA13" s="76"/>
      <c r="GB13" s="76"/>
      <c r="GC13" s="76"/>
      <c r="GD13" s="76"/>
      <c r="GE13" s="76"/>
      <c r="GF13" s="76"/>
      <c r="GG13" s="76"/>
      <c r="GH13" s="76"/>
      <c r="GI13" s="76"/>
      <c r="GJ13" s="76"/>
      <c r="GK13" s="76"/>
      <c r="GL13" s="76"/>
      <c r="GM13" s="76"/>
      <c r="GN13" s="76"/>
      <c r="GO13" s="76"/>
      <c r="GP13" s="76"/>
      <c r="GQ13" s="76"/>
      <c r="GR13" s="76"/>
      <c r="GS13" s="76"/>
      <c r="GT13" s="76"/>
      <c r="GU13" s="76"/>
      <c r="GV13" s="76"/>
      <c r="GW13" s="76"/>
      <c r="GX13" s="76"/>
      <c r="GY13" s="76"/>
      <c r="GZ13" s="76"/>
      <c r="HA13" s="76"/>
      <c r="HB13" s="76"/>
      <c r="HC13" s="76"/>
      <c r="HD13" s="76"/>
      <c r="HE13" s="76"/>
      <c r="HF13" s="76"/>
      <c r="HG13" s="76"/>
      <c r="HH13" s="76"/>
      <c r="HI13" s="76"/>
      <c r="HJ13" s="76"/>
      <c r="HK13" s="76"/>
      <c r="HL13" s="76"/>
      <c r="HM13" s="76"/>
      <c r="HN13" s="76"/>
      <c r="HO13" s="76"/>
      <c r="HP13" s="76"/>
      <c r="HQ13" s="76"/>
      <c r="HR13" s="76"/>
      <c r="HS13" s="76"/>
      <c r="HT13" s="76"/>
      <c r="HU13" s="76"/>
      <c r="HV13" s="76">
        <v>74872</v>
      </c>
    </row>
    <row r="14" spans="1:230" x14ac:dyDescent="0.2">
      <c r="A14" s="74" t="s">
        <v>112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7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>
        <v>14799</v>
      </c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68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>
        <v>1</v>
      </c>
      <c r="ET14" s="76"/>
      <c r="EU14" s="76"/>
      <c r="EV14" s="76"/>
      <c r="EW14" s="76"/>
      <c r="EX14" s="76"/>
      <c r="EY14" s="76"/>
      <c r="EZ14" s="76"/>
      <c r="FA14" s="76"/>
      <c r="FB14" s="76"/>
      <c r="FC14" s="76"/>
      <c r="FD14" s="76"/>
      <c r="FE14" s="76"/>
      <c r="FF14" s="76"/>
      <c r="FG14" s="76">
        <v>86</v>
      </c>
      <c r="FH14" s="76"/>
      <c r="FI14" s="76"/>
      <c r="FJ14" s="76"/>
      <c r="FK14" s="76"/>
      <c r="FL14" s="76"/>
      <c r="FM14" s="76"/>
      <c r="FN14" s="76"/>
      <c r="FO14" s="76"/>
      <c r="FP14" s="76"/>
      <c r="FQ14" s="76"/>
      <c r="FR14" s="76"/>
      <c r="FS14" s="76"/>
      <c r="FT14" s="76"/>
      <c r="FU14" s="76">
        <v>7</v>
      </c>
      <c r="FV14" s="76"/>
      <c r="FW14" s="76"/>
      <c r="FX14" s="76">
        <v>60</v>
      </c>
      <c r="FY14" s="76"/>
      <c r="FZ14" s="76"/>
      <c r="GA14" s="76"/>
      <c r="GB14" s="76"/>
      <c r="GC14" s="76"/>
      <c r="GD14" s="76"/>
      <c r="GE14" s="76"/>
      <c r="GF14" s="76"/>
      <c r="GG14" s="76"/>
      <c r="GH14" s="76"/>
      <c r="GI14" s="76"/>
      <c r="GJ14" s="76"/>
      <c r="GK14" s="76"/>
      <c r="GL14" s="76"/>
      <c r="GM14" s="76"/>
      <c r="GN14" s="76"/>
      <c r="GO14" s="76"/>
      <c r="GP14" s="76"/>
      <c r="GQ14" s="76"/>
      <c r="GR14" s="76"/>
      <c r="GS14" s="76"/>
      <c r="GT14" s="76"/>
      <c r="GU14" s="76"/>
      <c r="GV14" s="76"/>
      <c r="GW14" s="76"/>
      <c r="GX14" s="76"/>
      <c r="GY14" s="76"/>
      <c r="GZ14" s="76"/>
      <c r="HA14" s="76"/>
      <c r="HB14" s="76"/>
      <c r="HC14" s="76"/>
      <c r="HD14" s="76"/>
      <c r="HE14" s="76"/>
      <c r="HF14" s="76"/>
      <c r="HG14" s="76"/>
      <c r="HH14" s="76"/>
      <c r="HI14" s="76"/>
      <c r="HJ14" s="76"/>
      <c r="HK14" s="76"/>
      <c r="HL14" s="76"/>
      <c r="HM14" s="76"/>
      <c r="HN14" s="76"/>
      <c r="HO14" s="76"/>
      <c r="HP14" s="76"/>
      <c r="HQ14" s="76"/>
      <c r="HR14" s="76"/>
      <c r="HS14" s="76"/>
      <c r="HT14" s="76"/>
      <c r="HU14" s="76"/>
      <c r="HV14" s="76">
        <v>14953</v>
      </c>
    </row>
    <row r="15" spans="1:230" x14ac:dyDescent="0.2">
      <c r="A15" s="74" t="s">
        <v>128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7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>
        <v>6</v>
      </c>
      <c r="CU15" s="76"/>
      <c r="CV15" s="76"/>
      <c r="CW15" s="76"/>
      <c r="CX15" s="76"/>
      <c r="CY15" s="76"/>
      <c r="CZ15" s="76"/>
      <c r="DA15" s="76"/>
      <c r="DB15" s="76">
        <v>8826</v>
      </c>
      <c r="DC15" s="76">
        <v>18151</v>
      </c>
      <c r="DD15" s="76">
        <v>21202</v>
      </c>
      <c r="DE15" s="76">
        <v>485</v>
      </c>
      <c r="DF15" s="76">
        <v>56</v>
      </c>
      <c r="DG15" s="76">
        <v>12</v>
      </c>
      <c r="DH15" s="76"/>
      <c r="DI15" s="76">
        <v>6</v>
      </c>
      <c r="DJ15" s="76">
        <v>14</v>
      </c>
      <c r="DK15" s="76"/>
      <c r="DL15" s="76"/>
      <c r="DM15" s="76"/>
      <c r="DN15" s="76"/>
      <c r="DO15" s="76"/>
      <c r="DP15" s="76"/>
      <c r="DQ15" s="68"/>
      <c r="DR15" s="76">
        <v>9</v>
      </c>
      <c r="DS15" s="76"/>
      <c r="DT15" s="76">
        <v>9</v>
      </c>
      <c r="DU15" s="76">
        <v>477</v>
      </c>
      <c r="DV15" s="76"/>
      <c r="DW15" s="76"/>
      <c r="DX15" s="76"/>
      <c r="DY15" s="76"/>
      <c r="DZ15" s="76"/>
      <c r="EA15" s="76">
        <v>20</v>
      </c>
      <c r="EB15" s="76">
        <v>369</v>
      </c>
      <c r="EC15" s="76"/>
      <c r="ED15" s="76"/>
      <c r="EE15" s="76">
        <v>36</v>
      </c>
      <c r="EF15" s="76"/>
      <c r="EG15" s="76">
        <v>8</v>
      </c>
      <c r="EH15" s="76">
        <v>14</v>
      </c>
      <c r="EI15" s="76"/>
      <c r="EJ15" s="76">
        <v>38</v>
      </c>
      <c r="EK15" s="76"/>
      <c r="EL15" s="76"/>
      <c r="EM15" s="76"/>
      <c r="EN15" s="76"/>
      <c r="EO15" s="76">
        <v>32</v>
      </c>
      <c r="EP15" s="76"/>
      <c r="EQ15" s="76">
        <v>11</v>
      </c>
      <c r="ER15" s="76">
        <v>7</v>
      </c>
      <c r="ES15" s="76">
        <v>5</v>
      </c>
      <c r="ET15" s="76"/>
      <c r="EU15" s="76">
        <v>19</v>
      </c>
      <c r="EV15" s="76">
        <v>218</v>
      </c>
      <c r="EW15" s="76"/>
      <c r="EX15" s="76">
        <v>22</v>
      </c>
      <c r="EY15" s="76">
        <v>272</v>
      </c>
      <c r="EZ15" s="76"/>
      <c r="FA15" s="76"/>
      <c r="FB15" s="76"/>
      <c r="FC15" s="76"/>
      <c r="FD15" s="76"/>
      <c r="FE15" s="76"/>
      <c r="FF15" s="76"/>
      <c r="FG15" s="76">
        <v>129</v>
      </c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  <c r="FU15" s="76">
        <v>346</v>
      </c>
      <c r="FV15" s="76"/>
      <c r="FW15" s="76"/>
      <c r="FX15" s="76">
        <v>31</v>
      </c>
      <c r="FY15" s="76"/>
      <c r="FZ15" s="76"/>
      <c r="GA15" s="76"/>
      <c r="GB15" s="76"/>
      <c r="GC15" s="76"/>
      <c r="GD15" s="76"/>
      <c r="GE15" s="76"/>
      <c r="GF15" s="76"/>
      <c r="GG15" s="76"/>
      <c r="GH15" s="76"/>
      <c r="GI15" s="76"/>
      <c r="GJ15" s="76"/>
      <c r="GK15" s="76"/>
      <c r="GL15" s="76"/>
      <c r="GM15" s="76"/>
      <c r="GN15" s="76"/>
      <c r="GO15" s="76"/>
      <c r="GP15" s="76"/>
      <c r="GQ15" s="76"/>
      <c r="GR15" s="76"/>
      <c r="GS15" s="76"/>
      <c r="GT15" s="76"/>
      <c r="GU15" s="76"/>
      <c r="GV15" s="76"/>
      <c r="GW15" s="76"/>
      <c r="GX15" s="76"/>
      <c r="GY15" s="76"/>
      <c r="GZ15" s="76"/>
      <c r="HA15" s="76"/>
      <c r="HB15" s="76"/>
      <c r="HC15" s="76"/>
      <c r="HD15" s="76"/>
      <c r="HE15" s="76"/>
      <c r="HF15" s="76"/>
      <c r="HG15" s="76"/>
      <c r="HH15" s="76"/>
      <c r="HI15" s="76"/>
      <c r="HJ15" s="76"/>
      <c r="HK15" s="76"/>
      <c r="HL15" s="76"/>
      <c r="HM15" s="76"/>
      <c r="HN15" s="76"/>
      <c r="HO15" s="76"/>
      <c r="HP15" s="76"/>
      <c r="HQ15" s="76"/>
      <c r="HR15" s="76"/>
      <c r="HS15" s="76"/>
      <c r="HT15" s="76"/>
      <c r="HU15" s="76"/>
      <c r="HV15" s="76">
        <v>50830</v>
      </c>
    </row>
    <row r="16" spans="1:230" x14ac:dyDescent="0.2">
      <c r="A16" s="74" t="s">
        <v>129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7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>
        <v>19</v>
      </c>
      <c r="DC16" s="76">
        <v>395</v>
      </c>
      <c r="DD16" s="76">
        <v>229</v>
      </c>
      <c r="DE16" s="76">
        <v>62602</v>
      </c>
      <c r="DF16" s="76">
        <v>324</v>
      </c>
      <c r="DG16" s="76"/>
      <c r="DH16" s="76"/>
      <c r="DI16" s="76">
        <v>10</v>
      </c>
      <c r="DJ16" s="76"/>
      <c r="DK16" s="76"/>
      <c r="DL16" s="76"/>
      <c r="DM16" s="76"/>
      <c r="DN16" s="76"/>
      <c r="DO16" s="76"/>
      <c r="DP16" s="76"/>
      <c r="DQ16" s="68"/>
      <c r="DR16" s="76"/>
      <c r="DS16" s="76"/>
      <c r="DT16" s="76"/>
      <c r="DU16" s="76">
        <v>6</v>
      </c>
      <c r="DV16" s="76"/>
      <c r="DW16" s="76"/>
      <c r="DX16" s="76"/>
      <c r="DY16" s="76"/>
      <c r="DZ16" s="76"/>
      <c r="EA16" s="76">
        <v>7</v>
      </c>
      <c r="EB16" s="76">
        <v>11</v>
      </c>
      <c r="EC16" s="76"/>
      <c r="ED16" s="76"/>
      <c r="EE16" s="76"/>
      <c r="EF16" s="76"/>
      <c r="EG16" s="76"/>
      <c r="EH16" s="76"/>
      <c r="EI16" s="76"/>
      <c r="EJ16" s="76">
        <v>13</v>
      </c>
      <c r="EK16" s="76"/>
      <c r="EL16" s="76"/>
      <c r="EM16" s="76"/>
      <c r="EN16" s="76"/>
      <c r="EO16" s="76"/>
      <c r="EP16" s="76"/>
      <c r="EQ16" s="76"/>
      <c r="ER16" s="76"/>
      <c r="ES16" s="76">
        <v>12</v>
      </c>
      <c r="ET16" s="76"/>
      <c r="EU16" s="76"/>
      <c r="EV16" s="76"/>
      <c r="EW16" s="76"/>
      <c r="EX16" s="76"/>
      <c r="EY16" s="76">
        <v>101</v>
      </c>
      <c r="EZ16" s="76"/>
      <c r="FA16" s="76"/>
      <c r="FB16" s="76"/>
      <c r="FC16" s="76"/>
      <c r="FD16" s="76"/>
      <c r="FE16" s="76"/>
      <c r="FF16" s="76"/>
      <c r="FG16" s="76">
        <v>281</v>
      </c>
      <c r="FH16" s="76"/>
      <c r="FI16" s="76"/>
      <c r="FJ16" s="76"/>
      <c r="FK16" s="76"/>
      <c r="FL16" s="76"/>
      <c r="FM16" s="76"/>
      <c r="FN16" s="76"/>
      <c r="FO16" s="76"/>
      <c r="FP16" s="76"/>
      <c r="FQ16" s="76"/>
      <c r="FR16" s="76"/>
      <c r="FS16" s="76"/>
      <c r="FT16" s="76"/>
      <c r="FU16" s="76">
        <v>85</v>
      </c>
      <c r="FV16" s="76"/>
      <c r="FW16" s="76"/>
      <c r="FX16" s="76">
        <v>69</v>
      </c>
      <c r="FY16" s="76"/>
      <c r="FZ16" s="76"/>
      <c r="GA16" s="76"/>
      <c r="GB16" s="76"/>
      <c r="GC16" s="76"/>
      <c r="GD16" s="76"/>
      <c r="GE16" s="76"/>
      <c r="GF16" s="76"/>
      <c r="GG16" s="76"/>
      <c r="GH16" s="76"/>
      <c r="GI16" s="76"/>
      <c r="GJ16" s="76"/>
      <c r="GK16" s="76"/>
      <c r="GL16" s="76"/>
      <c r="GM16" s="76"/>
      <c r="GN16" s="76"/>
      <c r="GO16" s="76"/>
      <c r="GP16" s="76"/>
      <c r="GQ16" s="76"/>
      <c r="GR16" s="76"/>
      <c r="GS16" s="76"/>
      <c r="GT16" s="76"/>
      <c r="GU16" s="76"/>
      <c r="GV16" s="76"/>
      <c r="GW16" s="76"/>
      <c r="GX16" s="76"/>
      <c r="GY16" s="76"/>
      <c r="GZ16" s="76"/>
      <c r="HA16" s="76"/>
      <c r="HB16" s="76"/>
      <c r="HC16" s="76"/>
      <c r="HD16" s="76"/>
      <c r="HE16" s="76"/>
      <c r="HF16" s="76"/>
      <c r="HG16" s="76"/>
      <c r="HH16" s="76"/>
      <c r="HI16" s="76"/>
      <c r="HJ16" s="76"/>
      <c r="HK16" s="76"/>
      <c r="HL16" s="76"/>
      <c r="HM16" s="76"/>
      <c r="HN16" s="76"/>
      <c r="HO16" s="76"/>
      <c r="HP16" s="76"/>
      <c r="HQ16" s="76"/>
      <c r="HR16" s="76"/>
      <c r="HS16" s="76"/>
      <c r="HT16" s="76"/>
      <c r="HU16" s="76"/>
      <c r="HV16" s="76">
        <v>64164</v>
      </c>
    </row>
    <row r="17" spans="1:230" x14ac:dyDescent="0.2">
      <c r="A17" s="74" t="s">
        <v>130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7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>
        <v>720</v>
      </c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>
        <v>39</v>
      </c>
      <c r="DE17" s="76">
        <v>127</v>
      </c>
      <c r="DF17" s="76">
        <v>42353</v>
      </c>
      <c r="DG17" s="76"/>
      <c r="DH17" s="76"/>
      <c r="DI17" s="76"/>
      <c r="DJ17" s="76">
        <v>16</v>
      </c>
      <c r="DK17" s="76"/>
      <c r="DL17" s="76"/>
      <c r="DM17" s="76"/>
      <c r="DN17" s="76"/>
      <c r="DO17" s="76"/>
      <c r="DP17" s="76"/>
      <c r="DQ17" s="68"/>
      <c r="DR17" s="76"/>
      <c r="DS17" s="76"/>
      <c r="DT17" s="76"/>
      <c r="DU17" s="76">
        <v>16</v>
      </c>
      <c r="DV17" s="76"/>
      <c r="DW17" s="76">
        <v>14</v>
      </c>
      <c r="DX17" s="76"/>
      <c r="DY17" s="76"/>
      <c r="DZ17" s="76"/>
      <c r="EA17" s="76">
        <v>51</v>
      </c>
      <c r="EB17" s="76">
        <v>109</v>
      </c>
      <c r="EC17" s="76"/>
      <c r="ED17" s="76"/>
      <c r="EE17" s="76"/>
      <c r="EF17" s="76"/>
      <c r="EG17" s="76"/>
      <c r="EH17" s="76"/>
      <c r="EI17" s="76"/>
      <c r="EJ17" s="76">
        <v>7</v>
      </c>
      <c r="EK17" s="76"/>
      <c r="EL17" s="76"/>
      <c r="EM17" s="76"/>
      <c r="EN17" s="76"/>
      <c r="EO17" s="76"/>
      <c r="EP17" s="76"/>
      <c r="EQ17" s="76"/>
      <c r="ER17" s="76"/>
      <c r="ES17" s="76">
        <v>3</v>
      </c>
      <c r="ET17" s="76"/>
      <c r="EU17" s="76"/>
      <c r="EV17" s="76">
        <v>20</v>
      </c>
      <c r="EW17" s="76"/>
      <c r="EX17" s="76"/>
      <c r="EY17" s="76">
        <v>16</v>
      </c>
      <c r="EZ17" s="76"/>
      <c r="FA17" s="76"/>
      <c r="FB17" s="76"/>
      <c r="FC17" s="76"/>
      <c r="FD17" s="76"/>
      <c r="FE17" s="76"/>
      <c r="FF17" s="76"/>
      <c r="FG17" s="76">
        <v>25</v>
      </c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  <c r="FU17" s="76">
        <v>18</v>
      </c>
      <c r="FV17" s="76"/>
      <c r="FW17" s="76"/>
      <c r="FX17" s="76">
        <v>289</v>
      </c>
      <c r="FY17" s="76"/>
      <c r="FZ17" s="76"/>
      <c r="GA17" s="76"/>
      <c r="GB17" s="76"/>
      <c r="GC17" s="76"/>
      <c r="GD17" s="76"/>
      <c r="GE17" s="76"/>
      <c r="GF17" s="76"/>
      <c r="GG17" s="76"/>
      <c r="GH17" s="76"/>
      <c r="GI17" s="76"/>
      <c r="GJ17" s="76"/>
      <c r="GK17" s="76"/>
      <c r="GL17" s="76"/>
      <c r="GM17" s="76"/>
      <c r="GN17" s="76"/>
      <c r="GO17" s="76"/>
      <c r="GP17" s="76"/>
      <c r="GQ17" s="76"/>
      <c r="GR17" s="76"/>
      <c r="GS17" s="76"/>
      <c r="GT17" s="76"/>
      <c r="GU17" s="76"/>
      <c r="GV17" s="76"/>
      <c r="GW17" s="76"/>
      <c r="GX17" s="76"/>
      <c r="GY17" s="76"/>
      <c r="GZ17" s="76"/>
      <c r="HA17" s="76"/>
      <c r="HB17" s="76"/>
      <c r="HC17" s="76"/>
      <c r="HD17" s="76"/>
      <c r="HE17" s="76"/>
      <c r="HF17" s="76"/>
      <c r="HG17" s="76"/>
      <c r="HH17" s="76"/>
      <c r="HI17" s="76"/>
      <c r="HJ17" s="76"/>
      <c r="HK17" s="76"/>
      <c r="HL17" s="76"/>
      <c r="HM17" s="76"/>
      <c r="HN17" s="76"/>
      <c r="HO17" s="76"/>
      <c r="HP17" s="76"/>
      <c r="HQ17" s="76"/>
      <c r="HR17" s="76"/>
      <c r="HS17" s="76"/>
      <c r="HT17" s="76"/>
      <c r="HU17" s="76"/>
      <c r="HV17" s="76">
        <v>43823</v>
      </c>
    </row>
    <row r="18" spans="1:230" x14ac:dyDescent="0.2">
      <c r="A18" s="74" t="s">
        <v>113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7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>
        <v>7</v>
      </c>
      <c r="CT18" s="76"/>
      <c r="CU18" s="76"/>
      <c r="CV18" s="76"/>
      <c r="CW18" s="76">
        <v>19</v>
      </c>
      <c r="CX18" s="76"/>
      <c r="CY18" s="76"/>
      <c r="CZ18" s="76"/>
      <c r="DA18" s="76"/>
      <c r="DB18" s="76"/>
      <c r="DC18" s="76"/>
      <c r="DD18" s="76"/>
      <c r="DE18" s="76"/>
      <c r="DF18" s="76"/>
      <c r="DG18" s="76">
        <v>27814</v>
      </c>
      <c r="DH18" s="76">
        <v>9</v>
      </c>
      <c r="DI18" s="76">
        <v>8</v>
      </c>
      <c r="DJ18" s="76"/>
      <c r="DK18" s="76"/>
      <c r="DL18" s="76"/>
      <c r="DM18" s="76"/>
      <c r="DN18" s="76"/>
      <c r="DO18" s="76"/>
      <c r="DP18" s="76"/>
      <c r="DQ18" s="68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>
        <v>19</v>
      </c>
      <c r="EH18" s="76"/>
      <c r="EI18" s="76"/>
      <c r="EJ18" s="76">
        <v>18</v>
      </c>
      <c r="EK18" s="76"/>
      <c r="EL18" s="76"/>
      <c r="EM18" s="76"/>
      <c r="EN18" s="76"/>
      <c r="EO18" s="76"/>
      <c r="EP18" s="76"/>
      <c r="EQ18" s="76"/>
      <c r="ER18" s="76"/>
      <c r="ES18" s="76">
        <v>8</v>
      </c>
      <c r="ET18" s="76"/>
      <c r="EU18" s="76"/>
      <c r="EV18" s="76"/>
      <c r="EW18" s="76"/>
      <c r="EX18" s="76">
        <v>68</v>
      </c>
      <c r="EY18" s="76">
        <v>21</v>
      </c>
      <c r="EZ18" s="76"/>
      <c r="FA18" s="76"/>
      <c r="FB18" s="76"/>
      <c r="FC18" s="76"/>
      <c r="FD18" s="76"/>
      <c r="FE18" s="76"/>
      <c r="FF18" s="76"/>
      <c r="FG18" s="76">
        <v>53</v>
      </c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  <c r="FU18" s="76">
        <v>704</v>
      </c>
      <c r="FV18" s="76"/>
      <c r="FW18" s="76"/>
      <c r="FX18" s="76">
        <v>34</v>
      </c>
      <c r="FY18" s="76"/>
      <c r="FZ18" s="76"/>
      <c r="GA18" s="76"/>
      <c r="GB18" s="76"/>
      <c r="GC18" s="76"/>
      <c r="GD18" s="76"/>
      <c r="GE18" s="76"/>
      <c r="GF18" s="76"/>
      <c r="GG18" s="76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76"/>
      <c r="GX18" s="76"/>
      <c r="GY18" s="76"/>
      <c r="GZ18" s="76"/>
      <c r="HA18" s="76"/>
      <c r="HB18" s="76"/>
      <c r="HC18" s="76"/>
      <c r="HD18" s="76"/>
      <c r="HE18" s="76"/>
      <c r="HF18" s="76"/>
      <c r="HG18" s="76"/>
      <c r="HH18" s="76"/>
      <c r="HI18" s="76"/>
      <c r="HJ18" s="76"/>
      <c r="HK18" s="76"/>
      <c r="HL18" s="76"/>
      <c r="HM18" s="76"/>
      <c r="HN18" s="76"/>
      <c r="HO18" s="76"/>
      <c r="HP18" s="76"/>
      <c r="HQ18" s="76"/>
      <c r="HR18" s="76"/>
      <c r="HS18" s="76"/>
      <c r="HT18" s="76"/>
      <c r="HU18" s="76"/>
      <c r="HV18" s="76">
        <v>28782</v>
      </c>
    </row>
    <row r="19" spans="1:230" x14ac:dyDescent="0.2">
      <c r="A19" s="74" t="s">
        <v>114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7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>
        <v>14</v>
      </c>
      <c r="CX19" s="76"/>
      <c r="CY19" s="76"/>
      <c r="CZ19" s="76"/>
      <c r="DA19" s="76"/>
      <c r="DB19" s="76"/>
      <c r="DC19" s="76"/>
      <c r="DD19" s="76">
        <v>16</v>
      </c>
      <c r="DE19" s="76"/>
      <c r="DF19" s="76">
        <v>23</v>
      </c>
      <c r="DG19" s="76">
        <v>41</v>
      </c>
      <c r="DH19" s="76">
        <v>26918</v>
      </c>
      <c r="DI19" s="76">
        <v>61024</v>
      </c>
      <c r="DJ19" s="76">
        <v>234</v>
      </c>
      <c r="DK19" s="76"/>
      <c r="DL19" s="76"/>
      <c r="DM19" s="76"/>
      <c r="DN19" s="76"/>
      <c r="DO19" s="76"/>
      <c r="DP19" s="76"/>
      <c r="DQ19" s="68"/>
      <c r="DR19" s="76">
        <v>10</v>
      </c>
      <c r="DS19" s="76"/>
      <c r="DT19" s="76"/>
      <c r="DU19" s="76">
        <v>6</v>
      </c>
      <c r="DV19" s="76"/>
      <c r="DW19" s="76">
        <v>12</v>
      </c>
      <c r="DX19" s="76"/>
      <c r="DY19" s="76">
        <v>338</v>
      </c>
      <c r="DZ19" s="76"/>
      <c r="EA19" s="76"/>
      <c r="EB19" s="76">
        <v>345</v>
      </c>
      <c r="EC19" s="76"/>
      <c r="ED19" s="76"/>
      <c r="EE19" s="76"/>
      <c r="EF19" s="76"/>
      <c r="EG19" s="76"/>
      <c r="EH19" s="76">
        <v>31</v>
      </c>
      <c r="EI19" s="76"/>
      <c r="EJ19" s="76">
        <v>18</v>
      </c>
      <c r="EK19" s="76"/>
      <c r="EL19" s="76">
        <v>13</v>
      </c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>
        <v>64</v>
      </c>
      <c r="EZ19" s="76">
        <v>82</v>
      </c>
      <c r="FA19" s="76"/>
      <c r="FB19" s="76"/>
      <c r="FC19" s="76"/>
      <c r="FD19" s="76"/>
      <c r="FE19" s="76"/>
      <c r="FF19" s="76"/>
      <c r="FG19" s="76">
        <v>90</v>
      </c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>
        <v>1605</v>
      </c>
      <c r="FV19" s="76"/>
      <c r="FW19" s="76"/>
      <c r="FX19" s="76">
        <v>241</v>
      </c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  <c r="HN19" s="76"/>
      <c r="HO19" s="76"/>
      <c r="HP19" s="76"/>
      <c r="HQ19" s="76"/>
      <c r="HR19" s="76"/>
      <c r="HS19" s="76"/>
      <c r="HT19" s="76"/>
      <c r="HU19" s="76"/>
      <c r="HV19" s="76">
        <v>91125</v>
      </c>
    </row>
    <row r="20" spans="1:230" x14ac:dyDescent="0.2">
      <c r="A20" s="74" t="s">
        <v>131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7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>
        <v>10</v>
      </c>
      <c r="DE20" s="76"/>
      <c r="DF20" s="76">
        <v>8</v>
      </c>
      <c r="DG20" s="76"/>
      <c r="DH20" s="76"/>
      <c r="DI20" s="76">
        <v>534</v>
      </c>
      <c r="DJ20" s="76">
        <v>16792</v>
      </c>
      <c r="DK20" s="76"/>
      <c r="DL20" s="76"/>
      <c r="DM20" s="76"/>
      <c r="DN20" s="76"/>
      <c r="DO20" s="76"/>
      <c r="DP20" s="76"/>
      <c r="DQ20" s="68"/>
      <c r="DR20" s="76"/>
      <c r="DS20" s="76"/>
      <c r="DT20" s="76"/>
      <c r="DU20" s="76"/>
      <c r="DV20" s="76"/>
      <c r="DW20" s="76"/>
      <c r="DX20" s="76">
        <v>30</v>
      </c>
      <c r="DY20" s="76"/>
      <c r="DZ20" s="76"/>
      <c r="EA20" s="76"/>
      <c r="EB20" s="76">
        <v>32</v>
      </c>
      <c r="EC20" s="76"/>
      <c r="ED20" s="76"/>
      <c r="EE20" s="76"/>
      <c r="EF20" s="76"/>
      <c r="EG20" s="76"/>
      <c r="EH20" s="76"/>
      <c r="EI20" s="76"/>
      <c r="EJ20" s="76"/>
      <c r="EK20" s="76">
        <v>20</v>
      </c>
      <c r="EL20" s="76"/>
      <c r="EM20" s="76"/>
      <c r="EN20" s="76"/>
      <c r="EO20" s="76"/>
      <c r="EP20" s="76"/>
      <c r="EQ20" s="76"/>
      <c r="ER20" s="76"/>
      <c r="ES20" s="76">
        <v>32</v>
      </c>
      <c r="ET20" s="76"/>
      <c r="EU20" s="76"/>
      <c r="EV20" s="76"/>
      <c r="EW20" s="76"/>
      <c r="EX20" s="76"/>
      <c r="EY20" s="76">
        <v>327</v>
      </c>
      <c r="EZ20" s="76"/>
      <c r="FA20" s="76"/>
      <c r="FB20" s="76"/>
      <c r="FC20" s="76"/>
      <c r="FD20" s="76"/>
      <c r="FE20" s="76"/>
      <c r="FF20" s="76"/>
      <c r="FG20" s="76">
        <v>79</v>
      </c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  <c r="FU20" s="76">
        <v>980</v>
      </c>
      <c r="FV20" s="76"/>
      <c r="FW20" s="76"/>
      <c r="FX20" s="76">
        <v>34</v>
      </c>
      <c r="FY20" s="76"/>
      <c r="FZ20" s="76"/>
      <c r="GA20" s="76"/>
      <c r="GB20" s="76"/>
      <c r="GC20" s="76"/>
      <c r="GD20" s="76"/>
      <c r="GE20" s="76"/>
      <c r="GF20" s="76"/>
      <c r="GG20" s="76"/>
      <c r="GH20" s="76"/>
      <c r="GI20" s="76"/>
      <c r="GJ20" s="76"/>
      <c r="GK20" s="76"/>
      <c r="GL20" s="76"/>
      <c r="GM20" s="76"/>
      <c r="GN20" s="76"/>
      <c r="GO20" s="76"/>
      <c r="GP20" s="76"/>
      <c r="GQ20" s="76"/>
      <c r="GR20" s="76"/>
      <c r="GS20" s="76"/>
      <c r="GT20" s="76"/>
      <c r="GU20" s="76"/>
      <c r="GV20" s="76"/>
      <c r="GW20" s="76"/>
      <c r="GX20" s="76"/>
      <c r="GY20" s="76"/>
      <c r="GZ20" s="76"/>
      <c r="HA20" s="76"/>
      <c r="HB20" s="76"/>
      <c r="HC20" s="76"/>
      <c r="HD20" s="76"/>
      <c r="HE20" s="76"/>
      <c r="HF20" s="76"/>
      <c r="HG20" s="76"/>
      <c r="HH20" s="76"/>
      <c r="HI20" s="76"/>
      <c r="HJ20" s="76"/>
      <c r="HK20" s="76"/>
      <c r="HL20" s="76"/>
      <c r="HM20" s="76"/>
      <c r="HN20" s="76"/>
      <c r="HO20" s="76"/>
      <c r="HP20" s="76"/>
      <c r="HQ20" s="76"/>
      <c r="HR20" s="76"/>
      <c r="HS20" s="76"/>
      <c r="HT20" s="76"/>
      <c r="HU20" s="76"/>
      <c r="HV20" s="76">
        <v>18878</v>
      </c>
    </row>
    <row r="21" spans="1:230" x14ac:dyDescent="0.2">
      <c r="A21" s="74" t="s">
        <v>42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7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>
        <v>55</v>
      </c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>
        <v>11105</v>
      </c>
      <c r="DL21" s="76">
        <v>98882</v>
      </c>
      <c r="DM21" s="76">
        <v>5513</v>
      </c>
      <c r="DN21" s="76">
        <v>15405</v>
      </c>
      <c r="DO21" s="76">
        <v>113896</v>
      </c>
      <c r="DP21" s="76">
        <v>128220</v>
      </c>
      <c r="DQ21" s="68"/>
      <c r="DR21" s="76">
        <v>93</v>
      </c>
      <c r="DS21" s="76"/>
      <c r="DT21" s="76">
        <v>47</v>
      </c>
      <c r="DU21" s="76"/>
      <c r="DV21" s="76"/>
      <c r="DW21" s="76">
        <v>245</v>
      </c>
      <c r="DX21" s="76">
        <v>6</v>
      </c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>
        <v>2</v>
      </c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>
        <v>21</v>
      </c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>
        <v>272</v>
      </c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  <c r="HT21" s="76"/>
      <c r="HU21" s="76"/>
      <c r="HV21" s="76">
        <v>373762</v>
      </c>
    </row>
    <row r="22" spans="1:230" s="72" customFormat="1" x14ac:dyDescent="0.2">
      <c r="A22" s="75" t="s">
        <v>107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>
        <v>8269</v>
      </c>
      <c r="CS22" s="77"/>
      <c r="CT22" s="77">
        <v>469</v>
      </c>
      <c r="CU22" s="77"/>
      <c r="CV22" s="77"/>
      <c r="CW22" s="77">
        <v>36</v>
      </c>
      <c r="CX22" s="77"/>
      <c r="CY22" s="77">
        <v>16</v>
      </c>
      <c r="CZ22" s="77">
        <v>168</v>
      </c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77"/>
      <c r="DQ22" s="68">
        <v>38657</v>
      </c>
      <c r="DR22" s="77"/>
      <c r="DS22" s="77"/>
      <c r="DT22" s="77">
        <v>39</v>
      </c>
      <c r="DU22" s="77"/>
      <c r="DV22" s="77"/>
      <c r="DW22" s="77"/>
      <c r="DX22" s="77"/>
      <c r="DY22" s="77">
        <v>96</v>
      </c>
      <c r="DZ22" s="77"/>
      <c r="EA22" s="77"/>
      <c r="EB22" s="77"/>
      <c r="EC22" s="77"/>
      <c r="ED22" s="77"/>
      <c r="EE22" s="77"/>
      <c r="EF22" s="77"/>
      <c r="EG22" s="77"/>
      <c r="EH22" s="77"/>
      <c r="EI22" s="77"/>
      <c r="EJ22" s="77"/>
      <c r="EK22" s="77"/>
      <c r="EL22" s="77"/>
      <c r="EM22" s="77"/>
      <c r="EN22" s="77"/>
      <c r="EO22" s="77"/>
      <c r="EP22" s="77"/>
      <c r="EQ22" s="77"/>
      <c r="ER22" s="77"/>
      <c r="ES22" s="77">
        <v>284</v>
      </c>
      <c r="ET22" s="77"/>
      <c r="EU22" s="77"/>
      <c r="EV22" s="77"/>
      <c r="EW22" s="77"/>
      <c r="EX22" s="77"/>
      <c r="EY22" s="77"/>
      <c r="EZ22" s="77"/>
      <c r="FA22" s="77"/>
      <c r="FB22" s="77"/>
      <c r="FC22" s="77"/>
      <c r="FD22" s="77"/>
      <c r="FE22" s="77"/>
      <c r="FF22" s="77"/>
      <c r="FG22" s="77">
        <v>154</v>
      </c>
      <c r="FH22" s="77"/>
      <c r="FI22" s="77"/>
      <c r="FJ22" s="77"/>
      <c r="FK22" s="77"/>
      <c r="FL22" s="77"/>
      <c r="FM22" s="77"/>
      <c r="FN22" s="77"/>
      <c r="FO22" s="77"/>
      <c r="FP22" s="77"/>
      <c r="FQ22" s="77"/>
      <c r="FR22" s="77"/>
      <c r="FS22" s="77"/>
      <c r="FT22" s="77"/>
      <c r="FU22" s="77">
        <v>46</v>
      </c>
      <c r="FV22" s="77"/>
      <c r="FW22" s="77"/>
      <c r="FX22" s="77"/>
      <c r="FY22" s="77"/>
      <c r="FZ22" s="77"/>
      <c r="GA22" s="77"/>
      <c r="GB22" s="77"/>
      <c r="GC22" s="77"/>
      <c r="GD22" s="77"/>
      <c r="GE22" s="77"/>
      <c r="GF22" s="77"/>
      <c r="GG22" s="77"/>
      <c r="GH22" s="77"/>
      <c r="GI22" s="77"/>
      <c r="GJ22" s="77"/>
      <c r="GK22" s="77"/>
      <c r="GL22" s="77"/>
      <c r="GM22" s="77"/>
      <c r="GN22" s="77"/>
      <c r="GO22" s="77"/>
      <c r="GP22" s="77"/>
      <c r="GQ22" s="77"/>
      <c r="GR22" s="77"/>
      <c r="GS22" s="77"/>
      <c r="GT22" s="77"/>
      <c r="GU22" s="77"/>
      <c r="GV22" s="77"/>
      <c r="GW22" s="77"/>
      <c r="GX22" s="77"/>
      <c r="GY22" s="77"/>
      <c r="GZ22" s="77"/>
      <c r="HA22" s="77"/>
      <c r="HB22" s="77"/>
      <c r="HC22" s="77"/>
      <c r="HD22" s="77"/>
      <c r="HE22" s="77"/>
      <c r="HF22" s="77"/>
      <c r="HG22" s="77"/>
      <c r="HH22" s="77"/>
      <c r="HI22" s="77"/>
      <c r="HJ22" s="77"/>
      <c r="HK22" s="77"/>
      <c r="HL22" s="77"/>
      <c r="HM22" s="77"/>
      <c r="HN22" s="77"/>
      <c r="HO22" s="77"/>
      <c r="HP22" s="77"/>
      <c r="HQ22" s="77"/>
      <c r="HR22" s="77"/>
      <c r="HS22" s="77"/>
      <c r="HT22" s="77"/>
      <c r="HU22" s="77"/>
      <c r="HV22" s="77">
        <v>48234</v>
      </c>
    </row>
    <row r="23" spans="1:230" x14ac:dyDescent="0.2">
      <c r="A23" s="74" t="s">
        <v>115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7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>
        <v>309</v>
      </c>
      <c r="CI23" s="76"/>
      <c r="CJ23" s="76">
        <v>8</v>
      </c>
      <c r="CK23" s="76">
        <v>22</v>
      </c>
      <c r="CL23" s="76">
        <v>79</v>
      </c>
      <c r="CM23" s="76"/>
      <c r="CN23" s="76"/>
      <c r="CO23" s="76"/>
      <c r="CP23" s="76"/>
      <c r="CQ23" s="76"/>
      <c r="CR23" s="76"/>
      <c r="CS23" s="76">
        <v>7</v>
      </c>
      <c r="CT23" s="76">
        <v>115</v>
      </c>
      <c r="CU23" s="76"/>
      <c r="CV23" s="76">
        <v>16</v>
      </c>
      <c r="CW23" s="76">
        <v>58</v>
      </c>
      <c r="CX23" s="76">
        <v>36</v>
      </c>
      <c r="CY23" s="76">
        <v>101</v>
      </c>
      <c r="CZ23" s="76"/>
      <c r="DA23" s="76"/>
      <c r="DB23" s="76">
        <v>19</v>
      </c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>
        <v>2530</v>
      </c>
      <c r="DQ23" s="68">
        <v>36</v>
      </c>
      <c r="DR23" s="76">
        <v>26313</v>
      </c>
      <c r="DS23" s="76">
        <v>40219</v>
      </c>
      <c r="DT23" s="76">
        <v>38826</v>
      </c>
      <c r="DU23" s="76">
        <v>36915</v>
      </c>
      <c r="DV23" s="76">
        <v>160</v>
      </c>
      <c r="DW23" s="76">
        <v>1910</v>
      </c>
      <c r="DX23" s="76">
        <v>275</v>
      </c>
      <c r="DY23" s="76">
        <v>912</v>
      </c>
      <c r="DZ23" s="76">
        <v>97</v>
      </c>
      <c r="EA23" s="76">
        <v>81</v>
      </c>
      <c r="EB23" s="76">
        <v>635</v>
      </c>
      <c r="EC23" s="76"/>
      <c r="ED23" s="76"/>
      <c r="EE23" s="76">
        <v>129</v>
      </c>
      <c r="EF23" s="76">
        <v>44</v>
      </c>
      <c r="EG23" s="76"/>
      <c r="EH23" s="76">
        <v>6</v>
      </c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>
        <v>275</v>
      </c>
      <c r="ET23" s="76"/>
      <c r="EU23" s="76"/>
      <c r="EV23" s="76">
        <v>16</v>
      </c>
      <c r="EW23" s="76">
        <v>7</v>
      </c>
      <c r="EX23" s="76"/>
      <c r="EY23" s="76">
        <v>24</v>
      </c>
      <c r="EZ23" s="76"/>
      <c r="FA23" s="76"/>
      <c r="FB23" s="76"/>
      <c r="FC23" s="76"/>
      <c r="FD23" s="76"/>
      <c r="FE23" s="76"/>
      <c r="FF23" s="76"/>
      <c r="FG23" s="76">
        <v>601</v>
      </c>
      <c r="FH23" s="76"/>
      <c r="FI23" s="76"/>
      <c r="FJ23" s="76"/>
      <c r="FK23" s="76"/>
      <c r="FL23" s="76"/>
      <c r="FM23" s="76"/>
      <c r="FN23" s="76"/>
      <c r="FO23" s="76"/>
      <c r="FP23" s="76"/>
      <c r="FQ23" s="76"/>
      <c r="FR23" s="76"/>
      <c r="FS23" s="76"/>
      <c r="FT23" s="76"/>
      <c r="FU23" s="76">
        <v>2367</v>
      </c>
      <c r="FV23" s="76"/>
      <c r="FW23" s="76"/>
      <c r="FX23" s="76">
        <v>505</v>
      </c>
      <c r="FY23" s="76"/>
      <c r="FZ23" s="76"/>
      <c r="GA23" s="76"/>
      <c r="GB23" s="76"/>
      <c r="GC23" s="76"/>
      <c r="GD23" s="76"/>
      <c r="GE23" s="76"/>
      <c r="GF23" s="76"/>
      <c r="GG23" s="76"/>
      <c r="GH23" s="76"/>
      <c r="GI23" s="76"/>
      <c r="GJ23" s="76"/>
      <c r="GK23" s="76"/>
      <c r="GL23" s="76"/>
      <c r="GM23" s="76"/>
      <c r="GN23" s="76"/>
      <c r="GO23" s="76"/>
      <c r="GP23" s="76"/>
      <c r="GQ23" s="76"/>
      <c r="GR23" s="76"/>
      <c r="GS23" s="76"/>
      <c r="GT23" s="76"/>
      <c r="GU23" s="76"/>
      <c r="GV23" s="76"/>
      <c r="GW23" s="76"/>
      <c r="GX23" s="76"/>
      <c r="GY23" s="76"/>
      <c r="GZ23" s="76"/>
      <c r="HA23" s="76"/>
      <c r="HB23" s="76"/>
      <c r="HC23" s="76"/>
      <c r="HD23" s="76"/>
      <c r="HE23" s="76"/>
      <c r="HF23" s="76"/>
      <c r="HG23" s="76"/>
      <c r="HH23" s="76"/>
      <c r="HI23" s="76"/>
      <c r="HJ23" s="76"/>
      <c r="HK23" s="76"/>
      <c r="HL23" s="76"/>
      <c r="HM23" s="76"/>
      <c r="HN23" s="76"/>
      <c r="HO23" s="76"/>
      <c r="HP23" s="76"/>
      <c r="HQ23" s="76"/>
      <c r="HR23" s="76"/>
      <c r="HS23" s="76"/>
      <c r="HT23" s="76"/>
      <c r="HU23" s="76"/>
      <c r="HV23" s="76">
        <v>153653</v>
      </c>
    </row>
    <row r="24" spans="1:230" x14ac:dyDescent="0.2">
      <c r="A24" s="74" t="s">
        <v>117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7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>
        <v>18</v>
      </c>
      <c r="CI24" s="76"/>
      <c r="CJ24" s="76"/>
      <c r="CK24" s="76"/>
      <c r="CL24" s="76"/>
      <c r="CM24" s="76"/>
      <c r="CN24" s="76"/>
      <c r="CO24" s="76"/>
      <c r="CP24" s="76"/>
      <c r="CQ24" s="76"/>
      <c r="CR24" s="76">
        <v>7</v>
      </c>
      <c r="CS24" s="76">
        <v>38</v>
      </c>
      <c r="CT24" s="76">
        <v>24</v>
      </c>
      <c r="CU24" s="76"/>
      <c r="CV24" s="76"/>
      <c r="CW24" s="76">
        <v>18</v>
      </c>
      <c r="CX24" s="76">
        <v>17</v>
      </c>
      <c r="CY24" s="76">
        <v>391</v>
      </c>
      <c r="CZ24" s="76">
        <v>38</v>
      </c>
      <c r="DA24" s="76"/>
      <c r="DB24" s="76"/>
      <c r="DC24" s="76"/>
      <c r="DD24" s="76">
        <v>26</v>
      </c>
      <c r="DE24" s="76"/>
      <c r="DF24" s="76">
        <v>89</v>
      </c>
      <c r="DG24" s="76">
        <v>10</v>
      </c>
      <c r="DH24" s="76"/>
      <c r="DI24" s="76">
        <v>8</v>
      </c>
      <c r="DJ24" s="76">
        <v>9</v>
      </c>
      <c r="DK24" s="76"/>
      <c r="DL24" s="76"/>
      <c r="DM24" s="76"/>
      <c r="DN24" s="76"/>
      <c r="DO24" s="76"/>
      <c r="DP24" s="76">
        <v>223</v>
      </c>
      <c r="DQ24" s="68">
        <v>42</v>
      </c>
      <c r="DR24" s="76">
        <v>798</v>
      </c>
      <c r="DS24" s="76">
        <v>350</v>
      </c>
      <c r="DT24" s="76">
        <v>1959</v>
      </c>
      <c r="DU24" s="76">
        <v>1505</v>
      </c>
      <c r="DV24" s="76">
        <v>30379</v>
      </c>
      <c r="DW24" s="76">
        <v>22595</v>
      </c>
      <c r="DX24" s="76">
        <v>15678</v>
      </c>
      <c r="DY24" s="76">
        <v>630</v>
      </c>
      <c r="DZ24" s="76">
        <v>270</v>
      </c>
      <c r="EA24" s="76">
        <v>101</v>
      </c>
      <c r="EB24" s="76">
        <v>55</v>
      </c>
      <c r="EC24" s="76">
        <v>10</v>
      </c>
      <c r="ED24" s="76"/>
      <c r="EE24" s="76">
        <v>119</v>
      </c>
      <c r="EF24" s="76">
        <v>119</v>
      </c>
      <c r="EG24" s="76"/>
      <c r="EH24" s="76">
        <v>25</v>
      </c>
      <c r="EI24" s="76"/>
      <c r="EJ24" s="76">
        <v>58</v>
      </c>
      <c r="EK24" s="76"/>
      <c r="EL24" s="76"/>
      <c r="EM24" s="76"/>
      <c r="EN24" s="76"/>
      <c r="EO24" s="76"/>
      <c r="EP24" s="76"/>
      <c r="EQ24" s="76"/>
      <c r="ER24" s="76"/>
      <c r="ES24" s="76">
        <v>76</v>
      </c>
      <c r="ET24" s="76"/>
      <c r="EU24" s="76">
        <v>8</v>
      </c>
      <c r="EV24" s="76">
        <v>38</v>
      </c>
      <c r="EW24" s="76"/>
      <c r="EX24" s="76"/>
      <c r="EY24" s="76">
        <v>49</v>
      </c>
      <c r="EZ24" s="76"/>
      <c r="FA24" s="76"/>
      <c r="FB24" s="76"/>
      <c r="FC24" s="76"/>
      <c r="FD24" s="76"/>
      <c r="FE24" s="76"/>
      <c r="FF24" s="76"/>
      <c r="FG24" s="76">
        <v>523</v>
      </c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  <c r="FU24" s="76">
        <v>1092</v>
      </c>
      <c r="FV24" s="76"/>
      <c r="FW24" s="76"/>
      <c r="FX24" s="76">
        <v>833</v>
      </c>
      <c r="FY24" s="76"/>
      <c r="FZ24" s="76"/>
      <c r="GA24" s="76"/>
      <c r="GB24" s="76"/>
      <c r="GC24" s="76"/>
      <c r="GD24" s="76"/>
      <c r="GE24" s="76"/>
      <c r="GF24" s="76"/>
      <c r="GG24" s="76"/>
      <c r="GH24" s="76"/>
      <c r="GI24" s="76"/>
      <c r="GJ24" s="76"/>
      <c r="GK24" s="76"/>
      <c r="GL24" s="76"/>
      <c r="GM24" s="76"/>
      <c r="GN24" s="76"/>
      <c r="GO24" s="76"/>
      <c r="GP24" s="76"/>
      <c r="GQ24" s="76"/>
      <c r="GR24" s="76"/>
      <c r="GS24" s="76"/>
      <c r="GT24" s="76"/>
      <c r="GU24" s="76"/>
      <c r="GV24" s="76"/>
      <c r="GW24" s="76"/>
      <c r="GX24" s="76"/>
      <c r="GY24" s="76"/>
      <c r="GZ24" s="76"/>
      <c r="HA24" s="76"/>
      <c r="HB24" s="76"/>
      <c r="HC24" s="76"/>
      <c r="HD24" s="76"/>
      <c r="HE24" s="76"/>
      <c r="HF24" s="76"/>
      <c r="HG24" s="76"/>
      <c r="HH24" s="76"/>
      <c r="HI24" s="76"/>
      <c r="HJ24" s="76"/>
      <c r="HK24" s="76"/>
      <c r="HL24" s="76"/>
      <c r="HM24" s="76"/>
      <c r="HN24" s="76"/>
      <c r="HO24" s="76"/>
      <c r="HP24" s="76"/>
      <c r="HQ24" s="76"/>
      <c r="HR24" s="76"/>
      <c r="HS24" s="76"/>
      <c r="HT24" s="76"/>
      <c r="HU24" s="76"/>
      <c r="HV24" s="76">
        <v>78228</v>
      </c>
    </row>
    <row r="25" spans="1:230" x14ac:dyDescent="0.2">
      <c r="A25" s="74" t="s">
        <v>132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7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>
        <v>29</v>
      </c>
      <c r="CM25" s="76"/>
      <c r="CN25" s="76"/>
      <c r="CO25" s="76"/>
      <c r="CP25" s="76"/>
      <c r="CQ25" s="76"/>
      <c r="CR25" s="76"/>
      <c r="CS25" s="76"/>
      <c r="CT25" s="76">
        <v>44</v>
      </c>
      <c r="CU25" s="76"/>
      <c r="CV25" s="76"/>
      <c r="CW25" s="76">
        <v>49</v>
      </c>
      <c r="CX25" s="76"/>
      <c r="CY25" s="76">
        <v>189</v>
      </c>
      <c r="CZ25" s="76"/>
      <c r="DA25" s="76"/>
      <c r="DB25" s="76"/>
      <c r="DC25" s="76"/>
      <c r="DD25" s="76">
        <v>45</v>
      </c>
      <c r="DE25" s="76"/>
      <c r="DF25" s="76"/>
      <c r="DG25" s="76"/>
      <c r="DH25" s="76"/>
      <c r="DI25" s="76">
        <v>292</v>
      </c>
      <c r="DJ25" s="76">
        <v>231</v>
      </c>
      <c r="DK25" s="76"/>
      <c r="DL25" s="76"/>
      <c r="DM25" s="76"/>
      <c r="DN25" s="76"/>
      <c r="DO25" s="76"/>
      <c r="DP25" s="76">
        <v>39</v>
      </c>
      <c r="DQ25" s="68">
        <v>140</v>
      </c>
      <c r="DR25" s="76">
        <v>282</v>
      </c>
      <c r="DS25" s="76"/>
      <c r="DT25" s="76">
        <v>414</v>
      </c>
      <c r="DU25" s="76">
        <v>118</v>
      </c>
      <c r="DV25" s="76">
        <v>856</v>
      </c>
      <c r="DW25" s="76">
        <v>286</v>
      </c>
      <c r="DX25" s="76">
        <v>111</v>
      </c>
      <c r="DY25" s="76">
        <v>40739</v>
      </c>
      <c r="DZ25" s="76">
        <v>78</v>
      </c>
      <c r="EA25" s="76"/>
      <c r="EB25" s="76">
        <v>78</v>
      </c>
      <c r="EC25" s="76"/>
      <c r="ED25" s="76"/>
      <c r="EE25" s="76">
        <v>8</v>
      </c>
      <c r="EF25" s="76"/>
      <c r="EG25" s="76"/>
      <c r="EH25" s="76">
        <v>6</v>
      </c>
      <c r="EI25" s="76"/>
      <c r="EJ25" s="76">
        <v>265</v>
      </c>
      <c r="EK25" s="76"/>
      <c r="EL25" s="76"/>
      <c r="EM25" s="76"/>
      <c r="EN25" s="76"/>
      <c r="EO25" s="76"/>
      <c r="EP25" s="76"/>
      <c r="EQ25" s="76"/>
      <c r="ER25" s="76"/>
      <c r="ES25" s="76">
        <v>62</v>
      </c>
      <c r="ET25" s="76"/>
      <c r="EU25" s="76"/>
      <c r="EV25" s="76"/>
      <c r="EW25" s="76"/>
      <c r="EX25" s="76"/>
      <c r="EY25" s="76">
        <v>617</v>
      </c>
      <c r="EZ25" s="76"/>
      <c r="FA25" s="76"/>
      <c r="FB25" s="76"/>
      <c r="FC25" s="76"/>
      <c r="FD25" s="76"/>
      <c r="FE25" s="76"/>
      <c r="FF25" s="76"/>
      <c r="FG25" s="76">
        <v>189</v>
      </c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  <c r="FU25" s="76">
        <v>55</v>
      </c>
      <c r="FV25" s="76"/>
      <c r="FW25" s="76"/>
      <c r="FX25" s="76">
        <v>338</v>
      </c>
      <c r="FY25" s="76"/>
      <c r="FZ25" s="76"/>
      <c r="GA25" s="76"/>
      <c r="GB25" s="76"/>
      <c r="GC25" s="76"/>
      <c r="GD25" s="76"/>
      <c r="GE25" s="76"/>
      <c r="GF25" s="76"/>
      <c r="GG25" s="76"/>
      <c r="GH25" s="76"/>
      <c r="GI25" s="76"/>
      <c r="GJ25" s="76"/>
      <c r="GK25" s="76"/>
      <c r="GL25" s="76"/>
      <c r="GM25" s="76"/>
      <c r="GN25" s="76"/>
      <c r="GO25" s="76"/>
      <c r="GP25" s="76"/>
      <c r="GQ25" s="76"/>
      <c r="GR25" s="76"/>
      <c r="GS25" s="76"/>
      <c r="GT25" s="76"/>
      <c r="GU25" s="76"/>
      <c r="GV25" s="76"/>
      <c r="GW25" s="76"/>
      <c r="GX25" s="76"/>
      <c r="GY25" s="76"/>
      <c r="GZ25" s="76"/>
      <c r="HA25" s="76"/>
      <c r="HB25" s="76"/>
      <c r="HC25" s="76"/>
      <c r="HD25" s="76"/>
      <c r="HE25" s="76"/>
      <c r="HF25" s="76"/>
      <c r="HG25" s="76"/>
      <c r="HH25" s="76"/>
      <c r="HI25" s="76"/>
      <c r="HJ25" s="76"/>
      <c r="HK25" s="76"/>
      <c r="HL25" s="76"/>
      <c r="HM25" s="76"/>
      <c r="HN25" s="76"/>
      <c r="HO25" s="76"/>
      <c r="HP25" s="76"/>
      <c r="HQ25" s="76"/>
      <c r="HR25" s="76"/>
      <c r="HS25" s="76"/>
      <c r="HT25" s="76"/>
      <c r="HU25" s="76"/>
      <c r="HV25" s="76">
        <v>45560</v>
      </c>
    </row>
    <row r="26" spans="1:230" x14ac:dyDescent="0.2">
      <c r="A26" s="74" t="s">
        <v>133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7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>
        <v>106</v>
      </c>
      <c r="CY26" s="76">
        <v>422</v>
      </c>
      <c r="CZ26" s="76">
        <v>39</v>
      </c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68"/>
      <c r="DR26" s="76">
        <v>33</v>
      </c>
      <c r="DS26" s="76"/>
      <c r="DT26" s="76">
        <v>192</v>
      </c>
      <c r="DU26" s="76">
        <v>16</v>
      </c>
      <c r="DV26" s="76">
        <v>228</v>
      </c>
      <c r="DW26" s="76">
        <v>27</v>
      </c>
      <c r="DX26" s="76"/>
      <c r="DY26" s="76">
        <v>505</v>
      </c>
      <c r="DZ26" s="76">
        <v>59999</v>
      </c>
      <c r="EA26" s="76">
        <v>7</v>
      </c>
      <c r="EB26" s="76">
        <v>18</v>
      </c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>
        <v>1294</v>
      </c>
      <c r="EZ26" s="76"/>
      <c r="FA26" s="76"/>
      <c r="FB26" s="76"/>
      <c r="FC26" s="76"/>
      <c r="FD26" s="76"/>
      <c r="FE26" s="76"/>
      <c r="FF26" s="76"/>
      <c r="FG26" s="76">
        <v>174</v>
      </c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  <c r="FU26" s="76">
        <v>479</v>
      </c>
      <c r="FV26" s="76"/>
      <c r="FW26" s="76"/>
      <c r="FX26" s="76">
        <v>1004</v>
      </c>
      <c r="FY26" s="76"/>
      <c r="FZ26" s="76"/>
      <c r="GA26" s="76"/>
      <c r="GB26" s="76"/>
      <c r="GC26" s="76"/>
      <c r="GD26" s="76"/>
      <c r="GE26" s="76"/>
      <c r="GF26" s="76"/>
      <c r="GG26" s="76"/>
      <c r="GH26" s="76"/>
      <c r="GI26" s="76"/>
      <c r="GJ26" s="76"/>
      <c r="GK26" s="76"/>
      <c r="GL26" s="76"/>
      <c r="GM26" s="76"/>
      <c r="GN26" s="76"/>
      <c r="GO26" s="76"/>
      <c r="GP26" s="76"/>
      <c r="GQ26" s="76"/>
      <c r="GR26" s="76"/>
      <c r="GS26" s="76"/>
      <c r="GT26" s="76"/>
      <c r="GU26" s="76"/>
      <c r="GV26" s="76"/>
      <c r="GW26" s="76"/>
      <c r="GX26" s="76"/>
      <c r="GY26" s="76"/>
      <c r="GZ26" s="76"/>
      <c r="HA26" s="76"/>
      <c r="HB26" s="76"/>
      <c r="HC26" s="76"/>
      <c r="HD26" s="76"/>
      <c r="HE26" s="76"/>
      <c r="HF26" s="76"/>
      <c r="HG26" s="76"/>
      <c r="HH26" s="76"/>
      <c r="HI26" s="76"/>
      <c r="HJ26" s="76"/>
      <c r="HK26" s="76"/>
      <c r="HL26" s="76"/>
      <c r="HM26" s="76"/>
      <c r="HN26" s="76"/>
      <c r="HO26" s="76"/>
      <c r="HP26" s="76"/>
      <c r="HQ26" s="76"/>
      <c r="HR26" s="76"/>
      <c r="HS26" s="76"/>
      <c r="HT26" s="76"/>
      <c r="HU26" s="76"/>
      <c r="HV26" s="76">
        <v>64543</v>
      </c>
    </row>
    <row r="27" spans="1:230" x14ac:dyDescent="0.2">
      <c r="A27" s="74" t="s">
        <v>118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7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>
        <v>195</v>
      </c>
      <c r="DA27" s="76"/>
      <c r="DB27" s="76"/>
      <c r="DC27" s="76">
        <v>216</v>
      </c>
      <c r="DD27" s="76">
        <v>1123</v>
      </c>
      <c r="DE27" s="76"/>
      <c r="DF27" s="76">
        <v>204</v>
      </c>
      <c r="DG27" s="76">
        <v>34</v>
      </c>
      <c r="DH27" s="76"/>
      <c r="DI27" s="76">
        <v>471</v>
      </c>
      <c r="DJ27" s="76">
        <v>93</v>
      </c>
      <c r="DK27" s="76"/>
      <c r="DL27" s="76"/>
      <c r="DM27" s="76"/>
      <c r="DN27" s="76"/>
      <c r="DO27" s="76"/>
      <c r="DP27" s="76"/>
      <c r="DQ27" s="68"/>
      <c r="DR27" s="76">
        <v>28</v>
      </c>
      <c r="DS27" s="76"/>
      <c r="DT27" s="76">
        <v>76</v>
      </c>
      <c r="DU27" s="76">
        <v>558</v>
      </c>
      <c r="DV27" s="76"/>
      <c r="DW27" s="76">
        <v>142</v>
      </c>
      <c r="DX27" s="76"/>
      <c r="DY27" s="76"/>
      <c r="DZ27" s="76">
        <v>18</v>
      </c>
      <c r="EA27" s="76">
        <v>27083</v>
      </c>
      <c r="EB27" s="76">
        <v>69735</v>
      </c>
      <c r="EC27" s="76"/>
      <c r="ED27" s="76">
        <v>28</v>
      </c>
      <c r="EE27" s="76">
        <v>121</v>
      </c>
      <c r="EF27" s="76"/>
      <c r="EG27" s="76">
        <v>50</v>
      </c>
      <c r="EH27" s="76">
        <v>129</v>
      </c>
      <c r="EI27" s="76">
        <v>28</v>
      </c>
      <c r="EJ27" s="76">
        <v>430</v>
      </c>
      <c r="EK27" s="76"/>
      <c r="EL27" s="76"/>
      <c r="EM27" s="76">
        <v>125</v>
      </c>
      <c r="EN27" s="76">
        <v>12</v>
      </c>
      <c r="EO27" s="76">
        <v>150</v>
      </c>
      <c r="EP27" s="76">
        <v>274</v>
      </c>
      <c r="EQ27" s="76">
        <v>120</v>
      </c>
      <c r="ER27" s="76">
        <v>7</v>
      </c>
      <c r="ES27" s="76">
        <v>1041</v>
      </c>
      <c r="ET27" s="76"/>
      <c r="EU27" s="76">
        <v>170</v>
      </c>
      <c r="EV27" s="76">
        <v>990</v>
      </c>
      <c r="EW27" s="76">
        <v>109</v>
      </c>
      <c r="EX27" s="76">
        <v>230</v>
      </c>
      <c r="EY27" s="76">
        <v>609</v>
      </c>
      <c r="EZ27" s="76"/>
      <c r="FA27" s="76"/>
      <c r="FB27" s="76"/>
      <c r="FC27" s="76"/>
      <c r="FD27" s="76"/>
      <c r="FE27" s="76"/>
      <c r="FF27" s="76"/>
      <c r="FG27" s="76">
        <v>416</v>
      </c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  <c r="FU27" s="76">
        <v>1834</v>
      </c>
      <c r="FV27" s="76"/>
      <c r="FW27" s="76"/>
      <c r="FX27" s="76">
        <v>287</v>
      </c>
      <c r="FY27" s="76"/>
      <c r="FZ27" s="76"/>
      <c r="GA27" s="76"/>
      <c r="GB27" s="76"/>
      <c r="GC27" s="76"/>
      <c r="GD27" s="76"/>
      <c r="GE27" s="76"/>
      <c r="GF27" s="76"/>
      <c r="GG27" s="76"/>
      <c r="GH27" s="76"/>
      <c r="GI27" s="76"/>
      <c r="GJ27" s="76"/>
      <c r="GK27" s="76"/>
      <c r="GL27" s="76"/>
      <c r="GM27" s="76"/>
      <c r="GN27" s="76"/>
      <c r="GO27" s="76"/>
      <c r="GP27" s="76"/>
      <c r="GQ27" s="76"/>
      <c r="GR27" s="76"/>
      <c r="GS27" s="76"/>
      <c r="GT27" s="76"/>
      <c r="GU27" s="76"/>
      <c r="GV27" s="76"/>
      <c r="GW27" s="76"/>
      <c r="GX27" s="76"/>
      <c r="GY27" s="76"/>
      <c r="GZ27" s="76"/>
      <c r="HA27" s="76"/>
      <c r="HB27" s="76"/>
      <c r="HC27" s="76"/>
      <c r="HD27" s="76"/>
      <c r="HE27" s="76"/>
      <c r="HF27" s="76"/>
      <c r="HG27" s="76"/>
      <c r="HH27" s="76"/>
      <c r="HI27" s="76"/>
      <c r="HJ27" s="76"/>
      <c r="HK27" s="76"/>
      <c r="HL27" s="76"/>
      <c r="HM27" s="76"/>
      <c r="HN27" s="76"/>
      <c r="HO27" s="76"/>
      <c r="HP27" s="76"/>
      <c r="HQ27" s="76"/>
      <c r="HR27" s="76"/>
      <c r="HS27" s="76"/>
      <c r="HT27" s="76"/>
      <c r="HU27" s="76"/>
      <c r="HV27" s="76">
        <v>107136</v>
      </c>
    </row>
    <row r="28" spans="1:230" x14ac:dyDescent="0.2">
      <c r="A28" s="74" t="s">
        <v>119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7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>
        <v>920</v>
      </c>
      <c r="CI28" s="76"/>
      <c r="CJ28" s="76">
        <v>6</v>
      </c>
      <c r="CK28" s="76">
        <v>12</v>
      </c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>
        <v>16</v>
      </c>
      <c r="DD28" s="76">
        <v>67</v>
      </c>
      <c r="DE28" s="76"/>
      <c r="DF28" s="76"/>
      <c r="DG28" s="76"/>
      <c r="DH28" s="76"/>
      <c r="DI28" s="76">
        <v>69</v>
      </c>
      <c r="DJ28" s="76"/>
      <c r="DK28" s="76"/>
      <c r="DL28" s="76"/>
      <c r="DM28" s="76"/>
      <c r="DN28" s="76"/>
      <c r="DO28" s="76"/>
      <c r="DP28" s="76">
        <v>27</v>
      </c>
      <c r="DQ28" s="68"/>
      <c r="DR28" s="76">
        <v>193</v>
      </c>
      <c r="DS28" s="76">
        <v>9</v>
      </c>
      <c r="DT28" s="76">
        <v>50</v>
      </c>
      <c r="DU28" s="76">
        <v>37</v>
      </c>
      <c r="DV28" s="76"/>
      <c r="DW28" s="76">
        <v>379</v>
      </c>
      <c r="DX28" s="76">
        <v>279</v>
      </c>
      <c r="DY28" s="76">
        <v>18</v>
      </c>
      <c r="DZ28" s="76">
        <v>222</v>
      </c>
      <c r="EA28" s="76"/>
      <c r="EB28" s="76">
        <v>272</v>
      </c>
      <c r="EC28" s="76">
        <v>10759</v>
      </c>
      <c r="ED28" s="76">
        <v>18163</v>
      </c>
      <c r="EE28" s="76">
        <v>42980</v>
      </c>
      <c r="EF28" s="76"/>
      <c r="EG28" s="76">
        <v>26</v>
      </c>
      <c r="EH28" s="76">
        <v>16</v>
      </c>
      <c r="EI28" s="76"/>
      <c r="EJ28" s="76">
        <v>65</v>
      </c>
      <c r="EK28" s="76"/>
      <c r="EL28" s="76"/>
      <c r="EM28" s="76"/>
      <c r="EN28" s="76">
        <v>35</v>
      </c>
      <c r="EO28" s="76">
        <v>56</v>
      </c>
      <c r="EP28" s="76">
        <v>39</v>
      </c>
      <c r="EQ28" s="76">
        <v>45</v>
      </c>
      <c r="ER28" s="76"/>
      <c r="ES28" s="76">
        <v>108</v>
      </c>
      <c r="ET28" s="76"/>
      <c r="EU28" s="76">
        <v>99</v>
      </c>
      <c r="EV28" s="76">
        <v>244</v>
      </c>
      <c r="EW28" s="76"/>
      <c r="EX28" s="76">
        <v>8</v>
      </c>
      <c r="EY28" s="76">
        <v>100</v>
      </c>
      <c r="EZ28" s="76"/>
      <c r="FA28" s="76"/>
      <c r="FB28" s="76"/>
      <c r="FC28" s="76"/>
      <c r="FD28" s="76"/>
      <c r="FE28" s="76"/>
      <c r="FF28" s="76"/>
      <c r="FG28" s="76">
        <v>406</v>
      </c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>
        <v>1100</v>
      </c>
      <c r="FV28" s="76"/>
      <c r="FW28" s="76"/>
      <c r="FX28" s="76">
        <v>172</v>
      </c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  <c r="HN28" s="76"/>
      <c r="HO28" s="76"/>
      <c r="HP28" s="76"/>
      <c r="HQ28" s="76"/>
      <c r="HR28" s="76"/>
      <c r="HS28" s="76"/>
      <c r="HT28" s="76"/>
      <c r="HU28" s="76"/>
      <c r="HV28" s="76">
        <v>76997</v>
      </c>
    </row>
    <row r="29" spans="1:230" x14ac:dyDescent="0.2">
      <c r="A29" s="74" t="s">
        <v>120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7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>
        <v>235</v>
      </c>
      <c r="CK29" s="76">
        <v>240</v>
      </c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>
        <v>35</v>
      </c>
      <c r="DQ29" s="68"/>
      <c r="DR29" s="76">
        <v>64</v>
      </c>
      <c r="DS29" s="76"/>
      <c r="DT29" s="76">
        <v>50</v>
      </c>
      <c r="DU29" s="76">
        <v>180</v>
      </c>
      <c r="DV29" s="76"/>
      <c r="DW29" s="76">
        <v>123</v>
      </c>
      <c r="DX29" s="76"/>
      <c r="DY29" s="76"/>
      <c r="DZ29" s="76"/>
      <c r="EA29" s="76"/>
      <c r="EB29" s="76">
        <v>95</v>
      </c>
      <c r="EC29" s="76">
        <v>370</v>
      </c>
      <c r="ED29" s="76"/>
      <c r="EE29" s="76"/>
      <c r="EF29" s="76">
        <v>13578</v>
      </c>
      <c r="EG29" s="76">
        <v>90231</v>
      </c>
      <c r="EH29" s="76">
        <v>318</v>
      </c>
      <c r="EI29" s="76"/>
      <c r="EJ29" s="76">
        <v>2728</v>
      </c>
      <c r="EK29" s="76"/>
      <c r="EL29" s="76"/>
      <c r="EM29" s="76"/>
      <c r="EN29" s="76"/>
      <c r="EO29" s="76">
        <v>12</v>
      </c>
      <c r="EP29" s="76"/>
      <c r="EQ29" s="76"/>
      <c r="ER29" s="76">
        <v>129</v>
      </c>
      <c r="ES29" s="76">
        <v>396</v>
      </c>
      <c r="ET29" s="76"/>
      <c r="EU29" s="76"/>
      <c r="EV29" s="76">
        <v>49</v>
      </c>
      <c r="EW29" s="76">
        <v>13</v>
      </c>
      <c r="EX29" s="76">
        <v>6</v>
      </c>
      <c r="EY29" s="76"/>
      <c r="EZ29" s="76"/>
      <c r="FA29" s="76"/>
      <c r="FB29" s="76"/>
      <c r="FC29" s="76"/>
      <c r="FD29" s="76"/>
      <c r="FE29" s="76"/>
      <c r="FF29" s="76"/>
      <c r="FG29" s="76">
        <v>61</v>
      </c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  <c r="FU29" s="76">
        <v>1999</v>
      </c>
      <c r="FV29" s="76"/>
      <c r="FW29" s="76"/>
      <c r="FX29" s="76">
        <v>276</v>
      </c>
      <c r="FY29" s="76"/>
      <c r="FZ29" s="76"/>
      <c r="GA29" s="76"/>
      <c r="GB29" s="76"/>
      <c r="GC29" s="76"/>
      <c r="GD29" s="76"/>
      <c r="GE29" s="76"/>
      <c r="GF29" s="76"/>
      <c r="GG29" s="76"/>
      <c r="GH29" s="76"/>
      <c r="GI29" s="76"/>
      <c r="GJ29" s="76"/>
      <c r="GK29" s="76"/>
      <c r="GL29" s="76"/>
      <c r="GM29" s="76"/>
      <c r="GN29" s="76"/>
      <c r="GO29" s="76"/>
      <c r="GP29" s="76"/>
      <c r="GQ29" s="76"/>
      <c r="GR29" s="76"/>
      <c r="GS29" s="76"/>
      <c r="GT29" s="76"/>
      <c r="GU29" s="76"/>
      <c r="GV29" s="76"/>
      <c r="GW29" s="76"/>
      <c r="GX29" s="76"/>
      <c r="GY29" s="76"/>
      <c r="GZ29" s="76"/>
      <c r="HA29" s="76"/>
      <c r="HB29" s="76"/>
      <c r="HC29" s="76"/>
      <c r="HD29" s="76"/>
      <c r="HE29" s="76"/>
      <c r="HF29" s="76"/>
      <c r="HG29" s="76"/>
      <c r="HH29" s="76"/>
      <c r="HI29" s="76"/>
      <c r="HJ29" s="76"/>
      <c r="HK29" s="76"/>
      <c r="HL29" s="76"/>
      <c r="HM29" s="76"/>
      <c r="HN29" s="76"/>
      <c r="HO29" s="76"/>
      <c r="HP29" s="76"/>
      <c r="HQ29" s="76"/>
      <c r="HR29" s="76"/>
      <c r="HS29" s="76"/>
      <c r="HT29" s="76"/>
      <c r="HU29" s="76"/>
      <c r="HV29" s="76">
        <v>111188</v>
      </c>
    </row>
    <row r="30" spans="1:230" x14ac:dyDescent="0.2">
      <c r="A30" s="74" t="s">
        <v>121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7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>
        <v>43</v>
      </c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>
        <v>10</v>
      </c>
      <c r="DJ30" s="76"/>
      <c r="DK30" s="76"/>
      <c r="DL30" s="76"/>
      <c r="DM30" s="76"/>
      <c r="DN30" s="76"/>
      <c r="DO30" s="76"/>
      <c r="DP30" s="76"/>
      <c r="DQ30" s="68"/>
      <c r="DR30" s="76">
        <v>1548</v>
      </c>
      <c r="DS30" s="76"/>
      <c r="DT30" s="76"/>
      <c r="DU30" s="76"/>
      <c r="DV30" s="76"/>
      <c r="DW30" s="76">
        <v>28</v>
      </c>
      <c r="DX30" s="76"/>
      <c r="DY30" s="76"/>
      <c r="DZ30" s="76"/>
      <c r="EA30" s="76"/>
      <c r="EB30" s="76">
        <v>28</v>
      </c>
      <c r="EC30" s="76"/>
      <c r="ED30" s="76"/>
      <c r="EE30" s="76"/>
      <c r="EF30" s="76">
        <v>53</v>
      </c>
      <c r="EG30" s="76">
        <v>107</v>
      </c>
      <c r="EH30" s="76">
        <v>46358</v>
      </c>
      <c r="EI30" s="76">
        <v>5428</v>
      </c>
      <c r="EJ30" s="76">
        <v>566</v>
      </c>
      <c r="EK30" s="76"/>
      <c r="EL30" s="76"/>
      <c r="EM30" s="76"/>
      <c r="EN30" s="76"/>
      <c r="EO30" s="76">
        <v>354</v>
      </c>
      <c r="EP30" s="76"/>
      <c r="EQ30" s="76">
        <v>89</v>
      </c>
      <c r="ER30" s="76">
        <v>50</v>
      </c>
      <c r="ES30" s="76">
        <v>318</v>
      </c>
      <c r="ET30" s="76"/>
      <c r="EU30" s="76">
        <v>21</v>
      </c>
      <c r="EV30" s="76">
        <v>315</v>
      </c>
      <c r="EW30" s="76">
        <v>44</v>
      </c>
      <c r="EX30" s="76"/>
      <c r="EY30" s="76">
        <v>81</v>
      </c>
      <c r="EZ30" s="76">
        <v>11</v>
      </c>
      <c r="FA30" s="76"/>
      <c r="FB30" s="76"/>
      <c r="FC30" s="76"/>
      <c r="FD30" s="76"/>
      <c r="FE30" s="76"/>
      <c r="FF30" s="76"/>
      <c r="FG30" s="76">
        <v>225</v>
      </c>
      <c r="FH30" s="76"/>
      <c r="FI30" s="76"/>
      <c r="FJ30" s="76"/>
      <c r="FK30" s="76"/>
      <c r="FL30" s="76"/>
      <c r="FM30" s="76"/>
      <c r="FN30" s="76"/>
      <c r="FO30" s="76"/>
      <c r="FP30" s="76"/>
      <c r="FQ30" s="76"/>
      <c r="FR30" s="76"/>
      <c r="FS30" s="76"/>
      <c r="FT30" s="76"/>
      <c r="FU30" s="76">
        <v>2370</v>
      </c>
      <c r="FV30" s="76"/>
      <c r="FW30" s="76"/>
      <c r="FX30" s="76">
        <v>76</v>
      </c>
      <c r="FY30" s="76"/>
      <c r="FZ30" s="76"/>
      <c r="GA30" s="76"/>
      <c r="GB30" s="76"/>
      <c r="GC30" s="76"/>
      <c r="GD30" s="76"/>
      <c r="GE30" s="76"/>
      <c r="GF30" s="76"/>
      <c r="GG30" s="76"/>
      <c r="GH30" s="76"/>
      <c r="GI30" s="76"/>
      <c r="GJ30" s="76"/>
      <c r="GK30" s="76"/>
      <c r="GL30" s="76"/>
      <c r="GM30" s="76"/>
      <c r="GN30" s="76"/>
      <c r="GO30" s="76"/>
      <c r="GP30" s="76"/>
      <c r="GQ30" s="76"/>
      <c r="GR30" s="76"/>
      <c r="GS30" s="76"/>
      <c r="GT30" s="76"/>
      <c r="GU30" s="76"/>
      <c r="GV30" s="76"/>
      <c r="GW30" s="76"/>
      <c r="GX30" s="76"/>
      <c r="GY30" s="76"/>
      <c r="GZ30" s="76"/>
      <c r="HA30" s="76"/>
      <c r="HB30" s="76"/>
      <c r="HC30" s="76"/>
      <c r="HD30" s="76"/>
      <c r="HE30" s="76"/>
      <c r="HF30" s="76"/>
      <c r="HG30" s="76"/>
      <c r="HH30" s="76"/>
      <c r="HI30" s="76"/>
      <c r="HJ30" s="76"/>
      <c r="HK30" s="76"/>
      <c r="HL30" s="76"/>
      <c r="HM30" s="76"/>
      <c r="HN30" s="76"/>
      <c r="HO30" s="76"/>
      <c r="HP30" s="76"/>
      <c r="HQ30" s="76"/>
      <c r="HR30" s="76"/>
      <c r="HS30" s="76"/>
      <c r="HT30" s="76"/>
      <c r="HU30" s="76"/>
      <c r="HV30" s="76">
        <v>58123</v>
      </c>
    </row>
    <row r="31" spans="1:230" x14ac:dyDescent="0.2">
      <c r="A31" s="74" t="s">
        <v>134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7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>
        <v>14</v>
      </c>
      <c r="CJ31" s="76"/>
      <c r="CK31" s="76">
        <v>10</v>
      </c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>
        <v>6</v>
      </c>
      <c r="DD31" s="76">
        <v>52</v>
      </c>
      <c r="DE31" s="76"/>
      <c r="DF31" s="76">
        <v>8</v>
      </c>
      <c r="DG31" s="76">
        <v>74</v>
      </c>
      <c r="DH31" s="76"/>
      <c r="DI31" s="76">
        <v>10</v>
      </c>
      <c r="DJ31" s="76">
        <v>8</v>
      </c>
      <c r="DK31" s="76"/>
      <c r="DL31" s="76"/>
      <c r="DM31" s="76"/>
      <c r="DN31" s="76"/>
      <c r="DO31" s="76"/>
      <c r="DP31" s="76"/>
      <c r="DQ31" s="68"/>
      <c r="DR31" s="76">
        <v>54</v>
      </c>
      <c r="DS31" s="76">
        <v>12</v>
      </c>
      <c r="DT31" s="76"/>
      <c r="DU31" s="76">
        <v>105</v>
      </c>
      <c r="DV31" s="76"/>
      <c r="DW31" s="76">
        <v>35</v>
      </c>
      <c r="DX31" s="76">
        <v>10</v>
      </c>
      <c r="DY31" s="76">
        <v>45</v>
      </c>
      <c r="DZ31" s="76"/>
      <c r="EA31" s="76">
        <v>19</v>
      </c>
      <c r="EB31" s="76">
        <v>486</v>
      </c>
      <c r="EC31" s="76"/>
      <c r="ED31" s="76">
        <v>20</v>
      </c>
      <c r="EE31" s="76">
        <v>72</v>
      </c>
      <c r="EF31" s="76"/>
      <c r="EG31" s="76">
        <v>3227</v>
      </c>
      <c r="EH31" s="76">
        <v>662</v>
      </c>
      <c r="EI31" s="76">
        <v>31</v>
      </c>
      <c r="EJ31" s="76">
        <v>79689</v>
      </c>
      <c r="EK31" s="76"/>
      <c r="EL31" s="76">
        <v>8</v>
      </c>
      <c r="EM31" s="76">
        <v>94</v>
      </c>
      <c r="EN31" s="76">
        <v>53</v>
      </c>
      <c r="EO31" s="76">
        <v>632</v>
      </c>
      <c r="EP31" s="76">
        <v>376</v>
      </c>
      <c r="EQ31" s="76">
        <v>165</v>
      </c>
      <c r="ER31" s="76">
        <v>99</v>
      </c>
      <c r="ES31" s="76">
        <v>1182</v>
      </c>
      <c r="ET31" s="76"/>
      <c r="EU31" s="76">
        <v>197</v>
      </c>
      <c r="EV31" s="76">
        <v>366</v>
      </c>
      <c r="EW31" s="76">
        <v>496</v>
      </c>
      <c r="EX31" s="76">
        <v>335</v>
      </c>
      <c r="EY31" s="76">
        <v>169</v>
      </c>
      <c r="EZ31" s="76">
        <v>400</v>
      </c>
      <c r="FA31" s="76"/>
      <c r="FB31" s="76"/>
      <c r="FC31" s="76"/>
      <c r="FD31" s="76"/>
      <c r="FE31" s="76"/>
      <c r="FF31" s="76"/>
      <c r="FG31" s="76">
        <v>616</v>
      </c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6"/>
      <c r="FS31" s="76"/>
      <c r="FT31" s="76"/>
      <c r="FU31" s="76">
        <v>1210</v>
      </c>
      <c r="FV31" s="76"/>
      <c r="FW31" s="76"/>
      <c r="FX31" s="76">
        <v>81</v>
      </c>
      <c r="FY31" s="76"/>
      <c r="FZ31" s="76"/>
      <c r="GA31" s="76"/>
      <c r="GB31" s="76"/>
      <c r="GC31" s="76"/>
      <c r="GD31" s="76"/>
      <c r="GE31" s="76"/>
      <c r="GF31" s="76"/>
      <c r="GG31" s="76"/>
      <c r="GH31" s="76"/>
      <c r="GI31" s="76"/>
      <c r="GJ31" s="76"/>
      <c r="GK31" s="76"/>
      <c r="GL31" s="76"/>
      <c r="GM31" s="76"/>
      <c r="GN31" s="76"/>
      <c r="GO31" s="76"/>
      <c r="GP31" s="76"/>
      <c r="GQ31" s="76"/>
      <c r="GR31" s="76"/>
      <c r="GS31" s="76"/>
      <c r="GT31" s="76"/>
      <c r="GU31" s="76"/>
      <c r="GV31" s="76"/>
      <c r="GW31" s="76"/>
      <c r="GX31" s="76"/>
      <c r="GY31" s="76"/>
      <c r="GZ31" s="76"/>
      <c r="HA31" s="76"/>
      <c r="HB31" s="76"/>
      <c r="HC31" s="76"/>
      <c r="HD31" s="76"/>
      <c r="HE31" s="76"/>
      <c r="HF31" s="76"/>
      <c r="HG31" s="76"/>
      <c r="HH31" s="76"/>
      <c r="HI31" s="76"/>
      <c r="HJ31" s="76"/>
      <c r="HK31" s="76"/>
      <c r="HL31" s="76"/>
      <c r="HM31" s="76"/>
      <c r="HN31" s="76"/>
      <c r="HO31" s="76"/>
      <c r="HP31" s="76"/>
      <c r="HQ31" s="76"/>
      <c r="HR31" s="76"/>
      <c r="HS31" s="76"/>
      <c r="HT31" s="76"/>
      <c r="HU31" s="76"/>
      <c r="HV31" s="76">
        <v>91128</v>
      </c>
    </row>
    <row r="32" spans="1:230" x14ac:dyDescent="0.2">
      <c r="A32" s="74" t="s">
        <v>122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7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>
        <v>59</v>
      </c>
      <c r="DE32" s="76"/>
      <c r="DF32" s="76">
        <v>14</v>
      </c>
      <c r="DG32" s="76"/>
      <c r="DH32" s="76"/>
      <c r="DI32" s="76">
        <v>27</v>
      </c>
      <c r="DJ32" s="76">
        <v>62</v>
      </c>
      <c r="DK32" s="76"/>
      <c r="DL32" s="76"/>
      <c r="DM32" s="76"/>
      <c r="DN32" s="76"/>
      <c r="DO32" s="76"/>
      <c r="DP32" s="76"/>
      <c r="DQ32" s="68"/>
      <c r="DR32" s="76"/>
      <c r="DS32" s="76"/>
      <c r="DT32" s="76"/>
      <c r="DU32" s="76"/>
      <c r="DV32" s="76"/>
      <c r="DW32" s="76">
        <v>30</v>
      </c>
      <c r="DX32" s="76"/>
      <c r="DY32" s="76"/>
      <c r="DZ32" s="76"/>
      <c r="EA32" s="76"/>
      <c r="EB32" s="76">
        <v>145</v>
      </c>
      <c r="EC32" s="76"/>
      <c r="ED32" s="76"/>
      <c r="EE32" s="76"/>
      <c r="EF32" s="76"/>
      <c r="EG32" s="76">
        <v>19</v>
      </c>
      <c r="EH32" s="76"/>
      <c r="EI32" s="76"/>
      <c r="EJ32" s="76">
        <v>127</v>
      </c>
      <c r="EK32" s="76">
        <v>5734</v>
      </c>
      <c r="EL32" s="76">
        <v>19270</v>
      </c>
      <c r="EM32" s="76">
        <v>48786</v>
      </c>
      <c r="EN32" s="76">
        <v>7776</v>
      </c>
      <c r="EO32" s="76">
        <v>1490</v>
      </c>
      <c r="EP32" s="76">
        <v>592</v>
      </c>
      <c r="EQ32" s="76">
        <v>29</v>
      </c>
      <c r="ER32" s="76"/>
      <c r="ES32" s="76">
        <v>2528</v>
      </c>
      <c r="ET32" s="76"/>
      <c r="EU32" s="76">
        <v>7</v>
      </c>
      <c r="EV32" s="76">
        <v>142</v>
      </c>
      <c r="EW32" s="76"/>
      <c r="EX32" s="76"/>
      <c r="EY32" s="76">
        <v>522</v>
      </c>
      <c r="EZ32" s="76">
        <v>170</v>
      </c>
      <c r="FA32" s="76"/>
      <c r="FB32" s="76"/>
      <c r="FC32" s="76"/>
      <c r="FD32" s="76"/>
      <c r="FE32" s="76"/>
      <c r="FF32" s="76"/>
      <c r="FG32" s="76">
        <v>918</v>
      </c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>
        <v>119</v>
      </c>
      <c r="FV32" s="76"/>
      <c r="FW32" s="76"/>
      <c r="FX32" s="76">
        <v>1053</v>
      </c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>
        <v>823</v>
      </c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  <c r="HN32" s="76"/>
      <c r="HO32" s="76"/>
      <c r="HP32" s="76"/>
      <c r="HQ32" s="76"/>
      <c r="HR32" s="76"/>
      <c r="HS32" s="76"/>
      <c r="HT32" s="76"/>
      <c r="HU32" s="76"/>
      <c r="HV32" s="76">
        <v>90442</v>
      </c>
    </row>
    <row r="33" spans="1:230" x14ac:dyDescent="0.2">
      <c r="A33" s="74" t="s">
        <v>123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7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>
        <v>11</v>
      </c>
      <c r="DE33" s="76"/>
      <c r="DF33" s="76"/>
      <c r="DG33" s="76"/>
      <c r="DH33" s="76"/>
      <c r="DI33" s="76"/>
      <c r="DJ33" s="76">
        <v>14</v>
      </c>
      <c r="DK33" s="76"/>
      <c r="DL33" s="76"/>
      <c r="DM33" s="76"/>
      <c r="DN33" s="76"/>
      <c r="DO33" s="76"/>
      <c r="DP33" s="76"/>
      <c r="DQ33" s="68"/>
      <c r="DR33" s="76">
        <v>9</v>
      </c>
      <c r="DS33" s="76"/>
      <c r="DT33" s="76"/>
      <c r="DU33" s="76">
        <v>27</v>
      </c>
      <c r="DV33" s="76"/>
      <c r="DW33" s="76">
        <v>49</v>
      </c>
      <c r="DX33" s="76"/>
      <c r="DY33" s="76"/>
      <c r="DZ33" s="76"/>
      <c r="EA33" s="76">
        <v>13</v>
      </c>
      <c r="EB33" s="76">
        <v>222</v>
      </c>
      <c r="EC33" s="76"/>
      <c r="ED33" s="76"/>
      <c r="EE33" s="76">
        <v>31</v>
      </c>
      <c r="EF33" s="76"/>
      <c r="EG33" s="76">
        <v>341</v>
      </c>
      <c r="EH33" s="76">
        <v>546</v>
      </c>
      <c r="EI33" s="76">
        <v>6</v>
      </c>
      <c r="EJ33" s="76">
        <v>448</v>
      </c>
      <c r="EK33" s="76">
        <v>344</v>
      </c>
      <c r="EL33" s="76">
        <v>93</v>
      </c>
      <c r="EM33" s="76">
        <v>654</v>
      </c>
      <c r="EN33" s="76">
        <v>277</v>
      </c>
      <c r="EO33" s="76">
        <v>45452</v>
      </c>
      <c r="EP33" s="76">
        <v>17342</v>
      </c>
      <c r="EQ33" s="76">
        <v>42</v>
      </c>
      <c r="ER33" s="76"/>
      <c r="ES33" s="76">
        <v>1761</v>
      </c>
      <c r="ET33" s="76"/>
      <c r="EU33" s="76"/>
      <c r="EV33" s="76">
        <v>532</v>
      </c>
      <c r="EW33" s="76">
        <v>93</v>
      </c>
      <c r="EX33" s="76">
        <v>138</v>
      </c>
      <c r="EY33" s="76"/>
      <c r="EZ33" s="76">
        <v>270</v>
      </c>
      <c r="FA33" s="76"/>
      <c r="FB33" s="76"/>
      <c r="FC33" s="76"/>
      <c r="FD33" s="76"/>
      <c r="FE33" s="76"/>
      <c r="FF33" s="76"/>
      <c r="FG33" s="76">
        <v>486</v>
      </c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>
        <v>994</v>
      </c>
      <c r="FV33" s="76"/>
      <c r="FW33" s="76"/>
      <c r="FX33" s="76">
        <v>610</v>
      </c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  <c r="GL33" s="76"/>
      <c r="GM33" s="76"/>
      <c r="GN33" s="76"/>
      <c r="GO33" s="76"/>
      <c r="GP33" s="76"/>
      <c r="GQ33" s="76"/>
      <c r="GR33" s="76"/>
      <c r="GS33" s="76"/>
      <c r="GT33" s="76"/>
      <c r="GU33" s="76"/>
      <c r="GV33" s="76"/>
      <c r="GW33" s="76"/>
      <c r="GX33" s="76"/>
      <c r="GY33" s="76"/>
      <c r="GZ33" s="76"/>
      <c r="HA33" s="76"/>
      <c r="HB33" s="76"/>
      <c r="HC33" s="76"/>
      <c r="HD33" s="76"/>
      <c r="HE33" s="76"/>
      <c r="HF33" s="76"/>
      <c r="HG33" s="76"/>
      <c r="HH33" s="76"/>
      <c r="HI33" s="76"/>
      <c r="HJ33" s="76"/>
      <c r="HK33" s="76"/>
      <c r="HL33" s="76"/>
      <c r="HM33" s="76"/>
      <c r="HN33" s="76"/>
      <c r="HO33" s="76"/>
      <c r="HP33" s="76"/>
      <c r="HQ33" s="76"/>
      <c r="HR33" s="76"/>
      <c r="HS33" s="76"/>
      <c r="HT33" s="76"/>
      <c r="HU33" s="76"/>
      <c r="HV33" s="76">
        <v>70805</v>
      </c>
    </row>
    <row r="34" spans="1:230" x14ac:dyDescent="0.2">
      <c r="A34" s="74" t="s">
        <v>124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7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>
        <v>161</v>
      </c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>
        <v>13</v>
      </c>
      <c r="DE34" s="76">
        <v>9</v>
      </c>
      <c r="DF34" s="76"/>
      <c r="DG34" s="76">
        <v>22</v>
      </c>
      <c r="DH34" s="76"/>
      <c r="DI34" s="76">
        <v>22</v>
      </c>
      <c r="DJ34" s="76">
        <v>37</v>
      </c>
      <c r="DK34" s="76"/>
      <c r="DL34" s="76"/>
      <c r="DM34" s="76"/>
      <c r="DN34" s="76"/>
      <c r="DO34" s="76"/>
      <c r="DP34" s="76"/>
      <c r="DQ34" s="68"/>
      <c r="DR34" s="76">
        <v>7</v>
      </c>
      <c r="DS34" s="76"/>
      <c r="DT34" s="76">
        <v>15</v>
      </c>
      <c r="DU34" s="76">
        <v>28</v>
      </c>
      <c r="DV34" s="76"/>
      <c r="DW34" s="76">
        <v>26</v>
      </c>
      <c r="DX34" s="76">
        <v>51</v>
      </c>
      <c r="DY34" s="76">
        <v>45</v>
      </c>
      <c r="DZ34" s="76"/>
      <c r="EA34" s="76">
        <v>170</v>
      </c>
      <c r="EB34" s="76">
        <v>280</v>
      </c>
      <c r="EC34" s="76"/>
      <c r="ED34" s="76"/>
      <c r="EE34" s="76">
        <v>40</v>
      </c>
      <c r="EF34" s="76"/>
      <c r="EG34" s="76">
        <v>707</v>
      </c>
      <c r="EH34" s="76">
        <v>237</v>
      </c>
      <c r="EI34" s="76">
        <v>19</v>
      </c>
      <c r="EJ34" s="76">
        <v>2189</v>
      </c>
      <c r="EK34" s="76">
        <v>23</v>
      </c>
      <c r="EL34" s="76">
        <v>783</v>
      </c>
      <c r="EM34" s="76">
        <v>6</v>
      </c>
      <c r="EN34" s="76">
        <v>386</v>
      </c>
      <c r="EO34" s="76">
        <v>1284</v>
      </c>
      <c r="EP34" s="76">
        <v>317</v>
      </c>
      <c r="EQ34" s="76">
        <v>27082</v>
      </c>
      <c r="ER34" s="76">
        <v>16239</v>
      </c>
      <c r="ES34" s="76">
        <v>60299</v>
      </c>
      <c r="ET34" s="76">
        <v>7</v>
      </c>
      <c r="EU34" s="76">
        <v>124</v>
      </c>
      <c r="EV34" s="76">
        <v>775</v>
      </c>
      <c r="EW34" s="76">
        <v>110</v>
      </c>
      <c r="EX34" s="76">
        <v>120</v>
      </c>
      <c r="EY34" s="76">
        <v>33</v>
      </c>
      <c r="EZ34" s="76">
        <v>914</v>
      </c>
      <c r="FA34" s="76"/>
      <c r="FB34" s="76"/>
      <c r="FC34" s="76"/>
      <c r="FD34" s="76"/>
      <c r="FE34" s="76"/>
      <c r="FF34" s="76"/>
      <c r="FG34" s="76">
        <v>753</v>
      </c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>
        <v>100</v>
      </c>
      <c r="FV34" s="76"/>
      <c r="FW34" s="76"/>
      <c r="FX34" s="76">
        <v>1924</v>
      </c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>
        <v>115357</v>
      </c>
    </row>
    <row r="35" spans="1:230" x14ac:dyDescent="0.2">
      <c r="A35" s="74" t="s">
        <v>126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7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>
        <v>39</v>
      </c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68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>
        <v>17</v>
      </c>
      <c r="EC35" s="76"/>
      <c r="ED35" s="76"/>
      <c r="EE35" s="76">
        <v>39</v>
      </c>
      <c r="EF35" s="76"/>
      <c r="EG35" s="76">
        <v>15</v>
      </c>
      <c r="EH35" s="76"/>
      <c r="EI35" s="76"/>
      <c r="EJ35" s="76">
        <v>34</v>
      </c>
      <c r="EK35" s="76"/>
      <c r="EL35" s="76"/>
      <c r="EM35" s="76"/>
      <c r="EN35" s="76"/>
      <c r="EO35" s="76">
        <v>1019</v>
      </c>
      <c r="EP35" s="76"/>
      <c r="EQ35" s="76">
        <v>40</v>
      </c>
      <c r="ER35" s="76">
        <v>44</v>
      </c>
      <c r="ES35" s="76">
        <v>176</v>
      </c>
      <c r="ET35" s="76">
        <v>135739</v>
      </c>
      <c r="EU35" s="76">
        <v>34416</v>
      </c>
      <c r="EV35" s="76">
        <v>1196</v>
      </c>
      <c r="EW35" s="76">
        <v>530</v>
      </c>
      <c r="EX35" s="76"/>
      <c r="EY35" s="76"/>
      <c r="EZ35" s="76"/>
      <c r="FA35" s="76"/>
      <c r="FB35" s="76"/>
      <c r="FC35" s="76"/>
      <c r="FD35" s="76"/>
      <c r="FE35" s="76"/>
      <c r="FF35" s="76">
        <v>1830</v>
      </c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  <c r="FU35" s="76">
        <v>104</v>
      </c>
      <c r="FV35" s="76"/>
      <c r="FW35" s="76"/>
      <c r="FX35" s="76">
        <v>1058</v>
      </c>
      <c r="FY35" s="76"/>
      <c r="FZ35" s="76"/>
      <c r="GA35" s="76"/>
      <c r="GB35" s="76"/>
      <c r="GC35" s="76"/>
      <c r="GD35" s="76"/>
      <c r="GE35" s="76"/>
      <c r="GF35" s="76"/>
      <c r="GG35" s="76"/>
      <c r="GH35" s="76"/>
      <c r="GI35" s="76"/>
      <c r="GJ35" s="76"/>
      <c r="GK35" s="76"/>
      <c r="GL35" s="76"/>
      <c r="GM35" s="76"/>
      <c r="GN35" s="76"/>
      <c r="GO35" s="76"/>
      <c r="GP35" s="76"/>
      <c r="GQ35" s="76"/>
      <c r="GR35" s="76"/>
      <c r="GS35" s="76"/>
      <c r="GT35" s="76"/>
      <c r="GU35" s="76"/>
      <c r="GV35" s="76"/>
      <c r="GW35" s="76"/>
      <c r="GX35" s="76"/>
      <c r="GY35" s="76"/>
      <c r="GZ35" s="76"/>
      <c r="HA35" s="76"/>
      <c r="HB35" s="76"/>
      <c r="HC35" s="76"/>
      <c r="HD35" s="76"/>
      <c r="HE35" s="76"/>
      <c r="HF35" s="76"/>
      <c r="HG35" s="76"/>
      <c r="HH35" s="76"/>
      <c r="HI35" s="76"/>
      <c r="HJ35" s="76"/>
      <c r="HK35" s="76"/>
      <c r="HL35" s="76"/>
      <c r="HM35" s="76"/>
      <c r="HN35" s="76"/>
      <c r="HO35" s="76"/>
      <c r="HP35" s="76"/>
      <c r="HQ35" s="76"/>
      <c r="HR35" s="76"/>
      <c r="HS35" s="76"/>
      <c r="HT35" s="76"/>
      <c r="HU35" s="76"/>
      <c r="HV35" s="76">
        <v>176296</v>
      </c>
    </row>
    <row r="36" spans="1:230" x14ac:dyDescent="0.2">
      <c r="A36" s="74" t="s">
        <v>127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7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>
        <v>65</v>
      </c>
      <c r="DE36" s="76"/>
      <c r="DF36" s="76">
        <v>69</v>
      </c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68"/>
      <c r="DR36" s="76"/>
      <c r="DS36" s="76"/>
      <c r="DT36" s="76"/>
      <c r="DU36" s="76"/>
      <c r="DV36" s="76"/>
      <c r="DW36" s="76"/>
      <c r="DX36" s="76"/>
      <c r="DY36" s="76"/>
      <c r="DZ36" s="76"/>
      <c r="EA36" s="76">
        <v>372</v>
      </c>
      <c r="EB36" s="76">
        <v>213</v>
      </c>
      <c r="EC36" s="76"/>
      <c r="ED36" s="76"/>
      <c r="EE36" s="76">
        <v>207</v>
      </c>
      <c r="EF36" s="76"/>
      <c r="EG36" s="76">
        <v>214</v>
      </c>
      <c r="EH36" s="76">
        <v>117</v>
      </c>
      <c r="EI36" s="76">
        <v>6</v>
      </c>
      <c r="EJ36" s="76">
        <v>1534</v>
      </c>
      <c r="EK36" s="76">
        <v>7</v>
      </c>
      <c r="EL36" s="76"/>
      <c r="EM36" s="76">
        <v>43</v>
      </c>
      <c r="EN36" s="76">
        <v>481</v>
      </c>
      <c r="EO36" s="76">
        <v>1114</v>
      </c>
      <c r="EP36" s="76">
        <v>97</v>
      </c>
      <c r="EQ36" s="76">
        <v>438</v>
      </c>
      <c r="ER36" s="76">
        <v>134</v>
      </c>
      <c r="ES36" s="76">
        <v>2296</v>
      </c>
      <c r="ET36" s="76"/>
      <c r="EU36" s="76">
        <v>679</v>
      </c>
      <c r="EV36" s="76">
        <v>79016</v>
      </c>
      <c r="EW36" s="76">
        <v>317</v>
      </c>
      <c r="EX36" s="76">
        <v>73</v>
      </c>
      <c r="EY36" s="76"/>
      <c r="EZ36" s="76">
        <v>7</v>
      </c>
      <c r="FA36" s="76"/>
      <c r="FB36" s="76"/>
      <c r="FC36" s="76"/>
      <c r="FD36" s="76"/>
      <c r="FE36" s="76"/>
      <c r="FF36" s="76">
        <v>269</v>
      </c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  <c r="FU36" s="76">
        <v>736</v>
      </c>
      <c r="FV36" s="76"/>
      <c r="FW36" s="76"/>
      <c r="FX36" s="76">
        <v>571</v>
      </c>
      <c r="FY36" s="76"/>
      <c r="FZ36" s="76"/>
      <c r="GA36" s="76"/>
      <c r="GB36" s="76"/>
      <c r="GC36" s="76"/>
      <c r="GD36" s="76"/>
      <c r="GE36" s="76"/>
      <c r="GF36" s="76"/>
      <c r="GG36" s="76"/>
      <c r="GH36" s="76"/>
      <c r="GI36" s="76"/>
      <c r="GJ36" s="76"/>
      <c r="GK36" s="76"/>
      <c r="GL36" s="76"/>
      <c r="GM36" s="76"/>
      <c r="GN36" s="76"/>
      <c r="GO36" s="76"/>
      <c r="GP36" s="76"/>
      <c r="GQ36" s="76"/>
      <c r="GR36" s="76"/>
      <c r="GS36" s="76"/>
      <c r="GT36" s="76"/>
      <c r="GU36" s="76"/>
      <c r="GV36" s="76"/>
      <c r="GW36" s="76"/>
      <c r="GX36" s="76"/>
      <c r="GY36" s="76"/>
      <c r="GZ36" s="76"/>
      <c r="HA36" s="76"/>
      <c r="HB36" s="76"/>
      <c r="HC36" s="76"/>
      <c r="HD36" s="76"/>
      <c r="HE36" s="76"/>
      <c r="HF36" s="76"/>
      <c r="HG36" s="76"/>
      <c r="HH36" s="76"/>
      <c r="HI36" s="76"/>
      <c r="HJ36" s="76"/>
      <c r="HK36" s="76"/>
      <c r="HL36" s="76"/>
      <c r="HM36" s="76"/>
      <c r="HN36" s="76"/>
      <c r="HO36" s="76"/>
      <c r="HP36" s="76"/>
      <c r="HQ36" s="76"/>
      <c r="HR36" s="76"/>
      <c r="HS36" s="76"/>
      <c r="HT36" s="76"/>
      <c r="HU36" s="76"/>
      <c r="HV36" s="76">
        <v>89075</v>
      </c>
    </row>
    <row r="37" spans="1:230" x14ac:dyDescent="0.2">
      <c r="A37" s="74" t="s">
        <v>135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7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68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>
        <v>74</v>
      </c>
      <c r="EC37" s="76"/>
      <c r="ED37" s="76">
        <v>6</v>
      </c>
      <c r="EE37" s="76"/>
      <c r="EF37" s="76"/>
      <c r="EG37" s="76">
        <v>167</v>
      </c>
      <c r="EH37" s="76"/>
      <c r="EI37" s="76"/>
      <c r="EJ37" s="76">
        <v>517</v>
      </c>
      <c r="EK37" s="76"/>
      <c r="EL37" s="76"/>
      <c r="EM37" s="76"/>
      <c r="EN37" s="76"/>
      <c r="EO37" s="76">
        <v>55</v>
      </c>
      <c r="EP37" s="76"/>
      <c r="EQ37" s="76"/>
      <c r="ER37" s="76">
        <v>66</v>
      </c>
      <c r="ES37" s="76">
        <v>261</v>
      </c>
      <c r="ET37" s="76"/>
      <c r="EU37" s="76"/>
      <c r="EV37" s="76">
        <v>124</v>
      </c>
      <c r="EW37" s="76">
        <v>38397</v>
      </c>
      <c r="EX37" s="76">
        <v>42</v>
      </c>
      <c r="EY37" s="76">
        <v>91</v>
      </c>
      <c r="EZ37" s="76">
        <v>191</v>
      </c>
      <c r="FA37" s="76"/>
      <c r="FB37" s="76"/>
      <c r="FC37" s="76"/>
      <c r="FD37" s="76"/>
      <c r="FE37" s="76"/>
      <c r="FF37" s="76"/>
      <c r="FG37" s="76">
        <v>45</v>
      </c>
      <c r="FH37" s="76"/>
      <c r="FI37" s="76"/>
      <c r="FJ37" s="76"/>
      <c r="FK37" s="76"/>
      <c r="FL37" s="76"/>
      <c r="FM37" s="76"/>
      <c r="FN37" s="76"/>
      <c r="FO37" s="76"/>
      <c r="FP37" s="76"/>
      <c r="FQ37" s="76"/>
      <c r="FR37" s="76"/>
      <c r="FS37" s="76"/>
      <c r="FT37" s="76"/>
      <c r="FU37" s="76">
        <v>156</v>
      </c>
      <c r="FV37" s="76"/>
      <c r="FW37" s="76"/>
      <c r="FX37" s="76">
        <v>2004</v>
      </c>
      <c r="FY37" s="76"/>
      <c r="FZ37" s="76"/>
      <c r="GA37" s="76"/>
      <c r="GB37" s="76"/>
      <c r="GC37" s="76"/>
      <c r="GD37" s="76"/>
      <c r="GE37" s="76"/>
      <c r="GF37" s="76"/>
      <c r="GG37" s="76"/>
      <c r="GH37" s="76"/>
      <c r="GI37" s="76"/>
      <c r="GJ37" s="76"/>
      <c r="GK37" s="76"/>
      <c r="GL37" s="76"/>
      <c r="GM37" s="76"/>
      <c r="GN37" s="76"/>
      <c r="GO37" s="76"/>
      <c r="GP37" s="76"/>
      <c r="GQ37" s="76"/>
      <c r="GR37" s="76"/>
      <c r="GS37" s="76"/>
      <c r="GT37" s="76"/>
      <c r="GU37" s="76"/>
      <c r="GV37" s="76"/>
      <c r="GW37" s="76"/>
      <c r="GX37" s="76"/>
      <c r="GY37" s="76"/>
      <c r="GZ37" s="76"/>
      <c r="HA37" s="76"/>
      <c r="HB37" s="76"/>
      <c r="HC37" s="76"/>
      <c r="HD37" s="76"/>
      <c r="HE37" s="76"/>
      <c r="HF37" s="76"/>
      <c r="HG37" s="76"/>
      <c r="HH37" s="76"/>
      <c r="HI37" s="76"/>
      <c r="HJ37" s="76"/>
      <c r="HK37" s="76"/>
      <c r="HL37" s="76"/>
      <c r="HM37" s="76"/>
      <c r="HN37" s="76"/>
      <c r="HO37" s="76"/>
      <c r="HP37" s="76"/>
      <c r="HQ37" s="76"/>
      <c r="HR37" s="76"/>
      <c r="HS37" s="76"/>
      <c r="HT37" s="76"/>
      <c r="HU37" s="76"/>
      <c r="HV37" s="76">
        <v>42196</v>
      </c>
    </row>
    <row r="38" spans="1:230" x14ac:dyDescent="0.2">
      <c r="A38" s="74" t="s">
        <v>43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7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>
        <v>9</v>
      </c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>
        <v>9</v>
      </c>
      <c r="DC38" s="76">
        <v>43</v>
      </c>
      <c r="DD38" s="76">
        <v>325</v>
      </c>
      <c r="DE38" s="76">
        <v>127</v>
      </c>
      <c r="DF38" s="76">
        <v>14</v>
      </c>
      <c r="DG38" s="76">
        <v>170</v>
      </c>
      <c r="DH38" s="76"/>
      <c r="DI38" s="76">
        <v>13</v>
      </c>
      <c r="DJ38" s="76">
        <v>13</v>
      </c>
      <c r="DK38" s="76"/>
      <c r="DL38" s="76"/>
      <c r="DM38" s="76"/>
      <c r="DN38" s="76"/>
      <c r="DO38" s="76"/>
      <c r="DP38" s="76">
        <v>16</v>
      </c>
      <c r="DQ38" s="68"/>
      <c r="DR38" s="76">
        <v>21</v>
      </c>
      <c r="DS38" s="76"/>
      <c r="DT38" s="76">
        <v>14</v>
      </c>
      <c r="DU38" s="76">
        <v>80</v>
      </c>
      <c r="DV38" s="76"/>
      <c r="DW38" s="76">
        <v>49</v>
      </c>
      <c r="DX38" s="76"/>
      <c r="DY38" s="76">
        <v>112</v>
      </c>
      <c r="DZ38" s="76">
        <v>195</v>
      </c>
      <c r="EA38" s="76">
        <v>25</v>
      </c>
      <c r="EB38" s="76">
        <v>630</v>
      </c>
      <c r="EC38" s="76"/>
      <c r="ED38" s="76">
        <v>66</v>
      </c>
      <c r="EE38" s="76">
        <v>184</v>
      </c>
      <c r="EF38" s="76"/>
      <c r="EG38" s="76">
        <v>10</v>
      </c>
      <c r="EH38" s="76">
        <v>28</v>
      </c>
      <c r="EI38" s="76">
        <v>9</v>
      </c>
      <c r="EJ38" s="76">
        <v>853</v>
      </c>
      <c r="EK38" s="76"/>
      <c r="EL38" s="76">
        <v>8</v>
      </c>
      <c r="EM38" s="76">
        <v>6</v>
      </c>
      <c r="EN38" s="76">
        <v>128</v>
      </c>
      <c r="EO38" s="76">
        <v>37</v>
      </c>
      <c r="EP38" s="76">
        <v>64</v>
      </c>
      <c r="EQ38" s="76">
        <v>43</v>
      </c>
      <c r="ER38" s="76"/>
      <c r="ES38" s="76">
        <v>469</v>
      </c>
      <c r="ET38" s="76"/>
      <c r="EU38" s="76"/>
      <c r="EV38" s="76"/>
      <c r="EW38" s="76">
        <v>163</v>
      </c>
      <c r="EX38" s="76">
        <v>36799</v>
      </c>
      <c r="EY38" s="76">
        <v>29474</v>
      </c>
      <c r="EZ38" s="76">
        <v>24</v>
      </c>
      <c r="FA38" s="76"/>
      <c r="FB38" s="76"/>
      <c r="FC38" s="76"/>
      <c r="FD38" s="76"/>
      <c r="FE38" s="76"/>
      <c r="FF38" s="76"/>
      <c r="FG38" s="76">
        <v>434</v>
      </c>
      <c r="FH38" s="76"/>
      <c r="FI38" s="76"/>
      <c r="FJ38" s="76"/>
      <c r="FK38" s="76"/>
      <c r="FL38" s="76"/>
      <c r="FM38" s="76"/>
      <c r="FN38" s="76"/>
      <c r="FO38" s="76"/>
      <c r="FP38" s="76"/>
      <c r="FQ38" s="76"/>
      <c r="FR38" s="76"/>
      <c r="FS38" s="76"/>
      <c r="FT38" s="76"/>
      <c r="FU38" s="76">
        <v>270</v>
      </c>
      <c r="FV38" s="76"/>
      <c r="FW38" s="76"/>
      <c r="FX38" s="76">
        <v>104</v>
      </c>
      <c r="FY38" s="76"/>
      <c r="FZ38" s="76"/>
      <c r="GA38" s="76"/>
      <c r="GB38" s="76"/>
      <c r="GC38" s="76"/>
      <c r="GD38" s="76"/>
      <c r="GE38" s="76"/>
      <c r="GF38" s="76"/>
      <c r="GG38" s="76"/>
      <c r="GH38" s="76"/>
      <c r="GI38" s="76"/>
      <c r="GJ38" s="76"/>
      <c r="GK38" s="76"/>
      <c r="GL38" s="76"/>
      <c r="GM38" s="76"/>
      <c r="GN38" s="76"/>
      <c r="GO38" s="76"/>
      <c r="GP38" s="76"/>
      <c r="GQ38" s="76"/>
      <c r="GR38" s="76"/>
      <c r="GS38" s="76"/>
      <c r="GT38" s="76"/>
      <c r="GU38" s="76"/>
      <c r="GV38" s="76"/>
      <c r="GW38" s="76"/>
      <c r="GX38" s="76"/>
      <c r="GY38" s="76"/>
      <c r="GZ38" s="76"/>
      <c r="HA38" s="76"/>
      <c r="HB38" s="76"/>
      <c r="HC38" s="76"/>
      <c r="HD38" s="76"/>
      <c r="HE38" s="76"/>
      <c r="HF38" s="76"/>
      <c r="HG38" s="76"/>
      <c r="HH38" s="76"/>
      <c r="HI38" s="76"/>
      <c r="HJ38" s="76"/>
      <c r="HK38" s="76"/>
      <c r="HL38" s="76"/>
      <c r="HM38" s="76"/>
      <c r="HN38" s="76"/>
      <c r="HO38" s="76"/>
      <c r="HP38" s="76"/>
      <c r="HQ38" s="76"/>
      <c r="HR38" s="76"/>
      <c r="HS38" s="76"/>
      <c r="HT38" s="76"/>
      <c r="HU38" s="76"/>
      <c r="HV38" s="76">
        <v>71038</v>
      </c>
    </row>
    <row r="39" spans="1:230" x14ac:dyDescent="0.2">
      <c r="A39" s="74" t="s">
        <v>125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7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>
        <v>17</v>
      </c>
      <c r="DD39" s="76"/>
      <c r="DE39" s="76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68"/>
      <c r="DR39" s="76">
        <v>16</v>
      </c>
      <c r="DS39" s="76"/>
      <c r="DT39" s="76"/>
      <c r="DU39" s="76"/>
      <c r="DV39" s="76"/>
      <c r="DW39" s="76"/>
      <c r="DX39" s="76"/>
      <c r="DY39" s="76"/>
      <c r="DZ39" s="76"/>
      <c r="EA39" s="76">
        <v>19</v>
      </c>
      <c r="EB39" s="76"/>
      <c r="EC39" s="76"/>
      <c r="ED39" s="76"/>
      <c r="EE39" s="76"/>
      <c r="EF39" s="76"/>
      <c r="EG39" s="76">
        <v>32</v>
      </c>
      <c r="EH39" s="76"/>
      <c r="EI39" s="76">
        <v>7</v>
      </c>
      <c r="EJ39" s="76">
        <v>352</v>
      </c>
      <c r="EK39" s="76"/>
      <c r="EL39" s="76"/>
      <c r="EM39" s="76"/>
      <c r="EN39" s="76">
        <v>87</v>
      </c>
      <c r="EO39" s="76">
        <v>167</v>
      </c>
      <c r="EP39" s="76">
        <v>9</v>
      </c>
      <c r="EQ39" s="76"/>
      <c r="ER39" s="76">
        <v>46</v>
      </c>
      <c r="ES39" s="76">
        <v>576</v>
      </c>
      <c r="ET39" s="76"/>
      <c r="EU39" s="76">
        <v>14</v>
      </c>
      <c r="EV39" s="76">
        <v>40</v>
      </c>
      <c r="EW39" s="76">
        <v>321</v>
      </c>
      <c r="EX39" s="76">
        <v>29</v>
      </c>
      <c r="EY39" s="76">
        <v>95</v>
      </c>
      <c r="EZ39" s="76">
        <v>70306</v>
      </c>
      <c r="FA39" s="76"/>
      <c r="FB39" s="76"/>
      <c r="FC39" s="76"/>
      <c r="FD39" s="76"/>
      <c r="FE39" s="76"/>
      <c r="FF39" s="76"/>
      <c r="FG39" s="76"/>
      <c r="FH39" s="76"/>
      <c r="FI39" s="76"/>
      <c r="FJ39" s="76"/>
      <c r="FK39" s="76"/>
      <c r="FL39" s="76"/>
      <c r="FM39" s="76"/>
      <c r="FN39" s="76"/>
      <c r="FO39" s="76"/>
      <c r="FP39" s="76"/>
      <c r="FQ39" s="76"/>
      <c r="FR39" s="76"/>
      <c r="FS39" s="76"/>
      <c r="FT39" s="76"/>
      <c r="FU39" s="76">
        <v>47</v>
      </c>
      <c r="FV39" s="76"/>
      <c r="FW39" s="76"/>
      <c r="FX39" s="76">
        <v>48</v>
      </c>
      <c r="FY39" s="76"/>
      <c r="FZ39" s="76"/>
      <c r="GA39" s="76"/>
      <c r="GB39" s="76"/>
      <c r="GC39" s="76"/>
      <c r="GD39" s="76"/>
      <c r="GE39" s="76"/>
      <c r="GF39" s="76"/>
      <c r="GG39" s="76"/>
      <c r="GH39" s="76"/>
      <c r="GI39" s="76"/>
      <c r="GJ39" s="76"/>
      <c r="GK39" s="76"/>
      <c r="GL39" s="76"/>
      <c r="GM39" s="76"/>
      <c r="GN39" s="76"/>
      <c r="GO39" s="76"/>
      <c r="GP39" s="76"/>
      <c r="GQ39" s="76"/>
      <c r="GR39" s="76"/>
      <c r="GS39" s="76"/>
      <c r="GT39" s="76"/>
      <c r="GU39" s="76"/>
      <c r="GV39" s="76"/>
      <c r="GW39" s="76"/>
      <c r="GX39" s="76"/>
      <c r="GY39" s="76"/>
      <c r="GZ39" s="76"/>
      <c r="HA39" s="76"/>
      <c r="HB39" s="76"/>
      <c r="HC39" s="76"/>
      <c r="HD39" s="76"/>
      <c r="HE39" s="76"/>
      <c r="HF39" s="76"/>
      <c r="HG39" s="76"/>
      <c r="HH39" s="76"/>
      <c r="HI39" s="76"/>
      <c r="HJ39" s="76"/>
      <c r="HK39" s="76"/>
      <c r="HL39" s="76"/>
      <c r="HM39" s="76"/>
      <c r="HN39" s="76"/>
      <c r="HO39" s="76"/>
      <c r="HP39" s="76"/>
      <c r="HQ39" s="76"/>
      <c r="HR39" s="76"/>
      <c r="HS39" s="76"/>
      <c r="HT39" s="76"/>
      <c r="HU39" s="76"/>
      <c r="HV39" s="76">
        <v>72228</v>
      </c>
    </row>
    <row r="40" spans="1:230" x14ac:dyDescent="0.2">
      <c r="A40" s="74" t="s">
        <v>136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7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6"/>
      <c r="DA40" s="76"/>
      <c r="DB40" s="76"/>
      <c r="DC40" s="76"/>
      <c r="DD40" s="76"/>
      <c r="DE40" s="76"/>
      <c r="DF40" s="76"/>
      <c r="DG40" s="76"/>
      <c r="DH40" s="76"/>
      <c r="DI40" s="76"/>
      <c r="DJ40" s="76"/>
      <c r="DK40" s="76"/>
      <c r="DL40" s="76"/>
      <c r="DM40" s="76"/>
      <c r="DN40" s="76"/>
      <c r="DO40" s="76"/>
      <c r="DP40" s="76"/>
      <c r="DQ40" s="68"/>
      <c r="DR40" s="76"/>
      <c r="DS40" s="76"/>
      <c r="DT40" s="76"/>
      <c r="DU40" s="76"/>
      <c r="DV40" s="76"/>
      <c r="DW40" s="76"/>
      <c r="DX40" s="76"/>
      <c r="DY40" s="76"/>
      <c r="DZ40" s="76"/>
      <c r="EA40" s="76"/>
      <c r="EB40" s="76"/>
      <c r="EC40" s="76"/>
      <c r="ED40" s="76"/>
      <c r="EE40" s="76"/>
      <c r="EF40" s="76"/>
      <c r="EG40" s="76"/>
      <c r="EH40" s="76"/>
      <c r="EI40" s="76"/>
      <c r="EJ40" s="76"/>
      <c r="EK40" s="76"/>
      <c r="EL40" s="76"/>
      <c r="EM40" s="76"/>
      <c r="EN40" s="76"/>
      <c r="EO40" s="76"/>
      <c r="EP40" s="76"/>
      <c r="EQ40" s="76"/>
      <c r="ER40" s="76"/>
      <c r="ES40" s="76">
        <v>1</v>
      </c>
      <c r="ET40" s="76"/>
      <c r="EU40" s="76"/>
      <c r="EV40" s="76"/>
      <c r="EW40" s="76"/>
      <c r="EX40" s="76"/>
      <c r="EY40" s="76"/>
      <c r="EZ40" s="76"/>
      <c r="FA40" s="76">
        <v>287678</v>
      </c>
      <c r="FB40" s="76"/>
      <c r="FC40" s="76"/>
      <c r="FD40" s="76"/>
      <c r="FE40" s="76"/>
      <c r="FF40" s="76"/>
      <c r="FG40" s="76">
        <v>20</v>
      </c>
      <c r="FH40" s="76"/>
      <c r="FI40" s="76"/>
      <c r="FJ40" s="76"/>
      <c r="FK40" s="76"/>
      <c r="FL40" s="76"/>
      <c r="FM40" s="76"/>
      <c r="FN40" s="76"/>
      <c r="FO40" s="76"/>
      <c r="FP40" s="76"/>
      <c r="FQ40" s="76"/>
      <c r="FR40" s="76"/>
      <c r="FS40" s="76"/>
      <c r="FT40" s="76"/>
      <c r="FU40" s="76">
        <v>4524</v>
      </c>
      <c r="FV40" s="76"/>
      <c r="FW40" s="76"/>
      <c r="FX40" s="76">
        <v>278</v>
      </c>
      <c r="FY40" s="76"/>
      <c r="FZ40" s="76"/>
      <c r="GA40" s="76"/>
      <c r="GB40" s="76"/>
      <c r="GC40" s="76"/>
      <c r="GD40" s="76"/>
      <c r="GE40" s="76"/>
      <c r="GF40" s="76"/>
      <c r="GG40" s="76"/>
      <c r="GH40" s="76"/>
      <c r="GI40" s="76"/>
      <c r="GJ40" s="76"/>
      <c r="GK40" s="76"/>
      <c r="GL40" s="76"/>
      <c r="GM40" s="76"/>
      <c r="GN40" s="76"/>
      <c r="GO40" s="76"/>
      <c r="GP40" s="76"/>
      <c r="GQ40" s="76"/>
      <c r="GR40" s="76"/>
      <c r="GS40" s="76"/>
      <c r="GT40" s="76"/>
      <c r="GU40" s="76"/>
      <c r="GV40" s="76"/>
      <c r="GW40" s="76"/>
      <c r="GX40" s="76"/>
      <c r="GY40" s="76"/>
      <c r="GZ40" s="76"/>
      <c r="HA40" s="76"/>
      <c r="HB40" s="76"/>
      <c r="HC40" s="76"/>
      <c r="HD40" s="76"/>
      <c r="HE40" s="76"/>
      <c r="HF40" s="76"/>
      <c r="HG40" s="76"/>
      <c r="HH40" s="76"/>
      <c r="HI40" s="76"/>
      <c r="HJ40" s="76"/>
      <c r="HK40" s="76"/>
      <c r="HL40" s="76"/>
      <c r="HM40" s="76"/>
      <c r="HN40" s="76"/>
      <c r="HO40" s="76"/>
      <c r="HP40" s="76"/>
      <c r="HQ40" s="76"/>
      <c r="HR40" s="76"/>
      <c r="HS40" s="76"/>
      <c r="HT40" s="76"/>
      <c r="HU40" s="76"/>
      <c r="HV40" s="76">
        <v>292501</v>
      </c>
    </row>
    <row r="41" spans="1:230" x14ac:dyDescent="0.2">
      <c r="A41" s="74" t="s">
        <v>137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7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/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68"/>
      <c r="DR41" s="76"/>
      <c r="DS41" s="76"/>
      <c r="DT41" s="76"/>
      <c r="DU41" s="76"/>
      <c r="DV41" s="76"/>
      <c r="DW41" s="76"/>
      <c r="DX41" s="76"/>
      <c r="DY41" s="76"/>
      <c r="DZ41" s="76"/>
      <c r="EA41" s="76"/>
      <c r="EB41" s="76"/>
      <c r="EC41" s="76"/>
      <c r="ED41" s="76"/>
      <c r="EE41" s="76"/>
      <c r="EF41" s="76"/>
      <c r="EG41" s="76"/>
      <c r="EH41" s="76"/>
      <c r="EI41" s="76"/>
      <c r="EJ41" s="76"/>
      <c r="EK41" s="76"/>
      <c r="EL41" s="76"/>
      <c r="EM41" s="76"/>
      <c r="EN41" s="76"/>
      <c r="EO41" s="76"/>
      <c r="EP41" s="76"/>
      <c r="EQ41" s="76"/>
      <c r="ER41" s="76"/>
      <c r="ES41" s="76"/>
      <c r="ET41" s="76"/>
      <c r="EU41" s="76"/>
      <c r="EV41" s="76"/>
      <c r="EW41" s="76"/>
      <c r="EX41" s="76"/>
      <c r="EY41" s="76"/>
      <c r="EZ41" s="76"/>
      <c r="FA41" s="76"/>
      <c r="FB41" s="76">
        <v>74272</v>
      </c>
      <c r="FC41" s="76"/>
      <c r="FD41" s="76"/>
      <c r="FE41" s="76"/>
      <c r="FF41" s="76"/>
      <c r="FG41" s="76"/>
      <c r="FH41" s="76">
        <v>162</v>
      </c>
      <c r="FI41" s="76"/>
      <c r="FJ41" s="76"/>
      <c r="FK41" s="76"/>
      <c r="FL41" s="76"/>
      <c r="FM41" s="76"/>
      <c r="FN41" s="76"/>
      <c r="FO41" s="76"/>
      <c r="FP41" s="76"/>
      <c r="FQ41" s="76"/>
      <c r="FR41" s="76"/>
      <c r="FS41" s="76"/>
      <c r="FT41" s="76"/>
      <c r="FU41" s="76">
        <v>700</v>
      </c>
      <c r="FV41" s="76"/>
      <c r="FW41" s="76"/>
      <c r="FX41" s="76">
        <v>18</v>
      </c>
      <c r="FY41" s="76"/>
      <c r="FZ41" s="76"/>
      <c r="GA41" s="76"/>
      <c r="GB41" s="76"/>
      <c r="GC41" s="76"/>
      <c r="GD41" s="76"/>
      <c r="GE41" s="76"/>
      <c r="GF41" s="76"/>
      <c r="GG41" s="76"/>
      <c r="GH41" s="76"/>
      <c r="GI41" s="76"/>
      <c r="GJ41" s="76"/>
      <c r="GK41" s="76"/>
      <c r="GL41" s="76"/>
      <c r="GM41" s="76"/>
      <c r="GN41" s="76"/>
      <c r="GO41" s="76"/>
      <c r="GP41" s="76"/>
      <c r="GQ41" s="76"/>
      <c r="GR41" s="76"/>
      <c r="GS41" s="76"/>
      <c r="GT41" s="76"/>
      <c r="GU41" s="76"/>
      <c r="GV41" s="76"/>
      <c r="GW41" s="76"/>
      <c r="GX41" s="76"/>
      <c r="GY41" s="76"/>
      <c r="GZ41" s="76"/>
      <c r="HA41" s="76"/>
      <c r="HB41" s="76"/>
      <c r="HC41" s="76"/>
      <c r="HD41" s="76"/>
      <c r="HE41" s="76"/>
      <c r="HF41" s="76"/>
      <c r="HG41" s="76"/>
      <c r="HH41" s="76"/>
      <c r="HI41" s="76"/>
      <c r="HJ41" s="76"/>
      <c r="HK41" s="76"/>
      <c r="HL41" s="76"/>
      <c r="HM41" s="76"/>
      <c r="HN41" s="76"/>
      <c r="HO41" s="76"/>
      <c r="HP41" s="76"/>
      <c r="HQ41" s="76"/>
      <c r="HR41" s="76"/>
      <c r="HS41" s="76"/>
      <c r="HT41" s="76"/>
      <c r="HU41" s="76"/>
      <c r="HV41" s="76">
        <v>75152</v>
      </c>
    </row>
    <row r="42" spans="1:230" x14ac:dyDescent="0.2">
      <c r="A42" s="74" t="s">
        <v>138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7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68"/>
      <c r="DR42" s="76"/>
      <c r="DS42" s="76"/>
      <c r="DT42" s="76"/>
      <c r="DU42" s="76"/>
      <c r="DV42" s="76"/>
      <c r="DW42" s="76"/>
      <c r="DX42" s="76"/>
      <c r="DY42" s="76"/>
      <c r="DZ42" s="76"/>
      <c r="EA42" s="76"/>
      <c r="EB42" s="76"/>
      <c r="EC42" s="76"/>
      <c r="ED42" s="76"/>
      <c r="EE42" s="76"/>
      <c r="EF42" s="76"/>
      <c r="EG42" s="76"/>
      <c r="EH42" s="76"/>
      <c r="EI42" s="76"/>
      <c r="EJ42" s="76"/>
      <c r="EK42" s="76"/>
      <c r="EL42" s="76"/>
      <c r="EM42" s="76"/>
      <c r="EN42" s="76"/>
      <c r="EO42" s="76"/>
      <c r="EP42" s="76"/>
      <c r="EQ42" s="76"/>
      <c r="ER42" s="76">
        <v>37</v>
      </c>
      <c r="ES42" s="76"/>
      <c r="ET42" s="76"/>
      <c r="EU42" s="76"/>
      <c r="EV42" s="76"/>
      <c r="EW42" s="76"/>
      <c r="EX42" s="76"/>
      <c r="EY42" s="76"/>
      <c r="EZ42" s="76"/>
      <c r="FA42" s="76"/>
      <c r="FB42" s="76"/>
      <c r="FC42" s="76">
        <v>314424</v>
      </c>
      <c r="FD42" s="76">
        <v>94140</v>
      </c>
      <c r="FE42" s="76">
        <v>134399</v>
      </c>
      <c r="FF42" s="76"/>
      <c r="FG42" s="76"/>
      <c r="FH42" s="76"/>
      <c r="FI42" s="76"/>
      <c r="FJ42" s="76"/>
      <c r="FK42" s="76"/>
      <c r="FL42" s="76"/>
      <c r="FM42" s="76"/>
      <c r="FN42" s="76"/>
      <c r="FO42" s="76"/>
      <c r="FP42" s="76"/>
      <c r="FQ42" s="76"/>
      <c r="FR42" s="76"/>
      <c r="FS42" s="76"/>
      <c r="FT42" s="76"/>
      <c r="FU42" s="76">
        <v>1649</v>
      </c>
      <c r="FV42" s="76"/>
      <c r="FW42" s="76"/>
      <c r="FX42" s="76">
        <v>69</v>
      </c>
      <c r="FY42" s="76"/>
      <c r="FZ42" s="76"/>
      <c r="GA42" s="76">
        <v>1121</v>
      </c>
      <c r="GB42" s="76"/>
      <c r="GC42" s="76"/>
      <c r="GD42" s="76"/>
      <c r="GE42" s="76"/>
      <c r="GF42" s="76"/>
      <c r="GG42" s="76"/>
      <c r="GH42" s="76"/>
      <c r="GI42" s="76"/>
      <c r="GJ42" s="76"/>
      <c r="GK42" s="76"/>
      <c r="GL42" s="76"/>
      <c r="GM42" s="76"/>
      <c r="GN42" s="76"/>
      <c r="GO42" s="76"/>
      <c r="GP42" s="76"/>
      <c r="GQ42" s="76"/>
      <c r="GR42" s="76"/>
      <c r="GS42" s="76"/>
      <c r="GT42" s="76"/>
      <c r="GU42" s="76"/>
      <c r="GV42" s="76"/>
      <c r="GW42" s="76"/>
      <c r="GX42" s="76"/>
      <c r="GY42" s="76"/>
      <c r="GZ42" s="76"/>
      <c r="HA42" s="76"/>
      <c r="HB42" s="76"/>
      <c r="HC42" s="76"/>
      <c r="HD42" s="76"/>
      <c r="HE42" s="76"/>
      <c r="HF42" s="76"/>
      <c r="HG42" s="76"/>
      <c r="HH42" s="76"/>
      <c r="HI42" s="76"/>
      <c r="HJ42" s="76"/>
      <c r="HK42" s="76"/>
      <c r="HL42" s="76"/>
      <c r="HM42" s="76"/>
      <c r="HN42" s="76"/>
      <c r="HO42" s="76"/>
      <c r="HP42" s="76"/>
      <c r="HQ42" s="76"/>
      <c r="HR42" s="76"/>
      <c r="HS42" s="76"/>
      <c r="HT42" s="76"/>
      <c r="HU42" s="76"/>
      <c r="HV42" s="76">
        <v>545839</v>
      </c>
    </row>
    <row r="43" spans="1:230" x14ac:dyDescent="0.2">
      <c r="A43" s="74" t="s">
        <v>141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7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68"/>
      <c r="DR43" s="76"/>
      <c r="DS43" s="76"/>
      <c r="DT43" s="76"/>
      <c r="DU43" s="76"/>
      <c r="DV43" s="76"/>
      <c r="DW43" s="76"/>
      <c r="DX43" s="76"/>
      <c r="DY43" s="76"/>
      <c r="DZ43" s="76"/>
      <c r="EA43" s="76"/>
      <c r="EB43" s="76"/>
      <c r="EC43" s="76"/>
      <c r="ED43" s="76"/>
      <c r="EE43" s="76"/>
      <c r="EF43" s="76"/>
      <c r="EG43" s="76"/>
      <c r="EH43" s="76"/>
      <c r="EI43" s="76"/>
      <c r="EJ43" s="76"/>
      <c r="EK43" s="76"/>
      <c r="EL43" s="76">
        <v>1</v>
      </c>
      <c r="EM43" s="76"/>
      <c r="EN43" s="76"/>
      <c r="EO43" s="76"/>
      <c r="EP43" s="76"/>
      <c r="EQ43" s="76"/>
      <c r="ER43" s="76"/>
      <c r="ES43" s="76">
        <v>1</v>
      </c>
      <c r="ET43" s="76"/>
      <c r="EU43" s="76"/>
      <c r="EV43" s="76">
        <v>2254</v>
      </c>
      <c r="EW43" s="76"/>
      <c r="EX43" s="76"/>
      <c r="EY43" s="76">
        <v>14</v>
      </c>
      <c r="EZ43" s="76"/>
      <c r="FA43" s="76"/>
      <c r="FB43" s="76"/>
      <c r="FC43" s="76"/>
      <c r="FD43" s="76"/>
      <c r="FE43" s="76"/>
      <c r="FF43" s="76">
        <v>160547</v>
      </c>
      <c r="FG43" s="76">
        <v>72</v>
      </c>
      <c r="FH43" s="76"/>
      <c r="FI43" s="76"/>
      <c r="FJ43" s="76"/>
      <c r="FK43" s="76"/>
      <c r="FL43" s="76">
        <v>534</v>
      </c>
      <c r="FM43" s="76"/>
      <c r="FN43" s="76"/>
      <c r="FO43" s="76"/>
      <c r="FP43" s="76"/>
      <c r="FQ43" s="76"/>
      <c r="FR43" s="76"/>
      <c r="FS43" s="76"/>
      <c r="FT43" s="76"/>
      <c r="FU43" s="76">
        <v>13</v>
      </c>
      <c r="FV43" s="76"/>
      <c r="FW43" s="76"/>
      <c r="FX43" s="76"/>
      <c r="FY43" s="76"/>
      <c r="FZ43" s="76"/>
      <c r="GA43" s="76">
        <v>572</v>
      </c>
      <c r="GB43" s="76"/>
      <c r="GC43" s="76"/>
      <c r="GD43" s="76"/>
      <c r="GE43" s="76"/>
      <c r="GF43" s="76"/>
      <c r="GG43" s="76"/>
      <c r="GH43" s="76"/>
      <c r="GI43" s="76"/>
      <c r="GJ43" s="76"/>
      <c r="GK43" s="76"/>
      <c r="GL43" s="76"/>
      <c r="GM43" s="76"/>
      <c r="GN43" s="76"/>
      <c r="GO43" s="76"/>
      <c r="GP43" s="76"/>
      <c r="GQ43" s="76"/>
      <c r="GR43" s="76"/>
      <c r="GS43" s="76"/>
      <c r="GT43" s="76"/>
      <c r="GU43" s="76"/>
      <c r="GV43" s="76"/>
      <c r="GW43" s="76"/>
      <c r="GX43" s="76"/>
      <c r="GY43" s="76"/>
      <c r="GZ43" s="76"/>
      <c r="HA43" s="76"/>
      <c r="HB43" s="76"/>
      <c r="HC43" s="76"/>
      <c r="HD43" s="76"/>
      <c r="HE43" s="76"/>
      <c r="HF43" s="76"/>
      <c r="HG43" s="76"/>
      <c r="HH43" s="76"/>
      <c r="HI43" s="76"/>
      <c r="HJ43" s="76"/>
      <c r="HK43" s="76"/>
      <c r="HL43" s="76"/>
      <c r="HM43" s="76"/>
      <c r="HN43" s="76"/>
      <c r="HO43" s="76"/>
      <c r="HP43" s="76"/>
      <c r="HQ43" s="76"/>
      <c r="HR43" s="76"/>
      <c r="HS43" s="76"/>
      <c r="HT43" s="76"/>
      <c r="HU43" s="76"/>
      <c r="HV43" s="76">
        <v>164008</v>
      </c>
    </row>
    <row r="44" spans="1:230" x14ac:dyDescent="0.2">
      <c r="A44" s="74" t="s">
        <v>142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7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>
        <v>232</v>
      </c>
      <c r="CA44" s="76"/>
      <c r="CB44" s="76"/>
      <c r="CC44" s="76"/>
      <c r="CD44" s="76"/>
      <c r="CE44" s="76"/>
      <c r="CF44" s="76"/>
      <c r="CG44" s="76"/>
      <c r="CH44" s="76">
        <v>112</v>
      </c>
      <c r="CI44" s="76">
        <v>144</v>
      </c>
      <c r="CJ44" s="76"/>
      <c r="CK44" s="76"/>
      <c r="CL44" s="76">
        <v>1067</v>
      </c>
      <c r="CM44" s="76"/>
      <c r="CN44" s="76">
        <v>2862</v>
      </c>
      <c r="CO44" s="76"/>
      <c r="CP44" s="76">
        <v>3867</v>
      </c>
      <c r="CQ44" s="76"/>
      <c r="CR44" s="76"/>
      <c r="CS44" s="76">
        <v>203</v>
      </c>
      <c r="CT44" s="76">
        <v>5135</v>
      </c>
      <c r="CU44" s="76">
        <v>298</v>
      </c>
      <c r="CV44" s="76">
        <v>783</v>
      </c>
      <c r="CW44" s="76">
        <v>1316</v>
      </c>
      <c r="CX44" s="76">
        <v>243</v>
      </c>
      <c r="CY44" s="76">
        <v>25251</v>
      </c>
      <c r="CZ44" s="76">
        <v>1499</v>
      </c>
      <c r="DA44" s="76"/>
      <c r="DB44" s="76"/>
      <c r="DC44" s="76"/>
      <c r="DD44" s="76">
        <v>24</v>
      </c>
      <c r="DE44" s="76">
        <v>971</v>
      </c>
      <c r="DF44" s="76"/>
      <c r="DG44" s="76">
        <v>65</v>
      </c>
      <c r="DH44" s="76"/>
      <c r="DI44" s="76">
        <v>178</v>
      </c>
      <c r="DJ44" s="76">
        <v>345</v>
      </c>
      <c r="DK44" s="76"/>
      <c r="DL44" s="76"/>
      <c r="DM44" s="76"/>
      <c r="DN44" s="76"/>
      <c r="DO44" s="76"/>
      <c r="DP44" s="76">
        <v>2837</v>
      </c>
      <c r="DQ44" s="68">
        <v>531</v>
      </c>
      <c r="DR44" s="76"/>
      <c r="DS44" s="76">
        <v>259</v>
      </c>
      <c r="DT44" s="76"/>
      <c r="DU44" s="76"/>
      <c r="DV44" s="76"/>
      <c r="DW44" s="76"/>
      <c r="DX44" s="76">
        <v>33</v>
      </c>
      <c r="DY44" s="76"/>
      <c r="DZ44" s="76">
        <v>7801</v>
      </c>
      <c r="EA44" s="76">
        <v>28</v>
      </c>
      <c r="EB44" s="76">
        <v>420</v>
      </c>
      <c r="EC44" s="76"/>
      <c r="ED44" s="76">
        <v>428</v>
      </c>
      <c r="EE44" s="76"/>
      <c r="EF44" s="76"/>
      <c r="EG44" s="76"/>
      <c r="EH44" s="76">
        <v>113</v>
      </c>
      <c r="EI44" s="76"/>
      <c r="EJ44" s="76">
        <v>468</v>
      </c>
      <c r="EK44" s="76"/>
      <c r="EL44" s="76">
        <v>785</v>
      </c>
      <c r="EM44" s="76">
        <v>118</v>
      </c>
      <c r="EN44" s="76">
        <v>201</v>
      </c>
      <c r="EO44" s="76"/>
      <c r="EP44" s="76">
        <v>578</v>
      </c>
      <c r="EQ44" s="76">
        <v>66</v>
      </c>
      <c r="ER44" s="76"/>
      <c r="ES44" s="76">
        <v>609</v>
      </c>
      <c r="ET44" s="76"/>
      <c r="EU44" s="76"/>
      <c r="EV44" s="76"/>
      <c r="EW44" s="76"/>
      <c r="EX44" s="76">
        <v>883</v>
      </c>
      <c r="EY44" s="76">
        <v>288</v>
      </c>
      <c r="EZ44" s="76">
        <v>5057</v>
      </c>
      <c r="FA44" s="76"/>
      <c r="FB44" s="76"/>
      <c r="FC44" s="76"/>
      <c r="FD44" s="76"/>
      <c r="FE44" s="76"/>
      <c r="FF44" s="76">
        <v>51</v>
      </c>
      <c r="FG44" s="76">
        <v>962508</v>
      </c>
      <c r="FH44" s="76">
        <v>1354</v>
      </c>
      <c r="FI44" s="76"/>
      <c r="FJ44" s="76"/>
      <c r="FK44" s="76"/>
      <c r="FL44" s="76">
        <v>1406</v>
      </c>
      <c r="FM44" s="76"/>
      <c r="FN44" s="76"/>
      <c r="FO44" s="76">
        <v>2862</v>
      </c>
      <c r="FP44" s="76"/>
      <c r="FQ44" s="76"/>
      <c r="FR44" s="76"/>
      <c r="FS44" s="76">
        <v>773</v>
      </c>
      <c r="FT44" s="76"/>
      <c r="FU44" s="76">
        <v>2345</v>
      </c>
      <c r="FV44" s="76"/>
      <c r="FW44" s="76">
        <v>1329</v>
      </c>
      <c r="FX44" s="76">
        <v>583</v>
      </c>
      <c r="FY44" s="76"/>
      <c r="FZ44" s="76">
        <v>136</v>
      </c>
      <c r="GA44" s="76">
        <v>2743</v>
      </c>
      <c r="GB44" s="76"/>
      <c r="GC44" s="76">
        <v>405</v>
      </c>
      <c r="GD44" s="76"/>
      <c r="GE44" s="76"/>
      <c r="GF44" s="76"/>
      <c r="GG44" s="76"/>
      <c r="GH44" s="76"/>
      <c r="GI44" s="76"/>
      <c r="GJ44" s="76"/>
      <c r="GK44" s="76">
        <v>8</v>
      </c>
      <c r="GL44" s="76"/>
      <c r="GM44" s="76">
        <v>5693</v>
      </c>
      <c r="GN44" s="76">
        <v>355</v>
      </c>
      <c r="GO44" s="76"/>
      <c r="GP44" s="76"/>
      <c r="GQ44" s="76"/>
      <c r="GR44" s="76"/>
      <c r="GS44" s="76"/>
      <c r="GT44" s="76"/>
      <c r="GU44" s="76"/>
      <c r="GV44" s="76"/>
      <c r="GW44" s="76"/>
      <c r="GX44" s="76"/>
      <c r="GY44" s="76"/>
      <c r="GZ44" s="76"/>
      <c r="HA44" s="76"/>
      <c r="HB44" s="76"/>
      <c r="HC44" s="76"/>
      <c r="HD44" s="76"/>
      <c r="HE44" s="76"/>
      <c r="HF44" s="76"/>
      <c r="HG44" s="76"/>
      <c r="HH44" s="76"/>
      <c r="HI44" s="76"/>
      <c r="HJ44" s="76"/>
      <c r="HK44" s="76"/>
      <c r="HL44" s="76"/>
      <c r="HM44" s="76"/>
      <c r="HN44" s="76"/>
      <c r="HO44" s="76"/>
      <c r="HP44" s="76"/>
      <c r="HQ44" s="76"/>
      <c r="HR44" s="76"/>
      <c r="HS44" s="76"/>
      <c r="HT44" s="76"/>
      <c r="HU44" s="76"/>
      <c r="HV44" s="76">
        <v>1048649</v>
      </c>
    </row>
    <row r="45" spans="1:230" x14ac:dyDescent="0.2">
      <c r="A45" s="74" t="s">
        <v>143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7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>
        <v>94</v>
      </c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>
        <v>16</v>
      </c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68">
        <v>76</v>
      </c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>
        <v>18</v>
      </c>
      <c r="EC45" s="76"/>
      <c r="ED45" s="76"/>
      <c r="EE45" s="76"/>
      <c r="EF45" s="76"/>
      <c r="EG45" s="76">
        <v>20</v>
      </c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6"/>
      <c r="EY45" s="76"/>
      <c r="EZ45" s="76"/>
      <c r="FA45" s="76"/>
      <c r="FB45" s="76"/>
      <c r="FC45" s="76"/>
      <c r="FD45" s="76"/>
      <c r="FE45" s="76"/>
      <c r="FF45" s="76"/>
      <c r="FG45" s="76">
        <v>118</v>
      </c>
      <c r="FH45" s="76">
        <v>250776</v>
      </c>
      <c r="FI45" s="76">
        <v>96079</v>
      </c>
      <c r="FJ45" s="76">
        <v>1370</v>
      </c>
      <c r="FK45" s="76"/>
      <c r="FL45" s="76">
        <v>1729</v>
      </c>
      <c r="FM45" s="76"/>
      <c r="FN45" s="76"/>
      <c r="FO45" s="76"/>
      <c r="FP45" s="76"/>
      <c r="FQ45" s="76"/>
      <c r="FR45" s="76"/>
      <c r="FS45" s="76"/>
      <c r="FT45" s="76"/>
      <c r="FU45" s="76">
        <v>2122</v>
      </c>
      <c r="FV45" s="76"/>
      <c r="FW45" s="76"/>
      <c r="FX45" s="76"/>
      <c r="FY45" s="76"/>
      <c r="FZ45" s="76">
        <v>12480</v>
      </c>
      <c r="GA45" s="76"/>
      <c r="GB45" s="76"/>
      <c r="GC45" s="76">
        <v>33</v>
      </c>
      <c r="GD45" s="76"/>
      <c r="GE45" s="76"/>
      <c r="GF45" s="76"/>
      <c r="GG45" s="76"/>
      <c r="GH45" s="76"/>
      <c r="GI45" s="76"/>
      <c r="GJ45" s="76"/>
      <c r="GK45" s="76"/>
      <c r="GL45" s="76"/>
      <c r="GM45" s="76"/>
      <c r="GN45" s="76"/>
      <c r="GO45" s="76"/>
      <c r="GP45" s="76"/>
      <c r="GQ45" s="76"/>
      <c r="GR45" s="76"/>
      <c r="GS45" s="76"/>
      <c r="GT45" s="76"/>
      <c r="GU45" s="76"/>
      <c r="GV45" s="76"/>
      <c r="GW45" s="76"/>
      <c r="GX45" s="76"/>
      <c r="GY45" s="76"/>
      <c r="GZ45" s="76"/>
      <c r="HA45" s="76"/>
      <c r="HB45" s="76"/>
      <c r="HC45" s="76"/>
      <c r="HD45" s="76"/>
      <c r="HE45" s="76"/>
      <c r="HF45" s="76"/>
      <c r="HG45" s="76"/>
      <c r="HH45" s="76"/>
      <c r="HI45" s="76"/>
      <c r="HJ45" s="76"/>
      <c r="HK45" s="76"/>
      <c r="HL45" s="76"/>
      <c r="HM45" s="76"/>
      <c r="HN45" s="76"/>
      <c r="HO45" s="76"/>
      <c r="HP45" s="76"/>
      <c r="HQ45" s="76"/>
      <c r="HR45" s="76"/>
      <c r="HS45" s="76"/>
      <c r="HT45" s="76"/>
      <c r="HU45" s="76"/>
      <c r="HV45" s="76">
        <v>364931</v>
      </c>
    </row>
    <row r="46" spans="1:230" x14ac:dyDescent="0.2">
      <c r="A46" s="74" t="s">
        <v>144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7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68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76"/>
      <c r="ED46" s="76"/>
      <c r="EE46" s="76"/>
      <c r="EF46" s="76"/>
      <c r="EG46" s="76"/>
      <c r="EH46" s="76"/>
      <c r="EI46" s="76"/>
      <c r="EJ46" s="76"/>
      <c r="EK46" s="76"/>
      <c r="EL46" s="76"/>
      <c r="EM46" s="76"/>
      <c r="EN46" s="76"/>
      <c r="EO46" s="76"/>
      <c r="EP46" s="76"/>
      <c r="EQ46" s="76"/>
      <c r="ER46" s="76"/>
      <c r="ES46" s="76"/>
      <c r="ET46" s="76"/>
      <c r="EU46" s="76"/>
      <c r="EV46" s="76"/>
      <c r="EW46" s="76"/>
      <c r="EX46" s="76"/>
      <c r="EY46" s="76"/>
      <c r="EZ46" s="76"/>
      <c r="FA46" s="76"/>
      <c r="FB46" s="76"/>
      <c r="FC46" s="76"/>
      <c r="FD46" s="76"/>
      <c r="FE46" s="76"/>
      <c r="FF46" s="76"/>
      <c r="FG46" s="76">
        <v>58</v>
      </c>
      <c r="FH46" s="76"/>
      <c r="FI46" s="76"/>
      <c r="FJ46" s="76">
        <v>21478</v>
      </c>
      <c r="FK46" s="76"/>
      <c r="FL46" s="76"/>
      <c r="FM46" s="76"/>
      <c r="FN46" s="76"/>
      <c r="FO46" s="76"/>
      <c r="FP46" s="76"/>
      <c r="FQ46" s="76"/>
      <c r="FR46" s="76"/>
      <c r="FS46" s="76"/>
      <c r="FT46" s="76"/>
      <c r="FU46" s="76">
        <v>522</v>
      </c>
      <c r="FV46" s="76"/>
      <c r="FW46" s="76"/>
      <c r="FX46" s="76"/>
      <c r="FY46" s="76"/>
      <c r="FZ46" s="76"/>
      <c r="GA46" s="76"/>
      <c r="GB46" s="76"/>
      <c r="GC46" s="76"/>
      <c r="GD46" s="76"/>
      <c r="GE46" s="76"/>
      <c r="GF46" s="76"/>
      <c r="GG46" s="76"/>
      <c r="GH46" s="76"/>
      <c r="GI46" s="76"/>
      <c r="GJ46" s="76"/>
      <c r="GK46" s="76"/>
      <c r="GL46" s="76"/>
      <c r="GM46" s="76"/>
      <c r="GN46" s="76"/>
      <c r="GO46" s="76"/>
      <c r="GP46" s="76"/>
      <c r="GQ46" s="76"/>
      <c r="GR46" s="76"/>
      <c r="GS46" s="76"/>
      <c r="GT46" s="76"/>
      <c r="GU46" s="76"/>
      <c r="GV46" s="76"/>
      <c r="GW46" s="76"/>
      <c r="GX46" s="76"/>
      <c r="GY46" s="76"/>
      <c r="GZ46" s="76"/>
      <c r="HA46" s="76"/>
      <c r="HB46" s="76"/>
      <c r="HC46" s="76"/>
      <c r="HD46" s="76"/>
      <c r="HE46" s="76"/>
      <c r="HF46" s="76"/>
      <c r="HG46" s="76"/>
      <c r="HH46" s="76"/>
      <c r="HI46" s="76"/>
      <c r="HJ46" s="76"/>
      <c r="HK46" s="76"/>
      <c r="HL46" s="76"/>
      <c r="HM46" s="76"/>
      <c r="HN46" s="76"/>
      <c r="HO46" s="76"/>
      <c r="HP46" s="76"/>
      <c r="HQ46" s="76"/>
      <c r="HR46" s="76"/>
      <c r="HS46" s="76"/>
      <c r="HT46" s="76"/>
      <c r="HU46" s="76"/>
      <c r="HV46" s="76">
        <v>22058</v>
      </c>
    </row>
    <row r="47" spans="1:230" x14ac:dyDescent="0.2">
      <c r="A47" s="74" t="s">
        <v>145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7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  <c r="DI47" s="76"/>
      <c r="DJ47" s="76"/>
      <c r="DK47" s="76"/>
      <c r="DL47" s="76"/>
      <c r="DM47" s="76"/>
      <c r="DN47" s="76"/>
      <c r="DO47" s="76"/>
      <c r="DP47" s="76"/>
      <c r="DQ47" s="68"/>
      <c r="DR47" s="76"/>
      <c r="DS47" s="76"/>
      <c r="DT47" s="76"/>
      <c r="DU47" s="76"/>
      <c r="DV47" s="76"/>
      <c r="DW47" s="76"/>
      <c r="DX47" s="76"/>
      <c r="DY47" s="76"/>
      <c r="DZ47" s="76"/>
      <c r="EA47" s="76"/>
      <c r="EB47" s="76"/>
      <c r="EC47" s="76"/>
      <c r="ED47" s="76"/>
      <c r="EE47" s="76"/>
      <c r="EF47" s="76"/>
      <c r="EG47" s="76"/>
      <c r="EH47" s="76"/>
      <c r="EI47" s="76"/>
      <c r="EJ47" s="76"/>
      <c r="EK47" s="76"/>
      <c r="EL47" s="76"/>
      <c r="EM47" s="76"/>
      <c r="EN47" s="76"/>
      <c r="EO47" s="76"/>
      <c r="EP47" s="76"/>
      <c r="EQ47" s="76"/>
      <c r="ER47" s="76"/>
      <c r="ES47" s="76"/>
      <c r="ET47" s="76"/>
      <c r="EU47" s="76"/>
      <c r="EV47" s="76"/>
      <c r="EW47" s="76"/>
      <c r="EX47" s="76"/>
      <c r="EY47" s="76"/>
      <c r="EZ47" s="76"/>
      <c r="FA47" s="76"/>
      <c r="FB47" s="76"/>
      <c r="FC47" s="76"/>
      <c r="FD47" s="76"/>
      <c r="FE47" s="76"/>
      <c r="FF47" s="76"/>
      <c r="FG47" s="76"/>
      <c r="FH47" s="76"/>
      <c r="FI47" s="76"/>
      <c r="FJ47" s="76"/>
      <c r="FK47" s="76">
        <v>40045</v>
      </c>
      <c r="FL47" s="76"/>
      <c r="FM47" s="76"/>
      <c r="FN47" s="76"/>
      <c r="FO47" s="76"/>
      <c r="FP47" s="76"/>
      <c r="FQ47" s="76"/>
      <c r="FR47" s="76"/>
      <c r="FS47" s="76"/>
      <c r="FT47" s="76"/>
      <c r="FU47" s="76">
        <v>463</v>
      </c>
      <c r="FV47" s="76"/>
      <c r="FW47" s="76"/>
      <c r="FX47" s="76"/>
      <c r="FY47" s="76"/>
      <c r="FZ47" s="76"/>
      <c r="GA47" s="76"/>
      <c r="GB47" s="76"/>
      <c r="GC47" s="76"/>
      <c r="GD47" s="76"/>
      <c r="GE47" s="76"/>
      <c r="GF47" s="76"/>
      <c r="GG47" s="76"/>
      <c r="GH47" s="76"/>
      <c r="GI47" s="76"/>
      <c r="GJ47" s="76"/>
      <c r="GK47" s="76"/>
      <c r="GL47" s="76"/>
      <c r="GM47" s="76"/>
      <c r="GN47" s="76"/>
      <c r="GO47" s="76"/>
      <c r="GP47" s="76"/>
      <c r="GQ47" s="76"/>
      <c r="GR47" s="76"/>
      <c r="GS47" s="76"/>
      <c r="GT47" s="76"/>
      <c r="GU47" s="76"/>
      <c r="GV47" s="76"/>
      <c r="GW47" s="76"/>
      <c r="GX47" s="76"/>
      <c r="GY47" s="76"/>
      <c r="GZ47" s="76"/>
      <c r="HA47" s="76"/>
      <c r="HB47" s="76"/>
      <c r="HC47" s="76"/>
      <c r="HD47" s="76"/>
      <c r="HE47" s="76"/>
      <c r="HF47" s="76"/>
      <c r="HG47" s="76"/>
      <c r="HH47" s="76"/>
      <c r="HI47" s="76"/>
      <c r="HJ47" s="76"/>
      <c r="HK47" s="76"/>
      <c r="HL47" s="76"/>
      <c r="HM47" s="76"/>
      <c r="HN47" s="76"/>
      <c r="HO47" s="76"/>
      <c r="HP47" s="76"/>
      <c r="HQ47" s="76"/>
      <c r="HR47" s="76"/>
      <c r="HS47" s="76"/>
      <c r="HT47" s="76"/>
      <c r="HU47" s="76"/>
      <c r="HV47" s="76">
        <v>40508</v>
      </c>
    </row>
    <row r="48" spans="1:230" x14ac:dyDescent="0.2">
      <c r="A48" s="74" t="s">
        <v>146</v>
      </c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7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68"/>
      <c r="DR48" s="76"/>
      <c r="DS48" s="76"/>
      <c r="DT48" s="76"/>
      <c r="DU48" s="76"/>
      <c r="DV48" s="76"/>
      <c r="DW48" s="76"/>
      <c r="DX48" s="76"/>
      <c r="DY48" s="76"/>
      <c r="DZ48" s="76"/>
      <c r="EA48" s="76"/>
      <c r="EB48" s="76"/>
      <c r="EC48" s="76"/>
      <c r="ED48" s="76"/>
      <c r="EE48" s="76"/>
      <c r="EF48" s="76"/>
      <c r="EG48" s="76"/>
      <c r="EH48" s="76"/>
      <c r="EI48" s="76"/>
      <c r="EJ48" s="76"/>
      <c r="EK48" s="76"/>
      <c r="EL48" s="76"/>
      <c r="EM48" s="76"/>
      <c r="EN48" s="76"/>
      <c r="EO48" s="76"/>
      <c r="EP48" s="76"/>
      <c r="EQ48" s="76"/>
      <c r="ER48" s="76"/>
      <c r="ES48" s="76">
        <v>32</v>
      </c>
      <c r="ET48" s="76"/>
      <c r="EU48" s="76"/>
      <c r="EV48" s="76"/>
      <c r="EW48" s="76"/>
      <c r="EX48" s="76"/>
      <c r="EY48" s="76"/>
      <c r="EZ48" s="76"/>
      <c r="FA48" s="76"/>
      <c r="FB48" s="76"/>
      <c r="FC48" s="76"/>
      <c r="FD48" s="76"/>
      <c r="FE48" s="76"/>
      <c r="FF48" s="76">
        <v>18</v>
      </c>
      <c r="FG48" s="76">
        <v>31</v>
      </c>
      <c r="FH48" s="76"/>
      <c r="FI48" s="76"/>
      <c r="FJ48" s="76">
        <v>2225</v>
      </c>
      <c r="FK48" s="76"/>
      <c r="FL48" s="76">
        <v>98166</v>
      </c>
      <c r="FM48" s="76">
        <v>22719</v>
      </c>
      <c r="FN48" s="76"/>
      <c r="FO48" s="76"/>
      <c r="FP48" s="76"/>
      <c r="FQ48" s="76"/>
      <c r="FR48" s="76">
        <v>64</v>
      </c>
      <c r="FS48" s="76"/>
      <c r="FT48" s="76"/>
      <c r="FU48" s="76">
        <v>997</v>
      </c>
      <c r="FV48" s="76"/>
      <c r="FW48" s="76"/>
      <c r="FX48" s="76"/>
      <c r="FY48" s="76"/>
      <c r="FZ48" s="76">
        <v>64</v>
      </c>
      <c r="GA48" s="76"/>
      <c r="GB48" s="76"/>
      <c r="GC48" s="76"/>
      <c r="GD48" s="76"/>
      <c r="GE48" s="76"/>
      <c r="GF48" s="76"/>
      <c r="GG48" s="76"/>
      <c r="GH48" s="76"/>
      <c r="GI48" s="76"/>
      <c r="GJ48" s="76"/>
      <c r="GK48" s="76"/>
      <c r="GL48" s="76"/>
      <c r="GM48" s="76"/>
      <c r="GN48" s="76"/>
      <c r="GO48" s="76"/>
      <c r="GP48" s="76"/>
      <c r="GQ48" s="76"/>
      <c r="GR48" s="76"/>
      <c r="GS48" s="76"/>
      <c r="GT48" s="76"/>
      <c r="GU48" s="76"/>
      <c r="GV48" s="76"/>
      <c r="GW48" s="76"/>
      <c r="GX48" s="76"/>
      <c r="GY48" s="76"/>
      <c r="GZ48" s="76"/>
      <c r="HA48" s="76"/>
      <c r="HB48" s="76"/>
      <c r="HC48" s="76"/>
      <c r="HD48" s="76"/>
      <c r="HE48" s="76"/>
      <c r="HF48" s="76"/>
      <c r="HG48" s="76"/>
      <c r="HH48" s="76"/>
      <c r="HI48" s="76"/>
      <c r="HJ48" s="76"/>
      <c r="HK48" s="76"/>
      <c r="HL48" s="76"/>
      <c r="HM48" s="76"/>
      <c r="HN48" s="76"/>
      <c r="HO48" s="76"/>
      <c r="HP48" s="76"/>
      <c r="HQ48" s="76"/>
      <c r="HR48" s="76"/>
      <c r="HS48" s="76"/>
      <c r="HT48" s="76"/>
      <c r="HU48" s="76"/>
      <c r="HV48" s="76">
        <v>124316</v>
      </c>
    </row>
    <row r="49" spans="1:230" x14ac:dyDescent="0.2">
      <c r="A49" s="74" t="s">
        <v>147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7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  <c r="DI49" s="76"/>
      <c r="DJ49" s="76"/>
      <c r="DK49" s="76"/>
      <c r="DL49" s="76"/>
      <c r="DM49" s="76"/>
      <c r="DN49" s="76"/>
      <c r="DO49" s="76"/>
      <c r="DP49" s="76"/>
      <c r="DQ49" s="68"/>
      <c r="DR49" s="76"/>
      <c r="DS49" s="76"/>
      <c r="DT49" s="76"/>
      <c r="DU49" s="76"/>
      <c r="DV49" s="76"/>
      <c r="DW49" s="76"/>
      <c r="DX49" s="76"/>
      <c r="DY49" s="76"/>
      <c r="DZ49" s="76"/>
      <c r="EA49" s="76"/>
      <c r="EB49" s="76"/>
      <c r="EC49" s="76"/>
      <c r="ED49" s="76"/>
      <c r="EE49" s="76"/>
      <c r="EF49" s="76"/>
      <c r="EG49" s="76"/>
      <c r="EH49" s="76"/>
      <c r="EI49" s="76"/>
      <c r="EJ49" s="76"/>
      <c r="EK49" s="76"/>
      <c r="EL49" s="76"/>
      <c r="EM49" s="76"/>
      <c r="EN49" s="76"/>
      <c r="EO49" s="76"/>
      <c r="EP49" s="76"/>
      <c r="EQ49" s="76"/>
      <c r="ER49" s="76"/>
      <c r="ES49" s="76"/>
      <c r="ET49" s="76"/>
      <c r="EU49" s="76"/>
      <c r="EV49" s="76"/>
      <c r="EW49" s="76"/>
      <c r="EX49" s="76"/>
      <c r="EY49" s="76"/>
      <c r="EZ49" s="76"/>
      <c r="FA49" s="76"/>
      <c r="FB49" s="76"/>
      <c r="FC49" s="76"/>
      <c r="FD49" s="76"/>
      <c r="FE49" s="76"/>
      <c r="FF49" s="76"/>
      <c r="FG49" s="76">
        <v>101</v>
      </c>
      <c r="FH49" s="76"/>
      <c r="FI49" s="76"/>
      <c r="FJ49" s="76"/>
      <c r="FK49" s="76"/>
      <c r="FL49" s="76"/>
      <c r="FM49" s="76"/>
      <c r="FN49" s="76">
        <v>25119</v>
      </c>
      <c r="FO49" s="76"/>
      <c r="FP49" s="76"/>
      <c r="FQ49" s="76"/>
      <c r="FR49" s="76"/>
      <c r="FS49" s="76"/>
      <c r="FT49" s="76"/>
      <c r="FU49" s="76">
        <v>169</v>
      </c>
      <c r="FV49" s="76"/>
      <c r="FW49" s="76"/>
      <c r="FX49" s="76"/>
      <c r="FY49" s="76"/>
      <c r="FZ49" s="76"/>
      <c r="GA49" s="76"/>
      <c r="GB49" s="76"/>
      <c r="GC49" s="76"/>
      <c r="GD49" s="76"/>
      <c r="GE49" s="76"/>
      <c r="GF49" s="76"/>
      <c r="GG49" s="76"/>
      <c r="GH49" s="76"/>
      <c r="GI49" s="76"/>
      <c r="GJ49" s="76"/>
      <c r="GK49" s="76"/>
      <c r="GL49" s="76"/>
      <c r="GM49" s="76"/>
      <c r="GN49" s="76"/>
      <c r="GO49" s="76"/>
      <c r="GP49" s="76"/>
      <c r="GQ49" s="76"/>
      <c r="GR49" s="76"/>
      <c r="GS49" s="76"/>
      <c r="GT49" s="76"/>
      <c r="GU49" s="76"/>
      <c r="GV49" s="76"/>
      <c r="GW49" s="76"/>
      <c r="GX49" s="76"/>
      <c r="GY49" s="76"/>
      <c r="GZ49" s="76"/>
      <c r="HA49" s="76"/>
      <c r="HB49" s="76"/>
      <c r="HC49" s="76"/>
      <c r="HD49" s="76"/>
      <c r="HE49" s="76"/>
      <c r="HF49" s="76"/>
      <c r="HG49" s="76"/>
      <c r="HH49" s="76"/>
      <c r="HI49" s="76"/>
      <c r="HJ49" s="76"/>
      <c r="HK49" s="76"/>
      <c r="HL49" s="76"/>
      <c r="HM49" s="76"/>
      <c r="HN49" s="76"/>
      <c r="HO49" s="76"/>
      <c r="HP49" s="76"/>
      <c r="HQ49" s="76"/>
      <c r="HR49" s="76"/>
      <c r="HS49" s="76"/>
      <c r="HT49" s="76"/>
      <c r="HU49" s="76"/>
      <c r="HV49" s="76">
        <v>25389</v>
      </c>
    </row>
    <row r="50" spans="1:230" x14ac:dyDescent="0.2">
      <c r="A50" s="74" t="s">
        <v>148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7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68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76"/>
      <c r="ED50" s="76"/>
      <c r="EE50" s="76"/>
      <c r="EF50" s="76"/>
      <c r="EG50" s="76"/>
      <c r="EH50" s="76"/>
      <c r="EI50" s="76"/>
      <c r="EJ50" s="76"/>
      <c r="EK50" s="76"/>
      <c r="EL50" s="76"/>
      <c r="EM50" s="76"/>
      <c r="EN50" s="76"/>
      <c r="EO50" s="76"/>
      <c r="EP50" s="76"/>
      <c r="EQ50" s="76"/>
      <c r="ER50" s="76"/>
      <c r="ES50" s="76"/>
      <c r="ET50" s="76"/>
      <c r="EU50" s="76"/>
      <c r="EV50" s="76"/>
      <c r="EW50" s="76"/>
      <c r="EX50" s="76"/>
      <c r="EY50" s="76"/>
      <c r="EZ50" s="76"/>
      <c r="FA50" s="76"/>
      <c r="FB50" s="76"/>
      <c r="FC50" s="76"/>
      <c r="FD50" s="76"/>
      <c r="FE50" s="76"/>
      <c r="FF50" s="76"/>
      <c r="FG50" s="76">
        <v>72</v>
      </c>
      <c r="FH50" s="76"/>
      <c r="FI50" s="76"/>
      <c r="FJ50" s="76"/>
      <c r="FK50" s="76"/>
      <c r="FL50" s="76"/>
      <c r="FM50" s="76"/>
      <c r="FN50" s="76"/>
      <c r="FO50" s="76">
        <v>256570</v>
      </c>
      <c r="FP50" s="76"/>
      <c r="FQ50" s="76"/>
      <c r="FR50" s="76"/>
      <c r="FS50" s="76"/>
      <c r="FT50" s="76"/>
      <c r="FU50" s="76">
        <v>1270</v>
      </c>
      <c r="FV50" s="76"/>
      <c r="FW50" s="76"/>
      <c r="FX50" s="76"/>
      <c r="FY50" s="76"/>
      <c r="FZ50" s="76"/>
      <c r="GA50" s="76">
        <v>620</v>
      </c>
      <c r="GB50" s="76"/>
      <c r="GC50" s="76"/>
      <c r="GD50" s="76"/>
      <c r="GE50" s="76"/>
      <c r="GF50" s="76"/>
      <c r="GG50" s="76"/>
      <c r="GH50" s="76"/>
      <c r="GI50" s="76"/>
      <c r="GJ50" s="76"/>
      <c r="GK50" s="76"/>
      <c r="GL50" s="76"/>
      <c r="GM50" s="76"/>
      <c r="GN50" s="76"/>
      <c r="GO50" s="76"/>
      <c r="GP50" s="76"/>
      <c r="GQ50" s="76"/>
      <c r="GR50" s="76"/>
      <c r="GS50" s="76"/>
      <c r="GT50" s="76"/>
      <c r="GU50" s="76"/>
      <c r="GV50" s="76"/>
      <c r="GW50" s="76"/>
      <c r="GX50" s="76"/>
      <c r="GY50" s="76"/>
      <c r="GZ50" s="76"/>
      <c r="HA50" s="76"/>
      <c r="HB50" s="76"/>
      <c r="HC50" s="76"/>
      <c r="HD50" s="76"/>
      <c r="HE50" s="76"/>
      <c r="HF50" s="76"/>
      <c r="HG50" s="76"/>
      <c r="HH50" s="76"/>
      <c r="HI50" s="76"/>
      <c r="HJ50" s="76"/>
      <c r="HK50" s="76"/>
      <c r="HL50" s="76"/>
      <c r="HM50" s="76"/>
      <c r="HN50" s="76"/>
      <c r="HO50" s="76"/>
      <c r="HP50" s="76"/>
      <c r="HQ50" s="76"/>
      <c r="HR50" s="76"/>
      <c r="HS50" s="76"/>
      <c r="HT50" s="76"/>
      <c r="HU50" s="76"/>
      <c r="HV50" s="76">
        <v>258532</v>
      </c>
    </row>
    <row r="51" spans="1:230" x14ac:dyDescent="0.2">
      <c r="A51" s="74" t="s">
        <v>149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7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>
        <v>465</v>
      </c>
      <c r="DK51" s="76"/>
      <c r="DL51" s="76"/>
      <c r="DM51" s="76"/>
      <c r="DN51" s="76"/>
      <c r="DO51" s="76"/>
      <c r="DP51" s="76"/>
      <c r="DQ51" s="68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76"/>
      <c r="ED51" s="76"/>
      <c r="EE51" s="76"/>
      <c r="EF51" s="76"/>
      <c r="EG51" s="76"/>
      <c r="EH51" s="76"/>
      <c r="EI51" s="76"/>
      <c r="EJ51" s="76"/>
      <c r="EK51" s="76"/>
      <c r="EL51" s="76"/>
      <c r="EM51" s="76"/>
      <c r="EN51" s="76"/>
      <c r="EO51" s="76"/>
      <c r="EP51" s="76"/>
      <c r="EQ51" s="76"/>
      <c r="ER51" s="76"/>
      <c r="ES51" s="76"/>
      <c r="ET51" s="76"/>
      <c r="EU51" s="76"/>
      <c r="EV51" s="76"/>
      <c r="EW51" s="76"/>
      <c r="EX51" s="76"/>
      <c r="EY51" s="76"/>
      <c r="EZ51" s="76"/>
      <c r="FA51" s="76"/>
      <c r="FB51" s="76"/>
      <c r="FC51" s="76"/>
      <c r="FD51" s="76"/>
      <c r="FE51" s="76"/>
      <c r="FF51" s="76"/>
      <c r="FG51" s="76">
        <v>87</v>
      </c>
      <c r="FH51" s="76"/>
      <c r="FI51" s="76"/>
      <c r="FJ51" s="76"/>
      <c r="FK51" s="76"/>
      <c r="FL51" s="76"/>
      <c r="FM51" s="76"/>
      <c r="FN51" s="76"/>
      <c r="FO51" s="76"/>
      <c r="FP51" s="76">
        <v>17025</v>
      </c>
      <c r="FQ51" s="76"/>
      <c r="FR51" s="76"/>
      <c r="FS51" s="76"/>
      <c r="FT51" s="76"/>
      <c r="FU51" s="76">
        <v>226</v>
      </c>
      <c r="FV51" s="76"/>
      <c r="FW51" s="76"/>
      <c r="FX51" s="76">
        <v>23</v>
      </c>
      <c r="FY51" s="76"/>
      <c r="FZ51" s="76">
        <v>32</v>
      </c>
      <c r="GA51" s="76"/>
      <c r="GB51" s="76"/>
      <c r="GC51" s="76"/>
      <c r="GD51" s="76"/>
      <c r="GE51" s="76"/>
      <c r="GF51" s="76"/>
      <c r="GG51" s="76"/>
      <c r="GH51" s="76"/>
      <c r="GI51" s="76"/>
      <c r="GJ51" s="76"/>
      <c r="GK51" s="76"/>
      <c r="GL51" s="76"/>
      <c r="GM51" s="76"/>
      <c r="GN51" s="76"/>
      <c r="GO51" s="76"/>
      <c r="GP51" s="76"/>
      <c r="GQ51" s="76"/>
      <c r="GR51" s="76"/>
      <c r="GS51" s="76"/>
      <c r="GT51" s="76"/>
      <c r="GU51" s="76"/>
      <c r="GV51" s="76"/>
      <c r="GW51" s="76"/>
      <c r="GX51" s="76"/>
      <c r="GY51" s="76"/>
      <c r="GZ51" s="76"/>
      <c r="HA51" s="76"/>
      <c r="HB51" s="76"/>
      <c r="HC51" s="76"/>
      <c r="HD51" s="76"/>
      <c r="HE51" s="76"/>
      <c r="HF51" s="76"/>
      <c r="HG51" s="76"/>
      <c r="HH51" s="76"/>
      <c r="HI51" s="76"/>
      <c r="HJ51" s="76"/>
      <c r="HK51" s="76"/>
      <c r="HL51" s="76"/>
      <c r="HM51" s="76"/>
      <c r="HN51" s="76"/>
      <c r="HO51" s="76"/>
      <c r="HP51" s="76"/>
      <c r="HQ51" s="76"/>
      <c r="HR51" s="76"/>
      <c r="HS51" s="76"/>
      <c r="HT51" s="76"/>
      <c r="HU51" s="76"/>
      <c r="HV51" s="76">
        <v>17858</v>
      </c>
    </row>
    <row r="52" spans="1:230" x14ac:dyDescent="0.2">
      <c r="A52" s="74" t="s">
        <v>150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7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68"/>
      <c r="DR52" s="76"/>
      <c r="DS52" s="76"/>
      <c r="DT52" s="76"/>
      <c r="DU52" s="76"/>
      <c r="DV52" s="76"/>
      <c r="DW52" s="76"/>
      <c r="DX52" s="76"/>
      <c r="DY52" s="76"/>
      <c r="DZ52" s="76"/>
      <c r="EA52" s="76"/>
      <c r="EB52" s="76"/>
      <c r="EC52" s="76"/>
      <c r="ED52" s="76"/>
      <c r="EE52" s="76"/>
      <c r="EF52" s="76"/>
      <c r="EG52" s="76"/>
      <c r="EH52" s="76"/>
      <c r="EI52" s="76"/>
      <c r="EJ52" s="76"/>
      <c r="EK52" s="76"/>
      <c r="EL52" s="76"/>
      <c r="EM52" s="76"/>
      <c r="EN52" s="76"/>
      <c r="EO52" s="76"/>
      <c r="EP52" s="76"/>
      <c r="EQ52" s="76"/>
      <c r="ER52" s="76"/>
      <c r="ES52" s="76"/>
      <c r="ET52" s="76"/>
      <c r="EU52" s="76"/>
      <c r="EV52" s="76"/>
      <c r="EW52" s="76"/>
      <c r="EX52" s="76"/>
      <c r="EY52" s="76"/>
      <c r="EZ52" s="76"/>
      <c r="FA52" s="76"/>
      <c r="FB52" s="76"/>
      <c r="FC52" s="76"/>
      <c r="FD52" s="76"/>
      <c r="FE52" s="76"/>
      <c r="FF52" s="76"/>
      <c r="FG52" s="76">
        <v>115</v>
      </c>
      <c r="FH52" s="76"/>
      <c r="FI52" s="76"/>
      <c r="FJ52" s="76"/>
      <c r="FK52" s="76"/>
      <c r="FL52" s="76"/>
      <c r="FM52" s="76"/>
      <c r="FN52" s="76"/>
      <c r="FO52" s="76"/>
      <c r="FP52" s="76"/>
      <c r="FQ52" s="76">
        <v>42809</v>
      </c>
      <c r="FR52" s="76"/>
      <c r="FS52" s="76"/>
      <c r="FT52" s="76"/>
      <c r="FU52" s="76">
        <v>54</v>
      </c>
      <c r="FV52" s="76"/>
      <c r="FW52" s="76"/>
      <c r="FX52" s="76"/>
      <c r="FY52" s="76"/>
      <c r="FZ52" s="76"/>
      <c r="GA52" s="76"/>
      <c r="GB52" s="76"/>
      <c r="GC52" s="76"/>
      <c r="GD52" s="76"/>
      <c r="GE52" s="76"/>
      <c r="GF52" s="76"/>
      <c r="GG52" s="76"/>
      <c r="GH52" s="76"/>
      <c r="GI52" s="76"/>
      <c r="GJ52" s="76"/>
      <c r="GK52" s="76"/>
      <c r="GL52" s="76"/>
      <c r="GM52" s="76"/>
      <c r="GN52" s="76"/>
      <c r="GO52" s="76"/>
      <c r="GP52" s="76"/>
      <c r="GQ52" s="76"/>
      <c r="GR52" s="76"/>
      <c r="GS52" s="76"/>
      <c r="GT52" s="76"/>
      <c r="GU52" s="76"/>
      <c r="GV52" s="76"/>
      <c r="GW52" s="76"/>
      <c r="GX52" s="76"/>
      <c r="GY52" s="76"/>
      <c r="GZ52" s="76"/>
      <c r="HA52" s="76"/>
      <c r="HB52" s="76"/>
      <c r="HC52" s="76"/>
      <c r="HD52" s="76"/>
      <c r="HE52" s="76"/>
      <c r="HF52" s="76"/>
      <c r="HG52" s="76"/>
      <c r="HH52" s="76"/>
      <c r="HI52" s="76"/>
      <c r="HJ52" s="76"/>
      <c r="HK52" s="76"/>
      <c r="HL52" s="76"/>
      <c r="HM52" s="76"/>
      <c r="HN52" s="76"/>
      <c r="HO52" s="76"/>
      <c r="HP52" s="76"/>
      <c r="HQ52" s="76"/>
      <c r="HR52" s="76"/>
      <c r="HS52" s="76"/>
      <c r="HT52" s="76"/>
      <c r="HU52" s="76"/>
      <c r="HV52" s="76">
        <v>42978</v>
      </c>
    </row>
    <row r="53" spans="1:230" x14ac:dyDescent="0.2">
      <c r="A53" s="74" t="s">
        <v>151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7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68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>
        <v>190</v>
      </c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>
        <v>163998</v>
      </c>
      <c r="FS53" s="76"/>
      <c r="FT53" s="76"/>
      <c r="FU53" s="76">
        <v>158</v>
      </c>
      <c r="FV53" s="76"/>
      <c r="FW53" s="76"/>
      <c r="FX53" s="76">
        <v>256</v>
      </c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>
        <v>164602</v>
      </c>
    </row>
    <row r="54" spans="1:230" x14ac:dyDescent="0.2">
      <c r="A54" s="74" t="s">
        <v>152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7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68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>
        <v>11</v>
      </c>
      <c r="EL54" s="76">
        <v>102</v>
      </c>
      <c r="EM54" s="76"/>
      <c r="EN54" s="76"/>
      <c r="EO54" s="76"/>
      <c r="EP54" s="76"/>
      <c r="EQ54" s="76"/>
      <c r="ER54" s="76"/>
      <c r="ES54" s="76">
        <v>39</v>
      </c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>
        <v>547</v>
      </c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>
        <v>146657</v>
      </c>
      <c r="FT54" s="76"/>
      <c r="FU54" s="76">
        <v>319</v>
      </c>
      <c r="FV54" s="76"/>
      <c r="FW54" s="76"/>
      <c r="FX54" s="76">
        <v>1072</v>
      </c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>
        <v>148747</v>
      </c>
    </row>
    <row r="55" spans="1:230" x14ac:dyDescent="0.2">
      <c r="A55" s="74" t="s">
        <v>153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7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68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>
        <v>1145</v>
      </c>
      <c r="FT55" s="76">
        <v>633436</v>
      </c>
      <c r="FU55" s="76">
        <v>10583</v>
      </c>
      <c r="FV55" s="76"/>
      <c r="FW55" s="76"/>
      <c r="FX55" s="76">
        <v>104</v>
      </c>
      <c r="FY55" s="76"/>
      <c r="FZ55" s="76"/>
      <c r="GA55" s="76">
        <v>548</v>
      </c>
      <c r="GB55" s="76"/>
      <c r="GC55" s="76"/>
      <c r="GD55" s="76"/>
      <c r="GE55" s="76"/>
      <c r="GF55" s="76"/>
      <c r="GG55" s="76"/>
      <c r="GH55" s="76"/>
      <c r="GI55" s="76"/>
      <c r="GJ55" s="76"/>
      <c r="GK55" s="76">
        <v>1347</v>
      </c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>
        <v>647163</v>
      </c>
    </row>
    <row r="56" spans="1:230" x14ac:dyDescent="0.2">
      <c r="A56" s="74" t="s">
        <v>154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7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68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>
        <v>168432</v>
      </c>
      <c r="FV56" s="76">
        <v>441426</v>
      </c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>
        <v>609858</v>
      </c>
    </row>
    <row r="57" spans="1:230" x14ac:dyDescent="0.2">
      <c r="A57" s="74" t="s">
        <v>155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7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68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>
        <v>39</v>
      </c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>
        <v>270</v>
      </c>
      <c r="FV57" s="76"/>
      <c r="FW57" s="76">
        <v>214138</v>
      </c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>
        <v>214447</v>
      </c>
    </row>
    <row r="58" spans="1:230" x14ac:dyDescent="0.2">
      <c r="A58" s="74" t="s">
        <v>156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7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68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>
        <v>21</v>
      </c>
      <c r="EC58" s="76"/>
      <c r="ED58" s="76"/>
      <c r="EE58" s="76"/>
      <c r="EF58" s="76"/>
      <c r="EG58" s="76"/>
      <c r="EH58" s="76"/>
      <c r="EI58" s="76"/>
      <c r="EJ58" s="76">
        <v>77</v>
      </c>
      <c r="EK58" s="76"/>
      <c r="EL58" s="76"/>
      <c r="EM58" s="76"/>
      <c r="EN58" s="76"/>
      <c r="EO58" s="76"/>
      <c r="EP58" s="76"/>
      <c r="EQ58" s="76"/>
      <c r="ER58" s="76"/>
      <c r="ES58" s="76">
        <v>63</v>
      </c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>
        <v>7</v>
      </c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>
        <v>859</v>
      </c>
      <c r="FV58" s="76"/>
      <c r="FW58" s="76"/>
      <c r="FX58" s="76">
        <v>5263</v>
      </c>
      <c r="FY58" s="76">
        <v>51112</v>
      </c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>
        <v>57402</v>
      </c>
    </row>
    <row r="59" spans="1:230" x14ac:dyDescent="0.2">
      <c r="A59" s="74" t="s">
        <v>157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7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68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>
        <v>31</v>
      </c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>
        <v>99</v>
      </c>
      <c r="FV59" s="76"/>
      <c r="FW59" s="76"/>
      <c r="FX59" s="76"/>
      <c r="FY59" s="76"/>
      <c r="FZ59" s="76">
        <v>97009</v>
      </c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>
        <v>97139</v>
      </c>
    </row>
    <row r="60" spans="1:230" x14ac:dyDescent="0.2">
      <c r="A60" s="74" t="s">
        <v>158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7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>
        <v>48</v>
      </c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68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>
        <v>1</v>
      </c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>
        <v>82</v>
      </c>
      <c r="EV60" s="76"/>
      <c r="EW60" s="76"/>
      <c r="EX60" s="76"/>
      <c r="EY60" s="76"/>
      <c r="EZ60" s="76">
        <v>2205</v>
      </c>
      <c r="FA60" s="76"/>
      <c r="FB60" s="76"/>
      <c r="FC60" s="76"/>
      <c r="FD60" s="76"/>
      <c r="FE60" s="76"/>
      <c r="FF60" s="76">
        <v>157</v>
      </c>
      <c r="FG60" s="76">
        <v>35</v>
      </c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>
        <v>2336</v>
      </c>
      <c r="FV60" s="76"/>
      <c r="FW60" s="76"/>
      <c r="FX60" s="76">
        <v>64</v>
      </c>
      <c r="FY60" s="76"/>
      <c r="FZ60" s="76"/>
      <c r="GA60" s="76">
        <v>38583</v>
      </c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>
        <v>43511</v>
      </c>
    </row>
    <row r="61" spans="1:230" x14ac:dyDescent="0.2">
      <c r="A61" s="74" t="s">
        <v>159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7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68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>
        <v>112</v>
      </c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>
        <v>1475</v>
      </c>
      <c r="FV61" s="76"/>
      <c r="FW61" s="76"/>
      <c r="FX61" s="76">
        <v>60</v>
      </c>
      <c r="FY61" s="76"/>
      <c r="FZ61" s="76"/>
      <c r="GA61" s="76"/>
      <c r="GB61" s="76">
        <v>103277</v>
      </c>
      <c r="GC61" s="76">
        <v>136478</v>
      </c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>
        <v>241402</v>
      </c>
    </row>
    <row r="62" spans="1:230" x14ac:dyDescent="0.2">
      <c r="A62" s="74" t="s">
        <v>160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7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68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>
        <v>84</v>
      </c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>
        <v>40</v>
      </c>
      <c r="FV62" s="76"/>
      <c r="FW62" s="76"/>
      <c r="FX62" s="76"/>
      <c r="FY62" s="76"/>
      <c r="FZ62" s="76"/>
      <c r="GA62" s="76"/>
      <c r="GB62" s="76"/>
      <c r="GC62" s="76"/>
      <c r="GD62" s="76">
        <v>41678</v>
      </c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>
        <v>41802</v>
      </c>
    </row>
    <row r="63" spans="1:230" x14ac:dyDescent="0.2">
      <c r="A63" s="74" t="s">
        <v>44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7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>
        <v>180</v>
      </c>
      <c r="BS63" s="76">
        <v>126</v>
      </c>
      <c r="BT63" s="76"/>
      <c r="BU63" s="76"/>
      <c r="BV63" s="76"/>
      <c r="BW63" s="76">
        <v>263</v>
      </c>
      <c r="BX63" s="76"/>
      <c r="BY63" s="76">
        <v>164</v>
      </c>
      <c r="BZ63" s="76">
        <v>9</v>
      </c>
      <c r="CA63" s="76">
        <v>25</v>
      </c>
      <c r="CB63" s="76">
        <v>1</v>
      </c>
      <c r="CC63" s="76"/>
      <c r="CD63" s="76"/>
      <c r="CE63" s="76"/>
      <c r="CF63" s="76"/>
      <c r="CG63" s="76"/>
      <c r="CH63" s="76">
        <v>8</v>
      </c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68"/>
      <c r="DR63" s="76">
        <v>636</v>
      </c>
      <c r="DS63" s="76"/>
      <c r="DT63" s="76"/>
      <c r="DU63" s="76"/>
      <c r="DV63" s="76"/>
      <c r="DW63" s="76">
        <v>18</v>
      </c>
      <c r="DX63" s="76"/>
      <c r="DY63" s="76"/>
      <c r="DZ63" s="76">
        <v>279</v>
      </c>
      <c r="EA63" s="76"/>
      <c r="EB63" s="76"/>
      <c r="EC63" s="76"/>
      <c r="ED63" s="76"/>
      <c r="EE63" s="76"/>
      <c r="EF63" s="76"/>
      <c r="EG63" s="76"/>
      <c r="EH63" s="76"/>
      <c r="EI63" s="76"/>
      <c r="EJ63" s="76">
        <v>107</v>
      </c>
      <c r="EK63" s="76"/>
      <c r="EL63" s="76"/>
      <c r="EM63" s="76"/>
      <c r="EN63" s="76"/>
      <c r="EO63" s="76"/>
      <c r="EP63" s="76"/>
      <c r="EQ63" s="76"/>
      <c r="ER63" s="76"/>
      <c r="ES63" s="76">
        <v>211</v>
      </c>
      <c r="ET63" s="76"/>
      <c r="EU63" s="76"/>
      <c r="EV63" s="76"/>
      <c r="EW63" s="76"/>
      <c r="EX63" s="76"/>
      <c r="EY63" s="76"/>
      <c r="EZ63" s="76">
        <v>2</v>
      </c>
      <c r="FA63" s="76">
        <v>437</v>
      </c>
      <c r="FB63" s="76">
        <v>5529</v>
      </c>
      <c r="FC63" s="76"/>
      <c r="FD63" s="76"/>
      <c r="FE63" s="76">
        <v>1</v>
      </c>
      <c r="FF63" s="76"/>
      <c r="FG63" s="76">
        <v>248</v>
      </c>
      <c r="FH63" s="76"/>
      <c r="FI63" s="76">
        <v>2358</v>
      </c>
      <c r="FJ63" s="76">
        <v>38</v>
      </c>
      <c r="FK63" s="76">
        <v>1</v>
      </c>
      <c r="FL63" s="76">
        <v>3517</v>
      </c>
      <c r="FM63" s="76"/>
      <c r="FN63" s="76">
        <v>644</v>
      </c>
      <c r="FO63" s="76">
        <v>483</v>
      </c>
      <c r="FP63" s="76">
        <v>316</v>
      </c>
      <c r="FQ63" s="76">
        <v>24</v>
      </c>
      <c r="FR63" s="76"/>
      <c r="FS63" s="76">
        <v>1612</v>
      </c>
      <c r="FT63" s="76">
        <v>407</v>
      </c>
      <c r="FU63" s="76">
        <v>2113</v>
      </c>
      <c r="FV63" s="76"/>
      <c r="FW63" s="76">
        <v>4548</v>
      </c>
      <c r="FX63" s="76">
        <v>10274</v>
      </c>
      <c r="FY63" s="76">
        <v>1938</v>
      </c>
      <c r="FZ63" s="76">
        <v>6850</v>
      </c>
      <c r="GA63" s="76"/>
      <c r="GB63" s="76"/>
      <c r="GC63" s="76">
        <v>685</v>
      </c>
      <c r="GD63" s="76"/>
      <c r="GE63" s="76">
        <v>749171</v>
      </c>
      <c r="GF63" s="76">
        <v>13756</v>
      </c>
      <c r="GG63" s="76"/>
      <c r="GH63" s="76">
        <v>3694</v>
      </c>
      <c r="GI63" s="76"/>
      <c r="GJ63" s="76">
        <v>685</v>
      </c>
      <c r="GK63" s="76">
        <v>854</v>
      </c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>
        <v>812212</v>
      </c>
    </row>
    <row r="64" spans="1:230" x14ac:dyDescent="0.2">
      <c r="A64" s="74" t="s">
        <v>139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7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68"/>
      <c r="DR64" s="76">
        <v>4</v>
      </c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>
        <v>7</v>
      </c>
      <c r="FH64" s="76"/>
      <c r="FI64" s="76"/>
      <c r="FJ64" s="76"/>
      <c r="FK64" s="76"/>
      <c r="FL64" s="76"/>
      <c r="FM64" s="76"/>
      <c r="FN64" s="76">
        <v>31</v>
      </c>
      <c r="FO64" s="76"/>
      <c r="FP64" s="76"/>
      <c r="FQ64" s="76"/>
      <c r="FR64" s="76"/>
      <c r="FS64" s="76"/>
      <c r="FT64" s="76"/>
      <c r="FU64" s="76">
        <v>147</v>
      </c>
      <c r="FV64" s="76"/>
      <c r="FW64" s="76">
        <v>108</v>
      </c>
      <c r="FX64" s="76">
        <v>13750</v>
      </c>
      <c r="FY64" s="76">
        <v>106</v>
      </c>
      <c r="FZ64" s="76">
        <v>22</v>
      </c>
      <c r="GA64" s="76"/>
      <c r="GB64" s="76"/>
      <c r="GC64" s="76">
        <v>265</v>
      </c>
      <c r="GD64" s="76"/>
      <c r="GE64" s="76"/>
      <c r="GF64" s="76"/>
      <c r="GG64" s="76">
        <v>321103</v>
      </c>
      <c r="GH64" s="76">
        <v>1016</v>
      </c>
      <c r="GI64" s="76"/>
      <c r="GJ64" s="76">
        <v>90</v>
      </c>
      <c r="GK64" s="76">
        <v>2</v>
      </c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>
        <v>336651</v>
      </c>
    </row>
    <row r="65" spans="1:230" x14ac:dyDescent="0.2">
      <c r="A65" s="74" t="s">
        <v>161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7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68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>
        <v>210</v>
      </c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>
        <v>412</v>
      </c>
      <c r="FV65" s="76"/>
      <c r="FW65" s="76"/>
      <c r="FX65" s="76">
        <v>620</v>
      </c>
      <c r="FY65" s="76"/>
      <c r="FZ65" s="76"/>
      <c r="GA65" s="76"/>
      <c r="GB65" s="76"/>
      <c r="GC65" s="76"/>
      <c r="GD65" s="76"/>
      <c r="GE65" s="76"/>
      <c r="GF65" s="76"/>
      <c r="GG65" s="76"/>
      <c r="GH65" s="76">
        <v>132292</v>
      </c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>
        <v>133534</v>
      </c>
    </row>
    <row r="66" spans="1:230" x14ac:dyDescent="0.2">
      <c r="A66" s="74" t="s">
        <v>140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7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68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>
        <v>2</v>
      </c>
      <c r="FV66" s="76"/>
      <c r="FW66" s="76"/>
      <c r="FX66" s="76">
        <v>1510</v>
      </c>
      <c r="FY66" s="76">
        <v>2</v>
      </c>
      <c r="FZ66" s="76"/>
      <c r="GA66" s="76"/>
      <c r="GB66" s="76"/>
      <c r="GC66" s="76">
        <v>1</v>
      </c>
      <c r="GD66" s="76"/>
      <c r="GE66" s="76"/>
      <c r="GF66" s="76"/>
      <c r="GG66" s="76"/>
      <c r="GH66" s="76"/>
      <c r="GI66" s="76">
        <v>189202</v>
      </c>
      <c r="GJ66" s="76">
        <v>2373</v>
      </c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>
        <v>193090</v>
      </c>
    </row>
    <row r="67" spans="1:230" x14ac:dyDescent="0.2">
      <c r="A67" s="74" t="s">
        <v>162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7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68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>
        <v>686</v>
      </c>
      <c r="FV67" s="76"/>
      <c r="FW67" s="76"/>
      <c r="FX67" s="76">
        <v>113</v>
      </c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>
        <v>263952</v>
      </c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>
        <v>264751</v>
      </c>
    </row>
    <row r="68" spans="1:230" x14ac:dyDescent="0.2">
      <c r="A68" s="74" t="s">
        <v>163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7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68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>
        <v>112</v>
      </c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>
        <v>475</v>
      </c>
      <c r="FV68" s="76"/>
      <c r="FW68" s="76"/>
      <c r="FX68" s="76"/>
      <c r="FY68" s="76"/>
      <c r="FZ68" s="76">
        <v>2772</v>
      </c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>
        <v>35951</v>
      </c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>
        <v>39310</v>
      </c>
    </row>
    <row r="69" spans="1:230" x14ac:dyDescent="0.2">
      <c r="A69" s="74" t="s">
        <v>164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7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68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>
        <v>527</v>
      </c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>
        <v>122</v>
      </c>
      <c r="FT69" s="76"/>
      <c r="FU69" s="76">
        <v>375</v>
      </c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>
        <v>79432</v>
      </c>
      <c r="GM69" s="76">
        <v>21763</v>
      </c>
      <c r="GN69" s="76">
        <v>50106</v>
      </c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>
        <v>152325</v>
      </c>
    </row>
    <row r="70" spans="1:230" x14ac:dyDescent="0.2">
      <c r="A70" s="74" t="s">
        <v>165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7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68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>
        <v>71458</v>
      </c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>
        <v>71458</v>
      </c>
    </row>
    <row r="71" spans="1:230" x14ac:dyDescent="0.2">
      <c r="A71" s="74" t="s">
        <v>166</v>
      </c>
      <c r="B71" s="76">
        <v>309</v>
      </c>
      <c r="C71" s="76">
        <v>313</v>
      </c>
      <c r="D71" s="76"/>
      <c r="E71" s="76"/>
      <c r="F71" s="76"/>
      <c r="G71" s="76"/>
      <c r="H71" s="76"/>
      <c r="I71" s="76">
        <v>41</v>
      </c>
      <c r="J71" s="76"/>
      <c r="K71" s="76">
        <v>14913</v>
      </c>
      <c r="L71" s="76">
        <v>332</v>
      </c>
      <c r="M71" s="76"/>
      <c r="N71" s="76"/>
      <c r="O71" s="76"/>
      <c r="P71" s="76"/>
      <c r="Q71" s="76"/>
      <c r="R71" s="76"/>
      <c r="S71" s="76"/>
      <c r="T71" s="76"/>
      <c r="U71" s="77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>
        <v>564</v>
      </c>
      <c r="AR71" s="76"/>
      <c r="AS71" s="76"/>
      <c r="AT71" s="76"/>
      <c r="AU71" s="76"/>
      <c r="AV71" s="76">
        <v>1</v>
      </c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>
        <v>354</v>
      </c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68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>
        <v>633</v>
      </c>
      <c r="HB71" s="76"/>
      <c r="HC71" s="76"/>
      <c r="HD71" s="76"/>
      <c r="HE71" s="76">
        <v>429</v>
      </c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>
        <v>1986</v>
      </c>
      <c r="HV71" s="76">
        <v>19875</v>
      </c>
    </row>
    <row r="72" spans="1:230" x14ac:dyDescent="0.2">
      <c r="A72" s="74" t="s">
        <v>167</v>
      </c>
      <c r="B72" s="76">
        <v>1131</v>
      </c>
      <c r="C72" s="76">
        <v>3836</v>
      </c>
      <c r="D72" s="76">
        <v>14</v>
      </c>
      <c r="E72" s="76"/>
      <c r="F72" s="76"/>
      <c r="G72" s="76"/>
      <c r="H72" s="76"/>
      <c r="I72" s="76">
        <v>627</v>
      </c>
      <c r="J72" s="76"/>
      <c r="K72" s="76">
        <v>10583</v>
      </c>
      <c r="L72" s="76"/>
      <c r="M72" s="76"/>
      <c r="N72" s="76"/>
      <c r="O72" s="76"/>
      <c r="P72" s="76"/>
      <c r="Q72" s="76"/>
      <c r="R72" s="76"/>
      <c r="S72" s="76"/>
      <c r="T72" s="76"/>
      <c r="U72" s="77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>
        <v>500</v>
      </c>
      <c r="AR72" s="76"/>
      <c r="AS72" s="76"/>
      <c r="AT72" s="76"/>
      <c r="AU72" s="76"/>
      <c r="AV72" s="76"/>
      <c r="AW72" s="76">
        <v>195</v>
      </c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>
        <v>321</v>
      </c>
      <c r="BK72" s="76">
        <v>1</v>
      </c>
      <c r="BL72" s="76"/>
      <c r="BM72" s="76">
        <v>2</v>
      </c>
      <c r="BN72" s="76">
        <v>2</v>
      </c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68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>
        <v>3554</v>
      </c>
      <c r="HB72" s="76"/>
      <c r="HC72" s="76"/>
      <c r="HD72" s="76"/>
      <c r="HE72" s="76">
        <v>14799</v>
      </c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>
        <v>3106</v>
      </c>
      <c r="HV72" s="76">
        <v>38671</v>
      </c>
    </row>
    <row r="73" spans="1:230" x14ac:dyDescent="0.2">
      <c r="A73" s="74" t="s">
        <v>168</v>
      </c>
      <c r="B73" s="76">
        <v>409</v>
      </c>
      <c r="C73" s="76">
        <v>20</v>
      </c>
      <c r="D73" s="76"/>
      <c r="E73" s="76"/>
      <c r="F73" s="76"/>
      <c r="G73" s="76"/>
      <c r="H73" s="76"/>
      <c r="I73" s="76"/>
      <c r="J73" s="76"/>
      <c r="K73" s="76">
        <v>680</v>
      </c>
      <c r="L73" s="76"/>
      <c r="M73" s="76"/>
      <c r="N73" s="76">
        <v>5053</v>
      </c>
      <c r="O73" s="76"/>
      <c r="P73" s="76"/>
      <c r="Q73" s="76"/>
      <c r="R73" s="76"/>
      <c r="S73" s="76"/>
      <c r="T73" s="76"/>
      <c r="U73" s="77">
        <v>71</v>
      </c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>
        <v>219</v>
      </c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68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>
        <v>5</v>
      </c>
      <c r="HB73" s="76"/>
      <c r="HC73" s="76"/>
      <c r="HD73" s="76"/>
      <c r="HE73" s="76">
        <v>4364</v>
      </c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>
        <v>590</v>
      </c>
      <c r="HV73" s="76">
        <v>11411</v>
      </c>
    </row>
    <row r="74" spans="1:230" x14ac:dyDescent="0.2">
      <c r="A74" s="74" t="s">
        <v>169</v>
      </c>
      <c r="B74" s="76">
        <v>834</v>
      </c>
      <c r="C74" s="76">
        <v>209</v>
      </c>
      <c r="D74" s="76">
        <v>4</v>
      </c>
      <c r="E74" s="76"/>
      <c r="F74" s="76"/>
      <c r="G74" s="76"/>
      <c r="H74" s="76"/>
      <c r="I74" s="76"/>
      <c r="J74" s="76">
        <v>33482</v>
      </c>
      <c r="K74" s="76"/>
      <c r="L74" s="76">
        <v>1966</v>
      </c>
      <c r="M74" s="76"/>
      <c r="N74" s="76"/>
      <c r="O74" s="76"/>
      <c r="P74" s="76"/>
      <c r="Q74" s="76"/>
      <c r="R74" s="76"/>
      <c r="S74" s="76"/>
      <c r="T74" s="76"/>
      <c r="U74" s="77">
        <v>20193</v>
      </c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>
        <v>1335</v>
      </c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68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>
        <v>1617</v>
      </c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>
        <v>59640</v>
      </c>
    </row>
    <row r="75" spans="1:230" x14ac:dyDescent="0.2">
      <c r="A75" s="74" t="s">
        <v>170</v>
      </c>
      <c r="B75" s="76">
        <v>2286</v>
      </c>
      <c r="C75" s="76">
        <v>194</v>
      </c>
      <c r="D75" s="76">
        <v>1</v>
      </c>
      <c r="E75" s="76"/>
      <c r="F75" s="76"/>
      <c r="G75" s="76"/>
      <c r="H75" s="76"/>
      <c r="I75" s="76">
        <v>559</v>
      </c>
      <c r="J75" s="76"/>
      <c r="K75" s="76">
        <v>32699</v>
      </c>
      <c r="L75" s="76"/>
      <c r="M75" s="76"/>
      <c r="N75" s="76"/>
      <c r="O75" s="76"/>
      <c r="P75" s="76"/>
      <c r="Q75" s="76"/>
      <c r="R75" s="76"/>
      <c r="S75" s="76"/>
      <c r="T75" s="76"/>
      <c r="U75" s="77">
        <v>1622</v>
      </c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>
        <v>9774</v>
      </c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68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>
        <v>101</v>
      </c>
      <c r="HB75" s="76"/>
      <c r="HC75" s="76"/>
      <c r="HD75" s="76"/>
      <c r="HE75" s="76">
        <v>83742</v>
      </c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>
        <v>4828</v>
      </c>
      <c r="HV75" s="76">
        <v>135806</v>
      </c>
    </row>
    <row r="76" spans="1:230" x14ac:dyDescent="0.2">
      <c r="A76" s="74" t="s">
        <v>171</v>
      </c>
      <c r="B76" s="76">
        <v>5027</v>
      </c>
      <c r="C76" s="76">
        <v>1002</v>
      </c>
      <c r="D76" s="76">
        <v>66</v>
      </c>
      <c r="E76" s="76"/>
      <c r="F76" s="76"/>
      <c r="G76" s="76"/>
      <c r="H76" s="76"/>
      <c r="I76" s="76">
        <v>30</v>
      </c>
      <c r="J76" s="76"/>
      <c r="K76" s="76">
        <v>6197</v>
      </c>
      <c r="L76" s="76"/>
      <c r="M76" s="76">
        <v>7289</v>
      </c>
      <c r="N76" s="76"/>
      <c r="O76" s="76"/>
      <c r="P76" s="76"/>
      <c r="Q76" s="76"/>
      <c r="R76" s="76"/>
      <c r="S76" s="76"/>
      <c r="T76" s="76"/>
      <c r="U76" s="77">
        <v>371</v>
      </c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>
        <v>36</v>
      </c>
      <c r="AO76" s="76">
        <v>4</v>
      </c>
      <c r="AP76" s="76"/>
      <c r="AQ76" s="76">
        <v>678</v>
      </c>
      <c r="AR76" s="76"/>
      <c r="AS76" s="76"/>
      <c r="AT76" s="76"/>
      <c r="AU76" s="76"/>
      <c r="AV76" s="76">
        <v>227</v>
      </c>
      <c r="AW76" s="76">
        <v>2639</v>
      </c>
      <c r="AX76" s="76"/>
      <c r="AY76" s="76"/>
      <c r="AZ76" s="76"/>
      <c r="BA76" s="76"/>
      <c r="BB76" s="76"/>
      <c r="BC76" s="76"/>
      <c r="BD76" s="76">
        <v>5</v>
      </c>
      <c r="BE76" s="76"/>
      <c r="BF76" s="76"/>
      <c r="BG76" s="76"/>
      <c r="BH76" s="76">
        <v>150</v>
      </c>
      <c r="BI76" s="76"/>
      <c r="BJ76" s="76">
        <v>631</v>
      </c>
      <c r="BK76" s="76">
        <v>420</v>
      </c>
      <c r="BL76" s="76">
        <v>59</v>
      </c>
      <c r="BM76" s="76">
        <v>404</v>
      </c>
      <c r="BN76" s="76">
        <v>226</v>
      </c>
      <c r="BO76" s="76">
        <v>1</v>
      </c>
      <c r="BP76" s="76">
        <v>297</v>
      </c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68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>
        <v>60904</v>
      </c>
      <c r="HB76" s="76"/>
      <c r="HC76" s="76"/>
      <c r="HD76" s="76">
        <v>39</v>
      </c>
      <c r="HE76" s="76">
        <v>1443</v>
      </c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>
        <v>152</v>
      </c>
      <c r="HV76" s="76">
        <v>88297</v>
      </c>
    </row>
    <row r="77" spans="1:230" x14ac:dyDescent="0.2">
      <c r="A77" s="74" t="s">
        <v>172</v>
      </c>
      <c r="B77" s="76">
        <v>16</v>
      </c>
      <c r="C77" s="76">
        <v>16</v>
      </c>
      <c r="D77" s="76">
        <v>8</v>
      </c>
      <c r="E77" s="76"/>
      <c r="F77" s="76"/>
      <c r="G77" s="76"/>
      <c r="H77" s="76"/>
      <c r="I77" s="76"/>
      <c r="J77" s="76"/>
      <c r="K77" s="76">
        <v>10462</v>
      </c>
      <c r="L77" s="76"/>
      <c r="M77" s="76"/>
      <c r="N77" s="76"/>
      <c r="O77" s="76"/>
      <c r="P77" s="76"/>
      <c r="Q77" s="76"/>
      <c r="R77" s="76"/>
      <c r="S77" s="76"/>
      <c r="T77" s="76"/>
      <c r="U77" s="77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>
        <v>137</v>
      </c>
      <c r="AW77" s="76">
        <v>558</v>
      </c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>
        <v>9</v>
      </c>
      <c r="BK77" s="76">
        <v>7</v>
      </c>
      <c r="BL77" s="76"/>
      <c r="BM77" s="76">
        <v>6</v>
      </c>
      <c r="BN77" s="76"/>
      <c r="BO77" s="76"/>
      <c r="BP77" s="76">
        <v>7</v>
      </c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68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>
        <v>2760</v>
      </c>
      <c r="HB77" s="76"/>
      <c r="HC77" s="76"/>
      <c r="HD77" s="76"/>
      <c r="HE77" s="76">
        <v>47</v>
      </c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>
        <v>257.85113253419195</v>
      </c>
      <c r="HT77" s="76">
        <v>33.148867465808074</v>
      </c>
      <c r="HU77" s="76"/>
      <c r="HV77" s="76">
        <v>14324</v>
      </c>
    </row>
    <row r="78" spans="1:230" x14ac:dyDescent="0.2">
      <c r="A78" s="74" t="s">
        <v>173</v>
      </c>
      <c r="B78" s="76">
        <v>33</v>
      </c>
      <c r="C78" s="76">
        <v>118</v>
      </c>
      <c r="D78" s="76">
        <v>1</v>
      </c>
      <c r="E78" s="76"/>
      <c r="F78" s="76"/>
      <c r="G78" s="76"/>
      <c r="H78" s="76"/>
      <c r="I78" s="76"/>
      <c r="J78" s="76"/>
      <c r="K78" s="76">
        <v>7420</v>
      </c>
      <c r="L78" s="76"/>
      <c r="M78" s="76"/>
      <c r="N78" s="76"/>
      <c r="O78" s="76"/>
      <c r="P78" s="76"/>
      <c r="Q78" s="76"/>
      <c r="R78" s="76"/>
      <c r="S78" s="76"/>
      <c r="T78" s="76"/>
      <c r="U78" s="77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>
        <v>3</v>
      </c>
      <c r="BF78" s="76"/>
      <c r="BG78" s="76"/>
      <c r="BH78" s="76"/>
      <c r="BI78" s="76"/>
      <c r="BJ78" s="76">
        <v>119</v>
      </c>
      <c r="BK78" s="76"/>
      <c r="BL78" s="76"/>
      <c r="BM78" s="76"/>
      <c r="BN78" s="76"/>
      <c r="BO78" s="76"/>
      <c r="BP78" s="76">
        <v>11</v>
      </c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68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>
        <v>465</v>
      </c>
      <c r="HB78" s="76"/>
      <c r="HC78" s="76"/>
      <c r="HD78" s="76"/>
      <c r="HE78" s="76">
        <v>14680</v>
      </c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>
        <v>96.583413904559862</v>
      </c>
      <c r="HT78" s="76">
        <v>12.416586095440138</v>
      </c>
      <c r="HU78" s="76">
        <v>-2248</v>
      </c>
      <c r="HV78" s="76">
        <v>20711</v>
      </c>
    </row>
    <row r="79" spans="1:230" x14ac:dyDescent="0.2">
      <c r="A79" s="74" t="s">
        <v>174</v>
      </c>
      <c r="B79" s="76">
        <v>92</v>
      </c>
      <c r="C79" s="76">
        <v>22</v>
      </c>
      <c r="D79" s="76">
        <v>1</v>
      </c>
      <c r="E79" s="76"/>
      <c r="F79" s="76"/>
      <c r="G79" s="76"/>
      <c r="H79" s="76"/>
      <c r="I79" s="76">
        <v>1</v>
      </c>
      <c r="J79" s="76"/>
      <c r="K79" s="76">
        <v>3424</v>
      </c>
      <c r="L79" s="76">
        <v>23</v>
      </c>
      <c r="M79" s="76"/>
      <c r="N79" s="76"/>
      <c r="O79" s="76"/>
      <c r="P79" s="76"/>
      <c r="Q79" s="76"/>
      <c r="R79" s="76"/>
      <c r="S79" s="76"/>
      <c r="T79" s="76"/>
      <c r="U79" s="77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>
        <v>150</v>
      </c>
      <c r="AR79" s="76"/>
      <c r="AS79" s="76"/>
      <c r="AT79" s="76"/>
      <c r="AU79" s="76"/>
      <c r="AV79" s="76">
        <v>30</v>
      </c>
      <c r="AW79" s="76">
        <v>804</v>
      </c>
      <c r="AX79" s="76"/>
      <c r="AY79" s="76"/>
      <c r="AZ79" s="76"/>
      <c r="BA79" s="76"/>
      <c r="BB79" s="76"/>
      <c r="BC79" s="76"/>
      <c r="BD79" s="76"/>
      <c r="BE79" s="76">
        <v>2</v>
      </c>
      <c r="BF79" s="76"/>
      <c r="BG79" s="76"/>
      <c r="BH79" s="76"/>
      <c r="BI79" s="76"/>
      <c r="BJ79" s="76">
        <v>147</v>
      </c>
      <c r="BK79" s="76">
        <v>99</v>
      </c>
      <c r="BL79" s="76">
        <v>3</v>
      </c>
      <c r="BM79" s="76">
        <v>80</v>
      </c>
      <c r="BN79" s="76">
        <v>31</v>
      </c>
      <c r="BO79" s="76"/>
      <c r="BP79" s="76">
        <v>3</v>
      </c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68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>
        <v>36539</v>
      </c>
      <c r="HB79" s="76"/>
      <c r="HC79" s="76"/>
      <c r="HD79" s="76">
        <v>6</v>
      </c>
      <c r="HE79" s="76">
        <v>1876</v>
      </c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>
        <v>158.60945953134143</v>
      </c>
      <c r="HT79" s="76">
        <v>20.390540468658575</v>
      </c>
      <c r="HU79" s="76"/>
      <c r="HV79" s="76">
        <v>43512</v>
      </c>
    </row>
    <row r="80" spans="1:230" x14ac:dyDescent="0.2">
      <c r="A80" s="74" t="s">
        <v>175</v>
      </c>
      <c r="B80" s="76">
        <v>506</v>
      </c>
      <c r="C80" s="76">
        <v>2262</v>
      </c>
      <c r="D80" s="76">
        <v>12</v>
      </c>
      <c r="E80" s="76"/>
      <c r="F80" s="76"/>
      <c r="G80" s="76"/>
      <c r="H80" s="76"/>
      <c r="I80" s="76">
        <v>58007</v>
      </c>
      <c r="J80" s="76"/>
      <c r="K80" s="76">
        <v>40</v>
      </c>
      <c r="L80" s="76"/>
      <c r="M80" s="76"/>
      <c r="N80" s="76"/>
      <c r="O80" s="76"/>
      <c r="P80" s="76"/>
      <c r="Q80" s="76"/>
      <c r="R80" s="76"/>
      <c r="S80" s="76"/>
      <c r="T80" s="76"/>
      <c r="U80" s="77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>
        <v>7</v>
      </c>
      <c r="BG80" s="76"/>
      <c r="BH80" s="76"/>
      <c r="BI80" s="76"/>
      <c r="BJ80" s="76">
        <v>114</v>
      </c>
      <c r="BK80" s="76">
        <v>61</v>
      </c>
      <c r="BL80" s="76">
        <v>5</v>
      </c>
      <c r="BM80" s="76"/>
      <c r="BN80" s="76">
        <v>111</v>
      </c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68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>
        <v>1116</v>
      </c>
      <c r="HB80" s="76"/>
      <c r="HC80" s="76"/>
      <c r="HD80" s="76"/>
      <c r="HE80" s="76">
        <v>1547</v>
      </c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>
        <v>14293.459171508763</v>
      </c>
      <c r="HT80" s="76">
        <v>1837.5408284912373</v>
      </c>
      <c r="HU80" s="76">
        <v>457</v>
      </c>
      <c r="HV80" s="76">
        <v>80376</v>
      </c>
    </row>
    <row r="81" spans="1:230" x14ac:dyDescent="0.2">
      <c r="A81" s="74" t="s">
        <v>176</v>
      </c>
      <c r="B81" s="76">
        <v>73</v>
      </c>
      <c r="C81" s="76">
        <v>1552</v>
      </c>
      <c r="D81" s="76">
        <v>48</v>
      </c>
      <c r="E81" s="76"/>
      <c r="F81" s="76"/>
      <c r="G81" s="76"/>
      <c r="H81" s="76"/>
      <c r="I81" s="76">
        <v>18895</v>
      </c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7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>
        <v>110</v>
      </c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>
        <v>10</v>
      </c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68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>
        <v>13086</v>
      </c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>
        <v>33774</v>
      </c>
    </row>
    <row r="82" spans="1:230" x14ac:dyDescent="0.2">
      <c r="A82" s="74" t="s">
        <v>177</v>
      </c>
      <c r="B82" s="76">
        <v>48</v>
      </c>
      <c r="C82" s="76">
        <v>256</v>
      </c>
      <c r="D82" s="76">
        <v>2</v>
      </c>
      <c r="E82" s="76"/>
      <c r="F82" s="76"/>
      <c r="G82" s="76"/>
      <c r="H82" s="76"/>
      <c r="I82" s="76">
        <v>9855</v>
      </c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7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68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>
        <v>304</v>
      </c>
      <c r="HB82" s="76"/>
      <c r="HC82" s="76"/>
      <c r="HD82" s="76"/>
      <c r="HE82" s="76">
        <v>13</v>
      </c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>
        <v>42.532145572650215</v>
      </c>
      <c r="HT82" s="76">
        <v>5.4678544273497858</v>
      </c>
      <c r="HU82" s="76"/>
      <c r="HV82" s="76">
        <v>10526</v>
      </c>
    </row>
    <row r="83" spans="1:230" x14ac:dyDescent="0.2">
      <c r="A83" s="74" t="s">
        <v>178</v>
      </c>
      <c r="B83" s="76">
        <v>124</v>
      </c>
      <c r="C83" s="76">
        <v>2875</v>
      </c>
      <c r="D83" s="76">
        <v>2</v>
      </c>
      <c r="E83" s="76"/>
      <c r="F83" s="76"/>
      <c r="G83" s="76"/>
      <c r="H83" s="76"/>
      <c r="I83" s="76">
        <v>14006</v>
      </c>
      <c r="J83" s="76"/>
      <c r="K83" s="76">
        <v>2053</v>
      </c>
      <c r="L83" s="76"/>
      <c r="M83" s="76"/>
      <c r="N83" s="76"/>
      <c r="O83" s="76"/>
      <c r="P83" s="76"/>
      <c r="Q83" s="76"/>
      <c r="R83" s="76"/>
      <c r="S83" s="76"/>
      <c r="T83" s="76"/>
      <c r="U83" s="77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>
        <v>9</v>
      </c>
      <c r="AR83" s="76"/>
      <c r="AS83" s="76"/>
      <c r="AT83" s="76"/>
      <c r="AU83" s="76"/>
      <c r="AV83" s="76">
        <v>379</v>
      </c>
      <c r="AW83" s="76">
        <v>1713</v>
      </c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>
        <v>54</v>
      </c>
      <c r="BK83" s="76">
        <v>45</v>
      </c>
      <c r="BL83" s="76">
        <v>11</v>
      </c>
      <c r="BM83" s="76">
        <v>49</v>
      </c>
      <c r="BN83" s="76">
        <v>17</v>
      </c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68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>
        <v>11686</v>
      </c>
      <c r="HB83" s="76"/>
      <c r="HC83" s="76"/>
      <c r="HD83" s="76">
        <v>2</v>
      </c>
      <c r="HE83" s="76">
        <v>725</v>
      </c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>
        <v>94.81124117236611</v>
      </c>
      <c r="HT83" s="76">
        <v>12.188758827633897</v>
      </c>
      <c r="HU83" s="76">
        <v>27</v>
      </c>
      <c r="HV83" s="76">
        <v>33884</v>
      </c>
    </row>
    <row r="84" spans="1:230" x14ac:dyDescent="0.2">
      <c r="A84" s="74" t="s">
        <v>196</v>
      </c>
      <c r="B84" s="76">
        <v>1737</v>
      </c>
      <c r="C84" s="76">
        <v>1958</v>
      </c>
      <c r="D84" s="76">
        <v>2304</v>
      </c>
      <c r="E84" s="76">
        <v>2</v>
      </c>
      <c r="F84" s="76"/>
      <c r="G84" s="76"/>
      <c r="H84" s="76"/>
      <c r="I84" s="76">
        <v>392</v>
      </c>
      <c r="J84" s="76"/>
      <c r="K84" s="76">
        <v>261</v>
      </c>
      <c r="L84" s="76">
        <v>1</v>
      </c>
      <c r="M84" s="76">
        <v>5</v>
      </c>
      <c r="N84" s="76">
        <v>52</v>
      </c>
      <c r="O84" s="76">
        <v>14</v>
      </c>
      <c r="P84" s="76">
        <v>19</v>
      </c>
      <c r="Q84" s="76">
        <v>2993</v>
      </c>
      <c r="R84" s="76">
        <v>4774</v>
      </c>
      <c r="S84" s="76"/>
      <c r="T84" s="76"/>
      <c r="U84" s="77">
        <v>2</v>
      </c>
      <c r="V84" s="76">
        <v>205</v>
      </c>
      <c r="W84" s="76"/>
      <c r="X84" s="76"/>
      <c r="Y84" s="76"/>
      <c r="Z84" s="76">
        <v>1331</v>
      </c>
      <c r="AA84" s="76">
        <v>68</v>
      </c>
      <c r="AB84" s="76">
        <v>931</v>
      </c>
      <c r="AC84" s="76"/>
      <c r="AD84" s="76">
        <v>13</v>
      </c>
      <c r="AE84" s="76"/>
      <c r="AF84" s="76"/>
      <c r="AG84" s="76"/>
      <c r="AH84" s="76"/>
      <c r="AI84" s="76"/>
      <c r="AJ84" s="76"/>
      <c r="AK84" s="76">
        <v>3</v>
      </c>
      <c r="AL84" s="76"/>
      <c r="AM84" s="76"/>
      <c r="AN84" s="76"/>
      <c r="AO84" s="76">
        <v>982</v>
      </c>
      <c r="AP84" s="76"/>
      <c r="AQ84" s="76">
        <v>372</v>
      </c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>
        <v>4</v>
      </c>
      <c r="BF84" s="76"/>
      <c r="BG84" s="76"/>
      <c r="BH84" s="76"/>
      <c r="BI84" s="76"/>
      <c r="BJ84" s="76">
        <v>10</v>
      </c>
      <c r="BK84" s="76">
        <v>7</v>
      </c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68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>
        <v>9826</v>
      </c>
      <c r="HB84" s="76"/>
      <c r="HC84" s="76"/>
      <c r="HD84" s="76"/>
      <c r="HE84" s="76">
        <v>2207</v>
      </c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>
        <v>1022.5436664757989</v>
      </c>
      <c r="HT84" s="76">
        <v>131.45633352420109</v>
      </c>
      <c r="HU84" s="76">
        <v>16</v>
      </c>
      <c r="HV84" s="76">
        <v>31643</v>
      </c>
    </row>
    <row r="85" spans="1:230" x14ac:dyDescent="0.2">
      <c r="A85" s="74" t="s">
        <v>179</v>
      </c>
      <c r="B85" s="76">
        <v>33</v>
      </c>
      <c r="C85" s="76">
        <v>37</v>
      </c>
      <c r="D85" s="76">
        <v>726</v>
      </c>
      <c r="E85" s="76"/>
      <c r="F85" s="76"/>
      <c r="G85" s="76"/>
      <c r="H85" s="76"/>
      <c r="I85" s="76">
        <v>1957</v>
      </c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7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>
        <v>66</v>
      </c>
      <c r="AW85" s="76">
        <v>789</v>
      </c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>
        <v>96</v>
      </c>
      <c r="BK85" s="76">
        <v>97</v>
      </c>
      <c r="BL85" s="76">
        <v>13</v>
      </c>
      <c r="BM85" s="76">
        <v>96</v>
      </c>
      <c r="BN85" s="76">
        <v>31</v>
      </c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68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>
        <v>16688</v>
      </c>
      <c r="HB85" s="76"/>
      <c r="HC85" s="76"/>
      <c r="HD85" s="76">
        <v>4</v>
      </c>
      <c r="HE85" s="76">
        <v>557</v>
      </c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>
        <v>21190</v>
      </c>
    </row>
    <row r="86" spans="1:230" x14ac:dyDescent="0.2">
      <c r="A86" s="74" t="s">
        <v>197</v>
      </c>
      <c r="B86" s="76"/>
      <c r="C86" s="76"/>
      <c r="D86" s="76"/>
      <c r="E86" s="76"/>
      <c r="F86" s="76"/>
      <c r="G86" s="76"/>
      <c r="H86" s="76">
        <v>8</v>
      </c>
      <c r="I86" s="76">
        <v>11</v>
      </c>
      <c r="J86" s="76"/>
      <c r="K86" s="76">
        <v>10</v>
      </c>
      <c r="L86" s="76"/>
      <c r="M86" s="76"/>
      <c r="N86" s="76"/>
      <c r="O86" s="76"/>
      <c r="P86" s="76"/>
      <c r="Q86" s="76"/>
      <c r="R86" s="76"/>
      <c r="S86" s="76"/>
      <c r="T86" s="76">
        <v>49</v>
      </c>
      <c r="U86" s="77"/>
      <c r="V86" s="76">
        <v>96</v>
      </c>
      <c r="W86" s="76"/>
      <c r="X86" s="76"/>
      <c r="Y86" s="76"/>
      <c r="Z86" s="76"/>
      <c r="AA86" s="76">
        <v>6</v>
      </c>
      <c r="AB86" s="76">
        <v>9957</v>
      </c>
      <c r="AC86" s="76">
        <v>585</v>
      </c>
      <c r="AD86" s="76"/>
      <c r="AE86" s="76"/>
      <c r="AF86" s="76"/>
      <c r="AG86" s="76"/>
      <c r="AH86" s="76"/>
      <c r="AI86" s="76">
        <v>82</v>
      </c>
      <c r="AJ86" s="76"/>
      <c r="AK86" s="76"/>
      <c r="AL86" s="76"/>
      <c r="AM86" s="76">
        <v>2594</v>
      </c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>
        <v>9</v>
      </c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68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>
        <v>200</v>
      </c>
      <c r="HV86" s="76">
        <v>13607</v>
      </c>
    </row>
    <row r="87" spans="1:230" x14ac:dyDescent="0.2">
      <c r="A87" s="74" t="s">
        <v>198</v>
      </c>
      <c r="B87" s="76">
        <v>71</v>
      </c>
      <c r="C87" s="76">
        <v>525</v>
      </c>
      <c r="D87" s="76">
        <v>16</v>
      </c>
      <c r="E87" s="76">
        <v>397</v>
      </c>
      <c r="F87" s="76">
        <v>1015</v>
      </c>
      <c r="G87" s="76"/>
      <c r="H87" s="76"/>
      <c r="I87" s="76">
        <v>69</v>
      </c>
      <c r="J87" s="76">
        <v>16</v>
      </c>
      <c r="K87" s="76">
        <v>383</v>
      </c>
      <c r="L87" s="76"/>
      <c r="M87" s="76"/>
      <c r="N87" s="76"/>
      <c r="O87" s="76"/>
      <c r="P87" s="76"/>
      <c r="Q87" s="76"/>
      <c r="R87" s="76">
        <v>4</v>
      </c>
      <c r="S87" s="76"/>
      <c r="T87" s="76"/>
      <c r="U87" s="77">
        <v>327</v>
      </c>
      <c r="V87" s="76">
        <v>4571</v>
      </c>
      <c r="W87" s="76">
        <v>99</v>
      </c>
      <c r="X87" s="76"/>
      <c r="Y87" s="76"/>
      <c r="Z87" s="76"/>
      <c r="AA87" s="76">
        <v>6977</v>
      </c>
      <c r="AB87" s="76">
        <v>572</v>
      </c>
      <c r="AC87" s="76">
        <v>373</v>
      </c>
      <c r="AD87" s="76">
        <v>1</v>
      </c>
      <c r="AE87" s="76"/>
      <c r="AF87" s="76">
        <v>52</v>
      </c>
      <c r="AG87" s="76"/>
      <c r="AH87" s="76"/>
      <c r="AI87" s="76">
        <v>39</v>
      </c>
      <c r="AJ87" s="76"/>
      <c r="AK87" s="76">
        <v>42</v>
      </c>
      <c r="AL87" s="76"/>
      <c r="AM87" s="76"/>
      <c r="AN87" s="76">
        <v>552</v>
      </c>
      <c r="AO87" s="76">
        <v>9146</v>
      </c>
      <c r="AP87" s="76"/>
      <c r="AQ87" s="76">
        <v>101</v>
      </c>
      <c r="AR87" s="76"/>
      <c r="AS87" s="76"/>
      <c r="AT87" s="76"/>
      <c r="AU87" s="76">
        <v>6</v>
      </c>
      <c r="AV87" s="76"/>
      <c r="AW87" s="76"/>
      <c r="AX87" s="76"/>
      <c r="AY87" s="76"/>
      <c r="AZ87" s="76"/>
      <c r="BA87" s="76"/>
      <c r="BB87" s="76"/>
      <c r="BC87" s="76">
        <v>529</v>
      </c>
      <c r="BD87" s="76"/>
      <c r="BE87" s="76"/>
      <c r="BF87" s="76"/>
      <c r="BG87" s="76"/>
      <c r="BH87" s="76"/>
      <c r="BI87" s="76"/>
      <c r="BJ87" s="76">
        <v>88</v>
      </c>
      <c r="BK87" s="76">
        <v>23</v>
      </c>
      <c r="BL87" s="76"/>
      <c r="BM87" s="76">
        <v>5</v>
      </c>
      <c r="BN87" s="76">
        <v>1</v>
      </c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68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>
        <v>1990</v>
      </c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>
        <v>-372</v>
      </c>
      <c r="HV87" s="76">
        <v>27618</v>
      </c>
    </row>
    <row r="88" spans="1:230" x14ac:dyDescent="0.2">
      <c r="A88" s="74" t="s">
        <v>199</v>
      </c>
      <c r="B88" s="76"/>
      <c r="C88" s="76"/>
      <c r="D88" s="76"/>
      <c r="E88" s="76">
        <v>1</v>
      </c>
      <c r="F88" s="76">
        <v>7507</v>
      </c>
      <c r="G88" s="76">
        <v>75</v>
      </c>
      <c r="H88" s="76">
        <v>15</v>
      </c>
      <c r="I88" s="76">
        <v>49</v>
      </c>
      <c r="J88" s="76"/>
      <c r="K88" s="76">
        <v>503</v>
      </c>
      <c r="L88" s="76">
        <v>95</v>
      </c>
      <c r="M88" s="76"/>
      <c r="N88" s="76">
        <v>80</v>
      </c>
      <c r="O88" s="76"/>
      <c r="P88" s="76"/>
      <c r="Q88" s="76">
        <v>30</v>
      </c>
      <c r="R88" s="76">
        <v>429</v>
      </c>
      <c r="S88" s="76"/>
      <c r="T88" s="76">
        <v>81439</v>
      </c>
      <c r="U88" s="77"/>
      <c r="V88" s="76">
        <v>1203</v>
      </c>
      <c r="W88" s="76">
        <v>46</v>
      </c>
      <c r="X88" s="76">
        <v>17</v>
      </c>
      <c r="Y88" s="76">
        <v>22</v>
      </c>
      <c r="Z88" s="76">
        <v>53</v>
      </c>
      <c r="AA88" s="76">
        <v>356</v>
      </c>
      <c r="AB88" s="76">
        <v>210</v>
      </c>
      <c r="AC88" s="76">
        <v>187</v>
      </c>
      <c r="AD88" s="76">
        <v>241</v>
      </c>
      <c r="AE88" s="76"/>
      <c r="AF88" s="76">
        <v>13</v>
      </c>
      <c r="AG88" s="76">
        <v>9</v>
      </c>
      <c r="AH88" s="76">
        <v>50</v>
      </c>
      <c r="AI88" s="76">
        <v>104</v>
      </c>
      <c r="AJ88" s="76"/>
      <c r="AK88" s="76"/>
      <c r="AL88" s="76"/>
      <c r="AM88" s="76">
        <v>9552</v>
      </c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>
        <v>67</v>
      </c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68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>
        <v>53194</v>
      </c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>
        <v>4233.7206572108898</v>
      </c>
      <c r="HT88" s="76">
        <v>544.27934278910993</v>
      </c>
      <c r="HU88" s="76">
        <v>-4879</v>
      </c>
      <c r="HV88" s="76">
        <v>155446</v>
      </c>
    </row>
    <row r="89" spans="1:230" x14ac:dyDescent="0.2">
      <c r="A89" s="74" t="s">
        <v>200</v>
      </c>
      <c r="B89" s="76"/>
      <c r="C89" s="76"/>
      <c r="D89" s="76"/>
      <c r="E89" s="76"/>
      <c r="F89" s="76"/>
      <c r="G89" s="76">
        <v>1340</v>
      </c>
      <c r="H89" s="76">
        <v>31</v>
      </c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7"/>
      <c r="V89" s="76"/>
      <c r="W89" s="76"/>
      <c r="X89" s="76"/>
      <c r="Y89" s="76"/>
      <c r="Z89" s="76"/>
      <c r="AA89" s="76">
        <v>113</v>
      </c>
      <c r="AB89" s="76">
        <v>15168</v>
      </c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>
        <v>5</v>
      </c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68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>
        <v>61210</v>
      </c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>
        <v>3324</v>
      </c>
      <c r="HV89" s="76">
        <v>81191</v>
      </c>
    </row>
    <row r="90" spans="1:230" x14ac:dyDescent="0.2">
      <c r="A90" s="74" t="s">
        <v>201</v>
      </c>
      <c r="B90" s="76"/>
      <c r="C90" s="76"/>
      <c r="D90" s="76"/>
      <c r="E90" s="76"/>
      <c r="F90" s="76">
        <v>96</v>
      </c>
      <c r="G90" s="76">
        <v>16</v>
      </c>
      <c r="H90" s="76">
        <v>1599</v>
      </c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7"/>
      <c r="V90" s="76"/>
      <c r="W90" s="76"/>
      <c r="X90" s="76"/>
      <c r="Y90" s="76"/>
      <c r="Z90" s="76"/>
      <c r="AA90" s="76">
        <v>53</v>
      </c>
      <c r="AB90" s="76">
        <v>2597</v>
      </c>
      <c r="AC90" s="76">
        <v>9734</v>
      </c>
      <c r="AD90" s="76"/>
      <c r="AE90" s="76"/>
      <c r="AF90" s="76"/>
      <c r="AG90" s="76"/>
      <c r="AH90" s="76"/>
      <c r="AI90" s="76">
        <v>15</v>
      </c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>
        <v>1</v>
      </c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68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>
        <v>10200</v>
      </c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>
        <v>-464</v>
      </c>
      <c r="HV90" s="76">
        <v>23847</v>
      </c>
    </row>
    <row r="91" spans="1:230" x14ac:dyDescent="0.2">
      <c r="A91" s="74" t="s">
        <v>180</v>
      </c>
      <c r="B91" s="76">
        <v>8</v>
      </c>
      <c r="C91" s="76">
        <v>2333</v>
      </c>
      <c r="D91" s="76">
        <v>1</v>
      </c>
      <c r="E91" s="76"/>
      <c r="F91" s="76"/>
      <c r="G91" s="76"/>
      <c r="H91" s="76"/>
      <c r="I91" s="76">
        <v>4899</v>
      </c>
      <c r="J91" s="76"/>
      <c r="K91" s="76">
        <v>600</v>
      </c>
      <c r="L91" s="76"/>
      <c r="M91" s="76"/>
      <c r="N91" s="76"/>
      <c r="O91" s="76"/>
      <c r="P91" s="76">
        <v>2395</v>
      </c>
      <c r="Q91" s="76"/>
      <c r="R91" s="76"/>
      <c r="S91" s="76"/>
      <c r="T91" s="76"/>
      <c r="U91" s="77">
        <v>829</v>
      </c>
      <c r="V91" s="76"/>
      <c r="W91" s="76"/>
      <c r="X91" s="76">
        <v>2316</v>
      </c>
      <c r="Y91" s="76"/>
      <c r="Z91" s="76"/>
      <c r="AA91" s="76"/>
      <c r="AB91" s="76"/>
      <c r="AC91" s="76"/>
      <c r="AD91" s="76">
        <v>80</v>
      </c>
      <c r="AE91" s="76"/>
      <c r="AF91" s="76"/>
      <c r="AG91" s="76"/>
      <c r="AH91" s="76"/>
      <c r="AI91" s="76"/>
      <c r="AJ91" s="76"/>
      <c r="AK91" s="76">
        <v>1</v>
      </c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>
        <v>363</v>
      </c>
      <c r="AW91" s="76">
        <v>16042</v>
      </c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>
        <v>1324</v>
      </c>
      <c r="BK91" s="76">
        <v>1153</v>
      </c>
      <c r="BL91" s="76">
        <v>198</v>
      </c>
      <c r="BM91" s="76">
        <v>1110</v>
      </c>
      <c r="BN91" s="76">
        <v>573</v>
      </c>
      <c r="BO91" s="76">
        <v>3</v>
      </c>
      <c r="BP91" s="76">
        <v>125</v>
      </c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68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>
        <v>130078</v>
      </c>
      <c r="HB91" s="76"/>
      <c r="HC91" s="76"/>
      <c r="HD91" s="76">
        <v>140</v>
      </c>
      <c r="HE91" s="76">
        <v>24095</v>
      </c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>
        <v>205</v>
      </c>
      <c r="HV91" s="76">
        <v>188871</v>
      </c>
    </row>
    <row r="92" spans="1:230" x14ac:dyDescent="0.2">
      <c r="A92" s="74" t="s">
        <v>181</v>
      </c>
      <c r="B92" s="76"/>
      <c r="C92" s="76"/>
      <c r="D92" s="76"/>
      <c r="E92" s="76"/>
      <c r="F92" s="76"/>
      <c r="G92" s="76"/>
      <c r="H92" s="76"/>
      <c r="I92" s="76">
        <v>4481</v>
      </c>
      <c r="J92" s="76"/>
      <c r="K92" s="76">
        <v>2</v>
      </c>
      <c r="L92" s="76"/>
      <c r="M92" s="76"/>
      <c r="N92" s="76"/>
      <c r="O92" s="76"/>
      <c r="P92" s="76"/>
      <c r="Q92" s="76"/>
      <c r="R92" s="76"/>
      <c r="S92" s="76"/>
      <c r="T92" s="76"/>
      <c r="U92" s="77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>
        <v>10</v>
      </c>
      <c r="AW92" s="76">
        <v>950</v>
      </c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>
        <v>26</v>
      </c>
      <c r="BK92" s="76">
        <v>26</v>
      </c>
      <c r="BL92" s="76">
        <v>3</v>
      </c>
      <c r="BM92" s="76">
        <v>27</v>
      </c>
      <c r="BN92" s="76">
        <v>50</v>
      </c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68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>
        <v>8913</v>
      </c>
      <c r="HB92" s="76"/>
      <c r="HC92" s="76"/>
      <c r="HD92" s="76"/>
      <c r="HE92" s="76">
        <v>4675</v>
      </c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>
        <v>-100</v>
      </c>
      <c r="HV92" s="76">
        <v>19063</v>
      </c>
    </row>
    <row r="93" spans="1:230" x14ac:dyDescent="0.2">
      <c r="A93" s="74" t="s">
        <v>182</v>
      </c>
      <c r="B93" s="76"/>
      <c r="C93" s="76"/>
      <c r="D93" s="76"/>
      <c r="E93" s="76"/>
      <c r="F93" s="76"/>
      <c r="G93" s="76"/>
      <c r="H93" s="76"/>
      <c r="I93" s="76">
        <v>3397</v>
      </c>
      <c r="J93" s="76"/>
      <c r="K93" s="76">
        <v>42</v>
      </c>
      <c r="L93" s="76"/>
      <c r="M93" s="76"/>
      <c r="N93" s="76"/>
      <c r="O93" s="76"/>
      <c r="P93" s="76"/>
      <c r="Q93" s="76"/>
      <c r="R93" s="76"/>
      <c r="S93" s="76"/>
      <c r="T93" s="76"/>
      <c r="U93" s="77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>
        <v>461</v>
      </c>
      <c r="AR93" s="76"/>
      <c r="AS93" s="76"/>
      <c r="AT93" s="76"/>
      <c r="AU93" s="76"/>
      <c r="AV93" s="76">
        <v>43</v>
      </c>
      <c r="AW93" s="76">
        <v>4093</v>
      </c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>
        <v>262</v>
      </c>
      <c r="BK93" s="76">
        <v>254</v>
      </c>
      <c r="BL93" s="76">
        <v>46</v>
      </c>
      <c r="BM93" s="76">
        <v>250</v>
      </c>
      <c r="BN93" s="76">
        <v>142</v>
      </c>
      <c r="BO93" s="76"/>
      <c r="BP93" s="76">
        <v>39</v>
      </c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68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>
        <v>39978</v>
      </c>
      <c r="HB93" s="76"/>
      <c r="HC93" s="76"/>
      <c r="HD93" s="76"/>
      <c r="HE93" s="76">
        <v>23963</v>
      </c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>
        <v>70</v>
      </c>
      <c r="HV93" s="76">
        <v>73040</v>
      </c>
    </row>
    <row r="94" spans="1:230" x14ac:dyDescent="0.2">
      <c r="A94" s="74" t="s">
        <v>183</v>
      </c>
      <c r="B94" s="76"/>
      <c r="C94" s="76"/>
      <c r="D94" s="76"/>
      <c r="E94" s="76"/>
      <c r="F94" s="76"/>
      <c r="G94" s="76"/>
      <c r="H94" s="76"/>
      <c r="I94" s="76"/>
      <c r="J94" s="76"/>
      <c r="K94" s="76">
        <v>23</v>
      </c>
      <c r="L94" s="76"/>
      <c r="M94" s="76"/>
      <c r="N94" s="76"/>
      <c r="O94" s="76"/>
      <c r="P94" s="76"/>
      <c r="Q94" s="76"/>
      <c r="R94" s="76"/>
      <c r="S94" s="76"/>
      <c r="T94" s="76"/>
      <c r="U94" s="77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>
        <v>15</v>
      </c>
      <c r="AW94" s="76">
        <v>1182</v>
      </c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>
        <v>56</v>
      </c>
      <c r="BK94" s="76">
        <v>55</v>
      </c>
      <c r="BL94" s="76">
        <v>3</v>
      </c>
      <c r="BM94" s="76">
        <v>57</v>
      </c>
      <c r="BN94" s="76">
        <v>12</v>
      </c>
      <c r="BO94" s="76"/>
      <c r="BP94" s="76">
        <v>7</v>
      </c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68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>
        <v>9120</v>
      </c>
      <c r="HB94" s="76"/>
      <c r="HC94" s="76"/>
      <c r="HD94" s="76"/>
      <c r="HE94" s="76">
        <v>672</v>
      </c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>
        <v>-301</v>
      </c>
      <c r="HV94" s="76">
        <v>10901</v>
      </c>
    </row>
    <row r="95" spans="1:230" x14ac:dyDescent="0.2">
      <c r="A95" s="74" t="s">
        <v>184</v>
      </c>
      <c r="B95" s="76"/>
      <c r="C95" s="76"/>
      <c r="D95" s="76"/>
      <c r="E95" s="76"/>
      <c r="F95" s="76"/>
      <c r="G95" s="76"/>
      <c r="H95" s="76"/>
      <c r="I95" s="76">
        <v>9336</v>
      </c>
      <c r="J95" s="76"/>
      <c r="K95" s="76">
        <v>206</v>
      </c>
      <c r="L95" s="76"/>
      <c r="M95" s="76"/>
      <c r="N95" s="76"/>
      <c r="O95" s="76"/>
      <c r="P95" s="76"/>
      <c r="Q95" s="76"/>
      <c r="R95" s="76"/>
      <c r="S95" s="76"/>
      <c r="T95" s="76"/>
      <c r="U95" s="77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>
        <v>119</v>
      </c>
      <c r="AW95" s="76">
        <v>492</v>
      </c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>
        <v>727</v>
      </c>
      <c r="BK95" s="76">
        <v>337</v>
      </c>
      <c r="BL95" s="76">
        <v>40</v>
      </c>
      <c r="BM95" s="76">
        <v>323</v>
      </c>
      <c r="BN95" s="76">
        <v>184</v>
      </c>
      <c r="BO95" s="76"/>
      <c r="BP95" s="76">
        <v>6</v>
      </c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68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>
        <v>17978</v>
      </c>
      <c r="HB95" s="76"/>
      <c r="HC95" s="76"/>
      <c r="HD95" s="76">
        <v>13</v>
      </c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>
        <v>-97</v>
      </c>
      <c r="HV95" s="76">
        <v>29664</v>
      </c>
    </row>
    <row r="96" spans="1:230" x14ac:dyDescent="0.2">
      <c r="A96" s="74" t="s">
        <v>185</v>
      </c>
      <c r="B96" s="76"/>
      <c r="C96" s="76"/>
      <c r="D96" s="76"/>
      <c r="E96" s="76"/>
      <c r="F96" s="76"/>
      <c r="G96" s="76"/>
      <c r="H96" s="76"/>
      <c r="I96" s="76">
        <v>6494</v>
      </c>
      <c r="J96" s="76"/>
      <c r="K96" s="76">
        <v>2131</v>
      </c>
      <c r="L96" s="76"/>
      <c r="M96" s="76"/>
      <c r="N96" s="76"/>
      <c r="O96" s="76"/>
      <c r="P96" s="76"/>
      <c r="Q96" s="76"/>
      <c r="R96" s="76"/>
      <c r="S96" s="76"/>
      <c r="T96" s="76"/>
      <c r="U96" s="77"/>
      <c r="V96" s="76"/>
      <c r="W96" s="76">
        <v>15</v>
      </c>
      <c r="X96" s="76"/>
      <c r="Y96" s="76">
        <v>2</v>
      </c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>
        <v>17</v>
      </c>
      <c r="AR96" s="76"/>
      <c r="AS96" s="76"/>
      <c r="AT96" s="76"/>
      <c r="AU96" s="76"/>
      <c r="AV96" s="76">
        <v>107</v>
      </c>
      <c r="AW96" s="76">
        <v>1889</v>
      </c>
      <c r="AX96" s="76"/>
      <c r="AY96" s="76"/>
      <c r="AZ96" s="76"/>
      <c r="BA96" s="76"/>
      <c r="BB96" s="76"/>
      <c r="BC96" s="76"/>
      <c r="BD96" s="76"/>
      <c r="BE96" s="76">
        <v>1</v>
      </c>
      <c r="BF96" s="76"/>
      <c r="BG96" s="76"/>
      <c r="BH96" s="76"/>
      <c r="BI96" s="76"/>
      <c r="BJ96" s="76">
        <v>193</v>
      </c>
      <c r="BK96" s="76">
        <v>169</v>
      </c>
      <c r="BL96" s="76">
        <v>23</v>
      </c>
      <c r="BM96" s="76">
        <v>180</v>
      </c>
      <c r="BN96" s="76">
        <v>108</v>
      </c>
      <c r="BO96" s="76"/>
      <c r="BP96" s="76">
        <v>48</v>
      </c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68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>
        <v>71433</v>
      </c>
      <c r="HB96" s="76"/>
      <c r="HC96" s="76"/>
      <c r="HD96" s="76">
        <v>7</v>
      </c>
      <c r="HE96" s="76">
        <v>363</v>
      </c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>
        <v>-225</v>
      </c>
      <c r="HV96" s="76">
        <v>82955</v>
      </c>
    </row>
    <row r="97" spans="1:230" x14ac:dyDescent="0.2">
      <c r="A97" s="74" t="s">
        <v>186</v>
      </c>
      <c r="B97" s="76">
        <v>20</v>
      </c>
      <c r="C97" s="76">
        <v>93</v>
      </c>
      <c r="D97" s="76">
        <v>1</v>
      </c>
      <c r="E97" s="76"/>
      <c r="F97" s="76"/>
      <c r="G97" s="76"/>
      <c r="H97" s="76"/>
      <c r="I97" s="76">
        <v>526</v>
      </c>
      <c r="J97" s="76">
        <v>2089</v>
      </c>
      <c r="K97" s="76">
        <v>6652</v>
      </c>
      <c r="L97" s="76">
        <v>1407</v>
      </c>
      <c r="M97" s="76"/>
      <c r="N97" s="76"/>
      <c r="O97" s="76"/>
      <c r="P97" s="76"/>
      <c r="Q97" s="76"/>
      <c r="R97" s="76"/>
      <c r="S97" s="76"/>
      <c r="T97" s="76"/>
      <c r="U97" s="77">
        <v>973</v>
      </c>
      <c r="V97" s="76"/>
      <c r="W97" s="76">
        <v>579</v>
      </c>
      <c r="X97" s="76"/>
      <c r="Y97" s="76">
        <v>1</v>
      </c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>
        <v>16</v>
      </c>
      <c r="AR97" s="76"/>
      <c r="AS97" s="76"/>
      <c r="AT97" s="76"/>
      <c r="AU97" s="76"/>
      <c r="AV97" s="76">
        <v>3</v>
      </c>
      <c r="AW97" s="76">
        <v>1531</v>
      </c>
      <c r="AX97" s="76"/>
      <c r="AY97" s="76"/>
      <c r="AZ97" s="76"/>
      <c r="BA97" s="76"/>
      <c r="BB97" s="76">
        <v>3</v>
      </c>
      <c r="BC97" s="76"/>
      <c r="BD97" s="76"/>
      <c r="BE97" s="76">
        <v>2</v>
      </c>
      <c r="BF97" s="76"/>
      <c r="BG97" s="76"/>
      <c r="BH97" s="76">
        <v>1</v>
      </c>
      <c r="BI97" s="76"/>
      <c r="BJ97" s="76">
        <v>105</v>
      </c>
      <c r="BK97" s="76">
        <v>100</v>
      </c>
      <c r="BL97" s="76">
        <v>11</v>
      </c>
      <c r="BM97" s="76">
        <v>98</v>
      </c>
      <c r="BN97" s="76">
        <v>36</v>
      </c>
      <c r="BO97" s="76"/>
      <c r="BP97" s="76">
        <v>8</v>
      </c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68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>
        <v>12354</v>
      </c>
      <c r="HB97" s="76"/>
      <c r="HC97" s="76"/>
      <c r="HD97" s="76"/>
      <c r="HE97" s="76">
        <v>36442</v>
      </c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>
        <v>-868</v>
      </c>
      <c r="HV97" s="76">
        <v>62183</v>
      </c>
    </row>
    <row r="98" spans="1:230" x14ac:dyDescent="0.2">
      <c r="A98" s="74" t="s">
        <v>187</v>
      </c>
      <c r="B98" s="76"/>
      <c r="C98" s="76"/>
      <c r="D98" s="76"/>
      <c r="E98" s="76"/>
      <c r="F98" s="76"/>
      <c r="G98" s="76"/>
      <c r="H98" s="76"/>
      <c r="I98" s="76">
        <v>199</v>
      </c>
      <c r="J98" s="76"/>
      <c r="K98" s="76">
        <v>3217</v>
      </c>
      <c r="L98" s="76">
        <v>636</v>
      </c>
      <c r="M98" s="76"/>
      <c r="N98" s="76"/>
      <c r="O98" s="76"/>
      <c r="P98" s="76"/>
      <c r="Q98" s="76"/>
      <c r="R98" s="76"/>
      <c r="S98" s="76"/>
      <c r="T98" s="76"/>
      <c r="U98" s="77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>
        <v>9</v>
      </c>
      <c r="AS98" s="76"/>
      <c r="AT98" s="76"/>
      <c r="AU98" s="76"/>
      <c r="AV98" s="76">
        <v>2</v>
      </c>
      <c r="AW98" s="76">
        <v>2223</v>
      </c>
      <c r="AX98" s="76"/>
      <c r="AY98" s="76"/>
      <c r="AZ98" s="76"/>
      <c r="BA98" s="76"/>
      <c r="BB98" s="76"/>
      <c r="BC98" s="76"/>
      <c r="BD98" s="76"/>
      <c r="BE98" s="76">
        <v>2</v>
      </c>
      <c r="BF98" s="76"/>
      <c r="BG98" s="76"/>
      <c r="BH98" s="76"/>
      <c r="BI98" s="76"/>
      <c r="BJ98" s="76">
        <v>466</v>
      </c>
      <c r="BK98" s="76">
        <v>406</v>
      </c>
      <c r="BL98" s="76">
        <v>53</v>
      </c>
      <c r="BM98" s="76">
        <v>389</v>
      </c>
      <c r="BN98" s="76">
        <v>133</v>
      </c>
      <c r="BO98" s="76"/>
      <c r="BP98" s="76">
        <v>12</v>
      </c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68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>
        <v>30022</v>
      </c>
      <c r="HB98" s="76"/>
      <c r="HC98" s="76"/>
      <c r="HD98" s="76">
        <v>17</v>
      </c>
      <c r="HE98" s="76">
        <v>9556</v>
      </c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>
        <v>821</v>
      </c>
      <c r="HV98" s="76">
        <v>48163</v>
      </c>
    </row>
    <row r="99" spans="1:230" x14ac:dyDescent="0.2">
      <c r="A99" s="74" t="s">
        <v>188</v>
      </c>
      <c r="B99" s="76">
        <v>383</v>
      </c>
      <c r="C99" s="76">
        <v>2125</v>
      </c>
      <c r="D99" s="76">
        <v>4</v>
      </c>
      <c r="E99" s="76"/>
      <c r="F99" s="76"/>
      <c r="G99" s="76"/>
      <c r="H99" s="76"/>
      <c r="I99" s="76">
        <v>7723</v>
      </c>
      <c r="J99" s="76"/>
      <c r="K99" s="76">
        <v>16404</v>
      </c>
      <c r="L99" s="76"/>
      <c r="M99" s="76"/>
      <c r="N99" s="76"/>
      <c r="O99" s="76"/>
      <c r="P99" s="76"/>
      <c r="Q99" s="76"/>
      <c r="R99" s="76"/>
      <c r="S99" s="76"/>
      <c r="T99" s="76"/>
      <c r="U99" s="77">
        <v>3143</v>
      </c>
      <c r="V99" s="76">
        <v>2</v>
      </c>
      <c r="W99" s="76">
        <v>96</v>
      </c>
      <c r="X99" s="76">
        <v>1011</v>
      </c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>
        <v>7</v>
      </c>
      <c r="AL99" s="76"/>
      <c r="AM99" s="76"/>
      <c r="AN99" s="76"/>
      <c r="AO99" s="76"/>
      <c r="AP99" s="76"/>
      <c r="AQ99" s="76">
        <v>447</v>
      </c>
      <c r="AR99" s="76"/>
      <c r="AS99" s="76"/>
      <c r="AT99" s="76"/>
      <c r="AU99" s="76"/>
      <c r="AV99" s="76">
        <v>5</v>
      </c>
      <c r="AW99" s="76">
        <v>3379</v>
      </c>
      <c r="AX99" s="76"/>
      <c r="AY99" s="76"/>
      <c r="AZ99" s="76"/>
      <c r="BA99" s="76"/>
      <c r="BB99" s="76"/>
      <c r="BC99" s="76"/>
      <c r="BD99" s="76"/>
      <c r="BE99" s="76">
        <v>1</v>
      </c>
      <c r="BF99" s="76"/>
      <c r="BG99" s="76"/>
      <c r="BH99" s="76"/>
      <c r="BI99" s="76"/>
      <c r="BJ99" s="76">
        <v>129</v>
      </c>
      <c r="BK99" s="76">
        <v>123</v>
      </c>
      <c r="BL99" s="76">
        <v>10</v>
      </c>
      <c r="BM99" s="76">
        <v>127</v>
      </c>
      <c r="BN99" s="76">
        <v>33</v>
      </c>
      <c r="BO99" s="76"/>
      <c r="BP99" s="76">
        <v>12</v>
      </c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68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>
        <v>22883</v>
      </c>
      <c r="HB99" s="76"/>
      <c r="HC99" s="76"/>
      <c r="HD99" s="76"/>
      <c r="HE99" s="76">
        <v>19804</v>
      </c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>
        <v>1722</v>
      </c>
      <c r="HV99" s="76">
        <v>79573</v>
      </c>
    </row>
    <row r="100" spans="1:230" x14ac:dyDescent="0.2">
      <c r="A100" s="74" t="s">
        <v>189</v>
      </c>
      <c r="B100" s="76"/>
      <c r="C100" s="76"/>
      <c r="D100" s="76"/>
      <c r="E100" s="76"/>
      <c r="F100" s="76"/>
      <c r="G100" s="76"/>
      <c r="H100" s="76"/>
      <c r="I100" s="76"/>
      <c r="J100" s="76"/>
      <c r="K100" s="76">
        <v>310</v>
      </c>
      <c r="L100" s="76"/>
      <c r="M100" s="76"/>
      <c r="N100" s="76"/>
      <c r="O100" s="76"/>
      <c r="P100" s="76"/>
      <c r="Q100" s="76"/>
      <c r="R100" s="76"/>
      <c r="S100" s="76"/>
      <c r="T100" s="76"/>
      <c r="U100" s="77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>
        <v>115</v>
      </c>
      <c r="AQ100" s="76">
        <v>31</v>
      </c>
      <c r="AR100" s="76"/>
      <c r="AS100" s="76"/>
      <c r="AT100" s="76">
        <v>46</v>
      </c>
      <c r="AU100" s="76"/>
      <c r="AV100" s="76">
        <v>101</v>
      </c>
      <c r="AW100" s="76">
        <v>2918</v>
      </c>
      <c r="AX100" s="76"/>
      <c r="AY100" s="76"/>
      <c r="AZ100" s="76"/>
      <c r="BA100" s="76"/>
      <c r="BB100" s="76">
        <v>213</v>
      </c>
      <c r="BC100" s="76">
        <v>19</v>
      </c>
      <c r="BD100" s="76">
        <v>18</v>
      </c>
      <c r="BE100" s="76"/>
      <c r="BF100" s="76"/>
      <c r="BG100" s="76"/>
      <c r="BH100" s="76">
        <v>1</v>
      </c>
      <c r="BI100" s="76"/>
      <c r="BJ100" s="76">
        <v>100</v>
      </c>
      <c r="BK100" s="76">
        <v>96</v>
      </c>
      <c r="BL100" s="76">
        <v>14</v>
      </c>
      <c r="BM100" s="76">
        <v>85</v>
      </c>
      <c r="BN100" s="76">
        <v>84</v>
      </c>
      <c r="BO100" s="76"/>
      <c r="BP100" s="76">
        <v>17</v>
      </c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68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>
        <v>17457</v>
      </c>
      <c r="HB100" s="76"/>
      <c r="HC100" s="76"/>
      <c r="HD100" s="76">
        <v>4</v>
      </c>
      <c r="HE100" s="76">
        <v>2149</v>
      </c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>
        <v>-289</v>
      </c>
      <c r="HV100" s="76">
        <v>23489</v>
      </c>
    </row>
    <row r="101" spans="1:230" x14ac:dyDescent="0.2">
      <c r="A101" s="74" t="s">
        <v>190</v>
      </c>
      <c r="B101" s="76">
        <v>18</v>
      </c>
      <c r="C101" s="76">
        <v>46</v>
      </c>
      <c r="D101" s="76"/>
      <c r="E101" s="76"/>
      <c r="F101" s="76"/>
      <c r="G101" s="76"/>
      <c r="H101" s="76"/>
      <c r="I101" s="76"/>
      <c r="J101" s="76"/>
      <c r="K101" s="76">
        <v>393</v>
      </c>
      <c r="L101" s="76"/>
      <c r="M101" s="76"/>
      <c r="N101" s="76"/>
      <c r="O101" s="76"/>
      <c r="P101" s="76"/>
      <c r="Q101" s="76"/>
      <c r="R101" s="76"/>
      <c r="S101" s="76"/>
      <c r="T101" s="76"/>
      <c r="U101" s="77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>
        <v>7</v>
      </c>
      <c r="AW101" s="76">
        <v>1404</v>
      </c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>
        <v>334</v>
      </c>
      <c r="BK101" s="76">
        <v>290</v>
      </c>
      <c r="BL101" s="76">
        <v>28</v>
      </c>
      <c r="BM101" s="76">
        <v>278</v>
      </c>
      <c r="BN101" s="76">
        <v>84</v>
      </c>
      <c r="BO101" s="76"/>
      <c r="BP101" s="76">
        <v>18</v>
      </c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68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>
        <v>24559</v>
      </c>
      <c r="HB101" s="76"/>
      <c r="HC101" s="76"/>
      <c r="HD101" s="76">
        <v>12</v>
      </c>
      <c r="HE101" s="76">
        <v>684</v>
      </c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>
        <v>322</v>
      </c>
      <c r="HV101" s="76">
        <v>28477</v>
      </c>
    </row>
    <row r="102" spans="1:230" x14ac:dyDescent="0.2">
      <c r="A102" s="74" t="s">
        <v>191</v>
      </c>
      <c r="B102" s="76">
        <v>19</v>
      </c>
      <c r="C102" s="76">
        <v>459</v>
      </c>
      <c r="D102" s="76">
        <v>1</v>
      </c>
      <c r="E102" s="76">
        <v>31</v>
      </c>
      <c r="F102" s="76"/>
      <c r="G102" s="76">
        <v>5</v>
      </c>
      <c r="H102" s="76"/>
      <c r="I102" s="76">
        <v>4727</v>
      </c>
      <c r="J102" s="76"/>
      <c r="K102" s="76">
        <v>10840</v>
      </c>
      <c r="L102" s="76">
        <v>2254</v>
      </c>
      <c r="M102" s="76"/>
      <c r="N102" s="76"/>
      <c r="O102" s="76"/>
      <c r="P102" s="76"/>
      <c r="Q102" s="76"/>
      <c r="R102" s="76">
        <v>855</v>
      </c>
      <c r="S102" s="76"/>
      <c r="T102" s="76"/>
      <c r="U102" s="77"/>
      <c r="V102" s="76"/>
      <c r="W102" s="76">
        <v>473</v>
      </c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>
        <v>3418</v>
      </c>
      <c r="AR102" s="76"/>
      <c r="AS102" s="76"/>
      <c r="AT102" s="76"/>
      <c r="AU102" s="76"/>
      <c r="AV102" s="76">
        <v>3</v>
      </c>
      <c r="AW102" s="76">
        <v>2777</v>
      </c>
      <c r="AX102" s="76"/>
      <c r="AY102" s="76"/>
      <c r="AZ102" s="76"/>
      <c r="BA102" s="76"/>
      <c r="BB102" s="76"/>
      <c r="BC102" s="76"/>
      <c r="BD102" s="76"/>
      <c r="BE102" s="76">
        <v>3</v>
      </c>
      <c r="BF102" s="76"/>
      <c r="BG102" s="76"/>
      <c r="BH102" s="76"/>
      <c r="BI102" s="76"/>
      <c r="BJ102" s="76">
        <v>105</v>
      </c>
      <c r="BK102" s="76">
        <v>97</v>
      </c>
      <c r="BL102" s="76">
        <v>4</v>
      </c>
      <c r="BM102" s="76">
        <v>65</v>
      </c>
      <c r="BN102" s="76">
        <v>24</v>
      </c>
      <c r="BO102" s="76"/>
      <c r="BP102" s="76">
        <v>47</v>
      </c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68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>
        <v>33048</v>
      </c>
      <c r="HB102" s="76"/>
      <c r="HC102" s="76"/>
      <c r="HD102" s="76">
        <v>10</v>
      </c>
      <c r="HE102" s="76">
        <v>735</v>
      </c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>
        <v>126</v>
      </c>
      <c r="HV102" s="76">
        <v>60126</v>
      </c>
    </row>
    <row r="103" spans="1:230" x14ac:dyDescent="0.2">
      <c r="A103" s="74" t="s">
        <v>192</v>
      </c>
      <c r="B103" s="76">
        <v>1277</v>
      </c>
      <c r="C103" s="76">
        <v>14558</v>
      </c>
      <c r="D103" s="76">
        <v>1169</v>
      </c>
      <c r="E103" s="76"/>
      <c r="F103" s="76"/>
      <c r="G103" s="76"/>
      <c r="H103" s="76"/>
      <c r="I103" s="76">
        <v>14521</v>
      </c>
      <c r="J103" s="76"/>
      <c r="K103" s="76">
        <v>1144</v>
      </c>
      <c r="L103" s="76"/>
      <c r="M103" s="76"/>
      <c r="N103" s="76"/>
      <c r="O103" s="76"/>
      <c r="P103" s="76"/>
      <c r="Q103" s="76"/>
      <c r="R103" s="76"/>
      <c r="S103" s="76"/>
      <c r="T103" s="76"/>
      <c r="U103" s="77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>
        <v>28</v>
      </c>
      <c r="BG103" s="76"/>
      <c r="BH103" s="76"/>
      <c r="BI103" s="76"/>
      <c r="BJ103" s="76">
        <v>68</v>
      </c>
      <c r="BK103" s="76">
        <v>70</v>
      </c>
      <c r="BL103" s="76"/>
      <c r="BM103" s="76">
        <v>7</v>
      </c>
      <c r="BN103" s="76">
        <v>9</v>
      </c>
      <c r="BO103" s="76">
        <v>39</v>
      </c>
      <c r="BP103" s="76">
        <v>728</v>
      </c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68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>
        <v>14772</v>
      </c>
      <c r="HB103" s="76"/>
      <c r="HC103" s="76"/>
      <c r="HD103" s="76"/>
      <c r="HE103" s="76">
        <v>853</v>
      </c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>
        <v>-2290</v>
      </c>
      <c r="HV103" s="76">
        <v>46953</v>
      </c>
    </row>
    <row r="104" spans="1:230" x14ac:dyDescent="0.2">
      <c r="A104" s="74" t="s">
        <v>193</v>
      </c>
      <c r="B104" s="76">
        <v>16</v>
      </c>
      <c r="C104" s="76">
        <v>143</v>
      </c>
      <c r="D104" s="76">
        <v>5</v>
      </c>
      <c r="E104" s="76"/>
      <c r="F104" s="76"/>
      <c r="G104" s="76"/>
      <c r="H104" s="76"/>
      <c r="I104" s="76">
        <v>3648</v>
      </c>
      <c r="J104" s="76"/>
      <c r="K104" s="76">
        <v>7764</v>
      </c>
      <c r="L104" s="76">
        <v>356</v>
      </c>
      <c r="M104" s="76"/>
      <c r="N104" s="76"/>
      <c r="O104" s="76"/>
      <c r="P104" s="76"/>
      <c r="Q104" s="76"/>
      <c r="R104" s="76"/>
      <c r="S104" s="76"/>
      <c r="T104" s="76"/>
      <c r="U104" s="77"/>
      <c r="V104" s="76"/>
      <c r="W104" s="76">
        <v>19</v>
      </c>
      <c r="X104" s="76"/>
      <c r="Y104" s="76">
        <v>6</v>
      </c>
      <c r="Z104" s="76"/>
      <c r="AA104" s="76"/>
      <c r="AB104" s="76"/>
      <c r="AC104" s="76"/>
      <c r="AD104" s="76"/>
      <c r="AE104" s="76"/>
      <c r="AF104" s="76"/>
      <c r="AG104" s="76"/>
      <c r="AH104" s="76"/>
      <c r="AI104" s="76">
        <v>2</v>
      </c>
      <c r="AJ104" s="76"/>
      <c r="AK104" s="76"/>
      <c r="AL104" s="76"/>
      <c r="AM104" s="76"/>
      <c r="AN104" s="76"/>
      <c r="AO104" s="76"/>
      <c r="AP104" s="76"/>
      <c r="AQ104" s="76">
        <v>361</v>
      </c>
      <c r="AR104" s="76">
        <v>3</v>
      </c>
      <c r="AS104" s="76"/>
      <c r="AT104" s="76"/>
      <c r="AU104" s="76">
        <v>24</v>
      </c>
      <c r="AV104" s="76">
        <v>305</v>
      </c>
      <c r="AW104" s="76">
        <v>6433</v>
      </c>
      <c r="AX104" s="76"/>
      <c r="AY104" s="76"/>
      <c r="AZ104" s="76">
        <v>24</v>
      </c>
      <c r="BA104" s="76"/>
      <c r="BB104" s="76">
        <v>2</v>
      </c>
      <c r="BC104" s="76"/>
      <c r="BD104" s="76">
        <v>24</v>
      </c>
      <c r="BE104" s="76">
        <v>5</v>
      </c>
      <c r="BF104" s="76">
        <v>21</v>
      </c>
      <c r="BG104" s="76"/>
      <c r="BH104" s="76"/>
      <c r="BI104" s="76"/>
      <c r="BJ104" s="76">
        <v>923</v>
      </c>
      <c r="BK104" s="76">
        <v>1121</v>
      </c>
      <c r="BL104" s="76">
        <v>177</v>
      </c>
      <c r="BM104" s="76">
        <v>2101</v>
      </c>
      <c r="BN104" s="76">
        <v>686</v>
      </c>
      <c r="BO104" s="76">
        <v>8</v>
      </c>
      <c r="BP104" s="76">
        <v>41</v>
      </c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68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>
        <v>173349</v>
      </c>
      <c r="HB104" s="76"/>
      <c r="HC104" s="76"/>
      <c r="HD104" s="76">
        <v>33</v>
      </c>
      <c r="HE104" s="76">
        <v>3915</v>
      </c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>
        <v>870</v>
      </c>
      <c r="HV104" s="76">
        <v>202385</v>
      </c>
    </row>
    <row r="105" spans="1:230" x14ac:dyDescent="0.2">
      <c r="A105" s="74" t="s">
        <v>194</v>
      </c>
      <c r="B105" s="76"/>
      <c r="C105" s="76"/>
      <c r="D105" s="76"/>
      <c r="E105" s="76"/>
      <c r="F105" s="76"/>
      <c r="G105" s="76"/>
      <c r="H105" s="76"/>
      <c r="I105" s="76">
        <v>626</v>
      </c>
      <c r="J105" s="76"/>
      <c r="K105" s="76">
        <v>3</v>
      </c>
      <c r="L105" s="76">
        <v>12726</v>
      </c>
      <c r="M105" s="76"/>
      <c r="N105" s="76"/>
      <c r="O105" s="76"/>
      <c r="P105" s="76"/>
      <c r="Q105" s="76"/>
      <c r="R105" s="76"/>
      <c r="S105" s="76"/>
      <c r="T105" s="76"/>
      <c r="U105" s="77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>
        <v>1</v>
      </c>
      <c r="AQ105" s="76">
        <v>13</v>
      </c>
      <c r="AR105" s="76">
        <v>9</v>
      </c>
      <c r="AS105" s="76"/>
      <c r="AT105" s="76">
        <v>14</v>
      </c>
      <c r="AU105" s="76"/>
      <c r="AV105" s="76">
        <v>805</v>
      </c>
      <c r="AW105" s="76">
        <v>45786</v>
      </c>
      <c r="AX105" s="76"/>
      <c r="AY105" s="76"/>
      <c r="AZ105" s="76"/>
      <c r="BA105" s="76"/>
      <c r="BB105" s="76">
        <v>168</v>
      </c>
      <c r="BC105" s="76"/>
      <c r="BD105" s="76">
        <v>2</v>
      </c>
      <c r="BE105" s="76"/>
      <c r="BF105" s="76"/>
      <c r="BG105" s="76"/>
      <c r="BH105" s="76">
        <v>1</v>
      </c>
      <c r="BI105" s="76"/>
      <c r="BJ105" s="76">
        <v>116</v>
      </c>
      <c r="BK105" s="76">
        <v>112</v>
      </c>
      <c r="BL105" s="76">
        <v>14</v>
      </c>
      <c r="BM105" s="76">
        <v>112</v>
      </c>
      <c r="BN105" s="76">
        <v>295</v>
      </c>
      <c r="BO105" s="76">
        <v>43</v>
      </c>
      <c r="BP105" s="76">
        <v>16</v>
      </c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68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>
        <v>75634</v>
      </c>
      <c r="HB105" s="76"/>
      <c r="HC105" s="76"/>
      <c r="HD105" s="76"/>
      <c r="HE105" s="76">
        <v>3237</v>
      </c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>
        <v>1015</v>
      </c>
      <c r="HV105" s="76">
        <v>140748</v>
      </c>
    </row>
    <row r="106" spans="1:230" x14ac:dyDescent="0.2">
      <c r="A106" s="74" t="s">
        <v>195</v>
      </c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>
        <v>1108</v>
      </c>
      <c r="N106" s="76"/>
      <c r="O106" s="76"/>
      <c r="P106" s="76"/>
      <c r="Q106" s="76"/>
      <c r="R106" s="76"/>
      <c r="S106" s="76"/>
      <c r="T106" s="76"/>
      <c r="U106" s="77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68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>
        <v>28270</v>
      </c>
      <c r="HB106" s="76"/>
      <c r="HC106" s="76"/>
      <c r="HD106" s="76"/>
      <c r="HE106" s="76">
        <v>6579</v>
      </c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>
        <v>1072</v>
      </c>
      <c r="HV106" s="76">
        <v>37029</v>
      </c>
    </row>
    <row r="107" spans="1:230" x14ac:dyDescent="0.2">
      <c r="A107" s="74" t="s">
        <v>202</v>
      </c>
      <c r="B107" s="76">
        <v>126</v>
      </c>
      <c r="C107" s="76">
        <v>3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>
        <v>7627</v>
      </c>
      <c r="O107" s="76">
        <v>6172</v>
      </c>
      <c r="P107" s="76">
        <v>64</v>
      </c>
      <c r="Q107" s="76"/>
      <c r="R107" s="76"/>
      <c r="S107" s="76"/>
      <c r="T107" s="76"/>
      <c r="U107" s="77"/>
      <c r="V107" s="76"/>
      <c r="W107" s="76"/>
      <c r="X107" s="76"/>
      <c r="Y107" s="76">
        <v>131</v>
      </c>
      <c r="Z107" s="76">
        <v>65</v>
      </c>
      <c r="AA107" s="76"/>
      <c r="AB107" s="76"/>
      <c r="AC107" s="76"/>
      <c r="AD107" s="76">
        <v>20</v>
      </c>
      <c r="AE107" s="76"/>
      <c r="AF107" s="76"/>
      <c r="AG107" s="76"/>
      <c r="AH107" s="76"/>
      <c r="AI107" s="76"/>
      <c r="AJ107" s="76">
        <v>1</v>
      </c>
      <c r="AK107" s="76">
        <v>89</v>
      </c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>
        <v>2</v>
      </c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68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>
        <v>87</v>
      </c>
      <c r="HB107" s="76"/>
      <c r="HC107" s="76"/>
      <c r="HD107" s="76"/>
      <c r="HE107" s="76">
        <v>262</v>
      </c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>
        <v>571</v>
      </c>
      <c r="HV107" s="76">
        <v>15220</v>
      </c>
    </row>
    <row r="108" spans="1:230" x14ac:dyDescent="0.2">
      <c r="A108" s="74" t="s">
        <v>227</v>
      </c>
      <c r="B108" s="76">
        <v>412</v>
      </c>
      <c r="C108" s="76"/>
      <c r="D108" s="76"/>
      <c r="E108" s="76">
        <v>118</v>
      </c>
      <c r="F108" s="76"/>
      <c r="G108" s="76"/>
      <c r="H108" s="76">
        <v>1</v>
      </c>
      <c r="I108" s="76"/>
      <c r="J108" s="76">
        <v>54</v>
      </c>
      <c r="K108" s="76">
        <v>140</v>
      </c>
      <c r="L108" s="76"/>
      <c r="M108" s="76"/>
      <c r="N108" s="76">
        <v>3577</v>
      </c>
      <c r="O108" s="76">
        <v>16718</v>
      </c>
      <c r="P108" s="76">
        <v>3467</v>
      </c>
      <c r="Q108" s="76"/>
      <c r="R108" s="76"/>
      <c r="S108" s="76"/>
      <c r="T108" s="76"/>
      <c r="U108" s="77"/>
      <c r="V108" s="76"/>
      <c r="W108" s="76">
        <v>12</v>
      </c>
      <c r="X108" s="76"/>
      <c r="Y108" s="76">
        <v>21</v>
      </c>
      <c r="Z108" s="76">
        <v>19</v>
      </c>
      <c r="AA108" s="76">
        <v>6</v>
      </c>
      <c r="AB108" s="76"/>
      <c r="AC108" s="76"/>
      <c r="AD108" s="76">
        <v>47</v>
      </c>
      <c r="AE108" s="76"/>
      <c r="AF108" s="76">
        <v>3</v>
      </c>
      <c r="AG108" s="76"/>
      <c r="AH108" s="76"/>
      <c r="AI108" s="76">
        <v>2200</v>
      </c>
      <c r="AJ108" s="76">
        <v>63</v>
      </c>
      <c r="AK108" s="76">
        <v>1550</v>
      </c>
      <c r="AL108" s="76"/>
      <c r="AM108" s="76"/>
      <c r="AN108" s="76"/>
      <c r="AO108" s="76"/>
      <c r="AP108" s="76"/>
      <c r="AQ108" s="76">
        <v>5</v>
      </c>
      <c r="AR108" s="76"/>
      <c r="AS108" s="76"/>
      <c r="AT108" s="76"/>
      <c r="AU108" s="76"/>
      <c r="AV108" s="76"/>
      <c r="AW108" s="76"/>
      <c r="AX108" s="76"/>
      <c r="AY108" s="76">
        <v>7</v>
      </c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>
        <v>5</v>
      </c>
      <c r="BK108" s="76"/>
      <c r="BL108" s="76"/>
      <c r="BM108" s="76"/>
      <c r="BN108" s="76"/>
      <c r="BO108" s="76"/>
      <c r="BP108" s="76">
        <v>56</v>
      </c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  <c r="CW108" s="76"/>
      <c r="CX108" s="76"/>
      <c r="CY108" s="76"/>
      <c r="CZ108" s="76"/>
      <c r="DA108" s="76"/>
      <c r="DB108" s="76"/>
      <c r="DC108" s="76"/>
      <c r="DD108" s="76"/>
      <c r="DE108" s="76"/>
      <c r="DF108" s="76"/>
      <c r="DG108" s="76"/>
      <c r="DH108" s="76"/>
      <c r="DI108" s="76"/>
      <c r="DJ108" s="76"/>
      <c r="DK108" s="76"/>
      <c r="DL108" s="76"/>
      <c r="DM108" s="76"/>
      <c r="DN108" s="76"/>
      <c r="DO108" s="76"/>
      <c r="DP108" s="76"/>
      <c r="DQ108" s="68"/>
      <c r="DR108" s="76"/>
      <c r="DS108" s="76"/>
      <c r="DT108" s="76"/>
      <c r="DU108" s="76"/>
      <c r="DV108" s="76"/>
      <c r="DW108" s="76"/>
      <c r="DX108" s="76"/>
      <c r="DY108" s="76"/>
      <c r="DZ108" s="76"/>
      <c r="EA108" s="76"/>
      <c r="EB108" s="76"/>
      <c r="EC108" s="76"/>
      <c r="ED108" s="76"/>
      <c r="EE108" s="76"/>
      <c r="EF108" s="76"/>
      <c r="EG108" s="76"/>
      <c r="EH108" s="76"/>
      <c r="EI108" s="76"/>
      <c r="EJ108" s="76"/>
      <c r="EK108" s="76"/>
      <c r="EL108" s="76"/>
      <c r="EM108" s="76"/>
      <c r="EN108" s="76"/>
      <c r="EO108" s="76"/>
      <c r="EP108" s="76"/>
      <c r="EQ108" s="76"/>
      <c r="ER108" s="76"/>
      <c r="ES108" s="76"/>
      <c r="ET108" s="76"/>
      <c r="EU108" s="76"/>
      <c r="EV108" s="76"/>
      <c r="EW108" s="76"/>
      <c r="EX108" s="76"/>
      <c r="EY108" s="76"/>
      <c r="EZ108" s="76"/>
      <c r="FA108" s="76"/>
      <c r="FB108" s="76"/>
      <c r="FC108" s="76"/>
      <c r="FD108" s="76"/>
      <c r="FE108" s="76"/>
      <c r="FF108" s="76"/>
      <c r="FG108" s="76"/>
      <c r="FH108" s="76"/>
      <c r="FI108" s="76"/>
      <c r="FJ108" s="76"/>
      <c r="FK108" s="76"/>
      <c r="FL108" s="76"/>
      <c r="FM108" s="76"/>
      <c r="FN108" s="76"/>
      <c r="FO108" s="76"/>
      <c r="FP108" s="76"/>
      <c r="FQ108" s="76"/>
      <c r="FR108" s="76"/>
      <c r="FS108" s="76"/>
      <c r="FT108" s="76"/>
      <c r="FU108" s="76"/>
      <c r="FV108" s="76"/>
      <c r="FW108" s="76"/>
      <c r="FX108" s="76"/>
      <c r="FY108" s="76"/>
      <c r="FZ108" s="76"/>
      <c r="GA108" s="76"/>
      <c r="GB108" s="76"/>
      <c r="GC108" s="76"/>
      <c r="GD108" s="76"/>
      <c r="GE108" s="76"/>
      <c r="GF108" s="76"/>
      <c r="GG108" s="76"/>
      <c r="GH108" s="76"/>
      <c r="GI108" s="76"/>
      <c r="GJ108" s="76"/>
      <c r="GK108" s="76"/>
      <c r="GL108" s="76"/>
      <c r="GM108" s="76"/>
      <c r="GN108" s="76"/>
      <c r="GO108" s="76"/>
      <c r="GP108" s="76"/>
      <c r="GQ108" s="76"/>
      <c r="GR108" s="76"/>
      <c r="GS108" s="76"/>
      <c r="GT108" s="76"/>
      <c r="GU108" s="76"/>
      <c r="GV108" s="76"/>
      <c r="GW108" s="76"/>
      <c r="GX108" s="76"/>
      <c r="GY108" s="76"/>
      <c r="GZ108" s="76"/>
      <c r="HA108" s="76">
        <v>1481</v>
      </c>
      <c r="HB108" s="76"/>
      <c r="HC108" s="76"/>
      <c r="HD108" s="76"/>
      <c r="HE108" s="76">
        <v>793</v>
      </c>
      <c r="HF108" s="76"/>
      <c r="HG108" s="76"/>
      <c r="HH108" s="76"/>
      <c r="HI108" s="76"/>
      <c r="HJ108" s="76"/>
      <c r="HK108" s="76"/>
      <c r="HL108" s="76"/>
      <c r="HM108" s="76"/>
      <c r="HN108" s="76"/>
      <c r="HO108" s="76"/>
      <c r="HP108" s="76"/>
      <c r="HQ108" s="76"/>
      <c r="HR108" s="76"/>
      <c r="HS108" s="76"/>
      <c r="HT108" s="76"/>
      <c r="HU108" s="76">
        <v>149</v>
      </c>
      <c r="HV108" s="76">
        <v>30904</v>
      </c>
    </row>
    <row r="109" spans="1:230" x14ac:dyDescent="0.2">
      <c r="A109" s="74" t="s">
        <v>231</v>
      </c>
      <c r="B109" s="76">
        <v>544</v>
      </c>
      <c r="C109" s="76">
        <v>14</v>
      </c>
      <c r="D109" s="76">
        <v>3</v>
      </c>
      <c r="E109" s="76">
        <v>141</v>
      </c>
      <c r="F109" s="76">
        <v>209</v>
      </c>
      <c r="G109" s="76"/>
      <c r="H109" s="76">
        <v>7</v>
      </c>
      <c r="I109" s="76"/>
      <c r="J109" s="76">
        <v>127</v>
      </c>
      <c r="K109" s="76">
        <v>228</v>
      </c>
      <c r="L109" s="76"/>
      <c r="M109" s="76"/>
      <c r="N109" s="76">
        <v>4088</v>
      </c>
      <c r="O109" s="76">
        <v>810</v>
      </c>
      <c r="P109" s="76">
        <v>1526</v>
      </c>
      <c r="Q109" s="76"/>
      <c r="R109" s="76">
        <v>174</v>
      </c>
      <c r="S109" s="76"/>
      <c r="T109" s="76"/>
      <c r="U109" s="77"/>
      <c r="V109" s="76"/>
      <c r="W109" s="76">
        <v>33</v>
      </c>
      <c r="X109" s="76"/>
      <c r="Y109" s="76">
        <v>1</v>
      </c>
      <c r="Z109" s="76">
        <v>718</v>
      </c>
      <c r="AA109" s="76">
        <v>16</v>
      </c>
      <c r="AB109" s="76"/>
      <c r="AC109" s="76"/>
      <c r="AD109" s="76">
        <v>2</v>
      </c>
      <c r="AE109" s="76"/>
      <c r="AF109" s="76">
        <v>7</v>
      </c>
      <c r="AG109" s="76">
        <v>7</v>
      </c>
      <c r="AH109" s="76">
        <v>6</v>
      </c>
      <c r="AI109" s="76"/>
      <c r="AJ109" s="76">
        <v>74</v>
      </c>
      <c r="AK109" s="76">
        <v>579</v>
      </c>
      <c r="AL109" s="76">
        <v>1</v>
      </c>
      <c r="AM109" s="76">
        <v>38</v>
      </c>
      <c r="AN109" s="76">
        <v>13</v>
      </c>
      <c r="AO109" s="76">
        <v>893</v>
      </c>
      <c r="AP109" s="76">
        <v>2</v>
      </c>
      <c r="AQ109" s="76">
        <v>189</v>
      </c>
      <c r="AR109" s="76">
        <v>68</v>
      </c>
      <c r="AS109" s="76">
        <v>21</v>
      </c>
      <c r="AT109" s="76"/>
      <c r="AU109" s="76"/>
      <c r="AV109" s="76">
        <v>472</v>
      </c>
      <c r="AW109" s="76">
        <v>329</v>
      </c>
      <c r="AX109" s="76"/>
      <c r="AY109" s="76"/>
      <c r="AZ109" s="76"/>
      <c r="BA109" s="76"/>
      <c r="BB109" s="76"/>
      <c r="BC109" s="76"/>
      <c r="BD109" s="76"/>
      <c r="BE109" s="76">
        <v>3</v>
      </c>
      <c r="BF109" s="76"/>
      <c r="BG109" s="76"/>
      <c r="BH109" s="76">
        <v>14</v>
      </c>
      <c r="BI109" s="76"/>
      <c r="BJ109" s="76">
        <v>59</v>
      </c>
      <c r="BK109" s="76">
        <v>71</v>
      </c>
      <c r="BL109" s="76"/>
      <c r="BM109" s="76">
        <v>36</v>
      </c>
      <c r="BN109" s="76">
        <v>20</v>
      </c>
      <c r="BO109" s="76"/>
      <c r="BP109" s="76">
        <v>1290</v>
      </c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  <c r="CW109" s="76"/>
      <c r="CX109" s="76"/>
      <c r="CY109" s="76"/>
      <c r="CZ109" s="76"/>
      <c r="DA109" s="76"/>
      <c r="DB109" s="76"/>
      <c r="DC109" s="76"/>
      <c r="DD109" s="76"/>
      <c r="DE109" s="76"/>
      <c r="DF109" s="76"/>
      <c r="DG109" s="76"/>
      <c r="DH109" s="76"/>
      <c r="DI109" s="76"/>
      <c r="DJ109" s="76"/>
      <c r="DK109" s="76"/>
      <c r="DL109" s="76"/>
      <c r="DM109" s="76"/>
      <c r="DN109" s="76"/>
      <c r="DO109" s="76"/>
      <c r="DP109" s="76"/>
      <c r="DQ109" s="68"/>
      <c r="DR109" s="76"/>
      <c r="DS109" s="76"/>
      <c r="DT109" s="76"/>
      <c r="DU109" s="76"/>
      <c r="DV109" s="76"/>
      <c r="DW109" s="76"/>
      <c r="DX109" s="76"/>
      <c r="DY109" s="76"/>
      <c r="DZ109" s="76"/>
      <c r="EA109" s="76"/>
      <c r="EB109" s="76"/>
      <c r="EC109" s="76"/>
      <c r="ED109" s="76"/>
      <c r="EE109" s="76"/>
      <c r="EF109" s="76"/>
      <c r="EG109" s="76"/>
      <c r="EH109" s="76"/>
      <c r="EI109" s="76"/>
      <c r="EJ109" s="76"/>
      <c r="EK109" s="76"/>
      <c r="EL109" s="76"/>
      <c r="EM109" s="76"/>
      <c r="EN109" s="76"/>
      <c r="EO109" s="76"/>
      <c r="EP109" s="76"/>
      <c r="EQ109" s="76"/>
      <c r="ER109" s="76"/>
      <c r="ES109" s="76"/>
      <c r="ET109" s="76"/>
      <c r="EU109" s="76"/>
      <c r="EV109" s="76"/>
      <c r="EW109" s="76"/>
      <c r="EX109" s="76"/>
      <c r="EY109" s="76"/>
      <c r="EZ109" s="76"/>
      <c r="FA109" s="76"/>
      <c r="FB109" s="76"/>
      <c r="FC109" s="76"/>
      <c r="FD109" s="76"/>
      <c r="FE109" s="76"/>
      <c r="FF109" s="76"/>
      <c r="FG109" s="76"/>
      <c r="FH109" s="76"/>
      <c r="FI109" s="76"/>
      <c r="FJ109" s="76"/>
      <c r="FK109" s="76"/>
      <c r="FL109" s="76"/>
      <c r="FM109" s="76"/>
      <c r="FN109" s="76"/>
      <c r="FO109" s="76"/>
      <c r="FP109" s="76"/>
      <c r="FQ109" s="76"/>
      <c r="FR109" s="76"/>
      <c r="FS109" s="76"/>
      <c r="FT109" s="76"/>
      <c r="FU109" s="76"/>
      <c r="FV109" s="76"/>
      <c r="FW109" s="76"/>
      <c r="FX109" s="76"/>
      <c r="FY109" s="76"/>
      <c r="FZ109" s="76"/>
      <c r="GA109" s="76"/>
      <c r="GB109" s="76"/>
      <c r="GC109" s="76"/>
      <c r="GD109" s="76"/>
      <c r="GE109" s="76"/>
      <c r="GF109" s="76"/>
      <c r="GG109" s="76"/>
      <c r="GH109" s="76"/>
      <c r="GI109" s="76"/>
      <c r="GJ109" s="76"/>
      <c r="GK109" s="76"/>
      <c r="GL109" s="76"/>
      <c r="GM109" s="76"/>
      <c r="GN109" s="76"/>
      <c r="GO109" s="76"/>
      <c r="GP109" s="76"/>
      <c r="GQ109" s="76"/>
      <c r="GR109" s="76"/>
      <c r="GS109" s="76"/>
      <c r="GT109" s="76"/>
      <c r="GU109" s="76"/>
      <c r="GV109" s="76"/>
      <c r="GW109" s="76"/>
      <c r="GX109" s="76"/>
      <c r="GY109" s="76"/>
      <c r="GZ109" s="76"/>
      <c r="HA109" s="76">
        <v>37676</v>
      </c>
      <c r="HB109" s="76"/>
      <c r="HC109" s="76"/>
      <c r="HD109" s="76"/>
      <c r="HE109" s="76">
        <v>1242</v>
      </c>
      <c r="HF109" s="76"/>
      <c r="HG109" s="76"/>
      <c r="HH109" s="76"/>
      <c r="HI109" s="76"/>
      <c r="HJ109" s="76"/>
      <c r="HK109" s="76"/>
      <c r="HL109" s="76"/>
      <c r="HM109" s="76"/>
      <c r="HN109" s="76"/>
      <c r="HO109" s="76"/>
      <c r="HP109" s="76"/>
      <c r="HQ109" s="76"/>
      <c r="HR109" s="76"/>
      <c r="HS109" s="76"/>
      <c r="HT109" s="76"/>
      <c r="HU109" s="76">
        <v>492</v>
      </c>
      <c r="HV109" s="76">
        <v>52243</v>
      </c>
    </row>
    <row r="110" spans="1:230" x14ac:dyDescent="0.2">
      <c r="A110" s="74" t="s">
        <v>232</v>
      </c>
      <c r="B110" s="76">
        <v>2</v>
      </c>
      <c r="C110" s="76">
        <v>2</v>
      </c>
      <c r="D110" s="76">
        <v>17</v>
      </c>
      <c r="E110" s="76">
        <v>5</v>
      </c>
      <c r="F110" s="76">
        <v>173</v>
      </c>
      <c r="G110" s="76"/>
      <c r="H110" s="76"/>
      <c r="I110" s="76">
        <v>9</v>
      </c>
      <c r="J110" s="76"/>
      <c r="K110" s="76">
        <v>9</v>
      </c>
      <c r="L110" s="76"/>
      <c r="M110" s="76"/>
      <c r="N110" s="76">
        <v>13</v>
      </c>
      <c r="O110" s="76">
        <v>3322</v>
      </c>
      <c r="P110" s="76"/>
      <c r="Q110" s="76"/>
      <c r="R110" s="76"/>
      <c r="S110" s="76"/>
      <c r="T110" s="76"/>
      <c r="U110" s="77"/>
      <c r="V110" s="76"/>
      <c r="W110" s="76">
        <v>11</v>
      </c>
      <c r="X110" s="76"/>
      <c r="Y110" s="76"/>
      <c r="Z110" s="76"/>
      <c r="AA110" s="76">
        <v>20</v>
      </c>
      <c r="AB110" s="76">
        <v>7</v>
      </c>
      <c r="AC110" s="76"/>
      <c r="AD110" s="76">
        <v>77</v>
      </c>
      <c r="AE110" s="76"/>
      <c r="AF110" s="76">
        <v>2</v>
      </c>
      <c r="AG110" s="76">
        <v>2</v>
      </c>
      <c r="AH110" s="76"/>
      <c r="AI110" s="76"/>
      <c r="AJ110" s="76"/>
      <c r="AK110" s="76"/>
      <c r="AL110" s="76">
        <v>1</v>
      </c>
      <c r="AM110" s="76">
        <v>199</v>
      </c>
      <c r="AN110" s="76">
        <v>184</v>
      </c>
      <c r="AO110" s="76">
        <v>65</v>
      </c>
      <c r="AP110" s="76">
        <v>1</v>
      </c>
      <c r="AQ110" s="76">
        <v>609</v>
      </c>
      <c r="AR110" s="76">
        <v>353</v>
      </c>
      <c r="AS110" s="76">
        <v>14</v>
      </c>
      <c r="AT110" s="76">
        <v>311</v>
      </c>
      <c r="AU110" s="76">
        <v>162</v>
      </c>
      <c r="AV110" s="76">
        <v>162</v>
      </c>
      <c r="AW110" s="76">
        <v>376</v>
      </c>
      <c r="AX110" s="76"/>
      <c r="AY110" s="76">
        <v>229</v>
      </c>
      <c r="AZ110" s="76">
        <v>66</v>
      </c>
      <c r="BA110" s="76"/>
      <c r="BB110" s="76">
        <v>997</v>
      </c>
      <c r="BC110" s="76">
        <v>60</v>
      </c>
      <c r="BD110" s="76">
        <v>12</v>
      </c>
      <c r="BE110" s="76">
        <v>258</v>
      </c>
      <c r="BF110" s="76">
        <v>53</v>
      </c>
      <c r="BG110" s="76"/>
      <c r="BH110" s="76">
        <v>235</v>
      </c>
      <c r="BI110" s="76">
        <v>343</v>
      </c>
      <c r="BJ110" s="76">
        <v>939</v>
      </c>
      <c r="BK110" s="76">
        <v>1023</v>
      </c>
      <c r="BL110" s="76"/>
      <c r="BM110" s="76">
        <v>76</v>
      </c>
      <c r="BN110" s="76">
        <v>64</v>
      </c>
      <c r="BO110" s="76">
        <v>229</v>
      </c>
      <c r="BP110" s="76">
        <v>1529</v>
      </c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  <c r="CT110" s="76"/>
      <c r="CU110" s="76"/>
      <c r="CV110" s="76"/>
      <c r="CW110" s="76"/>
      <c r="CX110" s="76"/>
      <c r="CY110" s="76"/>
      <c r="CZ110" s="76"/>
      <c r="DA110" s="76"/>
      <c r="DB110" s="76"/>
      <c r="DC110" s="76"/>
      <c r="DD110" s="76"/>
      <c r="DE110" s="76"/>
      <c r="DF110" s="76"/>
      <c r="DG110" s="76"/>
      <c r="DH110" s="76"/>
      <c r="DI110" s="76"/>
      <c r="DJ110" s="76"/>
      <c r="DK110" s="76"/>
      <c r="DL110" s="76"/>
      <c r="DM110" s="76"/>
      <c r="DN110" s="76"/>
      <c r="DO110" s="76"/>
      <c r="DP110" s="76"/>
      <c r="DQ110" s="68"/>
      <c r="DR110" s="76"/>
      <c r="DS110" s="76"/>
      <c r="DT110" s="76"/>
      <c r="DU110" s="76"/>
      <c r="DV110" s="76"/>
      <c r="DW110" s="76"/>
      <c r="DX110" s="76"/>
      <c r="DY110" s="76"/>
      <c r="DZ110" s="76"/>
      <c r="EA110" s="76"/>
      <c r="EB110" s="76"/>
      <c r="EC110" s="76"/>
      <c r="ED110" s="76"/>
      <c r="EE110" s="76"/>
      <c r="EF110" s="76"/>
      <c r="EG110" s="76"/>
      <c r="EH110" s="76"/>
      <c r="EI110" s="76"/>
      <c r="EJ110" s="76"/>
      <c r="EK110" s="76"/>
      <c r="EL110" s="76"/>
      <c r="EM110" s="76"/>
      <c r="EN110" s="76"/>
      <c r="EO110" s="76"/>
      <c r="EP110" s="76"/>
      <c r="EQ110" s="76"/>
      <c r="ER110" s="76"/>
      <c r="ES110" s="76"/>
      <c r="ET110" s="76"/>
      <c r="EU110" s="76"/>
      <c r="EV110" s="76"/>
      <c r="EW110" s="76"/>
      <c r="EX110" s="76"/>
      <c r="EY110" s="76"/>
      <c r="EZ110" s="76"/>
      <c r="FA110" s="76"/>
      <c r="FB110" s="76"/>
      <c r="FC110" s="76"/>
      <c r="FD110" s="76"/>
      <c r="FE110" s="76"/>
      <c r="FF110" s="76"/>
      <c r="FG110" s="76"/>
      <c r="FH110" s="76"/>
      <c r="FI110" s="76"/>
      <c r="FJ110" s="76"/>
      <c r="FK110" s="76"/>
      <c r="FL110" s="76"/>
      <c r="FM110" s="76"/>
      <c r="FN110" s="76"/>
      <c r="FO110" s="76"/>
      <c r="FP110" s="76"/>
      <c r="FQ110" s="76"/>
      <c r="FR110" s="76"/>
      <c r="FS110" s="76"/>
      <c r="FT110" s="76"/>
      <c r="FU110" s="76"/>
      <c r="FV110" s="76"/>
      <c r="FW110" s="76"/>
      <c r="FX110" s="76"/>
      <c r="FY110" s="76"/>
      <c r="FZ110" s="76"/>
      <c r="GA110" s="76"/>
      <c r="GB110" s="76"/>
      <c r="GC110" s="76"/>
      <c r="GD110" s="76"/>
      <c r="GE110" s="76"/>
      <c r="GF110" s="76"/>
      <c r="GG110" s="76"/>
      <c r="GH110" s="76"/>
      <c r="GI110" s="76"/>
      <c r="GJ110" s="76"/>
      <c r="GK110" s="76"/>
      <c r="GL110" s="76"/>
      <c r="GM110" s="76"/>
      <c r="GN110" s="76"/>
      <c r="GO110" s="76"/>
      <c r="GP110" s="76"/>
      <c r="GQ110" s="76"/>
      <c r="GR110" s="76"/>
      <c r="GS110" s="76"/>
      <c r="GT110" s="76"/>
      <c r="GU110" s="76"/>
      <c r="GV110" s="76"/>
      <c r="GW110" s="76"/>
      <c r="GX110" s="76"/>
      <c r="GY110" s="76"/>
      <c r="GZ110" s="76"/>
      <c r="HA110" s="76">
        <v>135670</v>
      </c>
      <c r="HB110" s="76"/>
      <c r="HC110" s="76"/>
      <c r="HD110" s="76">
        <v>22</v>
      </c>
      <c r="HE110" s="76">
        <v>1986</v>
      </c>
      <c r="HF110" s="76"/>
      <c r="HG110" s="76"/>
      <c r="HH110" s="76"/>
      <c r="HI110" s="76"/>
      <c r="HJ110" s="76"/>
      <c r="HK110" s="76"/>
      <c r="HL110" s="76"/>
      <c r="HM110" s="76"/>
      <c r="HN110" s="76"/>
      <c r="HO110" s="76"/>
      <c r="HP110" s="76"/>
      <c r="HQ110" s="76"/>
      <c r="HR110" s="76"/>
      <c r="HS110" s="76"/>
      <c r="HT110" s="76"/>
      <c r="HU110" s="76">
        <v>544</v>
      </c>
      <c r="HV110" s="76">
        <v>150443</v>
      </c>
    </row>
    <row r="111" spans="1:230" x14ac:dyDescent="0.2">
      <c r="A111" s="74" t="s">
        <v>233</v>
      </c>
      <c r="B111" s="76">
        <v>2</v>
      </c>
      <c r="C111" s="76">
        <v>1</v>
      </c>
      <c r="D111" s="76"/>
      <c r="E111" s="76"/>
      <c r="F111" s="76">
        <v>9</v>
      </c>
      <c r="G111" s="76"/>
      <c r="H111" s="76"/>
      <c r="I111" s="76">
        <v>6</v>
      </c>
      <c r="J111" s="76"/>
      <c r="K111" s="76">
        <v>8</v>
      </c>
      <c r="L111" s="76"/>
      <c r="M111" s="76"/>
      <c r="N111" s="76"/>
      <c r="O111" s="76"/>
      <c r="P111" s="76">
        <v>8529</v>
      </c>
      <c r="Q111" s="76"/>
      <c r="R111" s="76">
        <v>112</v>
      </c>
      <c r="S111" s="76"/>
      <c r="T111" s="76"/>
      <c r="U111" s="77"/>
      <c r="V111" s="76"/>
      <c r="W111" s="76">
        <v>3</v>
      </c>
      <c r="X111" s="76"/>
      <c r="Y111" s="76"/>
      <c r="Z111" s="76"/>
      <c r="AA111" s="76"/>
      <c r="AB111" s="76"/>
      <c r="AC111" s="76"/>
      <c r="AD111" s="76">
        <v>42</v>
      </c>
      <c r="AE111" s="76"/>
      <c r="AF111" s="76"/>
      <c r="AG111" s="76"/>
      <c r="AH111" s="76">
        <v>2</v>
      </c>
      <c r="AI111" s="76">
        <v>8</v>
      </c>
      <c r="AJ111" s="76"/>
      <c r="AK111" s="76">
        <v>53</v>
      </c>
      <c r="AL111" s="76"/>
      <c r="AM111" s="76">
        <v>222</v>
      </c>
      <c r="AN111" s="76"/>
      <c r="AO111" s="76">
        <v>44</v>
      </c>
      <c r="AP111" s="76"/>
      <c r="AQ111" s="76"/>
      <c r="AR111" s="76"/>
      <c r="AS111" s="76"/>
      <c r="AT111" s="76"/>
      <c r="AU111" s="76"/>
      <c r="AV111" s="76">
        <v>1</v>
      </c>
      <c r="AW111" s="76"/>
      <c r="AX111" s="76"/>
      <c r="AY111" s="76">
        <v>42</v>
      </c>
      <c r="AZ111" s="76"/>
      <c r="BA111" s="76">
        <v>4</v>
      </c>
      <c r="BB111" s="76"/>
      <c r="BC111" s="76"/>
      <c r="BD111" s="76"/>
      <c r="BE111" s="76"/>
      <c r="BF111" s="76"/>
      <c r="BG111" s="76"/>
      <c r="BH111" s="76">
        <v>6</v>
      </c>
      <c r="BI111" s="76">
        <v>93</v>
      </c>
      <c r="BJ111" s="76">
        <v>76</v>
      </c>
      <c r="BK111" s="76">
        <v>1</v>
      </c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76"/>
      <c r="CV111" s="76"/>
      <c r="CW111" s="76"/>
      <c r="CX111" s="76"/>
      <c r="CY111" s="76"/>
      <c r="CZ111" s="76"/>
      <c r="DA111" s="76"/>
      <c r="DB111" s="76"/>
      <c r="DC111" s="76"/>
      <c r="DD111" s="76"/>
      <c r="DE111" s="76"/>
      <c r="DF111" s="76"/>
      <c r="DG111" s="76"/>
      <c r="DH111" s="76"/>
      <c r="DI111" s="76"/>
      <c r="DJ111" s="76"/>
      <c r="DK111" s="76"/>
      <c r="DL111" s="76"/>
      <c r="DM111" s="76"/>
      <c r="DN111" s="76"/>
      <c r="DO111" s="76"/>
      <c r="DP111" s="76"/>
      <c r="DQ111" s="68"/>
      <c r="DR111" s="76"/>
      <c r="DS111" s="76"/>
      <c r="DT111" s="76"/>
      <c r="DU111" s="76"/>
      <c r="DV111" s="76"/>
      <c r="DW111" s="76"/>
      <c r="DX111" s="76"/>
      <c r="DY111" s="76"/>
      <c r="DZ111" s="76"/>
      <c r="EA111" s="76"/>
      <c r="EB111" s="76"/>
      <c r="EC111" s="76"/>
      <c r="ED111" s="76"/>
      <c r="EE111" s="76"/>
      <c r="EF111" s="76"/>
      <c r="EG111" s="76"/>
      <c r="EH111" s="76"/>
      <c r="EI111" s="76"/>
      <c r="EJ111" s="76"/>
      <c r="EK111" s="76"/>
      <c r="EL111" s="76"/>
      <c r="EM111" s="76"/>
      <c r="EN111" s="76"/>
      <c r="EO111" s="76"/>
      <c r="EP111" s="76"/>
      <c r="EQ111" s="76"/>
      <c r="ER111" s="76"/>
      <c r="ES111" s="76"/>
      <c r="ET111" s="76"/>
      <c r="EU111" s="76"/>
      <c r="EV111" s="76"/>
      <c r="EW111" s="76"/>
      <c r="EX111" s="76"/>
      <c r="EY111" s="76"/>
      <c r="EZ111" s="76"/>
      <c r="FA111" s="76"/>
      <c r="FB111" s="76"/>
      <c r="FC111" s="76"/>
      <c r="FD111" s="76"/>
      <c r="FE111" s="76"/>
      <c r="FF111" s="76"/>
      <c r="FG111" s="76"/>
      <c r="FH111" s="76"/>
      <c r="FI111" s="76"/>
      <c r="FJ111" s="76"/>
      <c r="FK111" s="76"/>
      <c r="FL111" s="76"/>
      <c r="FM111" s="76"/>
      <c r="FN111" s="76"/>
      <c r="FO111" s="76"/>
      <c r="FP111" s="76"/>
      <c r="FQ111" s="76"/>
      <c r="FR111" s="76"/>
      <c r="FS111" s="76"/>
      <c r="FT111" s="76"/>
      <c r="FU111" s="76"/>
      <c r="FV111" s="76"/>
      <c r="FW111" s="76"/>
      <c r="FX111" s="76"/>
      <c r="FY111" s="76"/>
      <c r="FZ111" s="76"/>
      <c r="GA111" s="76"/>
      <c r="GB111" s="76"/>
      <c r="GC111" s="76"/>
      <c r="GD111" s="76"/>
      <c r="GE111" s="76"/>
      <c r="GF111" s="76"/>
      <c r="GG111" s="76"/>
      <c r="GH111" s="76"/>
      <c r="GI111" s="76"/>
      <c r="GJ111" s="76"/>
      <c r="GK111" s="76"/>
      <c r="GL111" s="76"/>
      <c r="GM111" s="76"/>
      <c r="GN111" s="76"/>
      <c r="GO111" s="76"/>
      <c r="GP111" s="76"/>
      <c r="GQ111" s="76"/>
      <c r="GR111" s="76"/>
      <c r="GS111" s="76"/>
      <c r="GT111" s="76"/>
      <c r="GU111" s="76"/>
      <c r="GV111" s="76"/>
      <c r="GW111" s="76"/>
      <c r="GX111" s="76"/>
      <c r="GY111" s="76"/>
      <c r="GZ111" s="76"/>
      <c r="HA111" s="76">
        <v>58328</v>
      </c>
      <c r="HB111" s="76"/>
      <c r="HC111" s="76"/>
      <c r="HD111" s="76"/>
      <c r="HE111" s="76">
        <v>10263</v>
      </c>
      <c r="HF111" s="76"/>
      <c r="HG111" s="76"/>
      <c r="HH111" s="76"/>
      <c r="HI111" s="76"/>
      <c r="HJ111" s="76"/>
      <c r="HK111" s="76"/>
      <c r="HL111" s="76"/>
      <c r="HM111" s="76"/>
      <c r="HN111" s="76"/>
      <c r="HO111" s="76"/>
      <c r="HP111" s="76"/>
      <c r="HQ111" s="76"/>
      <c r="HR111" s="76"/>
      <c r="HS111" s="76"/>
      <c r="HT111" s="76"/>
      <c r="HU111" s="76">
        <v>900</v>
      </c>
      <c r="HV111" s="76">
        <v>78755</v>
      </c>
    </row>
    <row r="112" spans="1:230" x14ac:dyDescent="0.2">
      <c r="A112" s="74" t="s">
        <v>210</v>
      </c>
      <c r="B112" s="76">
        <v>790</v>
      </c>
      <c r="C112" s="76">
        <v>545</v>
      </c>
      <c r="D112" s="76">
        <v>37</v>
      </c>
      <c r="E112" s="76">
        <v>7</v>
      </c>
      <c r="F112" s="76"/>
      <c r="G112" s="76"/>
      <c r="H112" s="76"/>
      <c r="I112" s="76">
        <v>65</v>
      </c>
      <c r="J112" s="76"/>
      <c r="K112" s="76">
        <v>535</v>
      </c>
      <c r="L112" s="76">
        <v>122</v>
      </c>
      <c r="M112" s="76"/>
      <c r="N112" s="76">
        <v>41</v>
      </c>
      <c r="O112" s="76"/>
      <c r="P112" s="76"/>
      <c r="Q112" s="76">
        <v>4375</v>
      </c>
      <c r="R112" s="76">
        <v>639</v>
      </c>
      <c r="S112" s="76"/>
      <c r="T112" s="76"/>
      <c r="U112" s="77"/>
      <c r="V112" s="76">
        <v>31</v>
      </c>
      <c r="W112" s="76">
        <v>59</v>
      </c>
      <c r="X112" s="76"/>
      <c r="Y112" s="76"/>
      <c r="Z112" s="76"/>
      <c r="AA112" s="76">
        <v>50</v>
      </c>
      <c r="AB112" s="76">
        <v>23</v>
      </c>
      <c r="AC112" s="76"/>
      <c r="AD112" s="76">
        <v>323</v>
      </c>
      <c r="AE112" s="76"/>
      <c r="AF112" s="76">
        <v>5</v>
      </c>
      <c r="AG112" s="76">
        <v>377</v>
      </c>
      <c r="AH112" s="76">
        <v>174</v>
      </c>
      <c r="AI112" s="76">
        <v>123</v>
      </c>
      <c r="AJ112" s="76">
        <v>199</v>
      </c>
      <c r="AK112" s="76">
        <v>7634</v>
      </c>
      <c r="AL112" s="76"/>
      <c r="AM112" s="76">
        <v>565</v>
      </c>
      <c r="AN112" s="76">
        <v>7</v>
      </c>
      <c r="AO112" s="76">
        <v>7315</v>
      </c>
      <c r="AP112" s="76"/>
      <c r="AQ112" s="76">
        <v>3136</v>
      </c>
      <c r="AR112" s="76"/>
      <c r="AS112" s="76"/>
      <c r="AT112" s="76"/>
      <c r="AU112" s="76">
        <v>128</v>
      </c>
      <c r="AV112" s="76"/>
      <c r="AW112" s="76"/>
      <c r="AX112" s="76"/>
      <c r="AY112" s="76">
        <v>153</v>
      </c>
      <c r="AZ112" s="76"/>
      <c r="BA112" s="76"/>
      <c r="BB112" s="76"/>
      <c r="BC112" s="76">
        <v>605</v>
      </c>
      <c r="BD112" s="76"/>
      <c r="BE112" s="76"/>
      <c r="BF112" s="76"/>
      <c r="BG112" s="76"/>
      <c r="BH112" s="76">
        <v>160</v>
      </c>
      <c r="BI112" s="76"/>
      <c r="BJ112" s="76">
        <v>81</v>
      </c>
      <c r="BK112" s="76">
        <v>32</v>
      </c>
      <c r="BL112" s="76"/>
      <c r="BM112" s="76">
        <v>3</v>
      </c>
      <c r="BN112" s="76"/>
      <c r="BO112" s="76"/>
      <c r="BP112" s="76">
        <v>269</v>
      </c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  <c r="CT112" s="76"/>
      <c r="CU112" s="76"/>
      <c r="CV112" s="76"/>
      <c r="CW112" s="76"/>
      <c r="CX112" s="76"/>
      <c r="CY112" s="76"/>
      <c r="CZ112" s="76"/>
      <c r="DA112" s="76"/>
      <c r="DB112" s="76"/>
      <c r="DC112" s="76"/>
      <c r="DD112" s="76"/>
      <c r="DE112" s="76"/>
      <c r="DF112" s="76"/>
      <c r="DG112" s="76"/>
      <c r="DH112" s="76"/>
      <c r="DI112" s="76"/>
      <c r="DJ112" s="76"/>
      <c r="DK112" s="76"/>
      <c r="DL112" s="76"/>
      <c r="DM112" s="76"/>
      <c r="DN112" s="76"/>
      <c r="DO112" s="76"/>
      <c r="DP112" s="76"/>
      <c r="DQ112" s="68"/>
      <c r="DR112" s="76"/>
      <c r="DS112" s="76"/>
      <c r="DT112" s="76"/>
      <c r="DU112" s="76"/>
      <c r="DV112" s="76"/>
      <c r="DW112" s="76"/>
      <c r="DX112" s="76"/>
      <c r="DY112" s="76"/>
      <c r="DZ112" s="76"/>
      <c r="EA112" s="76"/>
      <c r="EB112" s="76"/>
      <c r="EC112" s="76"/>
      <c r="ED112" s="76"/>
      <c r="EE112" s="76"/>
      <c r="EF112" s="76"/>
      <c r="EG112" s="76"/>
      <c r="EH112" s="76"/>
      <c r="EI112" s="76"/>
      <c r="EJ112" s="76"/>
      <c r="EK112" s="76"/>
      <c r="EL112" s="76"/>
      <c r="EM112" s="76"/>
      <c r="EN112" s="76"/>
      <c r="EO112" s="76"/>
      <c r="EP112" s="76"/>
      <c r="EQ112" s="76"/>
      <c r="ER112" s="76"/>
      <c r="ES112" s="76"/>
      <c r="ET112" s="76"/>
      <c r="EU112" s="76"/>
      <c r="EV112" s="76"/>
      <c r="EW112" s="76"/>
      <c r="EX112" s="76"/>
      <c r="EY112" s="76"/>
      <c r="EZ112" s="76"/>
      <c r="FA112" s="76"/>
      <c r="FB112" s="76"/>
      <c r="FC112" s="76"/>
      <c r="FD112" s="76"/>
      <c r="FE112" s="76"/>
      <c r="FF112" s="76"/>
      <c r="FG112" s="76"/>
      <c r="FH112" s="76"/>
      <c r="FI112" s="76"/>
      <c r="FJ112" s="76"/>
      <c r="FK112" s="76"/>
      <c r="FL112" s="76"/>
      <c r="FM112" s="76"/>
      <c r="FN112" s="76"/>
      <c r="FO112" s="76"/>
      <c r="FP112" s="76"/>
      <c r="FQ112" s="76"/>
      <c r="FR112" s="76"/>
      <c r="FS112" s="76"/>
      <c r="FT112" s="76"/>
      <c r="FU112" s="76"/>
      <c r="FV112" s="76"/>
      <c r="FW112" s="76"/>
      <c r="FX112" s="76"/>
      <c r="FY112" s="76"/>
      <c r="FZ112" s="76"/>
      <c r="GA112" s="76"/>
      <c r="GB112" s="76"/>
      <c r="GC112" s="76"/>
      <c r="GD112" s="76"/>
      <c r="GE112" s="76"/>
      <c r="GF112" s="76"/>
      <c r="GG112" s="76"/>
      <c r="GH112" s="76"/>
      <c r="GI112" s="76"/>
      <c r="GJ112" s="76"/>
      <c r="GK112" s="76"/>
      <c r="GL112" s="76"/>
      <c r="GM112" s="76"/>
      <c r="GN112" s="76"/>
      <c r="GO112" s="76"/>
      <c r="GP112" s="76"/>
      <c r="GQ112" s="76"/>
      <c r="GR112" s="76"/>
      <c r="GS112" s="76"/>
      <c r="GT112" s="76"/>
      <c r="GU112" s="76"/>
      <c r="GV112" s="76"/>
      <c r="GW112" s="76"/>
      <c r="GX112" s="76"/>
      <c r="GY112" s="76"/>
      <c r="GZ112" s="76"/>
      <c r="HA112" s="76">
        <v>2549</v>
      </c>
      <c r="HB112" s="76"/>
      <c r="HC112" s="76"/>
      <c r="HD112" s="76"/>
      <c r="HE112" s="76">
        <v>8716</v>
      </c>
      <c r="HF112" s="76"/>
      <c r="HG112" s="76"/>
      <c r="HH112" s="76"/>
      <c r="HI112" s="76"/>
      <c r="HJ112" s="76"/>
      <c r="HK112" s="76"/>
      <c r="HL112" s="76"/>
      <c r="HM112" s="76"/>
      <c r="HN112" s="76"/>
      <c r="HO112" s="76"/>
      <c r="HP112" s="76"/>
      <c r="HQ112" s="76"/>
      <c r="HR112" s="76"/>
      <c r="HS112" s="76">
        <v>76.203427484331641</v>
      </c>
      <c r="HT112" s="76">
        <v>9.7965725156683661</v>
      </c>
      <c r="HU112" s="76">
        <v>-260</v>
      </c>
      <c r="HV112" s="76">
        <v>39699</v>
      </c>
    </row>
    <row r="113" spans="1:230" x14ac:dyDescent="0.2">
      <c r="A113" s="74" t="s">
        <v>211</v>
      </c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>
        <v>7634</v>
      </c>
      <c r="S113" s="76"/>
      <c r="T113" s="76"/>
      <c r="U113" s="77"/>
      <c r="V113" s="76">
        <v>27</v>
      </c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  <c r="CW113" s="76"/>
      <c r="CX113" s="76"/>
      <c r="CY113" s="76"/>
      <c r="CZ113" s="76"/>
      <c r="DA113" s="76"/>
      <c r="DB113" s="76"/>
      <c r="DC113" s="76"/>
      <c r="DD113" s="76"/>
      <c r="DE113" s="76"/>
      <c r="DF113" s="76"/>
      <c r="DG113" s="76"/>
      <c r="DH113" s="76"/>
      <c r="DI113" s="76"/>
      <c r="DJ113" s="76"/>
      <c r="DK113" s="76"/>
      <c r="DL113" s="76"/>
      <c r="DM113" s="76"/>
      <c r="DN113" s="76"/>
      <c r="DO113" s="76"/>
      <c r="DP113" s="76"/>
      <c r="DQ113" s="68"/>
      <c r="DR113" s="76"/>
      <c r="DS113" s="76"/>
      <c r="DT113" s="76"/>
      <c r="DU113" s="76"/>
      <c r="DV113" s="76"/>
      <c r="DW113" s="76"/>
      <c r="DX113" s="76"/>
      <c r="DY113" s="76"/>
      <c r="DZ113" s="76"/>
      <c r="EA113" s="76"/>
      <c r="EB113" s="76"/>
      <c r="EC113" s="76"/>
      <c r="ED113" s="76"/>
      <c r="EE113" s="76"/>
      <c r="EF113" s="76"/>
      <c r="EG113" s="76"/>
      <c r="EH113" s="76"/>
      <c r="EI113" s="76"/>
      <c r="EJ113" s="76"/>
      <c r="EK113" s="76"/>
      <c r="EL113" s="76"/>
      <c r="EM113" s="76"/>
      <c r="EN113" s="76"/>
      <c r="EO113" s="76"/>
      <c r="EP113" s="76"/>
      <c r="EQ113" s="76"/>
      <c r="ER113" s="76"/>
      <c r="ES113" s="76"/>
      <c r="ET113" s="76"/>
      <c r="EU113" s="76"/>
      <c r="EV113" s="76"/>
      <c r="EW113" s="76"/>
      <c r="EX113" s="76"/>
      <c r="EY113" s="76"/>
      <c r="EZ113" s="76"/>
      <c r="FA113" s="76"/>
      <c r="FB113" s="76"/>
      <c r="FC113" s="76"/>
      <c r="FD113" s="76"/>
      <c r="FE113" s="76"/>
      <c r="FF113" s="76"/>
      <c r="FG113" s="76"/>
      <c r="FH113" s="76"/>
      <c r="FI113" s="76"/>
      <c r="FJ113" s="76"/>
      <c r="FK113" s="76"/>
      <c r="FL113" s="76"/>
      <c r="FM113" s="76"/>
      <c r="FN113" s="76"/>
      <c r="FO113" s="76"/>
      <c r="FP113" s="76"/>
      <c r="FQ113" s="76"/>
      <c r="FR113" s="76"/>
      <c r="FS113" s="76"/>
      <c r="FT113" s="76"/>
      <c r="FU113" s="76"/>
      <c r="FV113" s="76"/>
      <c r="FW113" s="76"/>
      <c r="FX113" s="76"/>
      <c r="FY113" s="76"/>
      <c r="FZ113" s="76"/>
      <c r="GA113" s="76"/>
      <c r="GB113" s="76"/>
      <c r="GC113" s="76"/>
      <c r="GD113" s="76"/>
      <c r="GE113" s="76"/>
      <c r="GF113" s="76"/>
      <c r="GG113" s="76"/>
      <c r="GH113" s="76"/>
      <c r="GI113" s="76"/>
      <c r="GJ113" s="76"/>
      <c r="GK113" s="76"/>
      <c r="GL113" s="76"/>
      <c r="GM113" s="76"/>
      <c r="GN113" s="76"/>
      <c r="GO113" s="76"/>
      <c r="GP113" s="76"/>
      <c r="GQ113" s="76"/>
      <c r="GR113" s="76"/>
      <c r="GS113" s="76"/>
      <c r="GT113" s="76"/>
      <c r="GU113" s="76"/>
      <c r="GV113" s="76"/>
      <c r="GW113" s="76"/>
      <c r="GX113" s="76"/>
      <c r="GY113" s="76"/>
      <c r="GZ113" s="76"/>
      <c r="HA113" s="76"/>
      <c r="HB113" s="76"/>
      <c r="HC113" s="76"/>
      <c r="HD113" s="76"/>
      <c r="HE113" s="76">
        <v>20292</v>
      </c>
      <c r="HF113" s="76"/>
      <c r="HG113" s="76"/>
      <c r="HH113" s="76"/>
      <c r="HI113" s="76"/>
      <c r="HJ113" s="76"/>
      <c r="HK113" s="76"/>
      <c r="HL113" s="76"/>
      <c r="HM113" s="76"/>
      <c r="HN113" s="76"/>
      <c r="HO113" s="76"/>
      <c r="HP113" s="76"/>
      <c r="HQ113" s="76"/>
      <c r="HR113" s="76"/>
      <c r="HS113" s="76"/>
      <c r="HT113" s="76"/>
      <c r="HU113" s="76">
        <v>1507</v>
      </c>
      <c r="HV113" s="76">
        <v>29460</v>
      </c>
    </row>
    <row r="114" spans="1:230" x14ac:dyDescent="0.2">
      <c r="A114" s="74" t="s">
        <v>212</v>
      </c>
      <c r="B114" s="76">
        <v>687</v>
      </c>
      <c r="C114" s="76">
        <v>234</v>
      </c>
      <c r="D114" s="76">
        <v>29</v>
      </c>
      <c r="E114" s="76">
        <v>5</v>
      </c>
      <c r="F114" s="76">
        <v>74</v>
      </c>
      <c r="G114" s="76">
        <v>130</v>
      </c>
      <c r="H114" s="76">
        <v>30</v>
      </c>
      <c r="I114" s="76">
        <v>4152</v>
      </c>
      <c r="J114" s="76">
        <v>30</v>
      </c>
      <c r="K114" s="76">
        <v>4925</v>
      </c>
      <c r="L114" s="76">
        <v>317</v>
      </c>
      <c r="M114" s="76">
        <v>809</v>
      </c>
      <c r="N114" s="76">
        <v>789</v>
      </c>
      <c r="O114" s="76">
        <v>453</v>
      </c>
      <c r="P114" s="76">
        <v>955</v>
      </c>
      <c r="Q114" s="76">
        <v>1210</v>
      </c>
      <c r="R114" s="76">
        <v>10836</v>
      </c>
      <c r="S114" s="76">
        <v>1583</v>
      </c>
      <c r="T114" s="76">
        <v>185</v>
      </c>
      <c r="U114" s="77">
        <v>74</v>
      </c>
      <c r="V114" s="76">
        <v>95</v>
      </c>
      <c r="W114" s="76">
        <v>244</v>
      </c>
      <c r="X114" s="76">
        <v>2082</v>
      </c>
      <c r="Y114" s="76">
        <v>1158</v>
      </c>
      <c r="Z114" s="76">
        <v>2723</v>
      </c>
      <c r="AA114" s="76">
        <v>2130</v>
      </c>
      <c r="AB114" s="76">
        <v>40</v>
      </c>
      <c r="AC114" s="76">
        <v>15</v>
      </c>
      <c r="AD114" s="76">
        <v>1753</v>
      </c>
      <c r="AE114" s="76">
        <v>1029</v>
      </c>
      <c r="AF114" s="76">
        <v>549</v>
      </c>
      <c r="AG114" s="76">
        <v>186</v>
      </c>
      <c r="AH114" s="76">
        <v>355</v>
      </c>
      <c r="AI114" s="76">
        <v>1003</v>
      </c>
      <c r="AJ114" s="76">
        <v>75</v>
      </c>
      <c r="AK114" s="76">
        <v>1222</v>
      </c>
      <c r="AL114" s="76">
        <v>21</v>
      </c>
      <c r="AM114" s="76">
        <v>97</v>
      </c>
      <c r="AN114" s="76">
        <v>78</v>
      </c>
      <c r="AO114" s="76">
        <v>433</v>
      </c>
      <c r="AP114" s="76">
        <v>850</v>
      </c>
      <c r="AQ114" s="76">
        <v>7569</v>
      </c>
      <c r="AR114" s="76">
        <v>237</v>
      </c>
      <c r="AS114" s="76">
        <v>69</v>
      </c>
      <c r="AT114" s="76">
        <v>26</v>
      </c>
      <c r="AU114" s="76">
        <v>375</v>
      </c>
      <c r="AV114" s="76">
        <v>253</v>
      </c>
      <c r="AW114" s="76">
        <v>1784</v>
      </c>
      <c r="AX114" s="76">
        <v>1174</v>
      </c>
      <c r="AY114" s="76">
        <v>160</v>
      </c>
      <c r="AZ114" s="76">
        <v>48</v>
      </c>
      <c r="BA114" s="76">
        <v>681</v>
      </c>
      <c r="BB114" s="76">
        <v>1915</v>
      </c>
      <c r="BC114" s="76">
        <v>404</v>
      </c>
      <c r="BD114" s="76">
        <v>2144</v>
      </c>
      <c r="BE114" s="76">
        <v>529</v>
      </c>
      <c r="BF114" s="76">
        <v>621</v>
      </c>
      <c r="BG114" s="76">
        <v>547</v>
      </c>
      <c r="BH114" s="76">
        <v>2701</v>
      </c>
      <c r="BI114" s="76">
        <v>50</v>
      </c>
      <c r="BJ114" s="76">
        <v>957</v>
      </c>
      <c r="BK114" s="76">
        <v>975</v>
      </c>
      <c r="BL114" s="76">
        <v>629</v>
      </c>
      <c r="BM114" s="76">
        <v>180</v>
      </c>
      <c r="BN114" s="76">
        <v>1152</v>
      </c>
      <c r="BO114" s="76">
        <v>41</v>
      </c>
      <c r="BP114" s="76">
        <v>694</v>
      </c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  <c r="DE114" s="76"/>
      <c r="DF114" s="76"/>
      <c r="DG114" s="76"/>
      <c r="DH114" s="76"/>
      <c r="DI114" s="76"/>
      <c r="DJ114" s="76"/>
      <c r="DK114" s="76"/>
      <c r="DL114" s="76"/>
      <c r="DM114" s="76"/>
      <c r="DN114" s="76"/>
      <c r="DO114" s="76"/>
      <c r="DP114" s="76"/>
      <c r="DQ114" s="68"/>
      <c r="DR114" s="76"/>
      <c r="DS114" s="76"/>
      <c r="DT114" s="76"/>
      <c r="DU114" s="76"/>
      <c r="DV114" s="76"/>
      <c r="DW114" s="76"/>
      <c r="DX114" s="76"/>
      <c r="DY114" s="76"/>
      <c r="DZ114" s="76"/>
      <c r="EA114" s="76"/>
      <c r="EB114" s="76"/>
      <c r="EC114" s="76"/>
      <c r="ED114" s="76"/>
      <c r="EE114" s="76"/>
      <c r="EF114" s="76"/>
      <c r="EG114" s="76"/>
      <c r="EH114" s="76"/>
      <c r="EI114" s="76"/>
      <c r="EJ114" s="76"/>
      <c r="EK114" s="76"/>
      <c r="EL114" s="76"/>
      <c r="EM114" s="76"/>
      <c r="EN114" s="76"/>
      <c r="EO114" s="76"/>
      <c r="EP114" s="76"/>
      <c r="EQ114" s="76"/>
      <c r="ER114" s="76"/>
      <c r="ES114" s="76"/>
      <c r="ET114" s="76"/>
      <c r="EU114" s="76"/>
      <c r="EV114" s="76"/>
      <c r="EW114" s="76"/>
      <c r="EX114" s="76"/>
      <c r="EY114" s="76"/>
      <c r="EZ114" s="76"/>
      <c r="FA114" s="76"/>
      <c r="FB114" s="76"/>
      <c r="FC114" s="76"/>
      <c r="FD114" s="76"/>
      <c r="FE114" s="76"/>
      <c r="FF114" s="76"/>
      <c r="FG114" s="76"/>
      <c r="FH114" s="76"/>
      <c r="FI114" s="76"/>
      <c r="FJ114" s="76"/>
      <c r="FK114" s="76"/>
      <c r="FL114" s="76"/>
      <c r="FM114" s="76"/>
      <c r="FN114" s="76"/>
      <c r="FO114" s="76"/>
      <c r="FP114" s="76"/>
      <c r="FQ114" s="76"/>
      <c r="FR114" s="76"/>
      <c r="FS114" s="76"/>
      <c r="FT114" s="76"/>
      <c r="FU114" s="76"/>
      <c r="FV114" s="76"/>
      <c r="FW114" s="76"/>
      <c r="FX114" s="76"/>
      <c r="FY114" s="76"/>
      <c r="FZ114" s="76"/>
      <c r="GA114" s="76"/>
      <c r="GB114" s="76"/>
      <c r="GC114" s="76"/>
      <c r="GD114" s="76"/>
      <c r="GE114" s="76"/>
      <c r="GF114" s="76"/>
      <c r="GG114" s="76"/>
      <c r="GH114" s="76"/>
      <c r="GI114" s="76"/>
      <c r="GJ114" s="76"/>
      <c r="GK114" s="76"/>
      <c r="GL114" s="76"/>
      <c r="GM114" s="76"/>
      <c r="GN114" s="76"/>
      <c r="GO114" s="76"/>
      <c r="GP114" s="76"/>
      <c r="GQ114" s="76"/>
      <c r="GR114" s="76"/>
      <c r="GS114" s="76"/>
      <c r="GT114" s="76"/>
      <c r="GU114" s="76"/>
      <c r="GV114" s="76"/>
      <c r="GW114" s="76"/>
      <c r="GX114" s="76"/>
      <c r="GY114" s="76"/>
      <c r="GZ114" s="76"/>
      <c r="HA114" s="76">
        <v>19105</v>
      </c>
      <c r="HB114" s="76"/>
      <c r="HC114" s="76"/>
      <c r="HD114" s="76"/>
      <c r="HE114" s="76">
        <v>6331</v>
      </c>
      <c r="HF114" s="76"/>
      <c r="HG114" s="76"/>
      <c r="HH114" s="76"/>
      <c r="HI114" s="76"/>
      <c r="HJ114" s="76"/>
      <c r="HK114" s="76"/>
      <c r="HL114" s="76"/>
      <c r="HM114" s="76"/>
      <c r="HN114" s="76"/>
      <c r="HO114" s="76"/>
      <c r="HP114" s="76"/>
      <c r="HQ114" s="76"/>
      <c r="HR114" s="76"/>
      <c r="HS114" s="76"/>
      <c r="HT114" s="76"/>
      <c r="HU114" s="76">
        <v>-308</v>
      </c>
      <c r="HV114" s="76">
        <v>94688</v>
      </c>
    </row>
    <row r="115" spans="1:230" x14ac:dyDescent="0.2">
      <c r="A115" s="74" t="s">
        <v>234</v>
      </c>
      <c r="B115" s="76">
        <v>9</v>
      </c>
      <c r="C115" s="76"/>
      <c r="D115" s="76">
        <v>4</v>
      </c>
      <c r="E115" s="76"/>
      <c r="F115" s="76">
        <v>5</v>
      </c>
      <c r="G115" s="76">
        <v>19</v>
      </c>
      <c r="H115" s="76">
        <v>7</v>
      </c>
      <c r="I115" s="76">
        <v>82</v>
      </c>
      <c r="J115" s="76">
        <v>25</v>
      </c>
      <c r="K115" s="76">
        <v>115</v>
      </c>
      <c r="L115" s="76">
        <v>414</v>
      </c>
      <c r="M115" s="76"/>
      <c r="N115" s="76">
        <v>17</v>
      </c>
      <c r="O115" s="76">
        <v>17</v>
      </c>
      <c r="P115" s="76">
        <v>10</v>
      </c>
      <c r="Q115" s="76">
        <v>29</v>
      </c>
      <c r="R115" s="76">
        <v>219</v>
      </c>
      <c r="S115" s="76">
        <v>1929</v>
      </c>
      <c r="T115" s="76">
        <v>7</v>
      </c>
      <c r="U115" s="77">
        <v>14</v>
      </c>
      <c r="V115" s="76">
        <v>1</v>
      </c>
      <c r="W115" s="76">
        <v>28</v>
      </c>
      <c r="X115" s="76"/>
      <c r="Y115" s="76">
        <v>13</v>
      </c>
      <c r="Z115" s="76">
        <v>36</v>
      </c>
      <c r="AA115" s="76">
        <v>12</v>
      </c>
      <c r="AB115" s="76">
        <v>25</v>
      </c>
      <c r="AC115" s="76">
        <v>2</v>
      </c>
      <c r="AD115" s="76">
        <v>32</v>
      </c>
      <c r="AE115" s="76">
        <v>327</v>
      </c>
      <c r="AF115" s="76">
        <v>15</v>
      </c>
      <c r="AG115" s="76">
        <v>27</v>
      </c>
      <c r="AH115" s="76">
        <v>32</v>
      </c>
      <c r="AI115" s="76">
        <v>30</v>
      </c>
      <c r="AJ115" s="76">
        <v>8</v>
      </c>
      <c r="AK115" s="76">
        <v>43</v>
      </c>
      <c r="AL115" s="76"/>
      <c r="AM115" s="76">
        <v>43</v>
      </c>
      <c r="AN115" s="76">
        <v>15</v>
      </c>
      <c r="AO115" s="76">
        <v>52</v>
      </c>
      <c r="AP115" s="76">
        <v>153</v>
      </c>
      <c r="AQ115" s="76">
        <v>11532</v>
      </c>
      <c r="AR115" s="76">
        <v>89</v>
      </c>
      <c r="AS115" s="76">
        <v>1</v>
      </c>
      <c r="AT115" s="76">
        <v>71</v>
      </c>
      <c r="AU115" s="76">
        <v>78</v>
      </c>
      <c r="AV115" s="76">
        <v>3</v>
      </c>
      <c r="AW115" s="76">
        <v>97</v>
      </c>
      <c r="AX115" s="76">
        <v>2440</v>
      </c>
      <c r="AY115" s="76">
        <v>434</v>
      </c>
      <c r="AZ115" s="76">
        <v>1124</v>
      </c>
      <c r="BA115" s="76">
        <v>1041</v>
      </c>
      <c r="BB115" s="76">
        <v>2690</v>
      </c>
      <c r="BC115" s="76">
        <v>582</v>
      </c>
      <c r="BD115" s="76">
        <v>925</v>
      </c>
      <c r="BE115" s="76">
        <v>406</v>
      </c>
      <c r="BF115" s="76">
        <v>4388</v>
      </c>
      <c r="BG115" s="76">
        <v>86</v>
      </c>
      <c r="BH115" s="76">
        <v>2297</v>
      </c>
      <c r="BI115" s="76">
        <v>2</v>
      </c>
      <c r="BJ115" s="76">
        <v>1618</v>
      </c>
      <c r="BK115" s="76">
        <v>421</v>
      </c>
      <c r="BL115" s="76">
        <v>20</v>
      </c>
      <c r="BM115" s="76">
        <v>139</v>
      </c>
      <c r="BN115" s="76">
        <v>40</v>
      </c>
      <c r="BO115" s="76">
        <v>583</v>
      </c>
      <c r="BP115" s="76">
        <v>542</v>
      </c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  <c r="CS115" s="76"/>
      <c r="CT115" s="76"/>
      <c r="CU115" s="76"/>
      <c r="CV115" s="76"/>
      <c r="CW115" s="76"/>
      <c r="CX115" s="76"/>
      <c r="CY115" s="76"/>
      <c r="CZ115" s="76"/>
      <c r="DA115" s="76"/>
      <c r="DB115" s="76"/>
      <c r="DC115" s="76"/>
      <c r="DD115" s="76"/>
      <c r="DE115" s="76"/>
      <c r="DF115" s="76"/>
      <c r="DG115" s="76"/>
      <c r="DH115" s="76"/>
      <c r="DI115" s="76"/>
      <c r="DJ115" s="76"/>
      <c r="DK115" s="76"/>
      <c r="DL115" s="76"/>
      <c r="DM115" s="76"/>
      <c r="DN115" s="76"/>
      <c r="DO115" s="76"/>
      <c r="DP115" s="76"/>
      <c r="DQ115" s="68"/>
      <c r="DR115" s="76"/>
      <c r="DS115" s="76"/>
      <c r="DT115" s="76"/>
      <c r="DU115" s="76"/>
      <c r="DV115" s="76"/>
      <c r="DW115" s="76"/>
      <c r="DX115" s="76"/>
      <c r="DY115" s="76"/>
      <c r="DZ115" s="76"/>
      <c r="EA115" s="76"/>
      <c r="EB115" s="76"/>
      <c r="EC115" s="76"/>
      <c r="ED115" s="76"/>
      <c r="EE115" s="76"/>
      <c r="EF115" s="76"/>
      <c r="EG115" s="76"/>
      <c r="EH115" s="76"/>
      <c r="EI115" s="76"/>
      <c r="EJ115" s="76"/>
      <c r="EK115" s="76"/>
      <c r="EL115" s="76"/>
      <c r="EM115" s="76"/>
      <c r="EN115" s="76"/>
      <c r="EO115" s="76"/>
      <c r="EP115" s="76"/>
      <c r="EQ115" s="76"/>
      <c r="ER115" s="76"/>
      <c r="ES115" s="76"/>
      <c r="ET115" s="76"/>
      <c r="EU115" s="76"/>
      <c r="EV115" s="76"/>
      <c r="EW115" s="76"/>
      <c r="EX115" s="76"/>
      <c r="EY115" s="76"/>
      <c r="EZ115" s="76"/>
      <c r="FA115" s="76"/>
      <c r="FB115" s="76"/>
      <c r="FC115" s="76"/>
      <c r="FD115" s="76"/>
      <c r="FE115" s="76"/>
      <c r="FF115" s="76"/>
      <c r="FG115" s="76"/>
      <c r="FH115" s="76"/>
      <c r="FI115" s="76"/>
      <c r="FJ115" s="76"/>
      <c r="FK115" s="76"/>
      <c r="FL115" s="76"/>
      <c r="FM115" s="76"/>
      <c r="FN115" s="76"/>
      <c r="FO115" s="76"/>
      <c r="FP115" s="76"/>
      <c r="FQ115" s="76"/>
      <c r="FR115" s="76"/>
      <c r="FS115" s="76"/>
      <c r="FT115" s="76"/>
      <c r="FU115" s="76"/>
      <c r="FV115" s="76"/>
      <c r="FW115" s="76"/>
      <c r="FX115" s="76"/>
      <c r="FY115" s="76"/>
      <c r="FZ115" s="76"/>
      <c r="GA115" s="76"/>
      <c r="GB115" s="76"/>
      <c r="GC115" s="76"/>
      <c r="GD115" s="76"/>
      <c r="GE115" s="76"/>
      <c r="GF115" s="76"/>
      <c r="GG115" s="76"/>
      <c r="GH115" s="76"/>
      <c r="GI115" s="76"/>
      <c r="GJ115" s="76"/>
      <c r="GK115" s="76"/>
      <c r="GL115" s="76"/>
      <c r="GM115" s="76"/>
      <c r="GN115" s="76"/>
      <c r="GO115" s="76"/>
      <c r="GP115" s="76"/>
      <c r="GQ115" s="76"/>
      <c r="GR115" s="76"/>
      <c r="GS115" s="76"/>
      <c r="GT115" s="76"/>
      <c r="GU115" s="76"/>
      <c r="GV115" s="76"/>
      <c r="GW115" s="76"/>
      <c r="GX115" s="76"/>
      <c r="GY115" s="76"/>
      <c r="GZ115" s="76"/>
      <c r="HA115" s="76">
        <v>720</v>
      </c>
      <c r="HB115" s="76"/>
      <c r="HC115" s="76"/>
      <c r="HD115" s="76"/>
      <c r="HE115" s="76">
        <v>71</v>
      </c>
      <c r="HF115" s="76"/>
      <c r="HG115" s="76"/>
      <c r="HH115" s="76"/>
      <c r="HI115" s="76"/>
      <c r="HJ115" s="76"/>
      <c r="HK115" s="76"/>
      <c r="HL115" s="76"/>
      <c r="HM115" s="76"/>
      <c r="HN115" s="76"/>
      <c r="HO115" s="76"/>
      <c r="HP115" s="76"/>
      <c r="HQ115" s="76"/>
      <c r="HR115" s="76"/>
      <c r="HS115" s="76"/>
      <c r="HT115" s="76"/>
      <c r="HU115" s="76">
        <v>-1166</v>
      </c>
      <c r="HV115" s="76">
        <v>35090</v>
      </c>
    </row>
    <row r="116" spans="1:230" x14ac:dyDescent="0.2">
      <c r="A116" s="74" t="s">
        <v>203</v>
      </c>
      <c r="B116" s="76"/>
      <c r="C116" s="76"/>
      <c r="D116" s="76"/>
      <c r="E116" s="76"/>
      <c r="F116" s="76">
        <v>3006</v>
      </c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7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>
        <v>11592</v>
      </c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>
        <v>427</v>
      </c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  <c r="CS116" s="76"/>
      <c r="CT116" s="76"/>
      <c r="CU116" s="76"/>
      <c r="CV116" s="76"/>
      <c r="CW116" s="76"/>
      <c r="CX116" s="76"/>
      <c r="CY116" s="76"/>
      <c r="CZ116" s="76"/>
      <c r="DA116" s="76"/>
      <c r="DB116" s="76"/>
      <c r="DC116" s="76"/>
      <c r="DD116" s="76"/>
      <c r="DE116" s="76"/>
      <c r="DF116" s="76"/>
      <c r="DG116" s="76"/>
      <c r="DH116" s="76"/>
      <c r="DI116" s="76"/>
      <c r="DJ116" s="76"/>
      <c r="DK116" s="76"/>
      <c r="DL116" s="76"/>
      <c r="DM116" s="76"/>
      <c r="DN116" s="76"/>
      <c r="DO116" s="76"/>
      <c r="DP116" s="76"/>
      <c r="DQ116" s="68"/>
      <c r="DR116" s="76"/>
      <c r="DS116" s="76"/>
      <c r="DT116" s="76"/>
      <c r="DU116" s="76"/>
      <c r="DV116" s="76"/>
      <c r="DW116" s="76"/>
      <c r="DX116" s="76"/>
      <c r="DY116" s="76"/>
      <c r="DZ116" s="76"/>
      <c r="EA116" s="76"/>
      <c r="EB116" s="76"/>
      <c r="EC116" s="76"/>
      <c r="ED116" s="76"/>
      <c r="EE116" s="76"/>
      <c r="EF116" s="76"/>
      <c r="EG116" s="76"/>
      <c r="EH116" s="76"/>
      <c r="EI116" s="76"/>
      <c r="EJ116" s="76"/>
      <c r="EK116" s="76"/>
      <c r="EL116" s="76"/>
      <c r="EM116" s="76"/>
      <c r="EN116" s="76"/>
      <c r="EO116" s="76"/>
      <c r="EP116" s="76"/>
      <c r="EQ116" s="76"/>
      <c r="ER116" s="76"/>
      <c r="ES116" s="76"/>
      <c r="ET116" s="76"/>
      <c r="EU116" s="76"/>
      <c r="EV116" s="76"/>
      <c r="EW116" s="76"/>
      <c r="EX116" s="76"/>
      <c r="EY116" s="76"/>
      <c r="EZ116" s="76"/>
      <c r="FA116" s="76"/>
      <c r="FB116" s="76"/>
      <c r="FC116" s="76"/>
      <c r="FD116" s="76"/>
      <c r="FE116" s="76"/>
      <c r="FF116" s="76"/>
      <c r="FG116" s="76"/>
      <c r="FH116" s="76"/>
      <c r="FI116" s="76"/>
      <c r="FJ116" s="76"/>
      <c r="FK116" s="76"/>
      <c r="FL116" s="76"/>
      <c r="FM116" s="76"/>
      <c r="FN116" s="76"/>
      <c r="FO116" s="76"/>
      <c r="FP116" s="76"/>
      <c r="FQ116" s="76"/>
      <c r="FR116" s="76"/>
      <c r="FS116" s="76"/>
      <c r="FT116" s="76"/>
      <c r="FU116" s="76"/>
      <c r="FV116" s="76"/>
      <c r="FW116" s="76"/>
      <c r="FX116" s="76"/>
      <c r="FY116" s="76"/>
      <c r="FZ116" s="76"/>
      <c r="GA116" s="76"/>
      <c r="GB116" s="76"/>
      <c r="GC116" s="76"/>
      <c r="GD116" s="76"/>
      <c r="GE116" s="76"/>
      <c r="GF116" s="76"/>
      <c r="GG116" s="76"/>
      <c r="GH116" s="76"/>
      <c r="GI116" s="76"/>
      <c r="GJ116" s="76"/>
      <c r="GK116" s="76"/>
      <c r="GL116" s="76"/>
      <c r="GM116" s="76"/>
      <c r="GN116" s="76"/>
      <c r="GO116" s="76"/>
      <c r="GP116" s="76"/>
      <c r="GQ116" s="76"/>
      <c r="GR116" s="76"/>
      <c r="GS116" s="76"/>
      <c r="GT116" s="76"/>
      <c r="GU116" s="76"/>
      <c r="GV116" s="76"/>
      <c r="GW116" s="76"/>
      <c r="GX116" s="76"/>
      <c r="GY116" s="76"/>
      <c r="GZ116" s="76"/>
      <c r="HA116" s="76">
        <v>718</v>
      </c>
      <c r="HB116" s="76"/>
      <c r="HC116" s="76"/>
      <c r="HD116" s="76"/>
      <c r="HE116" s="76">
        <v>4620</v>
      </c>
      <c r="HF116" s="76"/>
      <c r="HG116" s="76"/>
      <c r="HH116" s="76"/>
      <c r="HI116" s="76"/>
      <c r="HJ116" s="76"/>
      <c r="HK116" s="76"/>
      <c r="HL116" s="76"/>
      <c r="HM116" s="76"/>
      <c r="HN116" s="76"/>
      <c r="HO116" s="76"/>
      <c r="HP116" s="76"/>
      <c r="HQ116" s="76"/>
      <c r="HR116" s="76"/>
      <c r="HS116" s="76"/>
      <c r="HT116" s="76"/>
      <c r="HU116" s="76">
        <v>-291</v>
      </c>
      <c r="HV116" s="76">
        <v>20072</v>
      </c>
    </row>
    <row r="117" spans="1:230" x14ac:dyDescent="0.2">
      <c r="A117" s="74" t="s">
        <v>204</v>
      </c>
      <c r="B117" s="76">
        <v>1052</v>
      </c>
      <c r="C117" s="76">
        <v>971</v>
      </c>
      <c r="D117" s="76">
        <v>101</v>
      </c>
      <c r="E117" s="76">
        <v>2</v>
      </c>
      <c r="F117" s="76">
        <v>422</v>
      </c>
      <c r="G117" s="76">
        <v>2</v>
      </c>
      <c r="H117" s="76">
        <v>6</v>
      </c>
      <c r="I117" s="76">
        <v>707</v>
      </c>
      <c r="J117" s="76">
        <v>16</v>
      </c>
      <c r="K117" s="76">
        <v>105</v>
      </c>
      <c r="L117" s="76">
        <v>143</v>
      </c>
      <c r="M117" s="76">
        <v>1</v>
      </c>
      <c r="N117" s="76">
        <v>1</v>
      </c>
      <c r="O117" s="76"/>
      <c r="P117" s="76"/>
      <c r="Q117" s="76">
        <v>227</v>
      </c>
      <c r="R117" s="76">
        <v>32</v>
      </c>
      <c r="S117" s="76"/>
      <c r="T117" s="76">
        <v>9</v>
      </c>
      <c r="U117" s="77"/>
      <c r="V117" s="76">
        <v>1</v>
      </c>
      <c r="W117" s="76">
        <v>3</v>
      </c>
      <c r="X117" s="76"/>
      <c r="Y117" s="76"/>
      <c r="Z117" s="76"/>
      <c r="AA117" s="76">
        <v>3</v>
      </c>
      <c r="AB117" s="76">
        <v>2</v>
      </c>
      <c r="AC117" s="76">
        <v>1</v>
      </c>
      <c r="AD117" s="76">
        <v>21</v>
      </c>
      <c r="AE117" s="76"/>
      <c r="AF117" s="76">
        <v>3</v>
      </c>
      <c r="AG117" s="76">
        <v>6</v>
      </c>
      <c r="AH117" s="76">
        <v>56</v>
      </c>
      <c r="AI117" s="76">
        <v>12</v>
      </c>
      <c r="AJ117" s="76">
        <v>2</v>
      </c>
      <c r="AK117" s="76">
        <v>8</v>
      </c>
      <c r="AL117" s="76">
        <v>13</v>
      </c>
      <c r="AM117" s="76">
        <v>49</v>
      </c>
      <c r="AN117" s="76">
        <v>201</v>
      </c>
      <c r="AO117" s="76">
        <v>1362</v>
      </c>
      <c r="AP117" s="76">
        <v>1297</v>
      </c>
      <c r="AQ117" s="76">
        <v>2809</v>
      </c>
      <c r="AR117" s="76">
        <v>2672</v>
      </c>
      <c r="AS117" s="76">
        <v>37</v>
      </c>
      <c r="AT117" s="76">
        <v>153</v>
      </c>
      <c r="AU117" s="76">
        <v>168</v>
      </c>
      <c r="AV117" s="76">
        <v>88</v>
      </c>
      <c r="AW117" s="76">
        <v>287</v>
      </c>
      <c r="AX117" s="76">
        <v>39</v>
      </c>
      <c r="AY117" s="76">
        <v>85</v>
      </c>
      <c r="AZ117" s="76">
        <v>150</v>
      </c>
      <c r="BA117" s="76">
        <v>279</v>
      </c>
      <c r="BB117" s="76">
        <v>1008</v>
      </c>
      <c r="BC117" s="76">
        <v>160</v>
      </c>
      <c r="BD117" s="76">
        <v>987</v>
      </c>
      <c r="BE117" s="76">
        <v>546</v>
      </c>
      <c r="BF117" s="76">
        <v>177</v>
      </c>
      <c r="BG117" s="76">
        <v>703</v>
      </c>
      <c r="BH117" s="76">
        <v>884</v>
      </c>
      <c r="BI117" s="76">
        <v>202</v>
      </c>
      <c r="BJ117" s="76">
        <v>1689</v>
      </c>
      <c r="BK117" s="76">
        <v>237</v>
      </c>
      <c r="BL117" s="76">
        <v>55</v>
      </c>
      <c r="BM117" s="76">
        <v>60</v>
      </c>
      <c r="BN117" s="76">
        <v>477</v>
      </c>
      <c r="BO117" s="76">
        <v>152</v>
      </c>
      <c r="BP117" s="76">
        <v>435</v>
      </c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  <c r="CS117" s="76"/>
      <c r="CT117" s="76"/>
      <c r="CU117" s="76"/>
      <c r="CV117" s="76"/>
      <c r="CW117" s="76"/>
      <c r="CX117" s="76"/>
      <c r="CY117" s="76"/>
      <c r="CZ117" s="76"/>
      <c r="DA117" s="76"/>
      <c r="DB117" s="76"/>
      <c r="DC117" s="76"/>
      <c r="DD117" s="76"/>
      <c r="DE117" s="76"/>
      <c r="DF117" s="76"/>
      <c r="DG117" s="76"/>
      <c r="DH117" s="76"/>
      <c r="DI117" s="76"/>
      <c r="DJ117" s="76"/>
      <c r="DK117" s="76"/>
      <c r="DL117" s="76"/>
      <c r="DM117" s="76"/>
      <c r="DN117" s="76"/>
      <c r="DO117" s="76"/>
      <c r="DP117" s="76"/>
      <c r="DQ117" s="68"/>
      <c r="DR117" s="76"/>
      <c r="DS117" s="76"/>
      <c r="DT117" s="76"/>
      <c r="DU117" s="76"/>
      <c r="DV117" s="76"/>
      <c r="DW117" s="76"/>
      <c r="DX117" s="76"/>
      <c r="DY117" s="76"/>
      <c r="DZ117" s="76"/>
      <c r="EA117" s="76"/>
      <c r="EB117" s="76"/>
      <c r="EC117" s="76"/>
      <c r="ED117" s="76"/>
      <c r="EE117" s="76"/>
      <c r="EF117" s="76"/>
      <c r="EG117" s="76"/>
      <c r="EH117" s="76"/>
      <c r="EI117" s="76"/>
      <c r="EJ117" s="76"/>
      <c r="EK117" s="76"/>
      <c r="EL117" s="76"/>
      <c r="EM117" s="76"/>
      <c r="EN117" s="76"/>
      <c r="EO117" s="76"/>
      <c r="EP117" s="76"/>
      <c r="EQ117" s="76"/>
      <c r="ER117" s="76"/>
      <c r="ES117" s="76"/>
      <c r="ET117" s="76"/>
      <c r="EU117" s="76"/>
      <c r="EV117" s="76"/>
      <c r="EW117" s="76"/>
      <c r="EX117" s="76"/>
      <c r="EY117" s="76"/>
      <c r="EZ117" s="76"/>
      <c r="FA117" s="76"/>
      <c r="FB117" s="76"/>
      <c r="FC117" s="76"/>
      <c r="FD117" s="76"/>
      <c r="FE117" s="76"/>
      <c r="FF117" s="76"/>
      <c r="FG117" s="76"/>
      <c r="FH117" s="76"/>
      <c r="FI117" s="76"/>
      <c r="FJ117" s="76"/>
      <c r="FK117" s="76"/>
      <c r="FL117" s="76"/>
      <c r="FM117" s="76"/>
      <c r="FN117" s="76"/>
      <c r="FO117" s="76"/>
      <c r="FP117" s="76"/>
      <c r="FQ117" s="76"/>
      <c r="FR117" s="76"/>
      <c r="FS117" s="76"/>
      <c r="FT117" s="76"/>
      <c r="FU117" s="76"/>
      <c r="FV117" s="76"/>
      <c r="FW117" s="76"/>
      <c r="FX117" s="76"/>
      <c r="FY117" s="76"/>
      <c r="FZ117" s="76"/>
      <c r="GA117" s="76"/>
      <c r="GB117" s="76"/>
      <c r="GC117" s="76"/>
      <c r="GD117" s="76"/>
      <c r="GE117" s="76"/>
      <c r="GF117" s="76"/>
      <c r="GG117" s="76"/>
      <c r="GH117" s="76"/>
      <c r="GI117" s="76"/>
      <c r="GJ117" s="76"/>
      <c r="GK117" s="76"/>
      <c r="GL117" s="76"/>
      <c r="GM117" s="76"/>
      <c r="GN117" s="76"/>
      <c r="GO117" s="76"/>
      <c r="GP117" s="76"/>
      <c r="GQ117" s="76"/>
      <c r="GR117" s="76"/>
      <c r="GS117" s="76"/>
      <c r="GT117" s="76"/>
      <c r="GU117" s="76"/>
      <c r="GV117" s="76"/>
      <c r="GW117" s="76"/>
      <c r="GX117" s="76"/>
      <c r="GY117" s="76"/>
      <c r="GZ117" s="76"/>
      <c r="HA117" s="76">
        <v>150601</v>
      </c>
      <c r="HB117" s="76"/>
      <c r="HC117" s="76"/>
      <c r="HD117" s="76"/>
      <c r="HE117" s="76"/>
      <c r="HF117" s="76"/>
      <c r="HG117" s="76"/>
      <c r="HH117" s="76"/>
      <c r="HI117" s="76"/>
      <c r="HJ117" s="76"/>
      <c r="HK117" s="76"/>
      <c r="HL117" s="76"/>
      <c r="HM117" s="76"/>
      <c r="HN117" s="76"/>
      <c r="HO117" s="76"/>
      <c r="HP117" s="76"/>
      <c r="HQ117" s="76"/>
      <c r="HR117" s="76"/>
      <c r="HS117" s="76"/>
      <c r="HT117" s="76"/>
      <c r="HU117" s="76"/>
      <c r="HV117" s="76">
        <v>171977</v>
      </c>
    </row>
    <row r="118" spans="1:230" x14ac:dyDescent="0.2">
      <c r="A118" s="74" t="s">
        <v>205</v>
      </c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>
        <v>1801</v>
      </c>
      <c r="U118" s="77"/>
      <c r="V118" s="76">
        <v>16065</v>
      </c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/>
      <c r="CM118" s="76"/>
      <c r="CN118" s="76"/>
      <c r="CO118" s="76"/>
      <c r="CP118" s="76"/>
      <c r="CQ118" s="76"/>
      <c r="CR118" s="76"/>
      <c r="CS118" s="76"/>
      <c r="CT118" s="76"/>
      <c r="CU118" s="76"/>
      <c r="CV118" s="76"/>
      <c r="CW118" s="76"/>
      <c r="CX118" s="76"/>
      <c r="CY118" s="76"/>
      <c r="CZ118" s="76"/>
      <c r="DA118" s="76"/>
      <c r="DB118" s="76"/>
      <c r="DC118" s="76"/>
      <c r="DD118" s="76"/>
      <c r="DE118" s="76"/>
      <c r="DF118" s="76"/>
      <c r="DG118" s="76"/>
      <c r="DH118" s="76"/>
      <c r="DI118" s="76"/>
      <c r="DJ118" s="76"/>
      <c r="DK118" s="76"/>
      <c r="DL118" s="76"/>
      <c r="DM118" s="76"/>
      <c r="DN118" s="76"/>
      <c r="DO118" s="76"/>
      <c r="DP118" s="76"/>
      <c r="DQ118" s="68"/>
      <c r="DR118" s="76"/>
      <c r="DS118" s="76"/>
      <c r="DT118" s="76"/>
      <c r="DU118" s="76"/>
      <c r="DV118" s="76"/>
      <c r="DW118" s="76"/>
      <c r="DX118" s="76"/>
      <c r="DY118" s="76"/>
      <c r="DZ118" s="76"/>
      <c r="EA118" s="76"/>
      <c r="EB118" s="76"/>
      <c r="EC118" s="76"/>
      <c r="ED118" s="76"/>
      <c r="EE118" s="76"/>
      <c r="EF118" s="76"/>
      <c r="EG118" s="76"/>
      <c r="EH118" s="76"/>
      <c r="EI118" s="76"/>
      <c r="EJ118" s="76"/>
      <c r="EK118" s="76"/>
      <c r="EL118" s="76"/>
      <c r="EM118" s="76"/>
      <c r="EN118" s="76"/>
      <c r="EO118" s="76"/>
      <c r="EP118" s="76"/>
      <c r="EQ118" s="76"/>
      <c r="ER118" s="76"/>
      <c r="ES118" s="76"/>
      <c r="ET118" s="76"/>
      <c r="EU118" s="76"/>
      <c r="EV118" s="76"/>
      <c r="EW118" s="76"/>
      <c r="EX118" s="76"/>
      <c r="EY118" s="76"/>
      <c r="EZ118" s="76"/>
      <c r="FA118" s="76"/>
      <c r="FB118" s="76"/>
      <c r="FC118" s="76"/>
      <c r="FD118" s="76"/>
      <c r="FE118" s="76"/>
      <c r="FF118" s="76"/>
      <c r="FG118" s="76"/>
      <c r="FH118" s="76"/>
      <c r="FI118" s="76"/>
      <c r="FJ118" s="76"/>
      <c r="FK118" s="76"/>
      <c r="FL118" s="76"/>
      <c r="FM118" s="76"/>
      <c r="FN118" s="76"/>
      <c r="FO118" s="76"/>
      <c r="FP118" s="76"/>
      <c r="FQ118" s="76"/>
      <c r="FR118" s="76"/>
      <c r="FS118" s="76"/>
      <c r="FT118" s="76"/>
      <c r="FU118" s="76"/>
      <c r="FV118" s="76"/>
      <c r="FW118" s="76"/>
      <c r="FX118" s="76"/>
      <c r="FY118" s="76"/>
      <c r="FZ118" s="76"/>
      <c r="GA118" s="76"/>
      <c r="GB118" s="76"/>
      <c r="GC118" s="76"/>
      <c r="GD118" s="76"/>
      <c r="GE118" s="76"/>
      <c r="GF118" s="76"/>
      <c r="GG118" s="76"/>
      <c r="GH118" s="76"/>
      <c r="GI118" s="76"/>
      <c r="GJ118" s="76"/>
      <c r="GK118" s="76"/>
      <c r="GL118" s="76"/>
      <c r="GM118" s="76"/>
      <c r="GN118" s="76"/>
      <c r="GO118" s="76"/>
      <c r="GP118" s="76"/>
      <c r="GQ118" s="76"/>
      <c r="GR118" s="76"/>
      <c r="GS118" s="76"/>
      <c r="GT118" s="76"/>
      <c r="GU118" s="76"/>
      <c r="GV118" s="76"/>
      <c r="GW118" s="76"/>
      <c r="GX118" s="76"/>
      <c r="GY118" s="76"/>
      <c r="GZ118" s="76"/>
      <c r="HA118" s="76"/>
      <c r="HB118" s="76"/>
      <c r="HC118" s="76"/>
      <c r="HD118" s="76"/>
      <c r="HE118" s="76"/>
      <c r="HF118" s="76"/>
      <c r="HG118" s="76"/>
      <c r="HH118" s="76"/>
      <c r="HI118" s="76"/>
      <c r="HJ118" s="76"/>
      <c r="HK118" s="76"/>
      <c r="HL118" s="76"/>
      <c r="HM118" s="76"/>
      <c r="HN118" s="76"/>
      <c r="HO118" s="76"/>
      <c r="HP118" s="76"/>
      <c r="HQ118" s="76"/>
      <c r="HR118" s="76"/>
      <c r="HS118" s="76"/>
      <c r="HT118" s="76"/>
      <c r="HU118" s="76">
        <v>946</v>
      </c>
      <c r="HV118" s="76">
        <v>18812</v>
      </c>
    </row>
    <row r="119" spans="1:230" x14ac:dyDescent="0.2">
      <c r="A119" s="74" t="s">
        <v>206</v>
      </c>
      <c r="B119" s="76">
        <v>73</v>
      </c>
      <c r="C119" s="76">
        <v>37</v>
      </c>
      <c r="D119" s="76">
        <v>7</v>
      </c>
      <c r="E119" s="76">
        <v>494</v>
      </c>
      <c r="F119" s="76">
        <v>62</v>
      </c>
      <c r="G119" s="76"/>
      <c r="H119" s="76">
        <v>378</v>
      </c>
      <c r="I119" s="76">
        <v>602</v>
      </c>
      <c r="J119" s="76"/>
      <c r="K119" s="76">
        <v>373</v>
      </c>
      <c r="L119" s="76">
        <v>128</v>
      </c>
      <c r="M119" s="76"/>
      <c r="N119" s="76">
        <v>40</v>
      </c>
      <c r="O119" s="76"/>
      <c r="P119" s="76"/>
      <c r="Q119" s="76">
        <v>36</v>
      </c>
      <c r="R119" s="76">
        <v>1043</v>
      </c>
      <c r="S119" s="76"/>
      <c r="T119" s="76">
        <v>321</v>
      </c>
      <c r="U119" s="77"/>
      <c r="V119" s="76">
        <v>887</v>
      </c>
      <c r="W119" s="76">
        <v>133</v>
      </c>
      <c r="X119" s="76">
        <v>16</v>
      </c>
      <c r="Y119" s="76">
        <v>10</v>
      </c>
      <c r="Z119" s="76">
        <v>44</v>
      </c>
      <c r="AA119" s="76">
        <v>621</v>
      </c>
      <c r="AB119" s="76">
        <v>341</v>
      </c>
      <c r="AC119" s="76">
        <v>2114</v>
      </c>
      <c r="AD119" s="76">
        <v>25</v>
      </c>
      <c r="AE119" s="76"/>
      <c r="AF119" s="76">
        <v>5</v>
      </c>
      <c r="AG119" s="76">
        <v>86</v>
      </c>
      <c r="AH119" s="76">
        <v>3</v>
      </c>
      <c r="AI119" s="76">
        <v>3</v>
      </c>
      <c r="AJ119" s="76">
        <v>7</v>
      </c>
      <c r="AK119" s="76">
        <v>3</v>
      </c>
      <c r="AL119" s="76">
        <v>10</v>
      </c>
      <c r="AM119" s="76">
        <v>1901</v>
      </c>
      <c r="AN119" s="76">
        <v>84</v>
      </c>
      <c r="AO119" s="76">
        <v>875</v>
      </c>
      <c r="AP119" s="76">
        <v>7</v>
      </c>
      <c r="AQ119" s="76">
        <v>780</v>
      </c>
      <c r="AR119" s="76">
        <v>2</v>
      </c>
      <c r="AS119" s="76">
        <v>1395</v>
      </c>
      <c r="AT119" s="76"/>
      <c r="AU119" s="76">
        <v>496</v>
      </c>
      <c r="AV119" s="76"/>
      <c r="AW119" s="76"/>
      <c r="AX119" s="76"/>
      <c r="AY119" s="76"/>
      <c r="AZ119" s="76"/>
      <c r="BA119" s="76"/>
      <c r="BB119" s="76"/>
      <c r="BC119" s="76"/>
      <c r="BD119" s="76"/>
      <c r="BE119" s="76">
        <v>2</v>
      </c>
      <c r="BF119" s="76"/>
      <c r="BG119" s="76">
        <v>7</v>
      </c>
      <c r="BH119" s="76">
        <v>18</v>
      </c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76"/>
      <c r="CL119" s="76"/>
      <c r="CM119" s="76"/>
      <c r="CN119" s="76"/>
      <c r="CO119" s="76"/>
      <c r="CP119" s="76"/>
      <c r="CQ119" s="76"/>
      <c r="CR119" s="76"/>
      <c r="CS119" s="76"/>
      <c r="CT119" s="76"/>
      <c r="CU119" s="76"/>
      <c r="CV119" s="76"/>
      <c r="CW119" s="76"/>
      <c r="CX119" s="76"/>
      <c r="CY119" s="76"/>
      <c r="CZ119" s="76"/>
      <c r="DA119" s="76"/>
      <c r="DB119" s="76"/>
      <c r="DC119" s="76"/>
      <c r="DD119" s="76"/>
      <c r="DE119" s="76"/>
      <c r="DF119" s="76"/>
      <c r="DG119" s="76"/>
      <c r="DH119" s="76"/>
      <c r="DI119" s="76"/>
      <c r="DJ119" s="76"/>
      <c r="DK119" s="76"/>
      <c r="DL119" s="76"/>
      <c r="DM119" s="76"/>
      <c r="DN119" s="76"/>
      <c r="DO119" s="76"/>
      <c r="DP119" s="76"/>
      <c r="DQ119" s="68"/>
      <c r="DR119" s="76"/>
      <c r="DS119" s="76"/>
      <c r="DT119" s="76"/>
      <c r="DU119" s="76"/>
      <c r="DV119" s="76"/>
      <c r="DW119" s="76"/>
      <c r="DX119" s="76"/>
      <c r="DY119" s="76"/>
      <c r="DZ119" s="76"/>
      <c r="EA119" s="76"/>
      <c r="EB119" s="76"/>
      <c r="EC119" s="76"/>
      <c r="ED119" s="76"/>
      <c r="EE119" s="76"/>
      <c r="EF119" s="76"/>
      <c r="EG119" s="76"/>
      <c r="EH119" s="76"/>
      <c r="EI119" s="76"/>
      <c r="EJ119" s="76"/>
      <c r="EK119" s="76"/>
      <c r="EL119" s="76"/>
      <c r="EM119" s="76"/>
      <c r="EN119" s="76"/>
      <c r="EO119" s="76"/>
      <c r="EP119" s="76"/>
      <c r="EQ119" s="76"/>
      <c r="ER119" s="76"/>
      <c r="ES119" s="76"/>
      <c r="ET119" s="76"/>
      <c r="EU119" s="76"/>
      <c r="EV119" s="76"/>
      <c r="EW119" s="76"/>
      <c r="EX119" s="76"/>
      <c r="EY119" s="76"/>
      <c r="EZ119" s="76"/>
      <c r="FA119" s="76"/>
      <c r="FB119" s="76"/>
      <c r="FC119" s="76"/>
      <c r="FD119" s="76"/>
      <c r="FE119" s="76"/>
      <c r="FF119" s="76"/>
      <c r="FG119" s="76"/>
      <c r="FH119" s="76"/>
      <c r="FI119" s="76"/>
      <c r="FJ119" s="76"/>
      <c r="FK119" s="76"/>
      <c r="FL119" s="76"/>
      <c r="FM119" s="76"/>
      <c r="FN119" s="76"/>
      <c r="FO119" s="76"/>
      <c r="FP119" s="76"/>
      <c r="FQ119" s="76"/>
      <c r="FR119" s="76"/>
      <c r="FS119" s="76"/>
      <c r="FT119" s="76"/>
      <c r="FU119" s="76"/>
      <c r="FV119" s="76"/>
      <c r="FW119" s="76"/>
      <c r="FX119" s="76"/>
      <c r="FY119" s="76"/>
      <c r="FZ119" s="76"/>
      <c r="GA119" s="76"/>
      <c r="GB119" s="76"/>
      <c r="GC119" s="76"/>
      <c r="GD119" s="76"/>
      <c r="GE119" s="76"/>
      <c r="GF119" s="76"/>
      <c r="GG119" s="76"/>
      <c r="GH119" s="76"/>
      <c r="GI119" s="76"/>
      <c r="GJ119" s="76"/>
      <c r="GK119" s="76"/>
      <c r="GL119" s="76"/>
      <c r="GM119" s="76"/>
      <c r="GN119" s="76"/>
      <c r="GO119" s="76"/>
      <c r="GP119" s="76"/>
      <c r="GQ119" s="76"/>
      <c r="GR119" s="76"/>
      <c r="GS119" s="76"/>
      <c r="GT119" s="76"/>
      <c r="GU119" s="76"/>
      <c r="GV119" s="76"/>
      <c r="GW119" s="76"/>
      <c r="GX119" s="76"/>
      <c r="GY119" s="76"/>
      <c r="GZ119" s="76"/>
      <c r="HA119" s="76"/>
      <c r="HB119" s="76"/>
      <c r="HC119" s="76"/>
      <c r="HD119" s="76"/>
      <c r="HE119" s="76">
        <v>6779</v>
      </c>
      <c r="HF119" s="76"/>
      <c r="HG119" s="76"/>
      <c r="HH119" s="76"/>
      <c r="HI119" s="76"/>
      <c r="HJ119" s="76"/>
      <c r="HK119" s="76"/>
      <c r="HL119" s="76"/>
      <c r="HM119" s="76"/>
      <c r="HN119" s="76"/>
      <c r="HO119" s="76"/>
      <c r="HP119" s="76"/>
      <c r="HQ119" s="76"/>
      <c r="HR119" s="76"/>
      <c r="HS119" s="76"/>
      <c r="HT119" s="76"/>
      <c r="HU119" s="76">
        <v>-1072</v>
      </c>
      <c r="HV119" s="76">
        <v>19176</v>
      </c>
    </row>
    <row r="120" spans="1:230" x14ac:dyDescent="0.2">
      <c r="A120" s="74" t="s">
        <v>207</v>
      </c>
      <c r="B120" s="76">
        <v>12226</v>
      </c>
      <c r="C120" s="76">
        <v>3442</v>
      </c>
      <c r="D120" s="76">
        <v>613</v>
      </c>
      <c r="E120" s="76">
        <v>681</v>
      </c>
      <c r="F120" s="76">
        <v>237</v>
      </c>
      <c r="G120" s="76">
        <v>3913</v>
      </c>
      <c r="H120" s="76">
        <v>1077</v>
      </c>
      <c r="I120" s="76">
        <v>2021</v>
      </c>
      <c r="J120" s="76">
        <v>1314</v>
      </c>
      <c r="K120" s="76">
        <v>2933</v>
      </c>
      <c r="L120" s="76">
        <v>526</v>
      </c>
      <c r="M120" s="76">
        <v>17</v>
      </c>
      <c r="N120" s="76">
        <v>154</v>
      </c>
      <c r="O120" s="76">
        <v>112</v>
      </c>
      <c r="P120" s="76">
        <v>133</v>
      </c>
      <c r="Q120" s="76">
        <v>79</v>
      </c>
      <c r="R120" s="76">
        <v>443</v>
      </c>
      <c r="S120" s="76">
        <v>24</v>
      </c>
      <c r="T120" s="76">
        <v>23</v>
      </c>
      <c r="U120" s="77">
        <v>1171</v>
      </c>
      <c r="V120" s="76">
        <v>979</v>
      </c>
      <c r="W120" s="76">
        <v>283</v>
      </c>
      <c r="X120" s="76">
        <v>252</v>
      </c>
      <c r="Y120" s="76">
        <v>161</v>
      </c>
      <c r="Z120" s="76">
        <v>640</v>
      </c>
      <c r="AA120" s="76">
        <v>899</v>
      </c>
      <c r="AB120" s="76">
        <v>800</v>
      </c>
      <c r="AC120" s="76">
        <v>176</v>
      </c>
      <c r="AD120" s="76">
        <v>327</v>
      </c>
      <c r="AE120" s="76">
        <v>200</v>
      </c>
      <c r="AF120" s="76">
        <v>243</v>
      </c>
      <c r="AG120" s="76">
        <v>251</v>
      </c>
      <c r="AH120" s="76">
        <v>945</v>
      </c>
      <c r="AI120" s="76">
        <v>214</v>
      </c>
      <c r="AJ120" s="76">
        <v>102</v>
      </c>
      <c r="AK120" s="76">
        <v>241</v>
      </c>
      <c r="AL120" s="76">
        <v>235</v>
      </c>
      <c r="AM120" s="76">
        <v>1348</v>
      </c>
      <c r="AN120" s="76">
        <v>735</v>
      </c>
      <c r="AO120" s="76">
        <v>5068</v>
      </c>
      <c r="AP120" s="76">
        <v>161</v>
      </c>
      <c r="AQ120" s="76">
        <v>10244</v>
      </c>
      <c r="AR120" s="76">
        <v>75380</v>
      </c>
      <c r="AS120" s="76">
        <v>474</v>
      </c>
      <c r="AT120" s="76">
        <v>77</v>
      </c>
      <c r="AU120" s="76">
        <v>1370</v>
      </c>
      <c r="AV120" s="76">
        <v>20</v>
      </c>
      <c r="AW120" s="76">
        <v>5</v>
      </c>
      <c r="AX120" s="76">
        <v>2</v>
      </c>
      <c r="AY120" s="76">
        <v>8</v>
      </c>
      <c r="AZ120" s="76">
        <v>2</v>
      </c>
      <c r="BA120" s="76"/>
      <c r="BB120" s="76"/>
      <c r="BC120" s="76">
        <v>2</v>
      </c>
      <c r="BD120" s="76"/>
      <c r="BE120" s="76">
        <v>14</v>
      </c>
      <c r="BF120" s="76">
        <v>1</v>
      </c>
      <c r="BG120" s="76">
        <v>81</v>
      </c>
      <c r="BH120" s="76">
        <v>1</v>
      </c>
      <c r="BI120" s="76">
        <v>332</v>
      </c>
      <c r="BJ120" s="76">
        <v>397</v>
      </c>
      <c r="BK120" s="76">
        <v>129</v>
      </c>
      <c r="BL120" s="76">
        <v>102</v>
      </c>
      <c r="BM120" s="76">
        <v>29</v>
      </c>
      <c r="BN120" s="76">
        <v>54</v>
      </c>
      <c r="BO120" s="76">
        <v>59</v>
      </c>
      <c r="BP120" s="76">
        <v>206</v>
      </c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76"/>
      <c r="CT120" s="76"/>
      <c r="CU120" s="76"/>
      <c r="CV120" s="76"/>
      <c r="CW120" s="76"/>
      <c r="CX120" s="76"/>
      <c r="CY120" s="76"/>
      <c r="CZ120" s="76"/>
      <c r="DA120" s="76"/>
      <c r="DB120" s="76"/>
      <c r="DC120" s="76"/>
      <c r="DD120" s="76"/>
      <c r="DE120" s="76"/>
      <c r="DF120" s="76"/>
      <c r="DG120" s="76"/>
      <c r="DH120" s="76"/>
      <c r="DI120" s="76"/>
      <c r="DJ120" s="76"/>
      <c r="DK120" s="76"/>
      <c r="DL120" s="76"/>
      <c r="DM120" s="76"/>
      <c r="DN120" s="76"/>
      <c r="DO120" s="76"/>
      <c r="DP120" s="76"/>
      <c r="DQ120" s="68"/>
      <c r="DR120" s="76"/>
      <c r="DS120" s="76"/>
      <c r="DT120" s="76"/>
      <c r="DU120" s="76"/>
      <c r="DV120" s="76"/>
      <c r="DW120" s="76"/>
      <c r="DX120" s="76"/>
      <c r="DY120" s="76"/>
      <c r="DZ120" s="76"/>
      <c r="EA120" s="76"/>
      <c r="EB120" s="76"/>
      <c r="EC120" s="76"/>
      <c r="ED120" s="76"/>
      <c r="EE120" s="76"/>
      <c r="EF120" s="76"/>
      <c r="EG120" s="76"/>
      <c r="EH120" s="76"/>
      <c r="EI120" s="76"/>
      <c r="EJ120" s="76"/>
      <c r="EK120" s="76"/>
      <c r="EL120" s="76"/>
      <c r="EM120" s="76"/>
      <c r="EN120" s="76"/>
      <c r="EO120" s="76"/>
      <c r="EP120" s="76"/>
      <c r="EQ120" s="76"/>
      <c r="ER120" s="76"/>
      <c r="ES120" s="76"/>
      <c r="ET120" s="76"/>
      <c r="EU120" s="76"/>
      <c r="EV120" s="76"/>
      <c r="EW120" s="76"/>
      <c r="EX120" s="76"/>
      <c r="EY120" s="76"/>
      <c r="EZ120" s="76"/>
      <c r="FA120" s="76"/>
      <c r="FB120" s="76"/>
      <c r="FC120" s="76"/>
      <c r="FD120" s="76"/>
      <c r="FE120" s="76"/>
      <c r="FF120" s="76"/>
      <c r="FG120" s="76"/>
      <c r="FH120" s="76"/>
      <c r="FI120" s="76"/>
      <c r="FJ120" s="76"/>
      <c r="FK120" s="76"/>
      <c r="FL120" s="76"/>
      <c r="FM120" s="76"/>
      <c r="FN120" s="76"/>
      <c r="FO120" s="76"/>
      <c r="FP120" s="76"/>
      <c r="FQ120" s="76"/>
      <c r="FR120" s="76"/>
      <c r="FS120" s="76"/>
      <c r="FT120" s="76"/>
      <c r="FU120" s="76"/>
      <c r="FV120" s="76"/>
      <c r="FW120" s="76"/>
      <c r="FX120" s="76"/>
      <c r="FY120" s="76"/>
      <c r="FZ120" s="76"/>
      <c r="GA120" s="76"/>
      <c r="GB120" s="76"/>
      <c r="GC120" s="76"/>
      <c r="GD120" s="76"/>
      <c r="GE120" s="76"/>
      <c r="GF120" s="76"/>
      <c r="GG120" s="76"/>
      <c r="GH120" s="76"/>
      <c r="GI120" s="76"/>
      <c r="GJ120" s="76"/>
      <c r="GK120" s="76"/>
      <c r="GL120" s="76"/>
      <c r="GM120" s="76"/>
      <c r="GN120" s="76"/>
      <c r="GO120" s="76"/>
      <c r="GP120" s="76"/>
      <c r="GQ120" s="76"/>
      <c r="GR120" s="76"/>
      <c r="GS120" s="76"/>
      <c r="GT120" s="76"/>
      <c r="GU120" s="76"/>
      <c r="GV120" s="76"/>
      <c r="GW120" s="76"/>
      <c r="GX120" s="76"/>
      <c r="GY120" s="76"/>
      <c r="GZ120" s="76"/>
      <c r="HA120" s="76">
        <v>6822</v>
      </c>
      <c r="HB120" s="76"/>
      <c r="HC120" s="76"/>
      <c r="HD120" s="76"/>
      <c r="HE120" s="76"/>
      <c r="HF120" s="76"/>
      <c r="HG120" s="76"/>
      <c r="HH120" s="76"/>
      <c r="HI120" s="76"/>
      <c r="HJ120" s="76"/>
      <c r="HK120" s="76"/>
      <c r="HL120" s="76"/>
      <c r="HM120" s="76"/>
      <c r="HN120" s="76"/>
      <c r="HO120" s="76"/>
      <c r="HP120" s="76"/>
      <c r="HQ120" s="76"/>
      <c r="HR120" s="76"/>
      <c r="HS120" s="76"/>
      <c r="HT120" s="76"/>
      <c r="HU120" s="76"/>
      <c r="HV120" s="76">
        <v>141210</v>
      </c>
    </row>
    <row r="121" spans="1:230" x14ac:dyDescent="0.2">
      <c r="A121" s="74" t="s">
        <v>208</v>
      </c>
      <c r="B121" s="76">
        <v>1743</v>
      </c>
      <c r="C121" s="76">
        <v>1200</v>
      </c>
      <c r="D121" s="76">
        <v>72</v>
      </c>
      <c r="E121" s="76">
        <v>25</v>
      </c>
      <c r="F121" s="76">
        <v>1344</v>
      </c>
      <c r="G121" s="76">
        <v>554</v>
      </c>
      <c r="H121" s="76">
        <v>147</v>
      </c>
      <c r="I121" s="76">
        <v>101</v>
      </c>
      <c r="J121" s="76">
        <v>1</v>
      </c>
      <c r="K121" s="76">
        <v>659</v>
      </c>
      <c r="L121" s="76">
        <v>88</v>
      </c>
      <c r="M121" s="76">
        <v>4</v>
      </c>
      <c r="N121" s="76">
        <v>96</v>
      </c>
      <c r="O121" s="76"/>
      <c r="P121" s="76">
        <v>139</v>
      </c>
      <c r="Q121" s="76"/>
      <c r="R121" s="76">
        <v>576</v>
      </c>
      <c r="S121" s="76"/>
      <c r="T121" s="76">
        <v>179650</v>
      </c>
      <c r="U121" s="77"/>
      <c r="V121" s="76">
        <v>1823</v>
      </c>
      <c r="W121" s="76">
        <v>827</v>
      </c>
      <c r="X121" s="76">
        <v>346</v>
      </c>
      <c r="Y121" s="76">
        <v>10</v>
      </c>
      <c r="Z121" s="76">
        <v>1517</v>
      </c>
      <c r="AA121" s="76">
        <v>2722</v>
      </c>
      <c r="AB121" s="76">
        <v>2630</v>
      </c>
      <c r="AC121" s="76">
        <v>196</v>
      </c>
      <c r="AD121" s="76">
        <v>163</v>
      </c>
      <c r="AE121" s="76">
        <v>1</v>
      </c>
      <c r="AF121" s="76">
        <v>676</v>
      </c>
      <c r="AG121" s="76">
        <v>210</v>
      </c>
      <c r="AH121" s="76">
        <v>189</v>
      </c>
      <c r="AI121" s="76">
        <v>324</v>
      </c>
      <c r="AJ121" s="76">
        <v>17</v>
      </c>
      <c r="AK121" s="76">
        <v>87</v>
      </c>
      <c r="AL121" s="76">
        <v>227</v>
      </c>
      <c r="AM121" s="76">
        <v>251</v>
      </c>
      <c r="AN121" s="76">
        <v>160</v>
      </c>
      <c r="AO121" s="76">
        <v>1842</v>
      </c>
      <c r="AP121" s="76">
        <v>4</v>
      </c>
      <c r="AQ121" s="76">
        <v>5274</v>
      </c>
      <c r="AR121" s="76">
        <v>4442</v>
      </c>
      <c r="AS121" s="76">
        <v>68</v>
      </c>
      <c r="AT121" s="76"/>
      <c r="AU121" s="76">
        <v>111</v>
      </c>
      <c r="AV121" s="76">
        <v>19</v>
      </c>
      <c r="AW121" s="76">
        <v>2864</v>
      </c>
      <c r="AX121" s="76"/>
      <c r="AY121" s="76">
        <v>4</v>
      </c>
      <c r="AZ121" s="76"/>
      <c r="BA121" s="76"/>
      <c r="BB121" s="76"/>
      <c r="BC121" s="76">
        <v>3</v>
      </c>
      <c r="BD121" s="76"/>
      <c r="BE121" s="76">
        <v>156</v>
      </c>
      <c r="BF121" s="76">
        <v>26</v>
      </c>
      <c r="BG121" s="76">
        <v>240</v>
      </c>
      <c r="BH121" s="76">
        <v>2</v>
      </c>
      <c r="BI121" s="76"/>
      <c r="BJ121" s="76">
        <v>610</v>
      </c>
      <c r="BK121" s="76">
        <v>142</v>
      </c>
      <c r="BL121" s="76"/>
      <c r="BM121" s="76">
        <v>24</v>
      </c>
      <c r="BN121" s="76">
        <v>52</v>
      </c>
      <c r="BO121" s="76">
        <v>4</v>
      </c>
      <c r="BP121" s="76">
        <v>319</v>
      </c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/>
      <c r="DC121" s="76"/>
      <c r="DD121" s="76"/>
      <c r="DE121" s="76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68"/>
      <c r="DR121" s="76"/>
      <c r="DS121" s="76"/>
      <c r="DT121" s="76"/>
      <c r="DU121" s="76"/>
      <c r="DV121" s="76"/>
      <c r="DW121" s="76"/>
      <c r="DX121" s="76"/>
      <c r="DY121" s="76"/>
      <c r="DZ121" s="76"/>
      <c r="EA121" s="76"/>
      <c r="EB121" s="76"/>
      <c r="EC121" s="76"/>
      <c r="ED121" s="76"/>
      <c r="EE121" s="76"/>
      <c r="EF121" s="76"/>
      <c r="EG121" s="76"/>
      <c r="EH121" s="76"/>
      <c r="EI121" s="76"/>
      <c r="EJ121" s="76"/>
      <c r="EK121" s="76"/>
      <c r="EL121" s="76"/>
      <c r="EM121" s="76"/>
      <c r="EN121" s="76"/>
      <c r="EO121" s="76"/>
      <c r="EP121" s="76"/>
      <c r="EQ121" s="76"/>
      <c r="ER121" s="76"/>
      <c r="ES121" s="76"/>
      <c r="ET121" s="76"/>
      <c r="EU121" s="76"/>
      <c r="EV121" s="76"/>
      <c r="EW121" s="76"/>
      <c r="EX121" s="76"/>
      <c r="EY121" s="76"/>
      <c r="EZ121" s="76"/>
      <c r="FA121" s="76"/>
      <c r="FB121" s="76"/>
      <c r="FC121" s="76"/>
      <c r="FD121" s="76"/>
      <c r="FE121" s="76"/>
      <c r="FF121" s="76"/>
      <c r="FG121" s="76"/>
      <c r="FH121" s="76"/>
      <c r="FI121" s="76"/>
      <c r="FJ121" s="76"/>
      <c r="FK121" s="76"/>
      <c r="FL121" s="76"/>
      <c r="FM121" s="76"/>
      <c r="FN121" s="76"/>
      <c r="FO121" s="76"/>
      <c r="FP121" s="76"/>
      <c r="FQ121" s="76"/>
      <c r="FR121" s="76"/>
      <c r="FS121" s="76"/>
      <c r="FT121" s="76"/>
      <c r="FU121" s="76"/>
      <c r="FV121" s="76"/>
      <c r="FW121" s="76"/>
      <c r="FX121" s="76"/>
      <c r="FY121" s="76"/>
      <c r="FZ121" s="76"/>
      <c r="GA121" s="76"/>
      <c r="GB121" s="76"/>
      <c r="GC121" s="76"/>
      <c r="GD121" s="76"/>
      <c r="GE121" s="76"/>
      <c r="GF121" s="76"/>
      <c r="GG121" s="76"/>
      <c r="GH121" s="76"/>
      <c r="GI121" s="76"/>
      <c r="GJ121" s="76"/>
      <c r="GK121" s="76"/>
      <c r="GL121" s="76"/>
      <c r="GM121" s="76"/>
      <c r="GN121" s="76"/>
      <c r="GO121" s="76"/>
      <c r="GP121" s="76"/>
      <c r="GQ121" s="76"/>
      <c r="GR121" s="76"/>
      <c r="GS121" s="76"/>
      <c r="GT121" s="76"/>
      <c r="GU121" s="76"/>
      <c r="GV121" s="76"/>
      <c r="GW121" s="76"/>
      <c r="GX121" s="76"/>
      <c r="GY121" s="76"/>
      <c r="GZ121" s="76"/>
      <c r="HA121" s="76">
        <v>33044</v>
      </c>
      <c r="HB121" s="76"/>
      <c r="HC121" s="76"/>
      <c r="HD121" s="76"/>
      <c r="HE121" s="76">
        <v>2996</v>
      </c>
      <c r="HF121" s="76"/>
      <c r="HG121" s="76"/>
      <c r="HH121" s="76"/>
      <c r="HI121" s="76"/>
      <c r="HJ121" s="76"/>
      <c r="HK121" s="76"/>
      <c r="HL121" s="76"/>
      <c r="HM121" s="76"/>
      <c r="HN121" s="76"/>
      <c r="HO121" s="76"/>
      <c r="HP121" s="76"/>
      <c r="HQ121" s="76"/>
      <c r="HR121" s="76"/>
      <c r="HS121" s="76"/>
      <c r="HT121" s="76"/>
      <c r="HU121" s="76">
        <v>-3700</v>
      </c>
      <c r="HV121" s="76">
        <v>247321</v>
      </c>
    </row>
    <row r="122" spans="1:230" s="72" customFormat="1" x14ac:dyDescent="0.2">
      <c r="A122" s="75" t="s">
        <v>213</v>
      </c>
      <c r="B122" s="77">
        <v>159</v>
      </c>
      <c r="C122" s="77">
        <v>147</v>
      </c>
      <c r="D122" s="77">
        <v>7</v>
      </c>
      <c r="E122" s="77">
        <v>4</v>
      </c>
      <c r="F122" s="77">
        <v>963</v>
      </c>
      <c r="G122" s="77"/>
      <c r="H122" s="77"/>
      <c r="I122" s="77">
        <v>47</v>
      </c>
      <c r="J122" s="77">
        <v>133</v>
      </c>
      <c r="K122" s="77">
        <v>85</v>
      </c>
      <c r="L122" s="77">
        <v>38</v>
      </c>
      <c r="M122" s="77"/>
      <c r="N122" s="77"/>
      <c r="O122" s="77"/>
      <c r="P122" s="77"/>
      <c r="Q122" s="77">
        <v>9</v>
      </c>
      <c r="R122" s="77">
        <v>1</v>
      </c>
      <c r="S122" s="77"/>
      <c r="T122" s="77">
        <v>35337</v>
      </c>
      <c r="U122" s="77">
        <v>605</v>
      </c>
      <c r="V122" s="77">
        <v>495</v>
      </c>
      <c r="W122" s="77">
        <v>371</v>
      </c>
      <c r="X122" s="77">
        <v>2156</v>
      </c>
      <c r="Y122" s="77">
        <v>1248</v>
      </c>
      <c r="Z122" s="77"/>
      <c r="AA122" s="77"/>
      <c r="AB122" s="77"/>
      <c r="AC122" s="77"/>
      <c r="AD122" s="77">
        <v>51</v>
      </c>
      <c r="AE122" s="77"/>
      <c r="AF122" s="77">
        <v>3</v>
      </c>
      <c r="AG122" s="77">
        <v>1</v>
      </c>
      <c r="AH122" s="77">
        <v>14</v>
      </c>
      <c r="AI122" s="77">
        <v>1</v>
      </c>
      <c r="AJ122" s="77"/>
      <c r="AK122" s="77">
        <v>3</v>
      </c>
      <c r="AL122" s="77"/>
      <c r="AM122" s="77">
        <v>3</v>
      </c>
      <c r="AN122" s="77">
        <v>4</v>
      </c>
      <c r="AO122" s="77">
        <v>369</v>
      </c>
      <c r="AP122" s="77">
        <v>202</v>
      </c>
      <c r="AQ122" s="77">
        <v>379</v>
      </c>
      <c r="AR122" s="77">
        <v>943</v>
      </c>
      <c r="AS122" s="77"/>
      <c r="AT122" s="77">
        <v>10</v>
      </c>
      <c r="AU122" s="77">
        <v>54</v>
      </c>
      <c r="AV122" s="77"/>
      <c r="AW122" s="77">
        <v>13</v>
      </c>
      <c r="AX122" s="77"/>
      <c r="AY122" s="77">
        <v>1</v>
      </c>
      <c r="AZ122" s="77">
        <v>12</v>
      </c>
      <c r="BA122" s="77">
        <v>9</v>
      </c>
      <c r="BB122" s="77">
        <v>50</v>
      </c>
      <c r="BC122" s="77"/>
      <c r="BD122" s="77">
        <v>61</v>
      </c>
      <c r="BE122" s="77">
        <v>95</v>
      </c>
      <c r="BF122" s="77">
        <v>32</v>
      </c>
      <c r="BG122" s="77">
        <v>46</v>
      </c>
      <c r="BH122" s="77">
        <v>38</v>
      </c>
      <c r="BI122" s="77">
        <v>88</v>
      </c>
      <c r="BJ122" s="77">
        <v>989</v>
      </c>
      <c r="BK122" s="77">
        <v>151</v>
      </c>
      <c r="BL122" s="77"/>
      <c r="BM122" s="77">
        <v>41</v>
      </c>
      <c r="BN122" s="77">
        <v>80</v>
      </c>
      <c r="BO122" s="77"/>
      <c r="BP122" s="77">
        <v>170</v>
      </c>
      <c r="BQ122" s="77"/>
      <c r="BR122" s="77"/>
      <c r="BS122" s="77"/>
      <c r="BT122" s="77"/>
      <c r="BU122" s="77"/>
      <c r="BV122" s="77"/>
      <c r="BW122" s="77"/>
      <c r="BX122" s="77"/>
      <c r="BY122" s="77"/>
      <c r="BZ122" s="77"/>
      <c r="CA122" s="77"/>
      <c r="CB122" s="77"/>
      <c r="CC122" s="77"/>
      <c r="CD122" s="77"/>
      <c r="CE122" s="77"/>
      <c r="CF122" s="77"/>
      <c r="CG122" s="77"/>
      <c r="CH122" s="77"/>
      <c r="CI122" s="77"/>
      <c r="CJ122" s="77"/>
      <c r="CK122" s="77"/>
      <c r="CL122" s="77"/>
      <c r="CM122" s="77"/>
      <c r="CN122" s="77"/>
      <c r="CO122" s="77"/>
      <c r="CP122" s="77"/>
      <c r="CQ122" s="77"/>
      <c r="CR122" s="77"/>
      <c r="CS122" s="77"/>
      <c r="CT122" s="77"/>
      <c r="CU122" s="77"/>
      <c r="CV122" s="77"/>
      <c r="CW122" s="77"/>
      <c r="CX122" s="77"/>
      <c r="CY122" s="77"/>
      <c r="CZ122" s="77"/>
      <c r="DA122" s="77"/>
      <c r="DB122" s="77"/>
      <c r="DC122" s="77"/>
      <c r="DD122" s="77"/>
      <c r="DE122" s="77"/>
      <c r="DF122" s="77"/>
      <c r="DG122" s="77"/>
      <c r="DH122" s="77"/>
      <c r="DI122" s="77"/>
      <c r="DJ122" s="77"/>
      <c r="DK122" s="77"/>
      <c r="DL122" s="77"/>
      <c r="DM122" s="77"/>
      <c r="DN122" s="77"/>
      <c r="DO122" s="77"/>
      <c r="DP122" s="77"/>
      <c r="DQ122" s="68"/>
      <c r="DR122" s="77"/>
      <c r="DS122" s="77"/>
      <c r="DT122" s="77"/>
      <c r="DU122" s="77"/>
      <c r="DV122" s="77"/>
      <c r="DW122" s="77"/>
      <c r="DX122" s="77"/>
      <c r="DY122" s="77"/>
      <c r="DZ122" s="77"/>
      <c r="EA122" s="77"/>
      <c r="EB122" s="77"/>
      <c r="EC122" s="77"/>
      <c r="ED122" s="77"/>
      <c r="EE122" s="77"/>
      <c r="EF122" s="77"/>
      <c r="EG122" s="77"/>
      <c r="EH122" s="77"/>
      <c r="EI122" s="77"/>
      <c r="EJ122" s="77"/>
      <c r="EK122" s="77"/>
      <c r="EL122" s="77"/>
      <c r="EM122" s="77"/>
      <c r="EN122" s="77"/>
      <c r="EO122" s="77"/>
      <c r="EP122" s="77"/>
      <c r="EQ122" s="77"/>
      <c r="ER122" s="77"/>
      <c r="ES122" s="77"/>
      <c r="ET122" s="77"/>
      <c r="EU122" s="77"/>
      <c r="EV122" s="77"/>
      <c r="EW122" s="77"/>
      <c r="EX122" s="77"/>
      <c r="EY122" s="77"/>
      <c r="EZ122" s="77"/>
      <c r="FA122" s="77"/>
      <c r="FB122" s="77"/>
      <c r="FC122" s="77"/>
      <c r="FD122" s="77"/>
      <c r="FE122" s="77"/>
      <c r="FF122" s="77"/>
      <c r="FG122" s="77"/>
      <c r="FH122" s="77"/>
      <c r="FI122" s="77"/>
      <c r="FJ122" s="77"/>
      <c r="FK122" s="77"/>
      <c r="FL122" s="77"/>
      <c r="FM122" s="77"/>
      <c r="FN122" s="77"/>
      <c r="FO122" s="77"/>
      <c r="FP122" s="77"/>
      <c r="FQ122" s="77"/>
      <c r="FR122" s="77"/>
      <c r="FS122" s="77"/>
      <c r="FT122" s="77"/>
      <c r="FU122" s="77"/>
      <c r="FV122" s="77"/>
      <c r="FW122" s="77"/>
      <c r="FX122" s="77"/>
      <c r="FY122" s="77"/>
      <c r="FZ122" s="77"/>
      <c r="GA122" s="77"/>
      <c r="GB122" s="77"/>
      <c r="GC122" s="77"/>
      <c r="GD122" s="77"/>
      <c r="GE122" s="77"/>
      <c r="GF122" s="77"/>
      <c r="GG122" s="77"/>
      <c r="GH122" s="77"/>
      <c r="GI122" s="77"/>
      <c r="GJ122" s="77"/>
      <c r="GK122" s="77"/>
      <c r="GL122" s="77"/>
      <c r="GM122" s="77"/>
      <c r="GN122" s="77"/>
      <c r="GO122" s="77"/>
      <c r="GP122" s="77"/>
      <c r="GQ122" s="77"/>
      <c r="GR122" s="77"/>
      <c r="GS122" s="77"/>
      <c r="GT122" s="77"/>
      <c r="GU122" s="77"/>
      <c r="GV122" s="77"/>
      <c r="GW122" s="77"/>
      <c r="GX122" s="77"/>
      <c r="GY122" s="77"/>
      <c r="GZ122" s="77"/>
      <c r="HA122" s="77">
        <v>41039</v>
      </c>
      <c r="HB122" s="77"/>
      <c r="HC122" s="77"/>
      <c r="HD122" s="77"/>
      <c r="HE122" s="77">
        <v>2701</v>
      </c>
      <c r="HF122" s="77"/>
      <c r="HG122" s="77"/>
      <c r="HH122" s="77"/>
      <c r="HI122" s="77"/>
      <c r="HJ122" s="77"/>
      <c r="HK122" s="77"/>
      <c r="HL122" s="77"/>
      <c r="HM122" s="77"/>
      <c r="HN122" s="77"/>
      <c r="HO122" s="77"/>
      <c r="HP122" s="77"/>
      <c r="HQ122" s="77"/>
      <c r="HR122" s="77"/>
      <c r="HS122" s="77"/>
      <c r="HT122" s="77"/>
      <c r="HU122" s="77">
        <v>2934</v>
      </c>
      <c r="HV122" s="77">
        <v>92392</v>
      </c>
    </row>
    <row r="123" spans="1:230" x14ac:dyDescent="0.2">
      <c r="A123" s="74" t="s">
        <v>214</v>
      </c>
      <c r="B123" s="76">
        <v>7130</v>
      </c>
      <c r="C123" s="76">
        <v>1460</v>
      </c>
      <c r="D123" s="76">
        <v>90</v>
      </c>
      <c r="E123" s="76">
        <v>116</v>
      </c>
      <c r="F123" s="76">
        <v>3098</v>
      </c>
      <c r="G123" s="76">
        <v>1</v>
      </c>
      <c r="H123" s="76">
        <v>135</v>
      </c>
      <c r="I123" s="76">
        <v>1</v>
      </c>
      <c r="J123" s="76">
        <v>163</v>
      </c>
      <c r="K123" s="76">
        <v>853</v>
      </c>
      <c r="L123" s="76">
        <v>131</v>
      </c>
      <c r="M123" s="76"/>
      <c r="N123" s="76">
        <v>277</v>
      </c>
      <c r="O123" s="76"/>
      <c r="P123" s="76">
        <v>343</v>
      </c>
      <c r="Q123" s="76"/>
      <c r="R123" s="76">
        <v>4347</v>
      </c>
      <c r="S123" s="76">
        <v>14</v>
      </c>
      <c r="T123" s="76"/>
      <c r="U123" s="77">
        <v>16</v>
      </c>
      <c r="V123" s="76">
        <v>31912</v>
      </c>
      <c r="W123" s="76">
        <v>4592</v>
      </c>
      <c r="X123" s="76">
        <v>1731</v>
      </c>
      <c r="Y123" s="76">
        <v>289</v>
      </c>
      <c r="Z123" s="76">
        <v>735</v>
      </c>
      <c r="AA123" s="76">
        <v>2513</v>
      </c>
      <c r="AB123" s="76">
        <v>952</v>
      </c>
      <c r="AC123" s="76">
        <v>1161</v>
      </c>
      <c r="AD123" s="76">
        <v>558</v>
      </c>
      <c r="AE123" s="76"/>
      <c r="AF123" s="76">
        <v>276</v>
      </c>
      <c r="AG123" s="76">
        <v>23</v>
      </c>
      <c r="AH123" s="76">
        <v>13</v>
      </c>
      <c r="AI123" s="76">
        <v>14</v>
      </c>
      <c r="AJ123" s="76">
        <v>193</v>
      </c>
      <c r="AK123" s="76">
        <v>322</v>
      </c>
      <c r="AL123" s="76">
        <v>311</v>
      </c>
      <c r="AM123" s="76">
        <v>329</v>
      </c>
      <c r="AN123" s="76">
        <v>1469</v>
      </c>
      <c r="AO123" s="76">
        <v>1</v>
      </c>
      <c r="AP123" s="76"/>
      <c r="AQ123" s="76">
        <v>610</v>
      </c>
      <c r="AR123" s="76">
        <v>1</v>
      </c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>
        <v>11</v>
      </c>
      <c r="BF123" s="76">
        <v>3</v>
      </c>
      <c r="BG123" s="76"/>
      <c r="BH123" s="76"/>
      <c r="BI123" s="76"/>
      <c r="BJ123" s="76">
        <v>9</v>
      </c>
      <c r="BK123" s="76">
        <v>36</v>
      </c>
      <c r="BL123" s="76"/>
      <c r="BM123" s="76">
        <v>352</v>
      </c>
      <c r="BN123" s="76">
        <v>1248</v>
      </c>
      <c r="BO123" s="76"/>
      <c r="BP123" s="76">
        <v>672</v>
      </c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68"/>
      <c r="DR123" s="76"/>
      <c r="DS123" s="76"/>
      <c r="DT123" s="76"/>
      <c r="DU123" s="76"/>
      <c r="DV123" s="76"/>
      <c r="DW123" s="76"/>
      <c r="DX123" s="76"/>
      <c r="DY123" s="76"/>
      <c r="DZ123" s="76"/>
      <c r="EA123" s="76"/>
      <c r="EB123" s="76"/>
      <c r="EC123" s="76"/>
      <c r="ED123" s="76"/>
      <c r="EE123" s="76"/>
      <c r="EF123" s="76"/>
      <c r="EG123" s="76"/>
      <c r="EH123" s="76"/>
      <c r="EI123" s="76"/>
      <c r="EJ123" s="76"/>
      <c r="EK123" s="76"/>
      <c r="EL123" s="76"/>
      <c r="EM123" s="76"/>
      <c r="EN123" s="76"/>
      <c r="EO123" s="76"/>
      <c r="EP123" s="76"/>
      <c r="EQ123" s="76"/>
      <c r="ER123" s="76"/>
      <c r="ES123" s="76"/>
      <c r="ET123" s="76"/>
      <c r="EU123" s="76"/>
      <c r="EV123" s="76"/>
      <c r="EW123" s="76"/>
      <c r="EX123" s="76"/>
      <c r="EY123" s="76"/>
      <c r="EZ123" s="76"/>
      <c r="FA123" s="76"/>
      <c r="FB123" s="76"/>
      <c r="FC123" s="76"/>
      <c r="FD123" s="76"/>
      <c r="FE123" s="76"/>
      <c r="FF123" s="76"/>
      <c r="FG123" s="76"/>
      <c r="FH123" s="76"/>
      <c r="FI123" s="76"/>
      <c r="FJ123" s="76"/>
      <c r="FK123" s="76"/>
      <c r="FL123" s="76"/>
      <c r="FM123" s="76"/>
      <c r="FN123" s="76"/>
      <c r="FO123" s="76"/>
      <c r="FP123" s="76"/>
      <c r="FQ123" s="76"/>
      <c r="FR123" s="76"/>
      <c r="FS123" s="76"/>
      <c r="FT123" s="76"/>
      <c r="FU123" s="76"/>
      <c r="FV123" s="76"/>
      <c r="FW123" s="76"/>
      <c r="FX123" s="76"/>
      <c r="FY123" s="76"/>
      <c r="FZ123" s="76"/>
      <c r="GA123" s="76"/>
      <c r="GB123" s="76"/>
      <c r="GC123" s="76"/>
      <c r="GD123" s="76"/>
      <c r="GE123" s="76"/>
      <c r="GF123" s="76"/>
      <c r="GG123" s="76"/>
      <c r="GH123" s="76"/>
      <c r="GI123" s="76"/>
      <c r="GJ123" s="76"/>
      <c r="GK123" s="76"/>
      <c r="GL123" s="76"/>
      <c r="GM123" s="76"/>
      <c r="GN123" s="76"/>
      <c r="GO123" s="76"/>
      <c r="GP123" s="76"/>
      <c r="GQ123" s="76"/>
      <c r="GR123" s="76"/>
      <c r="GS123" s="76"/>
      <c r="GT123" s="76"/>
      <c r="GU123" s="76"/>
      <c r="GV123" s="76"/>
      <c r="GW123" s="76"/>
      <c r="GX123" s="76"/>
      <c r="GY123" s="76"/>
      <c r="GZ123" s="76"/>
      <c r="HA123" s="76">
        <v>29</v>
      </c>
      <c r="HB123" s="76"/>
      <c r="HC123" s="76"/>
      <c r="HD123" s="76"/>
      <c r="HE123" s="76">
        <v>2291</v>
      </c>
      <c r="HF123" s="76"/>
      <c r="HG123" s="76"/>
      <c r="HH123" s="76"/>
      <c r="HI123" s="76"/>
      <c r="HJ123" s="76"/>
      <c r="HK123" s="76"/>
      <c r="HL123" s="76"/>
      <c r="HM123" s="76"/>
      <c r="HN123" s="76"/>
      <c r="HO123" s="76"/>
      <c r="HP123" s="76"/>
      <c r="HQ123" s="76"/>
      <c r="HR123" s="76"/>
      <c r="HS123" s="76"/>
      <c r="HT123" s="76"/>
      <c r="HU123" s="76">
        <v>847</v>
      </c>
      <c r="HV123" s="76">
        <v>71678</v>
      </c>
    </row>
    <row r="124" spans="1:230" x14ac:dyDescent="0.2">
      <c r="A124" s="74" t="s">
        <v>215</v>
      </c>
      <c r="B124" s="76">
        <v>47803</v>
      </c>
      <c r="C124" s="76">
        <v>4590</v>
      </c>
      <c r="D124" s="76">
        <v>340</v>
      </c>
      <c r="E124" s="76"/>
      <c r="F124" s="76"/>
      <c r="G124" s="76"/>
      <c r="H124" s="76"/>
      <c r="I124" s="76"/>
      <c r="J124" s="76">
        <v>233</v>
      </c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7"/>
      <c r="V124" s="76">
        <v>2460</v>
      </c>
      <c r="W124" s="76">
        <v>22</v>
      </c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>
        <v>4</v>
      </c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  <c r="CT124" s="76"/>
      <c r="CU124" s="76"/>
      <c r="CV124" s="76"/>
      <c r="CW124" s="76"/>
      <c r="CX124" s="76"/>
      <c r="CY124" s="76"/>
      <c r="CZ124" s="76"/>
      <c r="DA124" s="76"/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76"/>
      <c r="DN124" s="76"/>
      <c r="DO124" s="76"/>
      <c r="DP124" s="76"/>
      <c r="DQ124" s="68"/>
      <c r="DR124" s="76"/>
      <c r="DS124" s="76"/>
      <c r="DT124" s="76"/>
      <c r="DU124" s="76"/>
      <c r="DV124" s="76"/>
      <c r="DW124" s="76"/>
      <c r="DX124" s="76"/>
      <c r="DY124" s="76"/>
      <c r="DZ124" s="76"/>
      <c r="EA124" s="76"/>
      <c r="EB124" s="76"/>
      <c r="EC124" s="76"/>
      <c r="ED124" s="76"/>
      <c r="EE124" s="76"/>
      <c r="EF124" s="76"/>
      <c r="EG124" s="76"/>
      <c r="EH124" s="76"/>
      <c r="EI124" s="76"/>
      <c r="EJ124" s="76"/>
      <c r="EK124" s="76"/>
      <c r="EL124" s="76"/>
      <c r="EM124" s="76"/>
      <c r="EN124" s="76"/>
      <c r="EO124" s="76"/>
      <c r="EP124" s="76"/>
      <c r="EQ124" s="76"/>
      <c r="ER124" s="76"/>
      <c r="ES124" s="76"/>
      <c r="ET124" s="76"/>
      <c r="EU124" s="76"/>
      <c r="EV124" s="76"/>
      <c r="EW124" s="76"/>
      <c r="EX124" s="76"/>
      <c r="EY124" s="76"/>
      <c r="EZ124" s="76"/>
      <c r="FA124" s="76"/>
      <c r="FB124" s="76"/>
      <c r="FC124" s="76"/>
      <c r="FD124" s="76"/>
      <c r="FE124" s="76"/>
      <c r="FF124" s="76"/>
      <c r="FG124" s="76"/>
      <c r="FH124" s="76"/>
      <c r="FI124" s="76"/>
      <c r="FJ124" s="76"/>
      <c r="FK124" s="76"/>
      <c r="FL124" s="76"/>
      <c r="FM124" s="76"/>
      <c r="FN124" s="76"/>
      <c r="FO124" s="76"/>
      <c r="FP124" s="76"/>
      <c r="FQ124" s="76"/>
      <c r="FR124" s="76"/>
      <c r="FS124" s="76"/>
      <c r="FT124" s="76"/>
      <c r="FU124" s="76"/>
      <c r="FV124" s="76"/>
      <c r="FW124" s="76"/>
      <c r="FX124" s="76"/>
      <c r="FY124" s="76"/>
      <c r="FZ124" s="76"/>
      <c r="GA124" s="76"/>
      <c r="GB124" s="76"/>
      <c r="GC124" s="76"/>
      <c r="GD124" s="76"/>
      <c r="GE124" s="76"/>
      <c r="GF124" s="76"/>
      <c r="GG124" s="76"/>
      <c r="GH124" s="76"/>
      <c r="GI124" s="76"/>
      <c r="GJ124" s="76"/>
      <c r="GK124" s="76"/>
      <c r="GL124" s="76"/>
      <c r="GM124" s="76"/>
      <c r="GN124" s="76"/>
      <c r="GO124" s="76"/>
      <c r="GP124" s="76"/>
      <c r="GQ124" s="76"/>
      <c r="GR124" s="76"/>
      <c r="GS124" s="76"/>
      <c r="GT124" s="76"/>
      <c r="GU124" s="76"/>
      <c r="GV124" s="76"/>
      <c r="GW124" s="76"/>
      <c r="GX124" s="76"/>
      <c r="GY124" s="76"/>
      <c r="GZ124" s="76"/>
      <c r="HA124" s="76"/>
      <c r="HB124" s="76"/>
      <c r="HC124" s="76"/>
      <c r="HD124" s="76"/>
      <c r="HE124" s="76">
        <v>590</v>
      </c>
      <c r="HF124" s="76"/>
      <c r="HG124" s="76"/>
      <c r="HH124" s="76"/>
      <c r="HI124" s="76"/>
      <c r="HJ124" s="76"/>
      <c r="HK124" s="76"/>
      <c r="HL124" s="76"/>
      <c r="HM124" s="76"/>
      <c r="HN124" s="76"/>
      <c r="HO124" s="76"/>
      <c r="HP124" s="76"/>
      <c r="HQ124" s="76"/>
      <c r="HR124" s="76"/>
      <c r="HS124" s="76"/>
      <c r="HT124" s="76"/>
      <c r="HU124" s="76">
        <v>2600</v>
      </c>
      <c r="HV124" s="76">
        <v>58642</v>
      </c>
    </row>
    <row r="125" spans="1:230" x14ac:dyDescent="0.2">
      <c r="A125" s="74" t="s">
        <v>216</v>
      </c>
      <c r="B125" s="76"/>
      <c r="C125" s="76">
        <v>3</v>
      </c>
      <c r="D125" s="76"/>
      <c r="E125" s="76"/>
      <c r="F125" s="76">
        <v>3374</v>
      </c>
      <c r="G125" s="76">
        <v>440</v>
      </c>
      <c r="H125" s="76">
        <v>151</v>
      </c>
      <c r="I125" s="76">
        <v>574</v>
      </c>
      <c r="J125" s="76"/>
      <c r="K125" s="76">
        <v>525</v>
      </c>
      <c r="L125" s="76">
        <v>31</v>
      </c>
      <c r="M125" s="76"/>
      <c r="N125" s="76">
        <v>1444</v>
      </c>
      <c r="O125" s="76">
        <v>241</v>
      </c>
      <c r="P125" s="76">
        <v>988</v>
      </c>
      <c r="Q125" s="76"/>
      <c r="R125" s="76">
        <v>1985</v>
      </c>
      <c r="S125" s="76"/>
      <c r="T125" s="76"/>
      <c r="U125" s="77">
        <v>1268</v>
      </c>
      <c r="V125" s="76">
        <v>29652</v>
      </c>
      <c r="W125" s="76">
        <v>15727</v>
      </c>
      <c r="X125" s="76">
        <v>5204</v>
      </c>
      <c r="Y125" s="76">
        <v>2708</v>
      </c>
      <c r="Z125" s="76">
        <v>3068</v>
      </c>
      <c r="AA125" s="76"/>
      <c r="AB125" s="76">
        <v>694</v>
      </c>
      <c r="AC125" s="76">
        <v>398</v>
      </c>
      <c r="AD125" s="76">
        <v>604</v>
      </c>
      <c r="AE125" s="76"/>
      <c r="AF125" s="76">
        <v>129</v>
      </c>
      <c r="AG125" s="76">
        <v>10</v>
      </c>
      <c r="AH125" s="76">
        <v>38</v>
      </c>
      <c r="AI125" s="76"/>
      <c r="AJ125" s="76">
        <v>2</v>
      </c>
      <c r="AK125" s="76">
        <v>370</v>
      </c>
      <c r="AL125" s="76"/>
      <c r="AM125" s="76">
        <v>14</v>
      </c>
      <c r="AN125" s="76">
        <v>242</v>
      </c>
      <c r="AO125" s="76"/>
      <c r="AP125" s="76"/>
      <c r="AQ125" s="76">
        <v>109</v>
      </c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>
        <v>42</v>
      </c>
      <c r="BF125" s="76"/>
      <c r="BG125" s="76"/>
      <c r="BH125" s="76"/>
      <c r="BI125" s="76"/>
      <c r="BJ125" s="76">
        <v>10</v>
      </c>
      <c r="BK125" s="76">
        <v>41</v>
      </c>
      <c r="BL125" s="76"/>
      <c r="BM125" s="76">
        <v>134</v>
      </c>
      <c r="BN125" s="76">
        <v>101</v>
      </c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  <c r="DG125" s="76"/>
      <c r="DH125" s="76"/>
      <c r="DI125" s="76"/>
      <c r="DJ125" s="76"/>
      <c r="DK125" s="76"/>
      <c r="DL125" s="76"/>
      <c r="DM125" s="76"/>
      <c r="DN125" s="76"/>
      <c r="DO125" s="76"/>
      <c r="DP125" s="76"/>
      <c r="DQ125" s="68"/>
      <c r="DR125" s="76"/>
      <c r="DS125" s="76"/>
      <c r="DT125" s="76"/>
      <c r="DU125" s="76"/>
      <c r="DV125" s="76"/>
      <c r="DW125" s="76"/>
      <c r="DX125" s="76"/>
      <c r="DY125" s="76"/>
      <c r="DZ125" s="76"/>
      <c r="EA125" s="76"/>
      <c r="EB125" s="76"/>
      <c r="EC125" s="76"/>
      <c r="ED125" s="76"/>
      <c r="EE125" s="76"/>
      <c r="EF125" s="76"/>
      <c r="EG125" s="76"/>
      <c r="EH125" s="76"/>
      <c r="EI125" s="76"/>
      <c r="EJ125" s="76"/>
      <c r="EK125" s="76"/>
      <c r="EL125" s="76"/>
      <c r="EM125" s="76"/>
      <c r="EN125" s="76"/>
      <c r="EO125" s="76"/>
      <c r="EP125" s="76"/>
      <c r="EQ125" s="76"/>
      <c r="ER125" s="76"/>
      <c r="ES125" s="76"/>
      <c r="ET125" s="76"/>
      <c r="EU125" s="76"/>
      <c r="EV125" s="76"/>
      <c r="EW125" s="76"/>
      <c r="EX125" s="76"/>
      <c r="EY125" s="76"/>
      <c r="EZ125" s="76"/>
      <c r="FA125" s="76"/>
      <c r="FB125" s="76"/>
      <c r="FC125" s="76"/>
      <c r="FD125" s="76"/>
      <c r="FE125" s="76"/>
      <c r="FF125" s="76"/>
      <c r="FG125" s="76"/>
      <c r="FH125" s="76"/>
      <c r="FI125" s="76"/>
      <c r="FJ125" s="76"/>
      <c r="FK125" s="76"/>
      <c r="FL125" s="76"/>
      <c r="FM125" s="76"/>
      <c r="FN125" s="76"/>
      <c r="FO125" s="76"/>
      <c r="FP125" s="76"/>
      <c r="FQ125" s="76"/>
      <c r="FR125" s="76"/>
      <c r="FS125" s="76"/>
      <c r="FT125" s="76"/>
      <c r="FU125" s="76"/>
      <c r="FV125" s="76"/>
      <c r="FW125" s="76"/>
      <c r="FX125" s="76"/>
      <c r="FY125" s="76"/>
      <c r="FZ125" s="76"/>
      <c r="GA125" s="76"/>
      <c r="GB125" s="76"/>
      <c r="GC125" s="76"/>
      <c r="GD125" s="76"/>
      <c r="GE125" s="76"/>
      <c r="GF125" s="76"/>
      <c r="GG125" s="76"/>
      <c r="GH125" s="76"/>
      <c r="GI125" s="76"/>
      <c r="GJ125" s="76"/>
      <c r="GK125" s="76"/>
      <c r="GL125" s="76"/>
      <c r="GM125" s="76"/>
      <c r="GN125" s="76"/>
      <c r="GO125" s="76"/>
      <c r="GP125" s="76"/>
      <c r="GQ125" s="76"/>
      <c r="GR125" s="76"/>
      <c r="GS125" s="76"/>
      <c r="GT125" s="76"/>
      <c r="GU125" s="76"/>
      <c r="GV125" s="76"/>
      <c r="GW125" s="76"/>
      <c r="GX125" s="76"/>
      <c r="GY125" s="76"/>
      <c r="GZ125" s="76"/>
      <c r="HA125" s="76"/>
      <c r="HB125" s="76"/>
      <c r="HC125" s="76"/>
      <c r="HD125" s="76"/>
      <c r="HE125" s="76">
        <v>8530</v>
      </c>
      <c r="HF125" s="76"/>
      <c r="HG125" s="76"/>
      <c r="HH125" s="76"/>
      <c r="HI125" s="76"/>
      <c r="HJ125" s="76"/>
      <c r="HK125" s="76"/>
      <c r="HL125" s="76"/>
      <c r="HM125" s="76"/>
      <c r="HN125" s="76"/>
      <c r="HO125" s="76"/>
      <c r="HP125" s="76"/>
      <c r="HQ125" s="76"/>
      <c r="HR125" s="76"/>
      <c r="HS125" s="76"/>
      <c r="HT125" s="76"/>
      <c r="HU125" s="76">
        <v>-1658</v>
      </c>
      <c r="HV125" s="76">
        <v>77193</v>
      </c>
    </row>
    <row r="126" spans="1:230" x14ac:dyDescent="0.2">
      <c r="A126" s="74" t="s">
        <v>217</v>
      </c>
      <c r="B126" s="76">
        <v>152</v>
      </c>
      <c r="C126" s="76">
        <v>7</v>
      </c>
      <c r="D126" s="76"/>
      <c r="E126" s="76"/>
      <c r="F126" s="76">
        <v>2189</v>
      </c>
      <c r="G126" s="76"/>
      <c r="H126" s="76"/>
      <c r="I126" s="76">
        <v>2</v>
      </c>
      <c r="J126" s="76">
        <v>3</v>
      </c>
      <c r="K126" s="76">
        <v>11</v>
      </c>
      <c r="L126" s="76"/>
      <c r="M126" s="76">
        <v>27</v>
      </c>
      <c r="N126" s="76">
        <v>5031</v>
      </c>
      <c r="O126" s="76"/>
      <c r="P126" s="76">
        <v>1724</v>
      </c>
      <c r="Q126" s="76">
        <v>974</v>
      </c>
      <c r="R126" s="76">
        <v>1984</v>
      </c>
      <c r="S126" s="76">
        <v>45</v>
      </c>
      <c r="T126" s="76"/>
      <c r="U126" s="77"/>
      <c r="V126" s="76">
        <v>2815</v>
      </c>
      <c r="W126" s="76">
        <v>2622</v>
      </c>
      <c r="X126" s="76">
        <v>1407</v>
      </c>
      <c r="Y126" s="76">
        <v>89</v>
      </c>
      <c r="Z126" s="76">
        <v>24373</v>
      </c>
      <c r="AA126" s="76">
        <v>2128</v>
      </c>
      <c r="AB126" s="76">
        <v>1</v>
      </c>
      <c r="AC126" s="76">
        <v>285</v>
      </c>
      <c r="AD126" s="76">
        <v>1296</v>
      </c>
      <c r="AE126" s="76">
        <v>256</v>
      </c>
      <c r="AF126" s="76">
        <v>3918</v>
      </c>
      <c r="AG126" s="76">
        <v>203</v>
      </c>
      <c r="AH126" s="76">
        <v>110</v>
      </c>
      <c r="AI126" s="76">
        <v>2002</v>
      </c>
      <c r="AJ126" s="76">
        <v>386</v>
      </c>
      <c r="AK126" s="76">
        <v>2440</v>
      </c>
      <c r="AL126" s="76"/>
      <c r="AM126" s="76"/>
      <c r="AN126" s="76"/>
      <c r="AO126" s="76">
        <v>1</v>
      </c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>
        <v>12</v>
      </c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  <c r="CT126" s="76"/>
      <c r="CU126" s="76"/>
      <c r="CV126" s="76"/>
      <c r="CW126" s="76"/>
      <c r="CX126" s="76"/>
      <c r="CY126" s="76"/>
      <c r="CZ126" s="76"/>
      <c r="DA126" s="76"/>
      <c r="DB126" s="76"/>
      <c r="DC126" s="76"/>
      <c r="DD126" s="76"/>
      <c r="DE126" s="76"/>
      <c r="DF126" s="76"/>
      <c r="DG126" s="76"/>
      <c r="DH126" s="76"/>
      <c r="DI126" s="76"/>
      <c r="DJ126" s="76"/>
      <c r="DK126" s="76"/>
      <c r="DL126" s="76"/>
      <c r="DM126" s="76"/>
      <c r="DN126" s="76"/>
      <c r="DO126" s="76"/>
      <c r="DP126" s="76"/>
      <c r="DQ126" s="68"/>
      <c r="DR126" s="76"/>
      <c r="DS126" s="76"/>
      <c r="DT126" s="76"/>
      <c r="DU126" s="76"/>
      <c r="DV126" s="76"/>
      <c r="DW126" s="76"/>
      <c r="DX126" s="76"/>
      <c r="DY126" s="76"/>
      <c r="DZ126" s="76"/>
      <c r="EA126" s="76"/>
      <c r="EB126" s="76"/>
      <c r="EC126" s="76"/>
      <c r="ED126" s="76"/>
      <c r="EE126" s="76"/>
      <c r="EF126" s="76"/>
      <c r="EG126" s="76"/>
      <c r="EH126" s="76"/>
      <c r="EI126" s="76"/>
      <c r="EJ126" s="76"/>
      <c r="EK126" s="76"/>
      <c r="EL126" s="76"/>
      <c r="EM126" s="76"/>
      <c r="EN126" s="76"/>
      <c r="EO126" s="76"/>
      <c r="EP126" s="76"/>
      <c r="EQ126" s="76"/>
      <c r="ER126" s="76"/>
      <c r="ES126" s="76"/>
      <c r="ET126" s="76"/>
      <c r="EU126" s="76"/>
      <c r="EV126" s="76"/>
      <c r="EW126" s="76"/>
      <c r="EX126" s="76"/>
      <c r="EY126" s="76"/>
      <c r="EZ126" s="76"/>
      <c r="FA126" s="76"/>
      <c r="FB126" s="76"/>
      <c r="FC126" s="76"/>
      <c r="FD126" s="76"/>
      <c r="FE126" s="76"/>
      <c r="FF126" s="76"/>
      <c r="FG126" s="76"/>
      <c r="FH126" s="76"/>
      <c r="FI126" s="76"/>
      <c r="FJ126" s="76"/>
      <c r="FK126" s="76"/>
      <c r="FL126" s="76"/>
      <c r="FM126" s="76"/>
      <c r="FN126" s="76"/>
      <c r="FO126" s="76"/>
      <c r="FP126" s="76"/>
      <c r="FQ126" s="76"/>
      <c r="FR126" s="76"/>
      <c r="FS126" s="76"/>
      <c r="FT126" s="76"/>
      <c r="FU126" s="76"/>
      <c r="FV126" s="76"/>
      <c r="FW126" s="76"/>
      <c r="FX126" s="76"/>
      <c r="FY126" s="76"/>
      <c r="FZ126" s="76"/>
      <c r="GA126" s="76"/>
      <c r="GB126" s="76"/>
      <c r="GC126" s="76"/>
      <c r="GD126" s="76"/>
      <c r="GE126" s="76"/>
      <c r="GF126" s="76"/>
      <c r="GG126" s="76"/>
      <c r="GH126" s="76"/>
      <c r="GI126" s="76"/>
      <c r="GJ126" s="76"/>
      <c r="GK126" s="76"/>
      <c r="GL126" s="76"/>
      <c r="GM126" s="76"/>
      <c r="GN126" s="76"/>
      <c r="GO126" s="76"/>
      <c r="GP126" s="76"/>
      <c r="GQ126" s="76"/>
      <c r="GR126" s="76"/>
      <c r="GS126" s="76"/>
      <c r="GT126" s="76"/>
      <c r="GU126" s="76"/>
      <c r="GV126" s="76"/>
      <c r="GW126" s="76"/>
      <c r="GX126" s="76"/>
      <c r="GY126" s="76"/>
      <c r="GZ126" s="76"/>
      <c r="HA126" s="76"/>
      <c r="HB126" s="76"/>
      <c r="HC126" s="76"/>
      <c r="HD126" s="76"/>
      <c r="HE126" s="76">
        <v>9066</v>
      </c>
      <c r="HF126" s="76"/>
      <c r="HG126" s="76"/>
      <c r="HH126" s="76"/>
      <c r="HI126" s="76"/>
      <c r="HJ126" s="76"/>
      <c r="HK126" s="76"/>
      <c r="HL126" s="76"/>
      <c r="HM126" s="76"/>
      <c r="HN126" s="76"/>
      <c r="HO126" s="76"/>
      <c r="HP126" s="76"/>
      <c r="HQ126" s="76"/>
      <c r="HR126" s="76"/>
      <c r="HS126" s="76"/>
      <c r="HT126" s="76"/>
      <c r="HU126" s="76">
        <v>3490</v>
      </c>
      <c r="HV126" s="76">
        <v>69049</v>
      </c>
    </row>
    <row r="127" spans="1:230" x14ac:dyDescent="0.2">
      <c r="A127" s="74" t="s">
        <v>218</v>
      </c>
      <c r="B127" s="76">
        <v>36637</v>
      </c>
      <c r="C127" s="76">
        <v>4257</v>
      </c>
      <c r="D127" s="76">
        <v>133</v>
      </c>
      <c r="E127" s="76"/>
      <c r="F127" s="76"/>
      <c r="G127" s="76"/>
      <c r="H127" s="76"/>
      <c r="I127" s="76"/>
      <c r="J127" s="76">
        <v>53</v>
      </c>
      <c r="K127" s="76">
        <v>1</v>
      </c>
      <c r="L127" s="76"/>
      <c r="M127" s="76"/>
      <c r="N127" s="76"/>
      <c r="O127" s="76"/>
      <c r="P127" s="76"/>
      <c r="Q127" s="76"/>
      <c r="R127" s="76"/>
      <c r="S127" s="76"/>
      <c r="T127" s="76"/>
      <c r="U127" s="77"/>
      <c r="V127" s="76"/>
      <c r="W127" s="76">
        <v>9217</v>
      </c>
      <c r="X127" s="76">
        <v>1180</v>
      </c>
      <c r="Y127" s="76"/>
      <c r="Z127" s="76"/>
      <c r="AA127" s="76"/>
      <c r="AB127" s="76"/>
      <c r="AC127" s="76"/>
      <c r="AD127" s="76">
        <v>74</v>
      </c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>
        <v>13</v>
      </c>
      <c r="AW127" s="76"/>
      <c r="AX127" s="76"/>
      <c r="AY127" s="76"/>
      <c r="AZ127" s="76"/>
      <c r="BA127" s="76"/>
      <c r="BB127" s="76"/>
      <c r="BC127" s="76"/>
      <c r="BD127" s="76"/>
      <c r="BE127" s="76">
        <v>17</v>
      </c>
      <c r="BF127" s="76">
        <v>16</v>
      </c>
      <c r="BG127" s="76"/>
      <c r="BH127" s="76">
        <v>1876</v>
      </c>
      <c r="BI127" s="76"/>
      <c r="BJ127" s="76"/>
      <c r="BK127" s="76"/>
      <c r="BL127" s="76"/>
      <c r="BM127" s="76"/>
      <c r="BN127" s="76"/>
      <c r="BO127" s="76">
        <v>3</v>
      </c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  <c r="CT127" s="76"/>
      <c r="CU127" s="76"/>
      <c r="CV127" s="76"/>
      <c r="CW127" s="76"/>
      <c r="CX127" s="76"/>
      <c r="CY127" s="76"/>
      <c r="CZ127" s="76"/>
      <c r="DA127" s="76"/>
      <c r="DB127" s="76"/>
      <c r="DC127" s="76"/>
      <c r="DD127" s="76"/>
      <c r="DE127" s="76"/>
      <c r="DF127" s="76"/>
      <c r="DG127" s="76"/>
      <c r="DH127" s="76"/>
      <c r="DI127" s="76"/>
      <c r="DJ127" s="76"/>
      <c r="DK127" s="76"/>
      <c r="DL127" s="76"/>
      <c r="DM127" s="76"/>
      <c r="DN127" s="76"/>
      <c r="DO127" s="76"/>
      <c r="DP127" s="76"/>
      <c r="DQ127" s="68"/>
      <c r="DR127" s="76"/>
      <c r="DS127" s="76"/>
      <c r="DT127" s="76"/>
      <c r="DU127" s="76"/>
      <c r="DV127" s="76"/>
      <c r="DW127" s="76"/>
      <c r="DX127" s="76"/>
      <c r="DY127" s="76"/>
      <c r="DZ127" s="76"/>
      <c r="EA127" s="76"/>
      <c r="EB127" s="76"/>
      <c r="EC127" s="76"/>
      <c r="ED127" s="76"/>
      <c r="EE127" s="76"/>
      <c r="EF127" s="76"/>
      <c r="EG127" s="76"/>
      <c r="EH127" s="76"/>
      <c r="EI127" s="76"/>
      <c r="EJ127" s="76"/>
      <c r="EK127" s="76"/>
      <c r="EL127" s="76"/>
      <c r="EM127" s="76"/>
      <c r="EN127" s="76"/>
      <c r="EO127" s="76"/>
      <c r="EP127" s="76"/>
      <c r="EQ127" s="76"/>
      <c r="ER127" s="76"/>
      <c r="ES127" s="76"/>
      <c r="ET127" s="76"/>
      <c r="EU127" s="76"/>
      <c r="EV127" s="76"/>
      <c r="EW127" s="76"/>
      <c r="EX127" s="76"/>
      <c r="EY127" s="76"/>
      <c r="EZ127" s="76"/>
      <c r="FA127" s="76"/>
      <c r="FB127" s="76"/>
      <c r="FC127" s="76"/>
      <c r="FD127" s="76"/>
      <c r="FE127" s="76"/>
      <c r="FF127" s="76"/>
      <c r="FG127" s="76"/>
      <c r="FH127" s="76"/>
      <c r="FI127" s="76"/>
      <c r="FJ127" s="76"/>
      <c r="FK127" s="76"/>
      <c r="FL127" s="76"/>
      <c r="FM127" s="76"/>
      <c r="FN127" s="76"/>
      <c r="FO127" s="76"/>
      <c r="FP127" s="76"/>
      <c r="FQ127" s="76"/>
      <c r="FR127" s="76"/>
      <c r="FS127" s="76"/>
      <c r="FT127" s="76"/>
      <c r="FU127" s="76"/>
      <c r="FV127" s="76"/>
      <c r="FW127" s="76"/>
      <c r="FX127" s="76"/>
      <c r="FY127" s="76"/>
      <c r="FZ127" s="76"/>
      <c r="GA127" s="76"/>
      <c r="GB127" s="76"/>
      <c r="GC127" s="76"/>
      <c r="GD127" s="76"/>
      <c r="GE127" s="76"/>
      <c r="GF127" s="76"/>
      <c r="GG127" s="76"/>
      <c r="GH127" s="76"/>
      <c r="GI127" s="76"/>
      <c r="GJ127" s="76"/>
      <c r="GK127" s="76"/>
      <c r="GL127" s="76"/>
      <c r="GM127" s="76"/>
      <c r="GN127" s="76"/>
      <c r="GO127" s="76"/>
      <c r="GP127" s="76"/>
      <c r="GQ127" s="76"/>
      <c r="GR127" s="76"/>
      <c r="GS127" s="76"/>
      <c r="GT127" s="76"/>
      <c r="GU127" s="76"/>
      <c r="GV127" s="76"/>
      <c r="GW127" s="76"/>
      <c r="GX127" s="76"/>
      <c r="GY127" s="76"/>
      <c r="GZ127" s="76"/>
      <c r="HA127" s="76">
        <v>674</v>
      </c>
      <c r="HB127" s="76"/>
      <c r="HC127" s="76"/>
      <c r="HD127" s="76"/>
      <c r="HE127" s="76">
        <v>1034</v>
      </c>
      <c r="HF127" s="76"/>
      <c r="HG127" s="76"/>
      <c r="HH127" s="76"/>
      <c r="HI127" s="76"/>
      <c r="HJ127" s="76"/>
      <c r="HK127" s="76"/>
      <c r="HL127" s="76"/>
      <c r="HM127" s="76"/>
      <c r="HN127" s="76"/>
      <c r="HO127" s="76"/>
      <c r="HP127" s="76"/>
      <c r="HQ127" s="76"/>
      <c r="HR127" s="76"/>
      <c r="HS127" s="76"/>
      <c r="HT127" s="76"/>
      <c r="HU127" s="76">
        <v>-1317</v>
      </c>
      <c r="HV127" s="76">
        <v>53868</v>
      </c>
    </row>
    <row r="128" spans="1:230" x14ac:dyDescent="0.2">
      <c r="A128" s="74" t="s">
        <v>219</v>
      </c>
      <c r="B128" s="76">
        <v>1</v>
      </c>
      <c r="C128" s="76">
        <v>42</v>
      </c>
      <c r="D128" s="76"/>
      <c r="E128" s="76">
        <v>3331</v>
      </c>
      <c r="F128" s="76">
        <v>652</v>
      </c>
      <c r="G128" s="76">
        <v>433</v>
      </c>
      <c r="H128" s="76">
        <v>266</v>
      </c>
      <c r="I128" s="76">
        <v>1628</v>
      </c>
      <c r="J128" s="76">
        <v>25</v>
      </c>
      <c r="K128" s="76">
        <v>4580</v>
      </c>
      <c r="L128" s="76">
        <v>214</v>
      </c>
      <c r="M128" s="76">
        <v>6</v>
      </c>
      <c r="N128" s="76">
        <v>232</v>
      </c>
      <c r="O128" s="76"/>
      <c r="P128" s="76">
        <v>186</v>
      </c>
      <c r="Q128" s="76">
        <v>806</v>
      </c>
      <c r="R128" s="76">
        <v>841</v>
      </c>
      <c r="S128" s="76">
        <v>375</v>
      </c>
      <c r="T128" s="76">
        <v>514</v>
      </c>
      <c r="U128" s="77">
        <v>272</v>
      </c>
      <c r="V128" s="76">
        <v>1249</v>
      </c>
      <c r="W128" s="76">
        <v>4447</v>
      </c>
      <c r="X128" s="76">
        <v>1677</v>
      </c>
      <c r="Y128" s="76">
        <v>1498</v>
      </c>
      <c r="Z128" s="76">
        <v>1928</v>
      </c>
      <c r="AA128" s="76">
        <v>582</v>
      </c>
      <c r="AB128" s="76">
        <v>682</v>
      </c>
      <c r="AC128" s="76">
        <v>69</v>
      </c>
      <c r="AD128" s="76">
        <v>313</v>
      </c>
      <c r="AE128" s="76">
        <v>3</v>
      </c>
      <c r="AF128" s="76">
        <v>172</v>
      </c>
      <c r="AG128" s="76">
        <v>267</v>
      </c>
      <c r="AH128" s="76">
        <v>125</v>
      </c>
      <c r="AI128" s="76">
        <v>25</v>
      </c>
      <c r="AJ128" s="76">
        <v>64</v>
      </c>
      <c r="AK128" s="76">
        <v>567</v>
      </c>
      <c r="AL128" s="76">
        <v>470</v>
      </c>
      <c r="AM128" s="76">
        <v>30</v>
      </c>
      <c r="AN128" s="76">
        <v>373</v>
      </c>
      <c r="AO128" s="76">
        <v>741</v>
      </c>
      <c r="AP128" s="76">
        <v>58</v>
      </c>
      <c r="AQ128" s="76">
        <v>2877</v>
      </c>
      <c r="AR128" s="76">
        <v>10</v>
      </c>
      <c r="AS128" s="76"/>
      <c r="AT128" s="76"/>
      <c r="AU128" s="76">
        <v>66</v>
      </c>
      <c r="AV128" s="76"/>
      <c r="AW128" s="76"/>
      <c r="AX128" s="76"/>
      <c r="AY128" s="76"/>
      <c r="AZ128" s="76">
        <v>1</v>
      </c>
      <c r="BA128" s="76">
        <v>1</v>
      </c>
      <c r="BB128" s="76">
        <v>59</v>
      </c>
      <c r="BC128" s="76">
        <v>47</v>
      </c>
      <c r="BD128" s="76"/>
      <c r="BE128" s="76">
        <v>16</v>
      </c>
      <c r="BF128" s="76">
        <v>22</v>
      </c>
      <c r="BG128" s="76"/>
      <c r="BH128" s="76">
        <v>131</v>
      </c>
      <c r="BI128" s="76">
        <v>1</v>
      </c>
      <c r="BJ128" s="76">
        <v>75</v>
      </c>
      <c r="BK128" s="76">
        <v>415</v>
      </c>
      <c r="BL128" s="76"/>
      <c r="BM128" s="76">
        <v>1357</v>
      </c>
      <c r="BN128" s="76"/>
      <c r="BO128" s="76">
        <v>10</v>
      </c>
      <c r="BP128" s="76">
        <v>16</v>
      </c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  <c r="CT128" s="76"/>
      <c r="CU128" s="76"/>
      <c r="CV128" s="76"/>
      <c r="CW128" s="76"/>
      <c r="CX128" s="76"/>
      <c r="CY128" s="76"/>
      <c r="CZ128" s="76"/>
      <c r="DA128" s="76"/>
      <c r="DB128" s="76"/>
      <c r="DC128" s="76"/>
      <c r="DD128" s="76"/>
      <c r="DE128" s="76"/>
      <c r="DF128" s="76"/>
      <c r="DG128" s="76"/>
      <c r="DH128" s="76"/>
      <c r="DI128" s="76"/>
      <c r="DJ128" s="76"/>
      <c r="DK128" s="76"/>
      <c r="DL128" s="76"/>
      <c r="DM128" s="76"/>
      <c r="DN128" s="76"/>
      <c r="DO128" s="76"/>
      <c r="DP128" s="76"/>
      <c r="DQ128" s="68"/>
      <c r="DR128" s="76"/>
      <c r="DS128" s="76"/>
      <c r="DT128" s="76"/>
      <c r="DU128" s="76"/>
      <c r="DV128" s="76"/>
      <c r="DW128" s="76"/>
      <c r="DX128" s="76"/>
      <c r="DY128" s="76"/>
      <c r="DZ128" s="76"/>
      <c r="EA128" s="76"/>
      <c r="EB128" s="76"/>
      <c r="EC128" s="76"/>
      <c r="ED128" s="76"/>
      <c r="EE128" s="76"/>
      <c r="EF128" s="76"/>
      <c r="EG128" s="76"/>
      <c r="EH128" s="76"/>
      <c r="EI128" s="76"/>
      <c r="EJ128" s="76"/>
      <c r="EK128" s="76"/>
      <c r="EL128" s="76"/>
      <c r="EM128" s="76"/>
      <c r="EN128" s="76"/>
      <c r="EO128" s="76"/>
      <c r="EP128" s="76"/>
      <c r="EQ128" s="76"/>
      <c r="ER128" s="76"/>
      <c r="ES128" s="76"/>
      <c r="ET128" s="76"/>
      <c r="EU128" s="76"/>
      <c r="EV128" s="76"/>
      <c r="EW128" s="76"/>
      <c r="EX128" s="76"/>
      <c r="EY128" s="76"/>
      <c r="EZ128" s="76"/>
      <c r="FA128" s="76"/>
      <c r="FB128" s="76"/>
      <c r="FC128" s="76"/>
      <c r="FD128" s="76"/>
      <c r="FE128" s="76"/>
      <c r="FF128" s="76"/>
      <c r="FG128" s="76"/>
      <c r="FH128" s="76"/>
      <c r="FI128" s="76"/>
      <c r="FJ128" s="76"/>
      <c r="FK128" s="76"/>
      <c r="FL128" s="76"/>
      <c r="FM128" s="76"/>
      <c r="FN128" s="76"/>
      <c r="FO128" s="76"/>
      <c r="FP128" s="76"/>
      <c r="FQ128" s="76"/>
      <c r="FR128" s="76"/>
      <c r="FS128" s="76"/>
      <c r="FT128" s="76"/>
      <c r="FU128" s="76"/>
      <c r="FV128" s="76"/>
      <c r="FW128" s="76"/>
      <c r="FX128" s="76"/>
      <c r="FY128" s="76"/>
      <c r="FZ128" s="76"/>
      <c r="GA128" s="76"/>
      <c r="GB128" s="76"/>
      <c r="GC128" s="76"/>
      <c r="GD128" s="76"/>
      <c r="GE128" s="76"/>
      <c r="GF128" s="76"/>
      <c r="GG128" s="76"/>
      <c r="GH128" s="76"/>
      <c r="GI128" s="76"/>
      <c r="GJ128" s="76"/>
      <c r="GK128" s="76"/>
      <c r="GL128" s="76"/>
      <c r="GM128" s="76"/>
      <c r="GN128" s="76"/>
      <c r="GO128" s="76"/>
      <c r="GP128" s="76"/>
      <c r="GQ128" s="76"/>
      <c r="GR128" s="76"/>
      <c r="GS128" s="76"/>
      <c r="GT128" s="76"/>
      <c r="GU128" s="76"/>
      <c r="GV128" s="76"/>
      <c r="GW128" s="76"/>
      <c r="GX128" s="76"/>
      <c r="GY128" s="76"/>
      <c r="GZ128" s="76"/>
      <c r="HA128" s="76">
        <v>629</v>
      </c>
      <c r="HB128" s="76"/>
      <c r="HC128" s="76"/>
      <c r="HD128" s="76"/>
      <c r="HE128" s="76">
        <v>5860</v>
      </c>
      <c r="HF128" s="76"/>
      <c r="HG128" s="76"/>
      <c r="HH128" s="76"/>
      <c r="HI128" s="76"/>
      <c r="HJ128" s="76"/>
      <c r="HK128" s="76"/>
      <c r="HL128" s="76"/>
      <c r="HM128" s="76"/>
      <c r="HN128" s="76"/>
      <c r="HO128" s="76"/>
      <c r="HP128" s="76"/>
      <c r="HQ128" s="76"/>
      <c r="HR128" s="76"/>
      <c r="HS128" s="76"/>
      <c r="HT128" s="76"/>
      <c r="HU128" s="76">
        <v>812</v>
      </c>
      <c r="HV128" s="76">
        <v>42149</v>
      </c>
    </row>
    <row r="129" spans="1:230" x14ac:dyDescent="0.2">
      <c r="A129" s="74" t="s">
        <v>228</v>
      </c>
      <c r="B129" s="76">
        <v>24</v>
      </c>
      <c r="C129" s="76">
        <v>46</v>
      </c>
      <c r="D129" s="76">
        <v>3</v>
      </c>
      <c r="E129" s="76"/>
      <c r="F129" s="76"/>
      <c r="G129" s="76"/>
      <c r="H129" s="76"/>
      <c r="I129" s="76">
        <v>8</v>
      </c>
      <c r="J129" s="76"/>
      <c r="K129" s="76">
        <v>59</v>
      </c>
      <c r="L129" s="76"/>
      <c r="M129" s="76"/>
      <c r="N129" s="76">
        <v>61</v>
      </c>
      <c r="O129" s="76">
        <v>51</v>
      </c>
      <c r="P129" s="76">
        <v>108</v>
      </c>
      <c r="Q129" s="76">
        <v>378</v>
      </c>
      <c r="R129" s="76">
        <v>1432</v>
      </c>
      <c r="S129" s="76">
        <v>896</v>
      </c>
      <c r="T129" s="76"/>
      <c r="U129" s="77"/>
      <c r="V129" s="76"/>
      <c r="W129" s="76">
        <v>152</v>
      </c>
      <c r="X129" s="76">
        <v>16</v>
      </c>
      <c r="Y129" s="76">
        <v>1</v>
      </c>
      <c r="Z129" s="76">
        <v>1744</v>
      </c>
      <c r="AA129" s="76">
        <v>941</v>
      </c>
      <c r="AB129" s="76"/>
      <c r="AC129" s="76"/>
      <c r="AD129" s="76">
        <v>592</v>
      </c>
      <c r="AE129" s="76">
        <v>318</v>
      </c>
      <c r="AF129" s="76">
        <v>22</v>
      </c>
      <c r="AG129" s="76">
        <v>56</v>
      </c>
      <c r="AH129" s="76">
        <v>630</v>
      </c>
      <c r="AI129" s="76">
        <v>258</v>
      </c>
      <c r="AJ129" s="76">
        <v>131</v>
      </c>
      <c r="AK129" s="76">
        <v>340</v>
      </c>
      <c r="AL129" s="76">
        <v>703</v>
      </c>
      <c r="AM129" s="76">
        <v>171</v>
      </c>
      <c r="AN129" s="76">
        <v>190</v>
      </c>
      <c r="AO129" s="76">
        <v>11167</v>
      </c>
      <c r="AP129" s="76">
        <v>1323</v>
      </c>
      <c r="AQ129" s="76"/>
      <c r="AR129" s="76">
        <v>318</v>
      </c>
      <c r="AS129" s="76"/>
      <c r="AT129" s="76"/>
      <c r="AU129" s="76"/>
      <c r="AV129" s="76">
        <v>13</v>
      </c>
      <c r="AW129" s="76"/>
      <c r="AX129" s="76">
        <v>175</v>
      </c>
      <c r="AY129" s="76">
        <v>159</v>
      </c>
      <c r="AZ129" s="76"/>
      <c r="BA129" s="76"/>
      <c r="BB129" s="76">
        <v>1</v>
      </c>
      <c r="BC129" s="76">
        <v>1699</v>
      </c>
      <c r="BD129" s="76"/>
      <c r="BE129" s="76">
        <v>3</v>
      </c>
      <c r="BF129" s="76">
        <v>1</v>
      </c>
      <c r="BG129" s="76">
        <v>19</v>
      </c>
      <c r="BH129" s="76">
        <v>688</v>
      </c>
      <c r="BI129" s="76"/>
      <c r="BJ129" s="76">
        <v>197</v>
      </c>
      <c r="BK129" s="76">
        <v>85</v>
      </c>
      <c r="BL129" s="76"/>
      <c r="BM129" s="76">
        <v>7</v>
      </c>
      <c r="BN129" s="76"/>
      <c r="BO129" s="76">
        <v>3</v>
      </c>
      <c r="BP129" s="76">
        <v>81</v>
      </c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  <c r="CT129" s="76"/>
      <c r="CU129" s="76"/>
      <c r="CV129" s="76"/>
      <c r="CW129" s="76"/>
      <c r="CX129" s="76"/>
      <c r="CY129" s="76"/>
      <c r="CZ129" s="76"/>
      <c r="DA129" s="76"/>
      <c r="DB129" s="76"/>
      <c r="DC129" s="76"/>
      <c r="DD129" s="76"/>
      <c r="DE129" s="76"/>
      <c r="DF129" s="76"/>
      <c r="DG129" s="76"/>
      <c r="DH129" s="76"/>
      <c r="DI129" s="76"/>
      <c r="DJ129" s="76"/>
      <c r="DK129" s="76"/>
      <c r="DL129" s="76"/>
      <c r="DM129" s="76"/>
      <c r="DN129" s="76"/>
      <c r="DO129" s="76"/>
      <c r="DP129" s="76"/>
      <c r="DQ129" s="68"/>
      <c r="DR129" s="76"/>
      <c r="DS129" s="76"/>
      <c r="DT129" s="76"/>
      <c r="DU129" s="76"/>
      <c r="DV129" s="76"/>
      <c r="DW129" s="76"/>
      <c r="DX129" s="76"/>
      <c r="DY129" s="76"/>
      <c r="DZ129" s="76"/>
      <c r="EA129" s="76"/>
      <c r="EB129" s="76"/>
      <c r="EC129" s="76"/>
      <c r="ED129" s="76"/>
      <c r="EE129" s="76"/>
      <c r="EF129" s="76"/>
      <c r="EG129" s="76"/>
      <c r="EH129" s="76"/>
      <c r="EI129" s="76"/>
      <c r="EJ129" s="76"/>
      <c r="EK129" s="76"/>
      <c r="EL129" s="76"/>
      <c r="EM129" s="76"/>
      <c r="EN129" s="76"/>
      <c r="EO129" s="76"/>
      <c r="EP129" s="76"/>
      <c r="EQ129" s="76"/>
      <c r="ER129" s="76"/>
      <c r="ES129" s="76"/>
      <c r="ET129" s="76"/>
      <c r="EU129" s="76"/>
      <c r="EV129" s="76"/>
      <c r="EW129" s="76"/>
      <c r="EX129" s="76"/>
      <c r="EY129" s="76"/>
      <c r="EZ129" s="76"/>
      <c r="FA129" s="76"/>
      <c r="FB129" s="76"/>
      <c r="FC129" s="76"/>
      <c r="FD129" s="76"/>
      <c r="FE129" s="76"/>
      <c r="FF129" s="76"/>
      <c r="FG129" s="76"/>
      <c r="FH129" s="76"/>
      <c r="FI129" s="76"/>
      <c r="FJ129" s="76"/>
      <c r="FK129" s="76"/>
      <c r="FL129" s="76"/>
      <c r="FM129" s="76"/>
      <c r="FN129" s="76"/>
      <c r="FO129" s="76"/>
      <c r="FP129" s="76"/>
      <c r="FQ129" s="76"/>
      <c r="FR129" s="76"/>
      <c r="FS129" s="76"/>
      <c r="FT129" s="76"/>
      <c r="FU129" s="76"/>
      <c r="FV129" s="76"/>
      <c r="FW129" s="76"/>
      <c r="FX129" s="76"/>
      <c r="FY129" s="76"/>
      <c r="FZ129" s="76"/>
      <c r="GA129" s="76"/>
      <c r="GB129" s="76"/>
      <c r="GC129" s="76"/>
      <c r="GD129" s="76"/>
      <c r="GE129" s="76"/>
      <c r="GF129" s="76"/>
      <c r="GG129" s="76"/>
      <c r="GH129" s="76"/>
      <c r="GI129" s="76"/>
      <c r="GJ129" s="76"/>
      <c r="GK129" s="76"/>
      <c r="GL129" s="76"/>
      <c r="GM129" s="76"/>
      <c r="GN129" s="76"/>
      <c r="GO129" s="76"/>
      <c r="GP129" s="76"/>
      <c r="GQ129" s="76"/>
      <c r="GR129" s="76"/>
      <c r="GS129" s="76"/>
      <c r="GT129" s="76"/>
      <c r="GU129" s="76"/>
      <c r="GV129" s="76"/>
      <c r="GW129" s="76"/>
      <c r="GX129" s="76"/>
      <c r="GY129" s="76"/>
      <c r="GZ129" s="76"/>
      <c r="HA129" s="76">
        <v>405</v>
      </c>
      <c r="HB129" s="76"/>
      <c r="HC129" s="76"/>
      <c r="HD129" s="76"/>
      <c r="HE129" s="76">
        <v>643</v>
      </c>
      <c r="HF129" s="76"/>
      <c r="HG129" s="76"/>
      <c r="HH129" s="76"/>
      <c r="HI129" s="76"/>
      <c r="HJ129" s="76"/>
      <c r="HK129" s="76"/>
      <c r="HL129" s="76"/>
      <c r="HM129" s="76"/>
      <c r="HN129" s="76"/>
      <c r="HO129" s="76"/>
      <c r="HP129" s="76"/>
      <c r="HQ129" s="76"/>
      <c r="HR129" s="76"/>
      <c r="HS129" s="76"/>
      <c r="HT129" s="76"/>
      <c r="HU129" s="76">
        <v>-399</v>
      </c>
      <c r="HV129" s="76">
        <v>25919</v>
      </c>
    </row>
    <row r="130" spans="1:230" x14ac:dyDescent="0.2">
      <c r="A130" s="74" t="s">
        <v>235</v>
      </c>
      <c r="B130" s="76">
        <v>3</v>
      </c>
      <c r="C130" s="76">
        <v>35</v>
      </c>
      <c r="D130" s="76"/>
      <c r="E130" s="76"/>
      <c r="F130" s="76">
        <v>138</v>
      </c>
      <c r="G130" s="76">
        <v>108</v>
      </c>
      <c r="H130" s="76">
        <v>22</v>
      </c>
      <c r="I130" s="76">
        <v>80</v>
      </c>
      <c r="J130" s="76">
        <v>26</v>
      </c>
      <c r="K130" s="76">
        <v>260</v>
      </c>
      <c r="L130" s="76">
        <v>32</v>
      </c>
      <c r="M130" s="76"/>
      <c r="N130" s="76">
        <v>57</v>
      </c>
      <c r="O130" s="76">
        <v>55</v>
      </c>
      <c r="P130" s="76">
        <v>1</v>
      </c>
      <c r="Q130" s="76">
        <v>31</v>
      </c>
      <c r="R130" s="76">
        <v>63</v>
      </c>
      <c r="S130" s="76">
        <v>1</v>
      </c>
      <c r="T130" s="76">
        <v>44</v>
      </c>
      <c r="U130" s="77">
        <v>2</v>
      </c>
      <c r="V130" s="76">
        <v>93</v>
      </c>
      <c r="W130" s="76">
        <v>194</v>
      </c>
      <c r="X130" s="76">
        <v>2329</v>
      </c>
      <c r="Y130" s="76">
        <v>26</v>
      </c>
      <c r="Z130" s="76">
        <v>40</v>
      </c>
      <c r="AA130" s="76">
        <v>81</v>
      </c>
      <c r="AB130" s="76">
        <v>29</v>
      </c>
      <c r="AC130" s="76">
        <v>70</v>
      </c>
      <c r="AD130" s="76">
        <v>784</v>
      </c>
      <c r="AE130" s="76">
        <v>47</v>
      </c>
      <c r="AF130" s="76">
        <v>14</v>
      </c>
      <c r="AG130" s="76">
        <v>33</v>
      </c>
      <c r="AH130" s="76">
        <v>28</v>
      </c>
      <c r="AI130" s="76">
        <v>49</v>
      </c>
      <c r="AJ130" s="76">
        <v>4</v>
      </c>
      <c r="AK130" s="76">
        <v>8</v>
      </c>
      <c r="AL130" s="76"/>
      <c r="AM130" s="76">
        <v>25</v>
      </c>
      <c r="AN130" s="76">
        <v>76</v>
      </c>
      <c r="AO130" s="76">
        <v>161</v>
      </c>
      <c r="AP130" s="76">
        <v>308</v>
      </c>
      <c r="AQ130" s="76">
        <v>3475</v>
      </c>
      <c r="AR130" s="76">
        <v>570</v>
      </c>
      <c r="AS130" s="76">
        <v>14</v>
      </c>
      <c r="AT130" s="76">
        <v>1</v>
      </c>
      <c r="AU130" s="76">
        <v>171</v>
      </c>
      <c r="AV130" s="76">
        <v>146</v>
      </c>
      <c r="AW130" s="76">
        <v>136</v>
      </c>
      <c r="AX130" s="76">
        <v>14</v>
      </c>
      <c r="AY130" s="76">
        <v>89</v>
      </c>
      <c r="AZ130" s="76">
        <v>191</v>
      </c>
      <c r="BA130" s="76">
        <v>18</v>
      </c>
      <c r="BB130" s="76">
        <v>29</v>
      </c>
      <c r="BC130" s="76"/>
      <c r="BD130" s="76">
        <v>492</v>
      </c>
      <c r="BE130" s="76">
        <v>165</v>
      </c>
      <c r="BF130" s="76">
        <v>450</v>
      </c>
      <c r="BG130" s="76">
        <v>167</v>
      </c>
      <c r="BH130" s="76">
        <v>2942</v>
      </c>
      <c r="BI130" s="76">
        <v>2</v>
      </c>
      <c r="BJ130" s="76">
        <v>325</v>
      </c>
      <c r="BK130" s="76">
        <v>289</v>
      </c>
      <c r="BL130" s="76">
        <v>247</v>
      </c>
      <c r="BM130" s="76">
        <v>95</v>
      </c>
      <c r="BN130" s="76">
        <v>1080</v>
      </c>
      <c r="BO130" s="76">
        <v>325</v>
      </c>
      <c r="BP130" s="76">
        <v>2102</v>
      </c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  <c r="CT130" s="76"/>
      <c r="CU130" s="76"/>
      <c r="CV130" s="76"/>
      <c r="CW130" s="76"/>
      <c r="CX130" s="76"/>
      <c r="CY130" s="76"/>
      <c r="CZ130" s="76"/>
      <c r="DA130" s="76"/>
      <c r="DB130" s="76"/>
      <c r="DC130" s="76"/>
      <c r="DD130" s="76"/>
      <c r="DE130" s="76"/>
      <c r="DF130" s="76"/>
      <c r="DG130" s="76"/>
      <c r="DH130" s="76"/>
      <c r="DI130" s="76"/>
      <c r="DJ130" s="76"/>
      <c r="DK130" s="76"/>
      <c r="DL130" s="76"/>
      <c r="DM130" s="76"/>
      <c r="DN130" s="76"/>
      <c r="DO130" s="76"/>
      <c r="DP130" s="76"/>
      <c r="DQ130" s="68"/>
      <c r="DR130" s="76"/>
      <c r="DS130" s="76"/>
      <c r="DT130" s="76"/>
      <c r="DU130" s="76"/>
      <c r="DV130" s="76"/>
      <c r="DW130" s="76"/>
      <c r="DX130" s="76"/>
      <c r="DY130" s="76"/>
      <c r="DZ130" s="76"/>
      <c r="EA130" s="76"/>
      <c r="EB130" s="76"/>
      <c r="EC130" s="76"/>
      <c r="ED130" s="76"/>
      <c r="EE130" s="76"/>
      <c r="EF130" s="76"/>
      <c r="EG130" s="76"/>
      <c r="EH130" s="76"/>
      <c r="EI130" s="76"/>
      <c r="EJ130" s="76"/>
      <c r="EK130" s="76"/>
      <c r="EL130" s="76"/>
      <c r="EM130" s="76"/>
      <c r="EN130" s="76"/>
      <c r="EO130" s="76"/>
      <c r="EP130" s="76"/>
      <c r="EQ130" s="76"/>
      <c r="ER130" s="76"/>
      <c r="ES130" s="76"/>
      <c r="ET130" s="76"/>
      <c r="EU130" s="76"/>
      <c r="EV130" s="76"/>
      <c r="EW130" s="76"/>
      <c r="EX130" s="76"/>
      <c r="EY130" s="76"/>
      <c r="EZ130" s="76"/>
      <c r="FA130" s="76"/>
      <c r="FB130" s="76"/>
      <c r="FC130" s="76"/>
      <c r="FD130" s="76"/>
      <c r="FE130" s="76"/>
      <c r="FF130" s="76"/>
      <c r="FG130" s="76"/>
      <c r="FH130" s="76"/>
      <c r="FI130" s="76"/>
      <c r="FJ130" s="76"/>
      <c r="FK130" s="76"/>
      <c r="FL130" s="76"/>
      <c r="FM130" s="76"/>
      <c r="FN130" s="76"/>
      <c r="FO130" s="76"/>
      <c r="FP130" s="76"/>
      <c r="FQ130" s="76"/>
      <c r="FR130" s="76"/>
      <c r="FS130" s="76"/>
      <c r="FT130" s="76"/>
      <c r="FU130" s="76"/>
      <c r="FV130" s="76"/>
      <c r="FW130" s="76"/>
      <c r="FX130" s="76"/>
      <c r="FY130" s="76"/>
      <c r="FZ130" s="76"/>
      <c r="GA130" s="76"/>
      <c r="GB130" s="76"/>
      <c r="GC130" s="76"/>
      <c r="GD130" s="76"/>
      <c r="GE130" s="76"/>
      <c r="GF130" s="76"/>
      <c r="GG130" s="76"/>
      <c r="GH130" s="76"/>
      <c r="GI130" s="76"/>
      <c r="GJ130" s="76"/>
      <c r="GK130" s="76"/>
      <c r="GL130" s="76"/>
      <c r="GM130" s="76"/>
      <c r="GN130" s="76"/>
      <c r="GO130" s="76"/>
      <c r="GP130" s="76"/>
      <c r="GQ130" s="76"/>
      <c r="GR130" s="76"/>
      <c r="GS130" s="76"/>
      <c r="GT130" s="76"/>
      <c r="GU130" s="76"/>
      <c r="GV130" s="76"/>
      <c r="GW130" s="76"/>
      <c r="GX130" s="76"/>
      <c r="GY130" s="76"/>
      <c r="GZ130" s="76"/>
      <c r="HA130" s="76">
        <v>89966</v>
      </c>
      <c r="HB130" s="76"/>
      <c r="HC130" s="76"/>
      <c r="HD130" s="76"/>
      <c r="HE130" s="76">
        <v>4033</v>
      </c>
      <c r="HF130" s="76"/>
      <c r="HG130" s="76"/>
      <c r="HH130" s="76"/>
      <c r="HI130" s="76"/>
      <c r="HJ130" s="76"/>
      <c r="HK130" s="76"/>
      <c r="HL130" s="76"/>
      <c r="HM130" s="76"/>
      <c r="HN130" s="76"/>
      <c r="HO130" s="76"/>
      <c r="HP130" s="76"/>
      <c r="HQ130" s="76"/>
      <c r="HR130" s="76"/>
      <c r="HS130" s="76"/>
      <c r="HT130" s="76"/>
      <c r="HU130" s="76">
        <v>2818</v>
      </c>
      <c r="HV130" s="76">
        <v>115709</v>
      </c>
    </row>
    <row r="131" spans="1:230" x14ac:dyDescent="0.2">
      <c r="A131" s="74" t="s">
        <v>236</v>
      </c>
      <c r="B131" s="76">
        <v>640</v>
      </c>
      <c r="C131" s="76">
        <v>5122</v>
      </c>
      <c r="D131" s="76">
        <v>29</v>
      </c>
      <c r="E131" s="76"/>
      <c r="F131" s="76">
        <v>697</v>
      </c>
      <c r="G131" s="76"/>
      <c r="H131" s="76"/>
      <c r="I131" s="76"/>
      <c r="J131" s="76"/>
      <c r="K131" s="76">
        <v>546</v>
      </c>
      <c r="L131" s="76"/>
      <c r="M131" s="76"/>
      <c r="N131" s="76"/>
      <c r="O131" s="76"/>
      <c r="P131" s="76"/>
      <c r="Q131" s="76"/>
      <c r="R131" s="76"/>
      <c r="S131" s="76"/>
      <c r="T131" s="76"/>
      <c r="U131" s="77"/>
      <c r="V131" s="76">
        <v>4</v>
      </c>
      <c r="W131" s="76">
        <v>424</v>
      </c>
      <c r="X131" s="76"/>
      <c r="Y131" s="76">
        <v>7158</v>
      </c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>
        <v>525</v>
      </c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>
        <v>19</v>
      </c>
      <c r="BF131" s="76">
        <v>77</v>
      </c>
      <c r="BG131" s="76"/>
      <c r="BH131" s="76"/>
      <c r="BI131" s="76"/>
      <c r="BJ131" s="76">
        <v>956</v>
      </c>
      <c r="BK131" s="76">
        <v>791</v>
      </c>
      <c r="BL131" s="76">
        <v>372</v>
      </c>
      <c r="BM131" s="76">
        <v>9693</v>
      </c>
      <c r="BN131" s="76">
        <v>18843</v>
      </c>
      <c r="BO131" s="76">
        <v>8</v>
      </c>
      <c r="BP131" s="76">
        <v>886</v>
      </c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6"/>
      <c r="CT131" s="76"/>
      <c r="CU131" s="76"/>
      <c r="CV131" s="76"/>
      <c r="CW131" s="76"/>
      <c r="CX131" s="76"/>
      <c r="CY131" s="76"/>
      <c r="CZ131" s="76"/>
      <c r="DA131" s="76"/>
      <c r="DB131" s="76"/>
      <c r="DC131" s="76"/>
      <c r="DD131" s="76"/>
      <c r="DE131" s="76"/>
      <c r="DF131" s="76"/>
      <c r="DG131" s="76"/>
      <c r="DH131" s="76"/>
      <c r="DI131" s="76"/>
      <c r="DJ131" s="76"/>
      <c r="DK131" s="76"/>
      <c r="DL131" s="76"/>
      <c r="DM131" s="76"/>
      <c r="DN131" s="76"/>
      <c r="DO131" s="76"/>
      <c r="DP131" s="76"/>
      <c r="DQ131" s="68"/>
      <c r="DR131" s="76"/>
      <c r="DS131" s="76"/>
      <c r="DT131" s="76"/>
      <c r="DU131" s="76"/>
      <c r="DV131" s="76"/>
      <c r="DW131" s="76"/>
      <c r="DX131" s="76"/>
      <c r="DY131" s="76"/>
      <c r="DZ131" s="76"/>
      <c r="EA131" s="76"/>
      <c r="EB131" s="76"/>
      <c r="EC131" s="76"/>
      <c r="ED131" s="76"/>
      <c r="EE131" s="76"/>
      <c r="EF131" s="76"/>
      <c r="EG131" s="76"/>
      <c r="EH131" s="76"/>
      <c r="EI131" s="76"/>
      <c r="EJ131" s="76"/>
      <c r="EK131" s="76"/>
      <c r="EL131" s="76"/>
      <c r="EM131" s="76"/>
      <c r="EN131" s="76"/>
      <c r="EO131" s="76"/>
      <c r="EP131" s="76"/>
      <c r="EQ131" s="76"/>
      <c r="ER131" s="76"/>
      <c r="ES131" s="76"/>
      <c r="ET131" s="76"/>
      <c r="EU131" s="76"/>
      <c r="EV131" s="76"/>
      <c r="EW131" s="76"/>
      <c r="EX131" s="76"/>
      <c r="EY131" s="76"/>
      <c r="EZ131" s="76"/>
      <c r="FA131" s="76"/>
      <c r="FB131" s="76"/>
      <c r="FC131" s="76"/>
      <c r="FD131" s="76"/>
      <c r="FE131" s="76"/>
      <c r="FF131" s="76"/>
      <c r="FG131" s="76"/>
      <c r="FH131" s="76"/>
      <c r="FI131" s="76"/>
      <c r="FJ131" s="76"/>
      <c r="FK131" s="76"/>
      <c r="FL131" s="76"/>
      <c r="FM131" s="76"/>
      <c r="FN131" s="76"/>
      <c r="FO131" s="76"/>
      <c r="FP131" s="76"/>
      <c r="FQ131" s="76"/>
      <c r="FR131" s="76"/>
      <c r="FS131" s="76"/>
      <c r="FT131" s="76"/>
      <c r="FU131" s="76"/>
      <c r="FV131" s="76"/>
      <c r="FW131" s="76"/>
      <c r="FX131" s="76"/>
      <c r="FY131" s="76"/>
      <c r="FZ131" s="76"/>
      <c r="GA131" s="76"/>
      <c r="GB131" s="76"/>
      <c r="GC131" s="76"/>
      <c r="GD131" s="76"/>
      <c r="GE131" s="76"/>
      <c r="GF131" s="76"/>
      <c r="GG131" s="76"/>
      <c r="GH131" s="76"/>
      <c r="GI131" s="76"/>
      <c r="GJ131" s="76"/>
      <c r="GK131" s="76"/>
      <c r="GL131" s="76"/>
      <c r="GM131" s="76"/>
      <c r="GN131" s="76"/>
      <c r="GO131" s="76"/>
      <c r="GP131" s="76"/>
      <c r="GQ131" s="76"/>
      <c r="GR131" s="76"/>
      <c r="GS131" s="76"/>
      <c r="GT131" s="76"/>
      <c r="GU131" s="76"/>
      <c r="GV131" s="76"/>
      <c r="GW131" s="76"/>
      <c r="GX131" s="76"/>
      <c r="GY131" s="76"/>
      <c r="GZ131" s="76"/>
      <c r="HA131" s="76">
        <v>101026</v>
      </c>
      <c r="HB131" s="76"/>
      <c r="HC131" s="76"/>
      <c r="HD131" s="76">
        <v>8443</v>
      </c>
      <c r="HE131" s="76">
        <v>4018</v>
      </c>
      <c r="HF131" s="76"/>
      <c r="HG131" s="76"/>
      <c r="HH131" s="76"/>
      <c r="HI131" s="76"/>
      <c r="HJ131" s="76"/>
      <c r="HK131" s="76"/>
      <c r="HL131" s="76"/>
      <c r="HM131" s="76"/>
      <c r="HN131" s="76"/>
      <c r="HO131" s="76"/>
      <c r="HP131" s="76"/>
      <c r="HQ131" s="76"/>
      <c r="HR131" s="76"/>
      <c r="HS131" s="76"/>
      <c r="HT131" s="76"/>
      <c r="HU131" s="76">
        <v>110</v>
      </c>
      <c r="HV131" s="76">
        <v>160387</v>
      </c>
    </row>
    <row r="132" spans="1:230" x14ac:dyDescent="0.2">
      <c r="A132" s="74" t="s">
        <v>220</v>
      </c>
      <c r="B132" s="76"/>
      <c r="C132" s="76"/>
      <c r="D132" s="76"/>
      <c r="E132" s="76">
        <v>17</v>
      </c>
      <c r="F132" s="76">
        <v>101</v>
      </c>
      <c r="G132" s="76">
        <v>842</v>
      </c>
      <c r="H132" s="76">
        <v>115</v>
      </c>
      <c r="I132" s="76"/>
      <c r="J132" s="76"/>
      <c r="K132" s="76">
        <v>3</v>
      </c>
      <c r="L132" s="76"/>
      <c r="M132" s="76"/>
      <c r="N132" s="76">
        <v>34</v>
      </c>
      <c r="O132" s="76"/>
      <c r="P132" s="76">
        <v>603</v>
      </c>
      <c r="Q132" s="76"/>
      <c r="R132" s="76"/>
      <c r="S132" s="76"/>
      <c r="T132" s="76"/>
      <c r="U132" s="77"/>
      <c r="V132" s="76"/>
      <c r="W132" s="76">
        <v>4</v>
      </c>
      <c r="X132" s="76"/>
      <c r="Y132" s="76">
        <v>1</v>
      </c>
      <c r="Z132" s="76">
        <v>2019</v>
      </c>
      <c r="AA132" s="76">
        <v>92</v>
      </c>
      <c r="AB132" s="76">
        <v>291</v>
      </c>
      <c r="AC132" s="76">
        <v>21</v>
      </c>
      <c r="AD132" s="76">
        <v>8</v>
      </c>
      <c r="AE132" s="76"/>
      <c r="AF132" s="76">
        <v>144</v>
      </c>
      <c r="AG132" s="76">
        <v>1345</v>
      </c>
      <c r="AH132" s="76">
        <v>7931</v>
      </c>
      <c r="AI132" s="76">
        <v>2092</v>
      </c>
      <c r="AJ132" s="76">
        <v>1154</v>
      </c>
      <c r="AK132" s="76">
        <v>47</v>
      </c>
      <c r="AL132" s="76">
        <v>910</v>
      </c>
      <c r="AM132" s="76"/>
      <c r="AN132" s="76">
        <v>18</v>
      </c>
      <c r="AO132" s="76">
        <v>48</v>
      </c>
      <c r="AP132" s="76">
        <v>901</v>
      </c>
      <c r="AQ132" s="76">
        <v>382</v>
      </c>
      <c r="AR132" s="76">
        <v>9127</v>
      </c>
      <c r="AS132" s="76"/>
      <c r="AT132" s="76">
        <v>1269</v>
      </c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>
        <v>4</v>
      </c>
      <c r="BF132" s="76"/>
      <c r="BG132" s="76">
        <v>426</v>
      </c>
      <c r="BH132" s="76"/>
      <c r="BI132" s="76"/>
      <c r="BJ132" s="76">
        <v>1</v>
      </c>
      <c r="BK132" s="76">
        <v>6</v>
      </c>
      <c r="BL132" s="76"/>
      <c r="BM132" s="76">
        <v>18</v>
      </c>
      <c r="BN132" s="76">
        <v>9</v>
      </c>
      <c r="BO132" s="76"/>
      <c r="BP132" s="76">
        <v>24</v>
      </c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  <c r="CT132" s="76"/>
      <c r="CU132" s="76"/>
      <c r="CV132" s="76"/>
      <c r="CW132" s="76"/>
      <c r="CX132" s="76"/>
      <c r="CY132" s="76"/>
      <c r="CZ132" s="76"/>
      <c r="DA132" s="76"/>
      <c r="DB132" s="76"/>
      <c r="DC132" s="76"/>
      <c r="DD132" s="76"/>
      <c r="DE132" s="76"/>
      <c r="DF132" s="76"/>
      <c r="DG132" s="76"/>
      <c r="DH132" s="76"/>
      <c r="DI132" s="76"/>
      <c r="DJ132" s="76"/>
      <c r="DK132" s="76"/>
      <c r="DL132" s="76"/>
      <c r="DM132" s="76"/>
      <c r="DN132" s="76"/>
      <c r="DO132" s="76"/>
      <c r="DP132" s="76"/>
      <c r="DQ132" s="68"/>
      <c r="DR132" s="76"/>
      <c r="DS132" s="76"/>
      <c r="DT132" s="76"/>
      <c r="DU132" s="76"/>
      <c r="DV132" s="76"/>
      <c r="DW132" s="76"/>
      <c r="DX132" s="76"/>
      <c r="DY132" s="76"/>
      <c r="DZ132" s="76"/>
      <c r="EA132" s="76"/>
      <c r="EB132" s="76"/>
      <c r="EC132" s="76"/>
      <c r="ED132" s="76"/>
      <c r="EE132" s="76"/>
      <c r="EF132" s="76"/>
      <c r="EG132" s="76"/>
      <c r="EH132" s="76"/>
      <c r="EI132" s="76"/>
      <c r="EJ132" s="76"/>
      <c r="EK132" s="76"/>
      <c r="EL132" s="76"/>
      <c r="EM132" s="76"/>
      <c r="EN132" s="76"/>
      <c r="EO132" s="76"/>
      <c r="EP132" s="76"/>
      <c r="EQ132" s="76"/>
      <c r="ER132" s="76"/>
      <c r="ES132" s="76"/>
      <c r="ET132" s="76"/>
      <c r="EU132" s="76"/>
      <c r="EV132" s="76"/>
      <c r="EW132" s="76"/>
      <c r="EX132" s="76"/>
      <c r="EY132" s="76"/>
      <c r="EZ132" s="76"/>
      <c r="FA132" s="76"/>
      <c r="FB132" s="76"/>
      <c r="FC132" s="76"/>
      <c r="FD132" s="76"/>
      <c r="FE132" s="76"/>
      <c r="FF132" s="76"/>
      <c r="FG132" s="76"/>
      <c r="FH132" s="76"/>
      <c r="FI132" s="76"/>
      <c r="FJ132" s="76"/>
      <c r="FK132" s="76"/>
      <c r="FL132" s="76"/>
      <c r="FM132" s="76"/>
      <c r="FN132" s="76"/>
      <c r="FO132" s="76"/>
      <c r="FP132" s="76"/>
      <c r="FQ132" s="76"/>
      <c r="FR132" s="76"/>
      <c r="FS132" s="76"/>
      <c r="FT132" s="76"/>
      <c r="FU132" s="76"/>
      <c r="FV132" s="76"/>
      <c r="FW132" s="76"/>
      <c r="FX132" s="76"/>
      <c r="FY132" s="76"/>
      <c r="FZ132" s="76"/>
      <c r="GA132" s="76"/>
      <c r="GB132" s="76"/>
      <c r="GC132" s="76"/>
      <c r="GD132" s="76"/>
      <c r="GE132" s="76"/>
      <c r="GF132" s="76"/>
      <c r="GG132" s="76"/>
      <c r="GH132" s="76"/>
      <c r="GI132" s="76"/>
      <c r="GJ132" s="76"/>
      <c r="GK132" s="76"/>
      <c r="GL132" s="76"/>
      <c r="GM132" s="76"/>
      <c r="GN132" s="76"/>
      <c r="GO132" s="76"/>
      <c r="GP132" s="76"/>
      <c r="GQ132" s="76"/>
      <c r="GR132" s="76"/>
      <c r="GS132" s="76"/>
      <c r="GT132" s="76"/>
      <c r="GU132" s="76"/>
      <c r="GV132" s="76"/>
      <c r="GW132" s="76"/>
      <c r="GX132" s="76"/>
      <c r="GY132" s="76"/>
      <c r="GZ132" s="76"/>
      <c r="HA132" s="76">
        <v>10463</v>
      </c>
      <c r="HB132" s="76"/>
      <c r="HC132" s="76"/>
      <c r="HD132" s="76"/>
      <c r="HE132" s="76">
        <v>5053</v>
      </c>
      <c r="HF132" s="76"/>
      <c r="HG132" s="76"/>
      <c r="HH132" s="76"/>
      <c r="HI132" s="76"/>
      <c r="HJ132" s="76"/>
      <c r="HK132" s="76"/>
      <c r="HL132" s="76"/>
      <c r="HM132" s="76"/>
      <c r="HN132" s="76"/>
      <c r="HO132" s="76"/>
      <c r="HP132" s="76"/>
      <c r="HQ132" s="76"/>
      <c r="HR132" s="76"/>
      <c r="HS132" s="76"/>
      <c r="HT132" s="76"/>
      <c r="HU132" s="76">
        <v>391</v>
      </c>
      <c r="HV132" s="76">
        <v>45914</v>
      </c>
    </row>
    <row r="133" spans="1:230" x14ac:dyDescent="0.2">
      <c r="A133" s="74" t="s">
        <v>221</v>
      </c>
      <c r="B133" s="76">
        <v>906</v>
      </c>
      <c r="C133" s="76">
        <v>309</v>
      </c>
      <c r="D133" s="76">
        <v>60</v>
      </c>
      <c r="E133" s="76">
        <v>159</v>
      </c>
      <c r="F133" s="76">
        <v>40</v>
      </c>
      <c r="G133" s="76"/>
      <c r="H133" s="76"/>
      <c r="I133" s="76">
        <v>3585</v>
      </c>
      <c r="J133" s="76">
        <v>222</v>
      </c>
      <c r="K133" s="76">
        <v>10092</v>
      </c>
      <c r="L133" s="76">
        <v>4033</v>
      </c>
      <c r="M133" s="76"/>
      <c r="N133" s="76">
        <v>94</v>
      </c>
      <c r="O133" s="76">
        <v>103</v>
      </c>
      <c r="P133" s="76">
        <v>430</v>
      </c>
      <c r="Q133" s="76">
        <v>284</v>
      </c>
      <c r="R133" s="76">
        <v>875</v>
      </c>
      <c r="S133" s="76">
        <v>1085</v>
      </c>
      <c r="T133" s="76">
        <v>113</v>
      </c>
      <c r="U133" s="77">
        <v>51</v>
      </c>
      <c r="V133" s="76">
        <v>1739</v>
      </c>
      <c r="W133" s="76">
        <v>788</v>
      </c>
      <c r="X133" s="76">
        <v>2207</v>
      </c>
      <c r="Y133" s="76">
        <v>553</v>
      </c>
      <c r="Z133" s="76">
        <v>17204</v>
      </c>
      <c r="AA133" s="76">
        <v>2485</v>
      </c>
      <c r="AB133" s="76">
        <v>315</v>
      </c>
      <c r="AC133" s="76"/>
      <c r="AD133" s="76">
        <v>970</v>
      </c>
      <c r="AE133" s="76">
        <v>1153</v>
      </c>
      <c r="AF133" s="76">
        <v>2462</v>
      </c>
      <c r="AG133" s="76">
        <v>1200</v>
      </c>
      <c r="AH133" s="76">
        <v>2997</v>
      </c>
      <c r="AI133" s="76">
        <v>3043</v>
      </c>
      <c r="AJ133" s="76">
        <v>288</v>
      </c>
      <c r="AK133" s="76">
        <v>3139</v>
      </c>
      <c r="AL133" s="76">
        <v>1035</v>
      </c>
      <c r="AM133" s="76">
        <v>299</v>
      </c>
      <c r="AN133" s="76">
        <v>496</v>
      </c>
      <c r="AO133" s="76">
        <v>16171</v>
      </c>
      <c r="AP133" s="76">
        <v>1586</v>
      </c>
      <c r="AQ133" s="76">
        <v>7278</v>
      </c>
      <c r="AR133" s="76">
        <v>82</v>
      </c>
      <c r="AS133" s="76"/>
      <c r="AT133" s="76">
        <v>12</v>
      </c>
      <c r="AU133" s="76">
        <v>153</v>
      </c>
      <c r="AV133" s="76">
        <v>13</v>
      </c>
      <c r="AW133" s="76">
        <v>688</v>
      </c>
      <c r="AX133" s="76"/>
      <c r="AY133" s="76"/>
      <c r="AZ133" s="76"/>
      <c r="BA133" s="76">
        <v>3</v>
      </c>
      <c r="BB133" s="76">
        <v>37</v>
      </c>
      <c r="BC133" s="76">
        <v>129</v>
      </c>
      <c r="BD133" s="76">
        <v>678</v>
      </c>
      <c r="BE133" s="76">
        <v>9</v>
      </c>
      <c r="BF133" s="76"/>
      <c r="BG133" s="76"/>
      <c r="BH133" s="76">
        <v>699</v>
      </c>
      <c r="BI133" s="76"/>
      <c r="BJ133" s="76">
        <v>182</v>
      </c>
      <c r="BK133" s="76">
        <v>261</v>
      </c>
      <c r="BL133" s="76"/>
      <c r="BM133" s="76">
        <v>752</v>
      </c>
      <c r="BN133" s="76">
        <v>598</v>
      </c>
      <c r="BO133" s="76"/>
      <c r="BP133" s="76">
        <v>105</v>
      </c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  <c r="CS133" s="76"/>
      <c r="CT133" s="76"/>
      <c r="CU133" s="76"/>
      <c r="CV133" s="76"/>
      <c r="CW133" s="76"/>
      <c r="CX133" s="76"/>
      <c r="CY133" s="76"/>
      <c r="CZ133" s="76"/>
      <c r="DA133" s="76"/>
      <c r="DB133" s="76"/>
      <c r="DC133" s="76"/>
      <c r="DD133" s="76"/>
      <c r="DE133" s="76"/>
      <c r="DF133" s="76"/>
      <c r="DG133" s="76"/>
      <c r="DH133" s="76"/>
      <c r="DI133" s="76"/>
      <c r="DJ133" s="76"/>
      <c r="DK133" s="76"/>
      <c r="DL133" s="76"/>
      <c r="DM133" s="76"/>
      <c r="DN133" s="76"/>
      <c r="DO133" s="76"/>
      <c r="DP133" s="76"/>
      <c r="DQ133" s="68"/>
      <c r="DR133" s="76"/>
      <c r="DS133" s="76"/>
      <c r="DT133" s="76"/>
      <c r="DU133" s="76"/>
      <c r="DV133" s="76"/>
      <c r="DW133" s="76"/>
      <c r="DX133" s="76"/>
      <c r="DY133" s="76"/>
      <c r="DZ133" s="76"/>
      <c r="EA133" s="76"/>
      <c r="EB133" s="76"/>
      <c r="EC133" s="76"/>
      <c r="ED133" s="76"/>
      <c r="EE133" s="76"/>
      <c r="EF133" s="76"/>
      <c r="EG133" s="76"/>
      <c r="EH133" s="76"/>
      <c r="EI133" s="76"/>
      <c r="EJ133" s="76"/>
      <c r="EK133" s="76"/>
      <c r="EL133" s="76"/>
      <c r="EM133" s="76"/>
      <c r="EN133" s="76"/>
      <c r="EO133" s="76"/>
      <c r="EP133" s="76"/>
      <c r="EQ133" s="76"/>
      <c r="ER133" s="76"/>
      <c r="ES133" s="76"/>
      <c r="ET133" s="76"/>
      <c r="EU133" s="76"/>
      <c r="EV133" s="76"/>
      <c r="EW133" s="76"/>
      <c r="EX133" s="76"/>
      <c r="EY133" s="76"/>
      <c r="EZ133" s="76"/>
      <c r="FA133" s="76"/>
      <c r="FB133" s="76"/>
      <c r="FC133" s="76"/>
      <c r="FD133" s="76"/>
      <c r="FE133" s="76"/>
      <c r="FF133" s="76"/>
      <c r="FG133" s="76"/>
      <c r="FH133" s="76"/>
      <c r="FI133" s="76"/>
      <c r="FJ133" s="76"/>
      <c r="FK133" s="76"/>
      <c r="FL133" s="76"/>
      <c r="FM133" s="76"/>
      <c r="FN133" s="76"/>
      <c r="FO133" s="76"/>
      <c r="FP133" s="76"/>
      <c r="FQ133" s="76"/>
      <c r="FR133" s="76"/>
      <c r="FS133" s="76"/>
      <c r="FT133" s="76"/>
      <c r="FU133" s="76"/>
      <c r="FV133" s="76"/>
      <c r="FW133" s="76"/>
      <c r="FX133" s="76"/>
      <c r="FY133" s="76"/>
      <c r="FZ133" s="76"/>
      <c r="GA133" s="76"/>
      <c r="GB133" s="76"/>
      <c r="GC133" s="76"/>
      <c r="GD133" s="76"/>
      <c r="GE133" s="76"/>
      <c r="GF133" s="76"/>
      <c r="GG133" s="76"/>
      <c r="GH133" s="76"/>
      <c r="GI133" s="76"/>
      <c r="GJ133" s="76"/>
      <c r="GK133" s="76"/>
      <c r="GL133" s="76"/>
      <c r="GM133" s="76"/>
      <c r="GN133" s="76"/>
      <c r="GO133" s="76"/>
      <c r="GP133" s="76"/>
      <c r="GQ133" s="76"/>
      <c r="GR133" s="76"/>
      <c r="GS133" s="76"/>
      <c r="GT133" s="76"/>
      <c r="GU133" s="76"/>
      <c r="GV133" s="76"/>
      <c r="GW133" s="76"/>
      <c r="GX133" s="76"/>
      <c r="GY133" s="76"/>
      <c r="GZ133" s="76"/>
      <c r="HA133" s="76">
        <v>8714</v>
      </c>
      <c r="HB133" s="76"/>
      <c r="HC133" s="76"/>
      <c r="HD133" s="76"/>
      <c r="HE133" s="76">
        <v>3384</v>
      </c>
      <c r="HF133" s="76"/>
      <c r="HG133" s="76"/>
      <c r="HH133" s="76"/>
      <c r="HI133" s="76"/>
      <c r="HJ133" s="76"/>
      <c r="HK133" s="76"/>
      <c r="HL133" s="76"/>
      <c r="HM133" s="76"/>
      <c r="HN133" s="76"/>
      <c r="HO133" s="76"/>
      <c r="HP133" s="76"/>
      <c r="HQ133" s="76"/>
      <c r="HR133" s="76"/>
      <c r="HS133" s="76"/>
      <c r="HT133" s="76"/>
      <c r="HU133" s="76">
        <v>-1519</v>
      </c>
      <c r="HV133" s="76">
        <v>104829</v>
      </c>
    </row>
    <row r="134" spans="1:230" x14ac:dyDescent="0.2">
      <c r="A134" s="74" t="s">
        <v>222</v>
      </c>
      <c r="B134" s="76">
        <v>79</v>
      </c>
      <c r="C134" s="76">
        <v>157</v>
      </c>
      <c r="D134" s="76">
        <v>15</v>
      </c>
      <c r="E134" s="76"/>
      <c r="F134" s="76">
        <v>31</v>
      </c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7"/>
      <c r="V134" s="76"/>
      <c r="W134" s="76"/>
      <c r="X134" s="76"/>
      <c r="Y134" s="76"/>
      <c r="Z134" s="76"/>
      <c r="AA134" s="76">
        <v>4826</v>
      </c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>
        <v>736</v>
      </c>
      <c r="AN134" s="76">
        <v>173</v>
      </c>
      <c r="AO134" s="76">
        <v>9529</v>
      </c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>
        <v>946</v>
      </c>
      <c r="BD134" s="76"/>
      <c r="BE134" s="76"/>
      <c r="BF134" s="76"/>
      <c r="BG134" s="76"/>
      <c r="BH134" s="76"/>
      <c r="BI134" s="76"/>
      <c r="BJ134" s="76">
        <v>79</v>
      </c>
      <c r="BK134" s="76">
        <v>22</v>
      </c>
      <c r="BL134" s="76"/>
      <c r="BM134" s="76">
        <v>3</v>
      </c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68"/>
      <c r="DR134" s="76"/>
      <c r="DS134" s="76"/>
      <c r="DT134" s="76"/>
      <c r="DU134" s="76"/>
      <c r="DV134" s="76"/>
      <c r="DW134" s="76"/>
      <c r="DX134" s="76"/>
      <c r="DY134" s="76"/>
      <c r="DZ134" s="76"/>
      <c r="EA134" s="76"/>
      <c r="EB134" s="76"/>
      <c r="EC134" s="76"/>
      <c r="ED134" s="76"/>
      <c r="EE134" s="76"/>
      <c r="EF134" s="76"/>
      <c r="EG134" s="76"/>
      <c r="EH134" s="76"/>
      <c r="EI134" s="76"/>
      <c r="EJ134" s="76"/>
      <c r="EK134" s="76"/>
      <c r="EL134" s="76"/>
      <c r="EM134" s="76"/>
      <c r="EN134" s="76"/>
      <c r="EO134" s="76"/>
      <c r="EP134" s="76"/>
      <c r="EQ134" s="76"/>
      <c r="ER134" s="76"/>
      <c r="ES134" s="76"/>
      <c r="ET134" s="76"/>
      <c r="EU134" s="76"/>
      <c r="EV134" s="76"/>
      <c r="EW134" s="76"/>
      <c r="EX134" s="76"/>
      <c r="EY134" s="76"/>
      <c r="EZ134" s="76"/>
      <c r="FA134" s="76"/>
      <c r="FB134" s="76"/>
      <c r="FC134" s="76"/>
      <c r="FD134" s="76"/>
      <c r="FE134" s="76"/>
      <c r="FF134" s="76"/>
      <c r="FG134" s="76"/>
      <c r="FH134" s="76"/>
      <c r="FI134" s="76"/>
      <c r="FJ134" s="76"/>
      <c r="FK134" s="76"/>
      <c r="FL134" s="76"/>
      <c r="FM134" s="76"/>
      <c r="FN134" s="76"/>
      <c r="FO134" s="76"/>
      <c r="FP134" s="76"/>
      <c r="FQ134" s="76"/>
      <c r="FR134" s="76"/>
      <c r="FS134" s="76"/>
      <c r="FT134" s="76"/>
      <c r="FU134" s="76"/>
      <c r="FV134" s="76"/>
      <c r="FW134" s="76"/>
      <c r="FX134" s="76"/>
      <c r="FY134" s="76"/>
      <c r="FZ134" s="76"/>
      <c r="GA134" s="76"/>
      <c r="GB134" s="76"/>
      <c r="GC134" s="76"/>
      <c r="GD134" s="76"/>
      <c r="GE134" s="76"/>
      <c r="GF134" s="76"/>
      <c r="GG134" s="76"/>
      <c r="GH134" s="76"/>
      <c r="GI134" s="76"/>
      <c r="GJ134" s="76"/>
      <c r="GK134" s="76"/>
      <c r="GL134" s="76"/>
      <c r="GM134" s="76"/>
      <c r="GN134" s="76"/>
      <c r="GO134" s="76"/>
      <c r="GP134" s="76"/>
      <c r="GQ134" s="76"/>
      <c r="GR134" s="76"/>
      <c r="GS134" s="76"/>
      <c r="GT134" s="76"/>
      <c r="GU134" s="76"/>
      <c r="GV134" s="76"/>
      <c r="GW134" s="76"/>
      <c r="GX134" s="76"/>
      <c r="GY134" s="76"/>
      <c r="GZ134" s="76"/>
      <c r="HA134" s="76"/>
      <c r="HB134" s="76"/>
      <c r="HC134" s="76"/>
      <c r="HD134" s="76"/>
      <c r="HE134" s="76">
        <v>36</v>
      </c>
      <c r="HF134" s="76"/>
      <c r="HG134" s="76"/>
      <c r="HH134" s="76"/>
      <c r="HI134" s="76"/>
      <c r="HJ134" s="76"/>
      <c r="HK134" s="76"/>
      <c r="HL134" s="76"/>
      <c r="HM134" s="76"/>
      <c r="HN134" s="76"/>
      <c r="HO134" s="76"/>
      <c r="HP134" s="76"/>
      <c r="HQ134" s="76"/>
      <c r="HR134" s="76"/>
      <c r="HS134" s="76"/>
      <c r="HT134" s="76"/>
      <c r="HU134" s="76">
        <v>-125</v>
      </c>
      <c r="HV134" s="76">
        <v>16507</v>
      </c>
    </row>
    <row r="135" spans="1:230" x14ac:dyDescent="0.2">
      <c r="A135" s="74" t="s">
        <v>223</v>
      </c>
      <c r="B135" s="76">
        <v>124</v>
      </c>
      <c r="C135" s="76">
        <v>202</v>
      </c>
      <c r="D135" s="76">
        <v>19</v>
      </c>
      <c r="E135" s="76"/>
      <c r="F135" s="76">
        <v>15</v>
      </c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7"/>
      <c r="V135" s="76"/>
      <c r="W135" s="76"/>
      <c r="X135" s="76"/>
      <c r="Y135" s="76"/>
      <c r="Z135" s="76"/>
      <c r="AA135" s="76">
        <v>13</v>
      </c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>
        <v>1340</v>
      </c>
      <c r="AN135" s="76">
        <v>814</v>
      </c>
      <c r="AO135" s="76">
        <v>24751</v>
      </c>
      <c r="AP135" s="76"/>
      <c r="AQ135" s="76"/>
      <c r="AR135" s="76"/>
      <c r="AS135" s="76"/>
      <c r="AT135" s="76"/>
      <c r="AU135" s="76">
        <v>11</v>
      </c>
      <c r="AV135" s="76"/>
      <c r="AW135" s="76"/>
      <c r="AX135" s="76"/>
      <c r="AY135" s="76"/>
      <c r="AZ135" s="76"/>
      <c r="BA135" s="76"/>
      <c r="BB135" s="76"/>
      <c r="BC135" s="76">
        <v>974</v>
      </c>
      <c r="BD135" s="76"/>
      <c r="BE135" s="76"/>
      <c r="BF135" s="76"/>
      <c r="BG135" s="76"/>
      <c r="BH135" s="76"/>
      <c r="BI135" s="76"/>
      <c r="BJ135" s="76">
        <v>56</v>
      </c>
      <c r="BK135" s="76">
        <v>9</v>
      </c>
      <c r="BL135" s="76"/>
      <c r="BM135" s="76">
        <v>3</v>
      </c>
      <c r="BN135" s="76"/>
      <c r="BO135" s="76"/>
      <c r="BP135" s="76">
        <v>222</v>
      </c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  <c r="CT135" s="76"/>
      <c r="CU135" s="76"/>
      <c r="CV135" s="76"/>
      <c r="CW135" s="76"/>
      <c r="CX135" s="76"/>
      <c r="CY135" s="76"/>
      <c r="CZ135" s="76"/>
      <c r="DA135" s="76"/>
      <c r="DB135" s="76"/>
      <c r="DC135" s="76"/>
      <c r="DD135" s="76"/>
      <c r="DE135" s="76"/>
      <c r="DF135" s="76"/>
      <c r="DG135" s="76"/>
      <c r="DH135" s="76"/>
      <c r="DI135" s="76"/>
      <c r="DJ135" s="76"/>
      <c r="DK135" s="76"/>
      <c r="DL135" s="76"/>
      <c r="DM135" s="76"/>
      <c r="DN135" s="76"/>
      <c r="DO135" s="76"/>
      <c r="DP135" s="76"/>
      <c r="DQ135" s="68"/>
      <c r="DR135" s="76"/>
      <c r="DS135" s="76"/>
      <c r="DT135" s="76"/>
      <c r="DU135" s="76"/>
      <c r="DV135" s="76"/>
      <c r="DW135" s="76"/>
      <c r="DX135" s="76"/>
      <c r="DY135" s="76"/>
      <c r="DZ135" s="76"/>
      <c r="EA135" s="76"/>
      <c r="EB135" s="76"/>
      <c r="EC135" s="76"/>
      <c r="ED135" s="76"/>
      <c r="EE135" s="76"/>
      <c r="EF135" s="76"/>
      <c r="EG135" s="76"/>
      <c r="EH135" s="76"/>
      <c r="EI135" s="76"/>
      <c r="EJ135" s="76"/>
      <c r="EK135" s="76"/>
      <c r="EL135" s="76"/>
      <c r="EM135" s="76"/>
      <c r="EN135" s="76"/>
      <c r="EO135" s="76"/>
      <c r="EP135" s="76"/>
      <c r="EQ135" s="76"/>
      <c r="ER135" s="76"/>
      <c r="ES135" s="76"/>
      <c r="ET135" s="76"/>
      <c r="EU135" s="76"/>
      <c r="EV135" s="76"/>
      <c r="EW135" s="76"/>
      <c r="EX135" s="76"/>
      <c r="EY135" s="76"/>
      <c r="EZ135" s="76"/>
      <c r="FA135" s="76"/>
      <c r="FB135" s="76"/>
      <c r="FC135" s="76"/>
      <c r="FD135" s="76"/>
      <c r="FE135" s="76"/>
      <c r="FF135" s="76"/>
      <c r="FG135" s="76"/>
      <c r="FH135" s="76"/>
      <c r="FI135" s="76"/>
      <c r="FJ135" s="76"/>
      <c r="FK135" s="76"/>
      <c r="FL135" s="76"/>
      <c r="FM135" s="76"/>
      <c r="FN135" s="76"/>
      <c r="FO135" s="76"/>
      <c r="FP135" s="76"/>
      <c r="FQ135" s="76"/>
      <c r="FR135" s="76"/>
      <c r="FS135" s="76"/>
      <c r="FT135" s="76"/>
      <c r="FU135" s="76"/>
      <c r="FV135" s="76"/>
      <c r="FW135" s="76"/>
      <c r="FX135" s="76"/>
      <c r="FY135" s="76"/>
      <c r="FZ135" s="76"/>
      <c r="GA135" s="76"/>
      <c r="GB135" s="76"/>
      <c r="GC135" s="76"/>
      <c r="GD135" s="76"/>
      <c r="GE135" s="76"/>
      <c r="GF135" s="76"/>
      <c r="GG135" s="76"/>
      <c r="GH135" s="76"/>
      <c r="GI135" s="76"/>
      <c r="GJ135" s="76"/>
      <c r="GK135" s="76"/>
      <c r="GL135" s="76"/>
      <c r="GM135" s="76"/>
      <c r="GN135" s="76"/>
      <c r="GO135" s="76"/>
      <c r="GP135" s="76"/>
      <c r="GQ135" s="76"/>
      <c r="GR135" s="76"/>
      <c r="GS135" s="76"/>
      <c r="GT135" s="76"/>
      <c r="GU135" s="76"/>
      <c r="GV135" s="76"/>
      <c r="GW135" s="76"/>
      <c r="GX135" s="76"/>
      <c r="GY135" s="76"/>
      <c r="GZ135" s="76"/>
      <c r="HA135" s="76"/>
      <c r="HB135" s="76"/>
      <c r="HC135" s="76"/>
      <c r="HD135" s="76"/>
      <c r="HE135" s="76">
        <v>49</v>
      </c>
      <c r="HF135" s="76"/>
      <c r="HG135" s="76"/>
      <c r="HH135" s="76"/>
      <c r="HI135" s="76"/>
      <c r="HJ135" s="76"/>
      <c r="HK135" s="76"/>
      <c r="HL135" s="76"/>
      <c r="HM135" s="76"/>
      <c r="HN135" s="76"/>
      <c r="HO135" s="76"/>
      <c r="HP135" s="76"/>
      <c r="HQ135" s="76"/>
      <c r="HR135" s="76"/>
      <c r="HS135" s="76"/>
      <c r="HT135" s="76"/>
      <c r="HU135" s="76">
        <v>-1368</v>
      </c>
      <c r="HV135" s="76">
        <v>27234</v>
      </c>
    </row>
    <row r="136" spans="1:230" x14ac:dyDescent="0.2">
      <c r="A136" s="74" t="s">
        <v>229</v>
      </c>
      <c r="B136" s="76">
        <v>5045</v>
      </c>
      <c r="C136" s="76">
        <v>2869</v>
      </c>
      <c r="D136" s="76">
        <v>80</v>
      </c>
      <c r="E136" s="76">
        <v>60</v>
      </c>
      <c r="F136" s="76">
        <v>15</v>
      </c>
      <c r="G136" s="76">
        <v>9</v>
      </c>
      <c r="H136" s="76">
        <v>16</v>
      </c>
      <c r="I136" s="76">
        <v>1</v>
      </c>
      <c r="J136" s="76">
        <v>186</v>
      </c>
      <c r="K136" s="76">
        <v>2259</v>
      </c>
      <c r="L136" s="76">
        <v>2516</v>
      </c>
      <c r="M136" s="76"/>
      <c r="N136" s="76"/>
      <c r="O136" s="76"/>
      <c r="P136" s="76"/>
      <c r="Q136" s="76"/>
      <c r="R136" s="76">
        <v>296</v>
      </c>
      <c r="S136" s="76"/>
      <c r="T136" s="76"/>
      <c r="U136" s="77"/>
      <c r="V136" s="76">
        <v>649</v>
      </c>
      <c r="W136" s="76">
        <v>230</v>
      </c>
      <c r="X136" s="76">
        <v>476</v>
      </c>
      <c r="Y136" s="76">
        <v>70</v>
      </c>
      <c r="Z136" s="76">
        <v>618</v>
      </c>
      <c r="AA136" s="76">
        <v>4597</v>
      </c>
      <c r="AB136" s="76">
        <v>459</v>
      </c>
      <c r="AC136" s="76">
        <v>7</v>
      </c>
      <c r="AD136" s="76">
        <v>243</v>
      </c>
      <c r="AE136" s="76">
        <v>1</v>
      </c>
      <c r="AF136" s="76">
        <v>427</v>
      </c>
      <c r="AG136" s="76">
        <v>338</v>
      </c>
      <c r="AH136" s="76">
        <v>2865</v>
      </c>
      <c r="AI136" s="76">
        <v>138</v>
      </c>
      <c r="AJ136" s="76">
        <v>251</v>
      </c>
      <c r="AK136" s="76">
        <v>726</v>
      </c>
      <c r="AL136" s="76">
        <v>318</v>
      </c>
      <c r="AM136" s="76">
        <v>219</v>
      </c>
      <c r="AN136" s="76">
        <v>101</v>
      </c>
      <c r="AO136" s="76">
        <v>32930</v>
      </c>
      <c r="AP136" s="76">
        <v>297</v>
      </c>
      <c r="AQ136" s="76">
        <v>5</v>
      </c>
      <c r="AR136" s="76"/>
      <c r="AS136" s="76"/>
      <c r="AT136" s="76"/>
      <c r="AU136" s="76"/>
      <c r="AV136" s="76">
        <v>287</v>
      </c>
      <c r="AW136" s="76">
        <v>972</v>
      </c>
      <c r="AX136" s="76"/>
      <c r="AY136" s="76"/>
      <c r="AZ136" s="76"/>
      <c r="BA136" s="76"/>
      <c r="BB136" s="76"/>
      <c r="BC136" s="76">
        <v>1382</v>
      </c>
      <c r="BD136" s="76"/>
      <c r="BE136" s="76">
        <v>3</v>
      </c>
      <c r="BF136" s="76"/>
      <c r="BG136" s="76"/>
      <c r="BH136" s="76">
        <v>138</v>
      </c>
      <c r="BI136" s="76"/>
      <c r="BJ136" s="76">
        <v>348</v>
      </c>
      <c r="BK136" s="76">
        <v>177</v>
      </c>
      <c r="BL136" s="76"/>
      <c r="BM136" s="76">
        <v>201</v>
      </c>
      <c r="BN136" s="76">
        <v>132</v>
      </c>
      <c r="BO136" s="76">
        <v>1</v>
      </c>
      <c r="BP136" s="76">
        <v>67</v>
      </c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  <c r="CT136" s="76"/>
      <c r="CU136" s="76"/>
      <c r="CV136" s="76"/>
      <c r="CW136" s="76"/>
      <c r="CX136" s="76"/>
      <c r="CY136" s="76"/>
      <c r="CZ136" s="76"/>
      <c r="DA136" s="76"/>
      <c r="DB136" s="76"/>
      <c r="DC136" s="76"/>
      <c r="DD136" s="76"/>
      <c r="DE136" s="76"/>
      <c r="DF136" s="76"/>
      <c r="DG136" s="76"/>
      <c r="DH136" s="76"/>
      <c r="DI136" s="76"/>
      <c r="DJ136" s="76"/>
      <c r="DK136" s="76"/>
      <c r="DL136" s="76"/>
      <c r="DM136" s="76"/>
      <c r="DN136" s="76"/>
      <c r="DO136" s="76"/>
      <c r="DP136" s="76"/>
      <c r="DQ136" s="68"/>
      <c r="DR136" s="76"/>
      <c r="DS136" s="76"/>
      <c r="DT136" s="76"/>
      <c r="DU136" s="76"/>
      <c r="DV136" s="76"/>
      <c r="DW136" s="76"/>
      <c r="DX136" s="76"/>
      <c r="DY136" s="76"/>
      <c r="DZ136" s="76"/>
      <c r="EA136" s="76"/>
      <c r="EB136" s="76"/>
      <c r="EC136" s="76"/>
      <c r="ED136" s="76"/>
      <c r="EE136" s="76"/>
      <c r="EF136" s="76"/>
      <c r="EG136" s="76"/>
      <c r="EH136" s="76"/>
      <c r="EI136" s="76"/>
      <c r="EJ136" s="76"/>
      <c r="EK136" s="76"/>
      <c r="EL136" s="76"/>
      <c r="EM136" s="76"/>
      <c r="EN136" s="76"/>
      <c r="EO136" s="76"/>
      <c r="EP136" s="76"/>
      <c r="EQ136" s="76"/>
      <c r="ER136" s="76"/>
      <c r="ES136" s="76"/>
      <c r="ET136" s="76"/>
      <c r="EU136" s="76"/>
      <c r="EV136" s="76"/>
      <c r="EW136" s="76"/>
      <c r="EX136" s="76"/>
      <c r="EY136" s="76"/>
      <c r="EZ136" s="76"/>
      <c r="FA136" s="76"/>
      <c r="FB136" s="76"/>
      <c r="FC136" s="76"/>
      <c r="FD136" s="76"/>
      <c r="FE136" s="76"/>
      <c r="FF136" s="76"/>
      <c r="FG136" s="76"/>
      <c r="FH136" s="76"/>
      <c r="FI136" s="76"/>
      <c r="FJ136" s="76"/>
      <c r="FK136" s="76"/>
      <c r="FL136" s="76"/>
      <c r="FM136" s="76"/>
      <c r="FN136" s="76"/>
      <c r="FO136" s="76"/>
      <c r="FP136" s="76"/>
      <c r="FQ136" s="76"/>
      <c r="FR136" s="76"/>
      <c r="FS136" s="76"/>
      <c r="FT136" s="76"/>
      <c r="FU136" s="76"/>
      <c r="FV136" s="76"/>
      <c r="FW136" s="76"/>
      <c r="FX136" s="76"/>
      <c r="FY136" s="76"/>
      <c r="FZ136" s="76"/>
      <c r="GA136" s="76"/>
      <c r="GB136" s="76"/>
      <c r="GC136" s="76"/>
      <c r="GD136" s="76"/>
      <c r="GE136" s="76"/>
      <c r="GF136" s="76"/>
      <c r="GG136" s="76"/>
      <c r="GH136" s="76"/>
      <c r="GI136" s="76"/>
      <c r="GJ136" s="76"/>
      <c r="GK136" s="76"/>
      <c r="GL136" s="76"/>
      <c r="GM136" s="76"/>
      <c r="GN136" s="76"/>
      <c r="GO136" s="76"/>
      <c r="GP136" s="76"/>
      <c r="GQ136" s="76"/>
      <c r="GR136" s="76"/>
      <c r="GS136" s="76"/>
      <c r="GT136" s="76"/>
      <c r="GU136" s="76"/>
      <c r="GV136" s="76"/>
      <c r="GW136" s="76"/>
      <c r="GX136" s="76"/>
      <c r="GY136" s="76"/>
      <c r="GZ136" s="76"/>
      <c r="HA136" s="76">
        <v>4324</v>
      </c>
      <c r="HB136" s="76"/>
      <c r="HC136" s="76"/>
      <c r="HD136" s="76"/>
      <c r="HE136" s="76">
        <v>6932</v>
      </c>
      <c r="HF136" s="76"/>
      <c r="HG136" s="76"/>
      <c r="HH136" s="76"/>
      <c r="HI136" s="76"/>
      <c r="HJ136" s="76"/>
      <c r="HK136" s="76"/>
      <c r="HL136" s="76"/>
      <c r="HM136" s="76"/>
      <c r="HN136" s="76"/>
      <c r="HO136" s="76"/>
      <c r="HP136" s="76"/>
      <c r="HQ136" s="76"/>
      <c r="HR136" s="76"/>
      <c r="HS136" s="76"/>
      <c r="HT136" s="76"/>
      <c r="HU136" s="76">
        <v>-973</v>
      </c>
      <c r="HV136" s="76">
        <v>73308</v>
      </c>
    </row>
    <row r="137" spans="1:230" x14ac:dyDescent="0.2">
      <c r="A137" s="74" t="s">
        <v>209</v>
      </c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7"/>
      <c r="V137" s="76"/>
      <c r="W137" s="76"/>
      <c r="X137" s="76"/>
      <c r="Y137" s="76"/>
      <c r="Z137" s="76"/>
      <c r="AA137" s="76">
        <v>35</v>
      </c>
      <c r="AB137" s="76">
        <v>3418</v>
      </c>
      <c r="AC137" s="76">
        <v>504</v>
      </c>
      <c r="AD137" s="76"/>
      <c r="AE137" s="76"/>
      <c r="AF137" s="76"/>
      <c r="AG137" s="76">
        <v>10</v>
      </c>
      <c r="AH137" s="76">
        <v>25</v>
      </c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>
        <v>3</v>
      </c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  <c r="CT137" s="76"/>
      <c r="CU137" s="76"/>
      <c r="CV137" s="76"/>
      <c r="CW137" s="76"/>
      <c r="CX137" s="76"/>
      <c r="CY137" s="76"/>
      <c r="CZ137" s="76"/>
      <c r="DA137" s="76"/>
      <c r="DB137" s="76"/>
      <c r="DC137" s="76"/>
      <c r="DD137" s="76"/>
      <c r="DE137" s="76"/>
      <c r="DF137" s="76"/>
      <c r="DG137" s="76"/>
      <c r="DH137" s="76"/>
      <c r="DI137" s="76"/>
      <c r="DJ137" s="76"/>
      <c r="DK137" s="76"/>
      <c r="DL137" s="76"/>
      <c r="DM137" s="76"/>
      <c r="DN137" s="76"/>
      <c r="DO137" s="76"/>
      <c r="DP137" s="76"/>
      <c r="DQ137" s="68"/>
      <c r="DR137" s="76"/>
      <c r="DS137" s="76"/>
      <c r="DT137" s="76"/>
      <c r="DU137" s="76"/>
      <c r="DV137" s="76"/>
      <c r="DW137" s="76"/>
      <c r="DX137" s="76"/>
      <c r="DY137" s="76"/>
      <c r="DZ137" s="76"/>
      <c r="EA137" s="76"/>
      <c r="EB137" s="76"/>
      <c r="EC137" s="76"/>
      <c r="ED137" s="76"/>
      <c r="EE137" s="76"/>
      <c r="EF137" s="76"/>
      <c r="EG137" s="76"/>
      <c r="EH137" s="76"/>
      <c r="EI137" s="76"/>
      <c r="EJ137" s="76"/>
      <c r="EK137" s="76"/>
      <c r="EL137" s="76"/>
      <c r="EM137" s="76"/>
      <c r="EN137" s="76"/>
      <c r="EO137" s="76"/>
      <c r="EP137" s="76"/>
      <c r="EQ137" s="76"/>
      <c r="ER137" s="76"/>
      <c r="ES137" s="76"/>
      <c r="ET137" s="76"/>
      <c r="EU137" s="76"/>
      <c r="EV137" s="76"/>
      <c r="EW137" s="76"/>
      <c r="EX137" s="76"/>
      <c r="EY137" s="76"/>
      <c r="EZ137" s="76"/>
      <c r="FA137" s="76"/>
      <c r="FB137" s="76"/>
      <c r="FC137" s="76"/>
      <c r="FD137" s="76"/>
      <c r="FE137" s="76"/>
      <c r="FF137" s="76"/>
      <c r="FG137" s="76"/>
      <c r="FH137" s="76"/>
      <c r="FI137" s="76"/>
      <c r="FJ137" s="76"/>
      <c r="FK137" s="76"/>
      <c r="FL137" s="76"/>
      <c r="FM137" s="76"/>
      <c r="FN137" s="76"/>
      <c r="FO137" s="76"/>
      <c r="FP137" s="76"/>
      <c r="FQ137" s="76"/>
      <c r="FR137" s="76"/>
      <c r="FS137" s="76"/>
      <c r="FT137" s="76"/>
      <c r="FU137" s="76"/>
      <c r="FV137" s="76"/>
      <c r="FW137" s="76"/>
      <c r="FX137" s="76"/>
      <c r="FY137" s="76"/>
      <c r="FZ137" s="76"/>
      <c r="GA137" s="76"/>
      <c r="GB137" s="76"/>
      <c r="GC137" s="76"/>
      <c r="GD137" s="76"/>
      <c r="GE137" s="76"/>
      <c r="GF137" s="76"/>
      <c r="GG137" s="76"/>
      <c r="GH137" s="76"/>
      <c r="GI137" s="76"/>
      <c r="GJ137" s="76"/>
      <c r="GK137" s="76"/>
      <c r="GL137" s="76"/>
      <c r="GM137" s="76"/>
      <c r="GN137" s="76"/>
      <c r="GO137" s="76"/>
      <c r="GP137" s="76"/>
      <c r="GQ137" s="76"/>
      <c r="GR137" s="76"/>
      <c r="GS137" s="76"/>
      <c r="GT137" s="76"/>
      <c r="GU137" s="76"/>
      <c r="GV137" s="76"/>
      <c r="GW137" s="76"/>
      <c r="GX137" s="76"/>
      <c r="GY137" s="76"/>
      <c r="GZ137" s="76"/>
      <c r="HA137" s="76"/>
      <c r="HB137" s="76"/>
      <c r="HC137" s="76"/>
      <c r="HD137" s="76"/>
      <c r="HE137" s="76">
        <v>10300</v>
      </c>
      <c r="HF137" s="76"/>
      <c r="HG137" s="76"/>
      <c r="HH137" s="76"/>
      <c r="HI137" s="76"/>
      <c r="HJ137" s="76"/>
      <c r="HK137" s="76"/>
      <c r="HL137" s="76"/>
      <c r="HM137" s="76"/>
      <c r="HN137" s="76"/>
      <c r="HO137" s="76"/>
      <c r="HP137" s="76"/>
      <c r="HQ137" s="76"/>
      <c r="HR137" s="76"/>
      <c r="HS137" s="76"/>
      <c r="HT137" s="76"/>
      <c r="HU137" s="76">
        <v>758</v>
      </c>
      <c r="HV137" s="76">
        <v>15053</v>
      </c>
    </row>
    <row r="138" spans="1:230" x14ac:dyDescent="0.2">
      <c r="A138" s="74" t="s">
        <v>224</v>
      </c>
      <c r="B138" s="76">
        <v>270</v>
      </c>
      <c r="C138" s="76">
        <v>435</v>
      </c>
      <c r="D138" s="76">
        <v>26</v>
      </c>
      <c r="E138" s="76">
        <v>102</v>
      </c>
      <c r="F138" s="76">
        <v>1536</v>
      </c>
      <c r="G138" s="76"/>
      <c r="H138" s="76">
        <v>95</v>
      </c>
      <c r="I138" s="76">
        <v>233</v>
      </c>
      <c r="J138" s="76"/>
      <c r="K138" s="76">
        <v>47</v>
      </c>
      <c r="L138" s="76"/>
      <c r="M138" s="76"/>
      <c r="N138" s="76"/>
      <c r="O138" s="76"/>
      <c r="P138" s="76"/>
      <c r="Q138" s="76"/>
      <c r="R138" s="76">
        <v>184</v>
      </c>
      <c r="S138" s="76"/>
      <c r="T138" s="76"/>
      <c r="U138" s="77"/>
      <c r="V138" s="76"/>
      <c r="W138" s="76"/>
      <c r="X138" s="76"/>
      <c r="Y138" s="76">
        <v>1</v>
      </c>
      <c r="Z138" s="76">
        <v>958</v>
      </c>
      <c r="AA138" s="76">
        <v>753</v>
      </c>
      <c r="AB138" s="76">
        <v>8686</v>
      </c>
      <c r="AC138" s="76">
        <v>139</v>
      </c>
      <c r="AD138" s="76">
        <v>21344</v>
      </c>
      <c r="AE138" s="76">
        <v>59</v>
      </c>
      <c r="AF138" s="76">
        <v>3434</v>
      </c>
      <c r="AG138" s="76">
        <v>9379</v>
      </c>
      <c r="AH138" s="76">
        <v>6885</v>
      </c>
      <c r="AI138" s="76">
        <v>9532</v>
      </c>
      <c r="AJ138" s="76">
        <v>1050</v>
      </c>
      <c r="AK138" s="76">
        <v>1534</v>
      </c>
      <c r="AL138" s="76">
        <v>1489</v>
      </c>
      <c r="AM138" s="76">
        <v>294</v>
      </c>
      <c r="AN138" s="76">
        <v>129</v>
      </c>
      <c r="AO138" s="76">
        <v>17446</v>
      </c>
      <c r="AP138" s="76"/>
      <c r="AQ138" s="76">
        <v>1481</v>
      </c>
      <c r="AR138" s="76">
        <v>30</v>
      </c>
      <c r="AS138" s="76"/>
      <c r="AT138" s="76"/>
      <c r="AU138" s="76">
        <v>7</v>
      </c>
      <c r="AV138" s="76"/>
      <c r="AW138" s="76"/>
      <c r="AX138" s="76"/>
      <c r="AY138" s="76"/>
      <c r="AZ138" s="76"/>
      <c r="BA138" s="76">
        <v>27</v>
      </c>
      <c r="BB138" s="76"/>
      <c r="BC138" s="76"/>
      <c r="BD138" s="76"/>
      <c r="BE138" s="76">
        <v>31</v>
      </c>
      <c r="BF138" s="76"/>
      <c r="BG138" s="76">
        <v>280</v>
      </c>
      <c r="BH138" s="76"/>
      <c r="BI138" s="76"/>
      <c r="BJ138" s="76">
        <v>173</v>
      </c>
      <c r="BK138" s="76">
        <v>44</v>
      </c>
      <c r="BL138" s="76"/>
      <c r="BM138" s="76">
        <v>5</v>
      </c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  <c r="CT138" s="76"/>
      <c r="CU138" s="76"/>
      <c r="CV138" s="76"/>
      <c r="CW138" s="76"/>
      <c r="CX138" s="76"/>
      <c r="CY138" s="76"/>
      <c r="CZ138" s="76"/>
      <c r="DA138" s="76"/>
      <c r="DB138" s="76"/>
      <c r="DC138" s="76"/>
      <c r="DD138" s="76"/>
      <c r="DE138" s="76"/>
      <c r="DF138" s="76"/>
      <c r="DG138" s="76"/>
      <c r="DH138" s="76"/>
      <c r="DI138" s="76"/>
      <c r="DJ138" s="76"/>
      <c r="DK138" s="76"/>
      <c r="DL138" s="76"/>
      <c r="DM138" s="76"/>
      <c r="DN138" s="76"/>
      <c r="DO138" s="76"/>
      <c r="DP138" s="76"/>
      <c r="DQ138" s="68"/>
      <c r="DR138" s="76"/>
      <c r="DS138" s="76"/>
      <c r="DT138" s="76"/>
      <c r="DU138" s="76"/>
      <c r="DV138" s="76"/>
      <c r="DW138" s="76"/>
      <c r="DX138" s="76"/>
      <c r="DY138" s="76"/>
      <c r="DZ138" s="76"/>
      <c r="EA138" s="76"/>
      <c r="EB138" s="76"/>
      <c r="EC138" s="76"/>
      <c r="ED138" s="76"/>
      <c r="EE138" s="76"/>
      <c r="EF138" s="76"/>
      <c r="EG138" s="76"/>
      <c r="EH138" s="76"/>
      <c r="EI138" s="76"/>
      <c r="EJ138" s="76"/>
      <c r="EK138" s="76"/>
      <c r="EL138" s="76"/>
      <c r="EM138" s="76"/>
      <c r="EN138" s="76"/>
      <c r="EO138" s="76"/>
      <c r="EP138" s="76"/>
      <c r="EQ138" s="76"/>
      <c r="ER138" s="76"/>
      <c r="ES138" s="76"/>
      <c r="ET138" s="76"/>
      <c r="EU138" s="76"/>
      <c r="EV138" s="76"/>
      <c r="EW138" s="76"/>
      <c r="EX138" s="76"/>
      <c r="EY138" s="76"/>
      <c r="EZ138" s="76"/>
      <c r="FA138" s="76"/>
      <c r="FB138" s="76"/>
      <c r="FC138" s="76"/>
      <c r="FD138" s="76"/>
      <c r="FE138" s="76"/>
      <c r="FF138" s="76"/>
      <c r="FG138" s="76"/>
      <c r="FH138" s="76"/>
      <c r="FI138" s="76"/>
      <c r="FJ138" s="76"/>
      <c r="FK138" s="76"/>
      <c r="FL138" s="76"/>
      <c r="FM138" s="76"/>
      <c r="FN138" s="76"/>
      <c r="FO138" s="76"/>
      <c r="FP138" s="76"/>
      <c r="FQ138" s="76"/>
      <c r="FR138" s="76"/>
      <c r="FS138" s="76"/>
      <c r="FT138" s="76"/>
      <c r="FU138" s="76"/>
      <c r="FV138" s="76"/>
      <c r="FW138" s="76"/>
      <c r="FX138" s="76"/>
      <c r="FY138" s="76"/>
      <c r="FZ138" s="76"/>
      <c r="GA138" s="76"/>
      <c r="GB138" s="76"/>
      <c r="GC138" s="76"/>
      <c r="GD138" s="76"/>
      <c r="GE138" s="76"/>
      <c r="GF138" s="76"/>
      <c r="GG138" s="76"/>
      <c r="GH138" s="76"/>
      <c r="GI138" s="76"/>
      <c r="GJ138" s="76"/>
      <c r="GK138" s="76"/>
      <c r="GL138" s="76"/>
      <c r="GM138" s="76"/>
      <c r="GN138" s="76"/>
      <c r="GO138" s="76"/>
      <c r="GP138" s="76"/>
      <c r="GQ138" s="76"/>
      <c r="GR138" s="76"/>
      <c r="GS138" s="76"/>
      <c r="GT138" s="76"/>
      <c r="GU138" s="76"/>
      <c r="GV138" s="76"/>
      <c r="GW138" s="76"/>
      <c r="GX138" s="76"/>
      <c r="GY138" s="76"/>
      <c r="GZ138" s="76"/>
      <c r="HA138" s="76">
        <v>256</v>
      </c>
      <c r="HB138" s="76"/>
      <c r="HC138" s="76"/>
      <c r="HD138" s="76"/>
      <c r="HE138" s="76">
        <v>29728</v>
      </c>
      <c r="HF138" s="76"/>
      <c r="HG138" s="76"/>
      <c r="HH138" s="76"/>
      <c r="HI138" s="76"/>
      <c r="HJ138" s="76"/>
      <c r="HK138" s="76"/>
      <c r="HL138" s="76"/>
      <c r="HM138" s="76"/>
      <c r="HN138" s="76"/>
      <c r="HO138" s="76"/>
      <c r="HP138" s="76"/>
      <c r="HQ138" s="76"/>
      <c r="HR138" s="76"/>
      <c r="HS138" s="76">
        <v>81.519945680912912</v>
      </c>
      <c r="HT138" s="76">
        <v>10.480054319087088</v>
      </c>
      <c r="HU138" s="76">
        <v>1583</v>
      </c>
      <c r="HV138" s="76">
        <v>119777</v>
      </c>
    </row>
    <row r="139" spans="1:230" x14ac:dyDescent="0.2">
      <c r="A139" s="74" t="s">
        <v>225</v>
      </c>
      <c r="B139" s="76"/>
      <c r="C139" s="76"/>
      <c r="D139" s="76"/>
      <c r="E139" s="76"/>
      <c r="F139" s="76"/>
      <c r="G139" s="76"/>
      <c r="H139" s="76">
        <v>8</v>
      </c>
      <c r="I139" s="76">
        <v>454</v>
      </c>
      <c r="J139" s="76"/>
      <c r="K139" s="76">
        <v>723</v>
      </c>
      <c r="L139" s="76"/>
      <c r="M139" s="76"/>
      <c r="N139" s="76"/>
      <c r="O139" s="76"/>
      <c r="P139" s="76"/>
      <c r="Q139" s="76"/>
      <c r="R139" s="76">
        <v>322</v>
      </c>
      <c r="S139" s="76">
        <v>356</v>
      </c>
      <c r="T139" s="76"/>
      <c r="U139" s="77"/>
      <c r="V139" s="76">
        <v>30</v>
      </c>
      <c r="W139" s="76">
        <v>251</v>
      </c>
      <c r="X139" s="76"/>
      <c r="Y139" s="76">
        <v>12</v>
      </c>
      <c r="Z139" s="76">
        <v>109</v>
      </c>
      <c r="AA139" s="76">
        <v>125</v>
      </c>
      <c r="AB139" s="76">
        <v>2225</v>
      </c>
      <c r="AC139" s="76">
        <v>14202</v>
      </c>
      <c r="AD139" s="76">
        <v>3521</v>
      </c>
      <c r="AE139" s="76">
        <v>222</v>
      </c>
      <c r="AF139" s="76">
        <v>9124</v>
      </c>
      <c r="AG139" s="76">
        <v>1329</v>
      </c>
      <c r="AH139" s="76">
        <v>697</v>
      </c>
      <c r="AI139" s="76">
        <v>4334</v>
      </c>
      <c r="AJ139" s="76">
        <v>1419</v>
      </c>
      <c r="AK139" s="76">
        <v>3140</v>
      </c>
      <c r="AL139" s="76">
        <v>585</v>
      </c>
      <c r="AM139" s="76">
        <v>20</v>
      </c>
      <c r="AN139" s="76">
        <v>159</v>
      </c>
      <c r="AO139" s="76">
        <v>4138</v>
      </c>
      <c r="AP139" s="76"/>
      <c r="AQ139" s="76">
        <v>29</v>
      </c>
      <c r="AR139" s="76">
        <v>16</v>
      </c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>
        <v>70</v>
      </c>
      <c r="BD139" s="76"/>
      <c r="BE139" s="76">
        <v>1</v>
      </c>
      <c r="BF139" s="76"/>
      <c r="BG139" s="76"/>
      <c r="BH139" s="76"/>
      <c r="BI139" s="76"/>
      <c r="BJ139" s="76">
        <v>18</v>
      </c>
      <c r="BK139" s="76">
        <v>4</v>
      </c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  <c r="CT139" s="76"/>
      <c r="CU139" s="76"/>
      <c r="CV139" s="76"/>
      <c r="CW139" s="76"/>
      <c r="CX139" s="76"/>
      <c r="CY139" s="76"/>
      <c r="CZ139" s="76"/>
      <c r="DA139" s="76"/>
      <c r="DB139" s="76"/>
      <c r="DC139" s="76"/>
      <c r="DD139" s="76"/>
      <c r="DE139" s="76"/>
      <c r="DF139" s="76"/>
      <c r="DG139" s="76"/>
      <c r="DH139" s="76"/>
      <c r="DI139" s="76"/>
      <c r="DJ139" s="76"/>
      <c r="DK139" s="76"/>
      <c r="DL139" s="76"/>
      <c r="DM139" s="76"/>
      <c r="DN139" s="76"/>
      <c r="DO139" s="76"/>
      <c r="DP139" s="76"/>
      <c r="DQ139" s="68"/>
      <c r="DR139" s="76"/>
      <c r="DS139" s="76"/>
      <c r="DT139" s="76"/>
      <c r="DU139" s="76"/>
      <c r="DV139" s="76"/>
      <c r="DW139" s="76"/>
      <c r="DX139" s="76"/>
      <c r="DY139" s="76"/>
      <c r="DZ139" s="76"/>
      <c r="EA139" s="76"/>
      <c r="EB139" s="76"/>
      <c r="EC139" s="76"/>
      <c r="ED139" s="76"/>
      <c r="EE139" s="76"/>
      <c r="EF139" s="76"/>
      <c r="EG139" s="76"/>
      <c r="EH139" s="76"/>
      <c r="EI139" s="76"/>
      <c r="EJ139" s="76"/>
      <c r="EK139" s="76"/>
      <c r="EL139" s="76"/>
      <c r="EM139" s="76"/>
      <c r="EN139" s="76"/>
      <c r="EO139" s="76"/>
      <c r="EP139" s="76"/>
      <c r="EQ139" s="76"/>
      <c r="ER139" s="76"/>
      <c r="ES139" s="76"/>
      <c r="ET139" s="76"/>
      <c r="EU139" s="76"/>
      <c r="EV139" s="76"/>
      <c r="EW139" s="76"/>
      <c r="EX139" s="76"/>
      <c r="EY139" s="76"/>
      <c r="EZ139" s="76"/>
      <c r="FA139" s="76"/>
      <c r="FB139" s="76"/>
      <c r="FC139" s="76"/>
      <c r="FD139" s="76"/>
      <c r="FE139" s="76"/>
      <c r="FF139" s="76"/>
      <c r="FG139" s="76"/>
      <c r="FH139" s="76"/>
      <c r="FI139" s="76"/>
      <c r="FJ139" s="76"/>
      <c r="FK139" s="76"/>
      <c r="FL139" s="76"/>
      <c r="FM139" s="76"/>
      <c r="FN139" s="76"/>
      <c r="FO139" s="76"/>
      <c r="FP139" s="76"/>
      <c r="FQ139" s="76"/>
      <c r="FR139" s="76"/>
      <c r="FS139" s="76"/>
      <c r="FT139" s="76"/>
      <c r="FU139" s="76"/>
      <c r="FV139" s="76"/>
      <c r="FW139" s="76"/>
      <c r="FX139" s="76"/>
      <c r="FY139" s="76"/>
      <c r="FZ139" s="76"/>
      <c r="GA139" s="76"/>
      <c r="GB139" s="76"/>
      <c r="GC139" s="76"/>
      <c r="GD139" s="76"/>
      <c r="GE139" s="76"/>
      <c r="GF139" s="76"/>
      <c r="GG139" s="76"/>
      <c r="GH139" s="76"/>
      <c r="GI139" s="76"/>
      <c r="GJ139" s="76"/>
      <c r="GK139" s="76"/>
      <c r="GL139" s="76"/>
      <c r="GM139" s="76"/>
      <c r="GN139" s="76"/>
      <c r="GO139" s="76"/>
      <c r="GP139" s="76"/>
      <c r="GQ139" s="76"/>
      <c r="GR139" s="76"/>
      <c r="GS139" s="76"/>
      <c r="GT139" s="76"/>
      <c r="GU139" s="76"/>
      <c r="GV139" s="76"/>
      <c r="GW139" s="76"/>
      <c r="GX139" s="76"/>
      <c r="GY139" s="76"/>
      <c r="GZ139" s="76"/>
      <c r="HA139" s="76">
        <v>560</v>
      </c>
      <c r="HB139" s="76"/>
      <c r="HC139" s="76"/>
      <c r="HD139" s="76"/>
      <c r="HE139" s="76">
        <v>25046</v>
      </c>
      <c r="HF139" s="76"/>
      <c r="HG139" s="76"/>
      <c r="HH139" s="76"/>
      <c r="HI139" s="76"/>
      <c r="HJ139" s="76"/>
      <c r="HK139" s="76"/>
      <c r="HL139" s="76"/>
      <c r="HM139" s="76"/>
      <c r="HN139" s="76"/>
      <c r="HO139" s="76"/>
      <c r="HP139" s="76"/>
      <c r="HQ139" s="76"/>
      <c r="HR139" s="76"/>
      <c r="HS139" s="76"/>
      <c r="HT139" s="76"/>
      <c r="HU139" s="76">
        <v>-155</v>
      </c>
      <c r="HV139" s="76">
        <v>73094</v>
      </c>
    </row>
    <row r="140" spans="1:230" x14ac:dyDescent="0.2">
      <c r="A140" s="74" t="s">
        <v>226</v>
      </c>
      <c r="B140" s="76"/>
      <c r="C140" s="76"/>
      <c r="D140" s="76"/>
      <c r="E140" s="76"/>
      <c r="F140" s="76"/>
      <c r="G140" s="76"/>
      <c r="H140" s="76">
        <v>109</v>
      </c>
      <c r="I140" s="76"/>
      <c r="J140" s="76"/>
      <c r="K140" s="76"/>
      <c r="L140" s="76"/>
      <c r="M140" s="76"/>
      <c r="N140" s="76">
        <v>1</v>
      </c>
      <c r="O140" s="76"/>
      <c r="P140" s="76"/>
      <c r="Q140" s="76"/>
      <c r="R140" s="76"/>
      <c r="S140" s="76"/>
      <c r="T140" s="76"/>
      <c r="U140" s="77"/>
      <c r="V140" s="76"/>
      <c r="W140" s="76"/>
      <c r="X140" s="76"/>
      <c r="Y140" s="76"/>
      <c r="Z140" s="76"/>
      <c r="AA140" s="76"/>
      <c r="AB140" s="76">
        <v>160</v>
      </c>
      <c r="AC140" s="76">
        <v>385</v>
      </c>
      <c r="AD140" s="76"/>
      <c r="AE140" s="76"/>
      <c r="AF140" s="76">
        <v>842</v>
      </c>
      <c r="AG140" s="76">
        <v>1002</v>
      </c>
      <c r="AH140" s="76"/>
      <c r="AI140" s="76">
        <v>2165</v>
      </c>
      <c r="AJ140" s="76">
        <v>34</v>
      </c>
      <c r="AK140" s="76"/>
      <c r="AL140" s="76">
        <v>1596</v>
      </c>
      <c r="AM140" s="76"/>
      <c r="AN140" s="76"/>
      <c r="AO140" s="76">
        <v>234</v>
      </c>
      <c r="AP140" s="76">
        <v>740</v>
      </c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76"/>
      <c r="CY140" s="76"/>
      <c r="CZ140" s="76"/>
      <c r="DA140" s="76"/>
      <c r="DB140" s="76"/>
      <c r="DC140" s="76"/>
      <c r="DD140" s="76"/>
      <c r="DE140" s="76"/>
      <c r="DF140" s="76"/>
      <c r="DG140" s="76"/>
      <c r="DH140" s="76"/>
      <c r="DI140" s="76"/>
      <c r="DJ140" s="76"/>
      <c r="DK140" s="76"/>
      <c r="DL140" s="76"/>
      <c r="DM140" s="76"/>
      <c r="DN140" s="76"/>
      <c r="DO140" s="76"/>
      <c r="DP140" s="76"/>
      <c r="DQ140" s="68"/>
      <c r="DR140" s="76"/>
      <c r="DS140" s="76"/>
      <c r="DT140" s="76"/>
      <c r="DU140" s="76"/>
      <c r="DV140" s="76"/>
      <c r="DW140" s="76"/>
      <c r="DX140" s="76"/>
      <c r="DY140" s="76"/>
      <c r="DZ140" s="76"/>
      <c r="EA140" s="76"/>
      <c r="EB140" s="76"/>
      <c r="EC140" s="76"/>
      <c r="ED140" s="76"/>
      <c r="EE140" s="76"/>
      <c r="EF140" s="76"/>
      <c r="EG140" s="76"/>
      <c r="EH140" s="76"/>
      <c r="EI140" s="76"/>
      <c r="EJ140" s="76"/>
      <c r="EK140" s="76"/>
      <c r="EL140" s="76"/>
      <c r="EM140" s="76"/>
      <c r="EN140" s="76"/>
      <c r="EO140" s="76"/>
      <c r="EP140" s="76"/>
      <c r="EQ140" s="76"/>
      <c r="ER140" s="76"/>
      <c r="ES140" s="76"/>
      <c r="ET140" s="76"/>
      <c r="EU140" s="76"/>
      <c r="EV140" s="76"/>
      <c r="EW140" s="76"/>
      <c r="EX140" s="76"/>
      <c r="EY140" s="76"/>
      <c r="EZ140" s="76"/>
      <c r="FA140" s="76"/>
      <c r="FB140" s="76"/>
      <c r="FC140" s="76"/>
      <c r="FD140" s="76"/>
      <c r="FE140" s="76"/>
      <c r="FF140" s="76"/>
      <c r="FG140" s="76"/>
      <c r="FH140" s="76"/>
      <c r="FI140" s="76"/>
      <c r="FJ140" s="76"/>
      <c r="FK140" s="76"/>
      <c r="FL140" s="76"/>
      <c r="FM140" s="76"/>
      <c r="FN140" s="76"/>
      <c r="FO140" s="76"/>
      <c r="FP140" s="76"/>
      <c r="FQ140" s="76"/>
      <c r="FR140" s="76"/>
      <c r="FS140" s="76"/>
      <c r="FT140" s="76"/>
      <c r="FU140" s="76"/>
      <c r="FV140" s="76"/>
      <c r="FW140" s="76"/>
      <c r="FX140" s="76"/>
      <c r="FY140" s="76"/>
      <c r="FZ140" s="76"/>
      <c r="GA140" s="76"/>
      <c r="GB140" s="76"/>
      <c r="GC140" s="76"/>
      <c r="GD140" s="76"/>
      <c r="GE140" s="76"/>
      <c r="GF140" s="76"/>
      <c r="GG140" s="76"/>
      <c r="GH140" s="76"/>
      <c r="GI140" s="76"/>
      <c r="GJ140" s="76"/>
      <c r="GK140" s="76"/>
      <c r="GL140" s="76"/>
      <c r="GM140" s="76"/>
      <c r="GN140" s="76"/>
      <c r="GO140" s="76"/>
      <c r="GP140" s="76"/>
      <c r="GQ140" s="76"/>
      <c r="GR140" s="76"/>
      <c r="GS140" s="76"/>
      <c r="GT140" s="76"/>
      <c r="GU140" s="76"/>
      <c r="GV140" s="76"/>
      <c r="GW140" s="76"/>
      <c r="GX140" s="76"/>
      <c r="GY140" s="76"/>
      <c r="GZ140" s="76"/>
      <c r="HA140" s="76"/>
      <c r="HB140" s="76"/>
      <c r="HC140" s="76"/>
      <c r="HD140" s="76"/>
      <c r="HE140" s="76">
        <v>84</v>
      </c>
      <c r="HF140" s="76"/>
      <c r="HG140" s="76"/>
      <c r="HH140" s="76"/>
      <c r="HI140" s="76"/>
      <c r="HJ140" s="76"/>
      <c r="HK140" s="76"/>
      <c r="HL140" s="76"/>
      <c r="HM140" s="76"/>
      <c r="HN140" s="76"/>
      <c r="HO140" s="76"/>
      <c r="HP140" s="76"/>
      <c r="HQ140" s="76"/>
      <c r="HR140" s="76"/>
      <c r="HS140" s="76"/>
      <c r="HT140" s="76"/>
      <c r="HU140" s="76">
        <v>478</v>
      </c>
      <c r="HV140" s="76">
        <v>7830</v>
      </c>
    </row>
    <row r="141" spans="1:230" x14ac:dyDescent="0.2">
      <c r="A141" s="74" t="s">
        <v>230</v>
      </c>
      <c r="B141" s="76">
        <v>717</v>
      </c>
      <c r="C141" s="76">
        <v>964</v>
      </c>
      <c r="D141" s="76">
        <v>86</v>
      </c>
      <c r="E141" s="76">
        <v>62</v>
      </c>
      <c r="F141" s="76">
        <v>2289</v>
      </c>
      <c r="G141" s="76">
        <v>1036</v>
      </c>
      <c r="H141" s="76">
        <v>340</v>
      </c>
      <c r="I141" s="76">
        <v>3513</v>
      </c>
      <c r="J141" s="76">
        <v>117</v>
      </c>
      <c r="K141" s="76">
        <v>3460</v>
      </c>
      <c r="L141" s="76">
        <v>5736</v>
      </c>
      <c r="M141" s="76">
        <v>21</v>
      </c>
      <c r="N141" s="76">
        <v>89</v>
      </c>
      <c r="O141" s="76">
        <v>102</v>
      </c>
      <c r="P141" s="76">
        <v>77</v>
      </c>
      <c r="Q141" s="76">
        <v>605</v>
      </c>
      <c r="R141" s="76">
        <v>157</v>
      </c>
      <c r="S141" s="76">
        <v>23</v>
      </c>
      <c r="T141" s="76">
        <v>412</v>
      </c>
      <c r="U141" s="77">
        <v>82</v>
      </c>
      <c r="V141" s="76">
        <v>644</v>
      </c>
      <c r="W141" s="76">
        <v>1046</v>
      </c>
      <c r="X141" s="76">
        <v>1402</v>
      </c>
      <c r="Y141" s="76">
        <v>194</v>
      </c>
      <c r="Z141" s="76">
        <v>200</v>
      </c>
      <c r="AA141" s="76">
        <v>237</v>
      </c>
      <c r="AB141" s="76">
        <v>2886</v>
      </c>
      <c r="AC141" s="76">
        <v>243</v>
      </c>
      <c r="AD141" s="76">
        <v>10339</v>
      </c>
      <c r="AE141" s="76">
        <v>1161</v>
      </c>
      <c r="AF141" s="76">
        <v>2849</v>
      </c>
      <c r="AG141" s="76">
        <v>6201</v>
      </c>
      <c r="AH141" s="76">
        <v>4515</v>
      </c>
      <c r="AI141" s="76">
        <v>2890</v>
      </c>
      <c r="AJ141" s="76">
        <v>2803</v>
      </c>
      <c r="AK141" s="76">
        <v>1827</v>
      </c>
      <c r="AL141" s="76">
        <v>4711</v>
      </c>
      <c r="AM141" s="76">
        <v>3653</v>
      </c>
      <c r="AN141" s="76">
        <v>772</v>
      </c>
      <c r="AO141" s="76">
        <v>31184</v>
      </c>
      <c r="AP141" s="76">
        <v>393</v>
      </c>
      <c r="AQ141" s="76">
        <v>1817</v>
      </c>
      <c r="AR141" s="76">
        <v>108</v>
      </c>
      <c r="AS141" s="76">
        <v>1</v>
      </c>
      <c r="AT141" s="76"/>
      <c r="AU141" s="76">
        <v>7</v>
      </c>
      <c r="AV141" s="76">
        <v>209</v>
      </c>
      <c r="AW141" s="76">
        <v>3138</v>
      </c>
      <c r="AX141" s="76"/>
      <c r="AY141" s="76">
        <v>15</v>
      </c>
      <c r="AZ141" s="76">
        <v>22</v>
      </c>
      <c r="BA141" s="76">
        <v>3</v>
      </c>
      <c r="BB141" s="76"/>
      <c r="BC141" s="76">
        <v>579</v>
      </c>
      <c r="BD141" s="76"/>
      <c r="BE141" s="76">
        <v>30</v>
      </c>
      <c r="BF141" s="76"/>
      <c r="BG141" s="76"/>
      <c r="BH141" s="76">
        <v>391</v>
      </c>
      <c r="BI141" s="76">
        <v>111</v>
      </c>
      <c r="BJ141" s="76">
        <v>1246</v>
      </c>
      <c r="BK141" s="76">
        <v>121</v>
      </c>
      <c r="BL141" s="76"/>
      <c r="BM141" s="76">
        <v>148</v>
      </c>
      <c r="BN141" s="76"/>
      <c r="BO141" s="76"/>
      <c r="BP141" s="76">
        <v>90</v>
      </c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6"/>
      <c r="CT141" s="76"/>
      <c r="CU141" s="76"/>
      <c r="CV141" s="76"/>
      <c r="CW141" s="76"/>
      <c r="CX141" s="76"/>
      <c r="CY141" s="76"/>
      <c r="CZ141" s="76"/>
      <c r="DA141" s="76"/>
      <c r="DB141" s="76"/>
      <c r="DC141" s="76"/>
      <c r="DD141" s="76"/>
      <c r="DE141" s="76"/>
      <c r="DF141" s="76"/>
      <c r="DG141" s="76"/>
      <c r="DH141" s="76"/>
      <c r="DI141" s="76"/>
      <c r="DJ141" s="76"/>
      <c r="DK141" s="76"/>
      <c r="DL141" s="76"/>
      <c r="DM141" s="76"/>
      <c r="DN141" s="76"/>
      <c r="DO141" s="76"/>
      <c r="DP141" s="76"/>
      <c r="DQ141" s="68"/>
      <c r="DR141" s="76"/>
      <c r="DS141" s="76"/>
      <c r="DT141" s="76"/>
      <c r="DU141" s="76"/>
      <c r="DV141" s="76"/>
      <c r="DW141" s="76"/>
      <c r="DX141" s="76"/>
      <c r="DY141" s="76"/>
      <c r="DZ141" s="76"/>
      <c r="EA141" s="76"/>
      <c r="EB141" s="76"/>
      <c r="EC141" s="76"/>
      <c r="ED141" s="76"/>
      <c r="EE141" s="76"/>
      <c r="EF141" s="76"/>
      <c r="EG141" s="76"/>
      <c r="EH141" s="76"/>
      <c r="EI141" s="76"/>
      <c r="EJ141" s="76"/>
      <c r="EK141" s="76"/>
      <c r="EL141" s="76"/>
      <c r="EM141" s="76"/>
      <c r="EN141" s="76"/>
      <c r="EO141" s="76"/>
      <c r="EP141" s="76"/>
      <c r="EQ141" s="76"/>
      <c r="ER141" s="76"/>
      <c r="ES141" s="76"/>
      <c r="ET141" s="76"/>
      <c r="EU141" s="76"/>
      <c r="EV141" s="76"/>
      <c r="EW141" s="76"/>
      <c r="EX141" s="76"/>
      <c r="EY141" s="76"/>
      <c r="EZ141" s="76"/>
      <c r="FA141" s="76"/>
      <c r="FB141" s="76"/>
      <c r="FC141" s="76"/>
      <c r="FD141" s="76"/>
      <c r="FE141" s="76"/>
      <c r="FF141" s="76"/>
      <c r="FG141" s="76"/>
      <c r="FH141" s="76"/>
      <c r="FI141" s="76"/>
      <c r="FJ141" s="76"/>
      <c r="FK141" s="76"/>
      <c r="FL141" s="76"/>
      <c r="FM141" s="76"/>
      <c r="FN141" s="76"/>
      <c r="FO141" s="76"/>
      <c r="FP141" s="76"/>
      <c r="FQ141" s="76"/>
      <c r="FR141" s="76"/>
      <c r="FS141" s="76"/>
      <c r="FT141" s="76"/>
      <c r="FU141" s="76"/>
      <c r="FV141" s="76"/>
      <c r="FW141" s="76"/>
      <c r="FX141" s="76"/>
      <c r="FY141" s="76"/>
      <c r="FZ141" s="76"/>
      <c r="GA141" s="76"/>
      <c r="GB141" s="76"/>
      <c r="GC141" s="76"/>
      <c r="GD141" s="76"/>
      <c r="GE141" s="76"/>
      <c r="GF141" s="76"/>
      <c r="GG141" s="76"/>
      <c r="GH141" s="76"/>
      <c r="GI141" s="76"/>
      <c r="GJ141" s="76"/>
      <c r="GK141" s="76"/>
      <c r="GL141" s="76"/>
      <c r="GM141" s="76"/>
      <c r="GN141" s="76"/>
      <c r="GO141" s="76"/>
      <c r="GP141" s="76"/>
      <c r="GQ141" s="76"/>
      <c r="GR141" s="76"/>
      <c r="GS141" s="76"/>
      <c r="GT141" s="76"/>
      <c r="GU141" s="76"/>
      <c r="GV141" s="76"/>
      <c r="GW141" s="76"/>
      <c r="GX141" s="76"/>
      <c r="GY141" s="76"/>
      <c r="GZ141" s="76"/>
      <c r="HA141" s="76">
        <v>17440</v>
      </c>
      <c r="HB141" s="76"/>
      <c r="HC141" s="76"/>
      <c r="HD141" s="76"/>
      <c r="HE141" s="76">
        <v>6748</v>
      </c>
      <c r="HF141" s="76"/>
      <c r="HG141" s="76"/>
      <c r="HH141" s="76"/>
      <c r="HI141" s="76"/>
      <c r="HJ141" s="76"/>
      <c r="HK141" s="76"/>
      <c r="HL141" s="76"/>
      <c r="HM141" s="76"/>
      <c r="HN141" s="76"/>
      <c r="HO141" s="76"/>
      <c r="HP141" s="76"/>
      <c r="HQ141" s="76"/>
      <c r="HR141" s="76"/>
      <c r="HS141" s="76">
        <v>7950.8529629872992</v>
      </c>
      <c r="HT141" s="76">
        <v>1022.1470370127005</v>
      </c>
      <c r="HU141" s="76">
        <v>-2350</v>
      </c>
      <c r="HV141" s="76">
        <v>138885</v>
      </c>
    </row>
    <row r="142" spans="1:230" x14ac:dyDescent="0.2">
      <c r="A142" s="74" t="s">
        <v>240</v>
      </c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>
        <v>501</v>
      </c>
      <c r="T142" s="76"/>
      <c r="U142" s="77"/>
      <c r="V142" s="76"/>
      <c r="W142" s="76"/>
      <c r="X142" s="76"/>
      <c r="Y142" s="76"/>
      <c r="Z142" s="76"/>
      <c r="AA142" s="76"/>
      <c r="AB142" s="76"/>
      <c r="AC142" s="76"/>
      <c r="AD142" s="76"/>
      <c r="AE142" s="76">
        <v>24005</v>
      </c>
      <c r="AF142" s="76">
        <v>1275</v>
      </c>
      <c r="AG142" s="76">
        <v>192</v>
      </c>
      <c r="AH142" s="76">
        <v>75</v>
      </c>
      <c r="AI142" s="76">
        <v>680</v>
      </c>
      <c r="AJ142" s="76">
        <v>22</v>
      </c>
      <c r="AK142" s="76">
        <v>78</v>
      </c>
      <c r="AL142" s="76">
        <v>1158</v>
      </c>
      <c r="AM142" s="76">
        <v>432</v>
      </c>
      <c r="AN142" s="76"/>
      <c r="AO142" s="76"/>
      <c r="AP142" s="76"/>
      <c r="AQ142" s="76">
        <v>103</v>
      </c>
      <c r="AR142" s="76"/>
      <c r="AS142" s="76"/>
      <c r="AT142" s="76"/>
      <c r="AU142" s="76">
        <v>498</v>
      </c>
      <c r="AV142" s="76"/>
      <c r="AW142" s="76"/>
      <c r="AX142" s="76"/>
      <c r="AY142" s="76"/>
      <c r="AZ142" s="76"/>
      <c r="BA142" s="76">
        <v>1083</v>
      </c>
      <c r="BB142" s="76"/>
      <c r="BC142" s="76"/>
      <c r="BD142" s="76"/>
      <c r="BE142" s="76">
        <v>9</v>
      </c>
      <c r="BF142" s="76"/>
      <c r="BG142" s="76"/>
      <c r="BH142" s="76"/>
      <c r="BI142" s="76"/>
      <c r="BJ142" s="76">
        <v>77</v>
      </c>
      <c r="BK142" s="76">
        <v>39</v>
      </c>
      <c r="BL142" s="76"/>
      <c r="BM142" s="76">
        <v>8</v>
      </c>
      <c r="BN142" s="76">
        <v>1</v>
      </c>
      <c r="BO142" s="76">
        <v>28</v>
      </c>
      <c r="BP142" s="76">
        <v>380</v>
      </c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76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76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68"/>
      <c r="DR142" s="76"/>
      <c r="DS142" s="76"/>
      <c r="DT142" s="76"/>
      <c r="DU142" s="76"/>
      <c r="DV142" s="76"/>
      <c r="DW142" s="76"/>
      <c r="DX142" s="76"/>
      <c r="DY142" s="76"/>
      <c r="DZ142" s="76"/>
      <c r="EA142" s="76"/>
      <c r="EB142" s="76"/>
      <c r="EC142" s="76"/>
      <c r="ED142" s="76"/>
      <c r="EE142" s="76"/>
      <c r="EF142" s="76"/>
      <c r="EG142" s="76"/>
      <c r="EH142" s="76"/>
      <c r="EI142" s="76"/>
      <c r="EJ142" s="76"/>
      <c r="EK142" s="76"/>
      <c r="EL142" s="76"/>
      <c r="EM142" s="76"/>
      <c r="EN142" s="76"/>
      <c r="EO142" s="76"/>
      <c r="EP142" s="76"/>
      <c r="EQ142" s="76"/>
      <c r="ER142" s="76"/>
      <c r="ES142" s="76"/>
      <c r="ET142" s="76"/>
      <c r="EU142" s="76"/>
      <c r="EV142" s="76"/>
      <c r="EW142" s="76"/>
      <c r="EX142" s="76"/>
      <c r="EY142" s="76"/>
      <c r="EZ142" s="76"/>
      <c r="FA142" s="76"/>
      <c r="FB142" s="76"/>
      <c r="FC142" s="76"/>
      <c r="FD142" s="76"/>
      <c r="FE142" s="76"/>
      <c r="FF142" s="76"/>
      <c r="FG142" s="76"/>
      <c r="FH142" s="76"/>
      <c r="FI142" s="76"/>
      <c r="FJ142" s="76"/>
      <c r="FK142" s="76"/>
      <c r="FL142" s="76"/>
      <c r="FM142" s="76"/>
      <c r="FN142" s="76"/>
      <c r="FO142" s="76"/>
      <c r="FP142" s="76"/>
      <c r="FQ142" s="76"/>
      <c r="FR142" s="76"/>
      <c r="FS142" s="76"/>
      <c r="FT142" s="76"/>
      <c r="FU142" s="76"/>
      <c r="FV142" s="76"/>
      <c r="FW142" s="76"/>
      <c r="FX142" s="76"/>
      <c r="FY142" s="76"/>
      <c r="FZ142" s="76"/>
      <c r="GA142" s="76"/>
      <c r="GB142" s="76"/>
      <c r="GC142" s="76"/>
      <c r="GD142" s="76"/>
      <c r="GE142" s="76"/>
      <c r="GF142" s="76"/>
      <c r="GG142" s="76"/>
      <c r="GH142" s="76"/>
      <c r="GI142" s="76"/>
      <c r="GJ142" s="76"/>
      <c r="GK142" s="76"/>
      <c r="GL142" s="76"/>
      <c r="GM142" s="76"/>
      <c r="GN142" s="76"/>
      <c r="GO142" s="76"/>
      <c r="GP142" s="76"/>
      <c r="GQ142" s="76"/>
      <c r="GR142" s="76"/>
      <c r="GS142" s="76"/>
      <c r="GT142" s="76"/>
      <c r="GU142" s="76"/>
      <c r="GV142" s="76"/>
      <c r="GW142" s="76"/>
      <c r="GX142" s="76"/>
      <c r="GY142" s="76"/>
      <c r="GZ142" s="76"/>
      <c r="HA142" s="76"/>
      <c r="HB142" s="76"/>
      <c r="HC142" s="76"/>
      <c r="HD142" s="76"/>
      <c r="HE142" s="76">
        <v>511</v>
      </c>
      <c r="HF142" s="76"/>
      <c r="HG142" s="76"/>
      <c r="HH142" s="76"/>
      <c r="HI142" s="76"/>
      <c r="HJ142" s="76"/>
      <c r="HK142" s="76"/>
      <c r="HL142" s="76"/>
      <c r="HM142" s="76"/>
      <c r="HN142" s="76"/>
      <c r="HO142" s="76"/>
      <c r="HP142" s="76"/>
      <c r="HQ142" s="76"/>
      <c r="HR142" s="76"/>
      <c r="HS142" s="76">
        <v>300.38327810684211</v>
      </c>
      <c r="HT142" s="76">
        <v>38.616721893157859</v>
      </c>
      <c r="HU142" s="76">
        <v>585</v>
      </c>
      <c r="HV142" s="76">
        <v>32079</v>
      </c>
    </row>
    <row r="143" spans="1:230" x14ac:dyDescent="0.2">
      <c r="A143" s="74" t="s">
        <v>241</v>
      </c>
      <c r="B143" s="76">
        <v>1</v>
      </c>
      <c r="C143" s="76"/>
      <c r="D143" s="76"/>
      <c r="E143" s="76"/>
      <c r="F143" s="76">
        <v>202</v>
      </c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7"/>
      <c r="V143" s="76"/>
      <c r="W143" s="76"/>
      <c r="X143" s="76"/>
      <c r="Y143" s="76"/>
      <c r="Z143" s="76"/>
      <c r="AA143" s="76"/>
      <c r="AB143" s="76"/>
      <c r="AC143" s="76"/>
      <c r="AD143" s="76"/>
      <c r="AE143" s="76">
        <v>4907</v>
      </c>
      <c r="AF143" s="76"/>
      <c r="AG143" s="76">
        <v>34</v>
      </c>
      <c r="AH143" s="76"/>
      <c r="AI143" s="76">
        <v>3</v>
      </c>
      <c r="AJ143" s="76">
        <v>66</v>
      </c>
      <c r="AK143" s="76"/>
      <c r="AL143" s="76">
        <v>264</v>
      </c>
      <c r="AM143" s="76">
        <v>52</v>
      </c>
      <c r="AN143" s="76">
        <v>23</v>
      </c>
      <c r="AO143" s="76"/>
      <c r="AP143" s="76">
        <v>5</v>
      </c>
      <c r="AQ143" s="76">
        <v>235</v>
      </c>
      <c r="AR143" s="76"/>
      <c r="AS143" s="76"/>
      <c r="AT143" s="76"/>
      <c r="AU143" s="76">
        <v>75</v>
      </c>
      <c r="AV143" s="76">
        <v>1</v>
      </c>
      <c r="AW143" s="76"/>
      <c r="AX143" s="76"/>
      <c r="AY143" s="76">
        <v>514</v>
      </c>
      <c r="AZ143" s="76">
        <v>14</v>
      </c>
      <c r="BA143" s="76">
        <v>4350</v>
      </c>
      <c r="BB143" s="76">
        <v>622</v>
      </c>
      <c r="BC143" s="76">
        <v>1</v>
      </c>
      <c r="BD143" s="76">
        <v>725</v>
      </c>
      <c r="BE143" s="76">
        <v>656</v>
      </c>
      <c r="BF143" s="76">
        <v>283</v>
      </c>
      <c r="BG143" s="76">
        <v>94</v>
      </c>
      <c r="BH143" s="76">
        <v>906</v>
      </c>
      <c r="BI143" s="76">
        <v>62</v>
      </c>
      <c r="BJ143" s="76">
        <v>507</v>
      </c>
      <c r="BK143" s="76">
        <v>1462</v>
      </c>
      <c r="BL143" s="76">
        <v>317</v>
      </c>
      <c r="BM143" s="76">
        <v>209</v>
      </c>
      <c r="BN143" s="76">
        <v>225</v>
      </c>
      <c r="BO143" s="76">
        <v>10</v>
      </c>
      <c r="BP143" s="76">
        <v>944</v>
      </c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  <c r="CS143" s="76"/>
      <c r="CT143" s="76"/>
      <c r="CU143" s="76"/>
      <c r="CV143" s="76"/>
      <c r="CW143" s="76"/>
      <c r="CX143" s="76"/>
      <c r="CY143" s="76"/>
      <c r="CZ143" s="76"/>
      <c r="DA143" s="76"/>
      <c r="DB143" s="76"/>
      <c r="DC143" s="76"/>
      <c r="DD143" s="76"/>
      <c r="DE143" s="76"/>
      <c r="DF143" s="76"/>
      <c r="DG143" s="76"/>
      <c r="DH143" s="76"/>
      <c r="DI143" s="76"/>
      <c r="DJ143" s="76"/>
      <c r="DK143" s="76"/>
      <c r="DL143" s="76"/>
      <c r="DM143" s="76"/>
      <c r="DN143" s="76"/>
      <c r="DO143" s="76"/>
      <c r="DP143" s="76"/>
      <c r="DQ143" s="68"/>
      <c r="DR143" s="76"/>
      <c r="DS143" s="76"/>
      <c r="DT143" s="76"/>
      <c r="DU143" s="76"/>
      <c r="DV143" s="76"/>
      <c r="DW143" s="76"/>
      <c r="DX143" s="76"/>
      <c r="DY143" s="76"/>
      <c r="DZ143" s="76"/>
      <c r="EA143" s="76"/>
      <c r="EB143" s="76"/>
      <c r="EC143" s="76"/>
      <c r="ED143" s="76"/>
      <c r="EE143" s="76"/>
      <c r="EF143" s="76"/>
      <c r="EG143" s="76"/>
      <c r="EH143" s="76"/>
      <c r="EI143" s="76"/>
      <c r="EJ143" s="76"/>
      <c r="EK143" s="76"/>
      <c r="EL143" s="76"/>
      <c r="EM143" s="76"/>
      <c r="EN143" s="76"/>
      <c r="EO143" s="76"/>
      <c r="EP143" s="76"/>
      <c r="EQ143" s="76"/>
      <c r="ER143" s="76"/>
      <c r="ES143" s="76"/>
      <c r="ET143" s="76"/>
      <c r="EU143" s="76"/>
      <c r="EV143" s="76"/>
      <c r="EW143" s="76"/>
      <c r="EX143" s="76"/>
      <c r="EY143" s="76"/>
      <c r="EZ143" s="76"/>
      <c r="FA143" s="76"/>
      <c r="FB143" s="76"/>
      <c r="FC143" s="76"/>
      <c r="FD143" s="76"/>
      <c r="FE143" s="76"/>
      <c r="FF143" s="76"/>
      <c r="FG143" s="76"/>
      <c r="FH143" s="76"/>
      <c r="FI143" s="76"/>
      <c r="FJ143" s="76"/>
      <c r="FK143" s="76"/>
      <c r="FL143" s="76"/>
      <c r="FM143" s="76"/>
      <c r="FN143" s="76"/>
      <c r="FO143" s="76"/>
      <c r="FP143" s="76"/>
      <c r="FQ143" s="76"/>
      <c r="FR143" s="76"/>
      <c r="FS143" s="76"/>
      <c r="FT143" s="76"/>
      <c r="FU143" s="76"/>
      <c r="FV143" s="76"/>
      <c r="FW143" s="76"/>
      <c r="FX143" s="76"/>
      <c r="FY143" s="76"/>
      <c r="FZ143" s="76"/>
      <c r="GA143" s="76"/>
      <c r="GB143" s="76"/>
      <c r="GC143" s="76"/>
      <c r="GD143" s="76"/>
      <c r="GE143" s="76"/>
      <c r="GF143" s="76"/>
      <c r="GG143" s="76"/>
      <c r="GH143" s="76"/>
      <c r="GI143" s="76"/>
      <c r="GJ143" s="76"/>
      <c r="GK143" s="76"/>
      <c r="GL143" s="76"/>
      <c r="GM143" s="76"/>
      <c r="GN143" s="76"/>
      <c r="GO143" s="76"/>
      <c r="GP143" s="76"/>
      <c r="GQ143" s="76"/>
      <c r="GR143" s="76"/>
      <c r="GS143" s="76"/>
      <c r="GT143" s="76"/>
      <c r="GU143" s="76"/>
      <c r="GV143" s="76"/>
      <c r="GW143" s="76"/>
      <c r="GX143" s="76"/>
      <c r="GY143" s="76"/>
      <c r="GZ143" s="76"/>
      <c r="HA143" s="76">
        <v>21145</v>
      </c>
      <c r="HB143" s="76"/>
      <c r="HC143" s="76"/>
      <c r="HD143" s="76"/>
      <c r="HE143" s="76">
        <v>578</v>
      </c>
      <c r="HF143" s="76"/>
      <c r="HG143" s="76"/>
      <c r="HH143" s="76"/>
      <c r="HI143" s="76"/>
      <c r="HJ143" s="76"/>
      <c r="HK143" s="76"/>
      <c r="HL143" s="76"/>
      <c r="HM143" s="76"/>
      <c r="HN143" s="76"/>
      <c r="HO143" s="76"/>
      <c r="HP143" s="76"/>
      <c r="HQ143" s="76"/>
      <c r="HR143" s="76"/>
      <c r="HS143" s="76">
        <v>13176.990350226695</v>
      </c>
      <c r="HT143" s="76">
        <v>1694.0096497733055</v>
      </c>
      <c r="HU143" s="76">
        <v>280</v>
      </c>
      <c r="HV143" s="76">
        <v>54643</v>
      </c>
    </row>
    <row r="144" spans="1:230" x14ac:dyDescent="0.2">
      <c r="A144" s="74" t="s">
        <v>242</v>
      </c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7"/>
      <c r="V144" s="76"/>
      <c r="W144" s="76"/>
      <c r="X144" s="76"/>
      <c r="Y144" s="76"/>
      <c r="Z144" s="76"/>
      <c r="AA144" s="76"/>
      <c r="AB144" s="76"/>
      <c r="AC144" s="76"/>
      <c r="AD144" s="76"/>
      <c r="AE144" s="76">
        <v>18383</v>
      </c>
      <c r="AF144" s="76">
        <v>13</v>
      </c>
      <c r="AG144" s="76"/>
      <c r="AH144" s="76">
        <v>256</v>
      </c>
      <c r="AI144" s="76"/>
      <c r="AJ144" s="76">
        <v>59</v>
      </c>
      <c r="AK144" s="76">
        <v>36</v>
      </c>
      <c r="AL144" s="76">
        <v>5</v>
      </c>
      <c r="AM144" s="76"/>
      <c r="AN144" s="76"/>
      <c r="AO144" s="76">
        <v>13</v>
      </c>
      <c r="AP144" s="76"/>
      <c r="AQ144" s="76">
        <v>33</v>
      </c>
      <c r="AR144" s="76">
        <v>2</v>
      </c>
      <c r="AS144" s="76"/>
      <c r="AT144" s="76">
        <v>15</v>
      </c>
      <c r="AU144" s="76">
        <v>50</v>
      </c>
      <c r="AV144" s="76"/>
      <c r="AW144" s="76"/>
      <c r="AX144" s="76"/>
      <c r="AY144" s="76">
        <v>161</v>
      </c>
      <c r="AZ144" s="76">
        <v>415</v>
      </c>
      <c r="BA144" s="76"/>
      <c r="BB144" s="76">
        <v>203</v>
      </c>
      <c r="BC144" s="76"/>
      <c r="BD144" s="76">
        <v>180</v>
      </c>
      <c r="BE144" s="76">
        <v>143</v>
      </c>
      <c r="BF144" s="76">
        <v>4</v>
      </c>
      <c r="BG144" s="76"/>
      <c r="BH144" s="76">
        <v>1931</v>
      </c>
      <c r="BI144" s="76">
        <v>270</v>
      </c>
      <c r="BJ144" s="76">
        <v>22</v>
      </c>
      <c r="BK144" s="76">
        <v>7</v>
      </c>
      <c r="BL144" s="76">
        <v>4</v>
      </c>
      <c r="BM144" s="76">
        <v>1</v>
      </c>
      <c r="BN144" s="76">
        <v>3</v>
      </c>
      <c r="BO144" s="76">
        <v>128</v>
      </c>
      <c r="BP144" s="76">
        <v>722</v>
      </c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  <c r="CS144" s="76"/>
      <c r="CT144" s="76"/>
      <c r="CU144" s="76"/>
      <c r="CV144" s="76"/>
      <c r="CW144" s="76"/>
      <c r="CX144" s="76"/>
      <c r="CY144" s="76"/>
      <c r="CZ144" s="76"/>
      <c r="DA144" s="76"/>
      <c r="DB144" s="76"/>
      <c r="DC144" s="76"/>
      <c r="DD144" s="76"/>
      <c r="DE144" s="76"/>
      <c r="DF144" s="76"/>
      <c r="DG144" s="76"/>
      <c r="DH144" s="76"/>
      <c r="DI144" s="76"/>
      <c r="DJ144" s="76"/>
      <c r="DK144" s="76"/>
      <c r="DL144" s="76"/>
      <c r="DM144" s="76"/>
      <c r="DN144" s="76"/>
      <c r="DO144" s="76"/>
      <c r="DP144" s="76"/>
      <c r="DQ144" s="68"/>
      <c r="DR144" s="76"/>
      <c r="DS144" s="76"/>
      <c r="DT144" s="76"/>
      <c r="DU144" s="76"/>
      <c r="DV144" s="76"/>
      <c r="DW144" s="76"/>
      <c r="DX144" s="76"/>
      <c r="DY144" s="76"/>
      <c r="DZ144" s="76"/>
      <c r="EA144" s="76"/>
      <c r="EB144" s="76"/>
      <c r="EC144" s="76"/>
      <c r="ED144" s="76"/>
      <c r="EE144" s="76"/>
      <c r="EF144" s="76"/>
      <c r="EG144" s="76"/>
      <c r="EH144" s="76"/>
      <c r="EI144" s="76"/>
      <c r="EJ144" s="76"/>
      <c r="EK144" s="76"/>
      <c r="EL144" s="76"/>
      <c r="EM144" s="76"/>
      <c r="EN144" s="76"/>
      <c r="EO144" s="76"/>
      <c r="EP144" s="76"/>
      <c r="EQ144" s="76"/>
      <c r="ER144" s="76"/>
      <c r="ES144" s="76"/>
      <c r="ET144" s="76"/>
      <c r="EU144" s="76"/>
      <c r="EV144" s="76"/>
      <c r="EW144" s="76"/>
      <c r="EX144" s="76"/>
      <c r="EY144" s="76"/>
      <c r="EZ144" s="76"/>
      <c r="FA144" s="76"/>
      <c r="FB144" s="76"/>
      <c r="FC144" s="76"/>
      <c r="FD144" s="76"/>
      <c r="FE144" s="76"/>
      <c r="FF144" s="76"/>
      <c r="FG144" s="76"/>
      <c r="FH144" s="76"/>
      <c r="FI144" s="76"/>
      <c r="FJ144" s="76"/>
      <c r="FK144" s="76"/>
      <c r="FL144" s="76"/>
      <c r="FM144" s="76"/>
      <c r="FN144" s="76"/>
      <c r="FO144" s="76"/>
      <c r="FP144" s="76"/>
      <c r="FQ144" s="76"/>
      <c r="FR144" s="76"/>
      <c r="FS144" s="76"/>
      <c r="FT144" s="76"/>
      <c r="FU144" s="76"/>
      <c r="FV144" s="76"/>
      <c r="FW144" s="76"/>
      <c r="FX144" s="76"/>
      <c r="FY144" s="76"/>
      <c r="FZ144" s="76"/>
      <c r="GA144" s="76"/>
      <c r="GB144" s="76"/>
      <c r="GC144" s="76"/>
      <c r="GD144" s="76"/>
      <c r="GE144" s="76"/>
      <c r="GF144" s="76"/>
      <c r="GG144" s="76"/>
      <c r="GH144" s="76"/>
      <c r="GI144" s="76"/>
      <c r="GJ144" s="76"/>
      <c r="GK144" s="76"/>
      <c r="GL144" s="76"/>
      <c r="GM144" s="76"/>
      <c r="GN144" s="76"/>
      <c r="GO144" s="76"/>
      <c r="GP144" s="76"/>
      <c r="GQ144" s="76"/>
      <c r="GR144" s="76"/>
      <c r="GS144" s="76"/>
      <c r="GT144" s="76"/>
      <c r="GU144" s="76"/>
      <c r="GV144" s="76"/>
      <c r="GW144" s="76"/>
      <c r="GX144" s="76"/>
      <c r="GY144" s="76"/>
      <c r="GZ144" s="76"/>
      <c r="HA144" s="76">
        <v>57787</v>
      </c>
      <c r="HB144" s="76"/>
      <c r="HC144" s="76"/>
      <c r="HD144" s="76"/>
      <c r="HE144" s="76">
        <v>1058</v>
      </c>
      <c r="HF144" s="76"/>
      <c r="HG144" s="76"/>
      <c r="HH144" s="76"/>
      <c r="HI144" s="76"/>
      <c r="HJ144" s="76"/>
      <c r="HK144" s="76"/>
      <c r="HL144" s="76"/>
      <c r="HM144" s="76"/>
      <c r="HN144" s="76"/>
      <c r="HO144" s="76"/>
      <c r="HP144" s="76"/>
      <c r="HQ144" s="76"/>
      <c r="HR144" s="76"/>
      <c r="HS144" s="76">
        <v>30919.983744950609</v>
      </c>
      <c r="HT144" s="76">
        <v>3975.016255049391</v>
      </c>
      <c r="HU144" s="76">
        <v>2206</v>
      </c>
      <c r="HV144" s="76">
        <v>119005</v>
      </c>
    </row>
    <row r="145" spans="1:230" x14ac:dyDescent="0.2">
      <c r="A145" s="74" t="s">
        <v>243</v>
      </c>
      <c r="B145" s="76"/>
      <c r="C145" s="76"/>
      <c r="D145" s="76"/>
      <c r="E145" s="76"/>
      <c r="F145" s="76">
        <v>644</v>
      </c>
      <c r="G145" s="76"/>
      <c r="H145" s="76"/>
      <c r="I145" s="76">
        <v>43</v>
      </c>
      <c r="J145" s="76"/>
      <c r="K145" s="76"/>
      <c r="L145" s="76"/>
      <c r="M145" s="76"/>
      <c r="N145" s="76"/>
      <c r="O145" s="76"/>
      <c r="P145" s="76"/>
      <c r="Q145" s="76"/>
      <c r="R145" s="76"/>
      <c r="S145" s="76">
        <v>369</v>
      </c>
      <c r="T145" s="76"/>
      <c r="U145" s="77"/>
      <c r="V145" s="76"/>
      <c r="W145" s="76"/>
      <c r="X145" s="76"/>
      <c r="Y145" s="76"/>
      <c r="Z145" s="76"/>
      <c r="AA145" s="76"/>
      <c r="AB145" s="76"/>
      <c r="AC145" s="76"/>
      <c r="AD145" s="76"/>
      <c r="AE145" s="76">
        <v>3339</v>
      </c>
      <c r="AF145" s="76">
        <v>49</v>
      </c>
      <c r="AG145" s="76">
        <v>837</v>
      </c>
      <c r="AH145" s="76">
        <v>299</v>
      </c>
      <c r="AI145" s="76">
        <v>2</v>
      </c>
      <c r="AJ145" s="76">
        <v>70</v>
      </c>
      <c r="AK145" s="76">
        <v>69</v>
      </c>
      <c r="AL145" s="76">
        <v>547</v>
      </c>
      <c r="AM145" s="76">
        <v>11</v>
      </c>
      <c r="AN145" s="76">
        <v>5</v>
      </c>
      <c r="AO145" s="76">
        <v>880</v>
      </c>
      <c r="AP145" s="76"/>
      <c r="AQ145" s="76">
        <v>172</v>
      </c>
      <c r="AR145" s="76"/>
      <c r="AS145" s="76"/>
      <c r="AT145" s="76"/>
      <c r="AU145" s="76">
        <v>49</v>
      </c>
      <c r="AV145" s="76"/>
      <c r="AW145" s="76"/>
      <c r="AX145" s="76"/>
      <c r="AY145" s="76">
        <v>60</v>
      </c>
      <c r="AZ145" s="76"/>
      <c r="BA145" s="76">
        <v>59</v>
      </c>
      <c r="BB145" s="76"/>
      <c r="BC145" s="76"/>
      <c r="BD145" s="76"/>
      <c r="BE145" s="76">
        <v>1754</v>
      </c>
      <c r="BF145" s="76">
        <v>11</v>
      </c>
      <c r="BG145" s="76"/>
      <c r="BH145" s="76"/>
      <c r="BI145" s="76"/>
      <c r="BJ145" s="76">
        <v>93</v>
      </c>
      <c r="BK145" s="76">
        <v>186</v>
      </c>
      <c r="BL145" s="76"/>
      <c r="BM145" s="76">
        <v>574</v>
      </c>
      <c r="BN145" s="76">
        <v>344</v>
      </c>
      <c r="BO145" s="76"/>
      <c r="BP145" s="76">
        <v>52</v>
      </c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6"/>
      <c r="DL145" s="76"/>
      <c r="DM145" s="76"/>
      <c r="DN145" s="76"/>
      <c r="DO145" s="76"/>
      <c r="DP145" s="76"/>
      <c r="DQ145" s="68"/>
      <c r="DR145" s="76"/>
      <c r="DS145" s="76"/>
      <c r="DT145" s="76"/>
      <c r="DU145" s="76"/>
      <c r="DV145" s="76"/>
      <c r="DW145" s="76"/>
      <c r="DX145" s="76"/>
      <c r="DY145" s="76"/>
      <c r="DZ145" s="76"/>
      <c r="EA145" s="76"/>
      <c r="EB145" s="76"/>
      <c r="EC145" s="76"/>
      <c r="ED145" s="76"/>
      <c r="EE145" s="76"/>
      <c r="EF145" s="76"/>
      <c r="EG145" s="76"/>
      <c r="EH145" s="76"/>
      <c r="EI145" s="76"/>
      <c r="EJ145" s="76"/>
      <c r="EK145" s="76"/>
      <c r="EL145" s="76"/>
      <c r="EM145" s="76"/>
      <c r="EN145" s="76"/>
      <c r="EO145" s="76"/>
      <c r="EP145" s="76"/>
      <c r="EQ145" s="76"/>
      <c r="ER145" s="76"/>
      <c r="ES145" s="76"/>
      <c r="ET145" s="76"/>
      <c r="EU145" s="76"/>
      <c r="EV145" s="76"/>
      <c r="EW145" s="76"/>
      <c r="EX145" s="76"/>
      <c r="EY145" s="76"/>
      <c r="EZ145" s="76"/>
      <c r="FA145" s="76"/>
      <c r="FB145" s="76"/>
      <c r="FC145" s="76"/>
      <c r="FD145" s="76"/>
      <c r="FE145" s="76"/>
      <c r="FF145" s="76"/>
      <c r="FG145" s="76"/>
      <c r="FH145" s="76"/>
      <c r="FI145" s="76"/>
      <c r="FJ145" s="76"/>
      <c r="FK145" s="76"/>
      <c r="FL145" s="76"/>
      <c r="FM145" s="76"/>
      <c r="FN145" s="76"/>
      <c r="FO145" s="76"/>
      <c r="FP145" s="76"/>
      <c r="FQ145" s="76"/>
      <c r="FR145" s="76"/>
      <c r="FS145" s="76"/>
      <c r="FT145" s="76"/>
      <c r="FU145" s="76"/>
      <c r="FV145" s="76"/>
      <c r="FW145" s="76"/>
      <c r="FX145" s="76"/>
      <c r="FY145" s="76"/>
      <c r="FZ145" s="76"/>
      <c r="GA145" s="76"/>
      <c r="GB145" s="76"/>
      <c r="GC145" s="76"/>
      <c r="GD145" s="76"/>
      <c r="GE145" s="76"/>
      <c r="GF145" s="76"/>
      <c r="GG145" s="76"/>
      <c r="GH145" s="76"/>
      <c r="GI145" s="76"/>
      <c r="GJ145" s="76"/>
      <c r="GK145" s="76"/>
      <c r="GL145" s="76"/>
      <c r="GM145" s="76"/>
      <c r="GN145" s="76"/>
      <c r="GO145" s="76"/>
      <c r="GP145" s="76"/>
      <c r="GQ145" s="76"/>
      <c r="GR145" s="76"/>
      <c r="GS145" s="76"/>
      <c r="GT145" s="76"/>
      <c r="GU145" s="76"/>
      <c r="GV145" s="76"/>
      <c r="GW145" s="76"/>
      <c r="GX145" s="76"/>
      <c r="GY145" s="76"/>
      <c r="GZ145" s="76"/>
      <c r="HA145" s="76">
        <v>5284</v>
      </c>
      <c r="HB145" s="76"/>
      <c r="HC145" s="76"/>
      <c r="HD145" s="76"/>
      <c r="HE145" s="76">
        <v>1781</v>
      </c>
      <c r="HF145" s="76"/>
      <c r="HG145" s="76"/>
      <c r="HH145" s="76"/>
      <c r="HI145" s="76"/>
      <c r="HJ145" s="76"/>
      <c r="HK145" s="76"/>
      <c r="HL145" s="76"/>
      <c r="HM145" s="76"/>
      <c r="HN145" s="76"/>
      <c r="HO145" s="76"/>
      <c r="HP145" s="76"/>
      <c r="HQ145" s="76"/>
      <c r="HR145" s="76"/>
      <c r="HS145" s="76">
        <v>12661.28808515831</v>
      </c>
      <c r="HT145" s="76">
        <v>1627.7119148416893</v>
      </c>
      <c r="HU145" s="76">
        <v>-677</v>
      </c>
      <c r="HV145" s="76">
        <v>31195</v>
      </c>
    </row>
    <row r="146" spans="1:230" x14ac:dyDescent="0.2">
      <c r="A146" s="74" t="s">
        <v>244</v>
      </c>
      <c r="B146" s="76">
        <v>79</v>
      </c>
      <c r="C146" s="76">
        <v>168</v>
      </c>
      <c r="D146" s="76">
        <v>12</v>
      </c>
      <c r="E146" s="76">
        <v>38</v>
      </c>
      <c r="F146" s="76">
        <v>367</v>
      </c>
      <c r="G146" s="76">
        <v>40</v>
      </c>
      <c r="H146" s="76">
        <v>25</v>
      </c>
      <c r="I146" s="76">
        <v>77</v>
      </c>
      <c r="J146" s="76">
        <v>35</v>
      </c>
      <c r="K146" s="76">
        <v>115</v>
      </c>
      <c r="L146" s="76">
        <v>29</v>
      </c>
      <c r="M146" s="76">
        <v>3</v>
      </c>
      <c r="N146" s="76">
        <v>56</v>
      </c>
      <c r="O146" s="76">
        <v>7</v>
      </c>
      <c r="P146" s="76">
        <v>13</v>
      </c>
      <c r="Q146" s="76">
        <v>36</v>
      </c>
      <c r="R146" s="76">
        <v>87</v>
      </c>
      <c r="S146" s="76">
        <v>6</v>
      </c>
      <c r="T146" s="76">
        <v>7</v>
      </c>
      <c r="U146" s="77">
        <v>14</v>
      </c>
      <c r="V146" s="76">
        <v>165</v>
      </c>
      <c r="W146" s="76">
        <v>26</v>
      </c>
      <c r="X146" s="76">
        <v>11</v>
      </c>
      <c r="Y146" s="76">
        <v>12</v>
      </c>
      <c r="Z146" s="76">
        <v>111</v>
      </c>
      <c r="AA146" s="76">
        <v>192</v>
      </c>
      <c r="AB146" s="76">
        <v>34</v>
      </c>
      <c r="AC146" s="76">
        <v>125</v>
      </c>
      <c r="AD146" s="76">
        <v>52</v>
      </c>
      <c r="AE146" s="76">
        <v>2909</v>
      </c>
      <c r="AF146" s="76">
        <v>12030</v>
      </c>
      <c r="AG146" s="76">
        <v>3664</v>
      </c>
      <c r="AH146" s="76">
        <v>1732</v>
      </c>
      <c r="AI146" s="76">
        <v>1504</v>
      </c>
      <c r="AJ146" s="76">
        <v>538</v>
      </c>
      <c r="AK146" s="76">
        <v>391</v>
      </c>
      <c r="AL146" s="76">
        <v>4161</v>
      </c>
      <c r="AM146" s="76">
        <v>10190</v>
      </c>
      <c r="AN146" s="76">
        <v>311</v>
      </c>
      <c r="AO146" s="76">
        <v>13983</v>
      </c>
      <c r="AP146" s="76">
        <v>708</v>
      </c>
      <c r="AQ146" s="76">
        <v>1436</v>
      </c>
      <c r="AR146" s="76">
        <v>1988</v>
      </c>
      <c r="AS146" s="76">
        <v>29</v>
      </c>
      <c r="AT146" s="76">
        <v>1</v>
      </c>
      <c r="AU146" s="76">
        <v>121</v>
      </c>
      <c r="AV146" s="76">
        <v>47</v>
      </c>
      <c r="AW146" s="76">
        <v>32</v>
      </c>
      <c r="AX146" s="76">
        <v>7</v>
      </c>
      <c r="AY146" s="76">
        <v>81</v>
      </c>
      <c r="AZ146" s="76">
        <v>1027</v>
      </c>
      <c r="BA146" s="76">
        <v>22</v>
      </c>
      <c r="BB146" s="76">
        <v>80</v>
      </c>
      <c r="BC146" s="76">
        <v>734</v>
      </c>
      <c r="BD146" s="76">
        <v>1051</v>
      </c>
      <c r="BE146" s="76">
        <v>67</v>
      </c>
      <c r="BF146" s="76">
        <v>56</v>
      </c>
      <c r="BG146" s="76">
        <v>45</v>
      </c>
      <c r="BH146" s="76">
        <v>971</v>
      </c>
      <c r="BI146" s="76">
        <v>2</v>
      </c>
      <c r="BJ146" s="76">
        <v>143</v>
      </c>
      <c r="BK146" s="76">
        <v>97</v>
      </c>
      <c r="BL146" s="76"/>
      <c r="BM146" s="76">
        <v>14</v>
      </c>
      <c r="BN146" s="76">
        <v>4</v>
      </c>
      <c r="BO146" s="76">
        <v>99</v>
      </c>
      <c r="BP146" s="76">
        <v>656</v>
      </c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  <c r="CS146" s="76"/>
      <c r="CT146" s="76"/>
      <c r="CU146" s="76"/>
      <c r="CV146" s="76"/>
      <c r="CW146" s="76"/>
      <c r="CX146" s="76"/>
      <c r="CY146" s="76"/>
      <c r="CZ146" s="76"/>
      <c r="DA146" s="76"/>
      <c r="DB146" s="76"/>
      <c r="DC146" s="76"/>
      <c r="DD146" s="76"/>
      <c r="DE146" s="76"/>
      <c r="DF146" s="76"/>
      <c r="DG146" s="76"/>
      <c r="DH146" s="76"/>
      <c r="DI146" s="76"/>
      <c r="DJ146" s="76"/>
      <c r="DK146" s="76"/>
      <c r="DL146" s="76"/>
      <c r="DM146" s="76"/>
      <c r="DN146" s="76"/>
      <c r="DO146" s="76"/>
      <c r="DP146" s="76"/>
      <c r="DQ146" s="68"/>
      <c r="DR146" s="76"/>
      <c r="DS146" s="76"/>
      <c r="DT146" s="76"/>
      <c r="DU146" s="76"/>
      <c r="DV146" s="76"/>
      <c r="DW146" s="76"/>
      <c r="DX146" s="76"/>
      <c r="DY146" s="76"/>
      <c r="DZ146" s="76"/>
      <c r="EA146" s="76"/>
      <c r="EB146" s="76"/>
      <c r="EC146" s="76"/>
      <c r="ED146" s="76"/>
      <c r="EE146" s="76"/>
      <c r="EF146" s="76"/>
      <c r="EG146" s="76"/>
      <c r="EH146" s="76"/>
      <c r="EI146" s="76"/>
      <c r="EJ146" s="76"/>
      <c r="EK146" s="76"/>
      <c r="EL146" s="76"/>
      <c r="EM146" s="76"/>
      <c r="EN146" s="76"/>
      <c r="EO146" s="76"/>
      <c r="EP146" s="76"/>
      <c r="EQ146" s="76"/>
      <c r="ER146" s="76"/>
      <c r="ES146" s="76"/>
      <c r="ET146" s="76"/>
      <c r="EU146" s="76"/>
      <c r="EV146" s="76"/>
      <c r="EW146" s="76"/>
      <c r="EX146" s="76"/>
      <c r="EY146" s="76"/>
      <c r="EZ146" s="76"/>
      <c r="FA146" s="76"/>
      <c r="FB146" s="76"/>
      <c r="FC146" s="76"/>
      <c r="FD146" s="76"/>
      <c r="FE146" s="76"/>
      <c r="FF146" s="76"/>
      <c r="FG146" s="76"/>
      <c r="FH146" s="76"/>
      <c r="FI146" s="76"/>
      <c r="FJ146" s="76"/>
      <c r="FK146" s="76"/>
      <c r="FL146" s="76"/>
      <c r="FM146" s="76"/>
      <c r="FN146" s="76"/>
      <c r="FO146" s="76"/>
      <c r="FP146" s="76"/>
      <c r="FQ146" s="76"/>
      <c r="FR146" s="76"/>
      <c r="FS146" s="76"/>
      <c r="FT146" s="76"/>
      <c r="FU146" s="76"/>
      <c r="FV146" s="76"/>
      <c r="FW146" s="76"/>
      <c r="FX146" s="76"/>
      <c r="FY146" s="76"/>
      <c r="FZ146" s="76"/>
      <c r="GA146" s="76"/>
      <c r="GB146" s="76"/>
      <c r="GC146" s="76"/>
      <c r="GD146" s="76"/>
      <c r="GE146" s="76"/>
      <c r="GF146" s="76"/>
      <c r="GG146" s="76"/>
      <c r="GH146" s="76"/>
      <c r="GI146" s="76"/>
      <c r="GJ146" s="76"/>
      <c r="GK146" s="76"/>
      <c r="GL146" s="76"/>
      <c r="GM146" s="76"/>
      <c r="GN146" s="76"/>
      <c r="GO146" s="76"/>
      <c r="GP146" s="76"/>
      <c r="GQ146" s="76"/>
      <c r="GR146" s="76"/>
      <c r="GS146" s="76"/>
      <c r="GT146" s="76"/>
      <c r="GU146" s="76"/>
      <c r="GV146" s="76"/>
      <c r="GW146" s="76"/>
      <c r="GX146" s="76"/>
      <c r="GY146" s="76"/>
      <c r="GZ146" s="76"/>
      <c r="HA146" s="76">
        <v>3750</v>
      </c>
      <c r="HB146" s="76"/>
      <c r="HC146" s="76"/>
      <c r="HD146" s="76"/>
      <c r="HE146" s="76">
        <v>7597</v>
      </c>
      <c r="HF146" s="76"/>
      <c r="HG146" s="76"/>
      <c r="HH146" s="76"/>
      <c r="HI146" s="76"/>
      <c r="HJ146" s="76"/>
      <c r="HK146" s="76"/>
      <c r="HL146" s="76"/>
      <c r="HM146" s="76"/>
      <c r="HN146" s="76"/>
      <c r="HO146" s="76"/>
      <c r="HP146" s="76"/>
      <c r="HQ146" s="76"/>
      <c r="HR146" s="76"/>
      <c r="HS146" s="76">
        <v>19957.323223600015</v>
      </c>
      <c r="HT146" s="76">
        <v>2565.6767763999837</v>
      </c>
      <c r="HU146" s="76">
        <v>-2624</v>
      </c>
      <c r="HV146" s="76">
        <v>94119</v>
      </c>
    </row>
    <row r="147" spans="1:230" x14ac:dyDescent="0.2">
      <c r="A147" s="74" t="s">
        <v>237</v>
      </c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7"/>
      <c r="V147" s="76"/>
      <c r="W147" s="76"/>
      <c r="X147" s="76">
        <v>10</v>
      </c>
      <c r="Y147" s="76"/>
      <c r="Z147" s="76"/>
      <c r="AA147" s="76"/>
      <c r="AB147" s="76"/>
      <c r="AC147" s="76"/>
      <c r="AD147" s="76">
        <v>1</v>
      </c>
      <c r="AE147" s="76"/>
      <c r="AF147" s="76">
        <v>1611</v>
      </c>
      <c r="AG147" s="76">
        <v>15</v>
      </c>
      <c r="AH147" s="76">
        <v>26</v>
      </c>
      <c r="AI147" s="76"/>
      <c r="AJ147" s="76">
        <v>2</v>
      </c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>
        <v>3</v>
      </c>
      <c r="AW147" s="76"/>
      <c r="AX147" s="76"/>
      <c r="AY147" s="76"/>
      <c r="AZ147" s="76"/>
      <c r="BA147" s="76"/>
      <c r="BB147" s="76"/>
      <c r="BC147" s="76"/>
      <c r="BD147" s="76"/>
      <c r="BE147" s="76"/>
      <c r="BF147" s="76">
        <v>2</v>
      </c>
      <c r="BG147" s="76"/>
      <c r="BH147" s="76"/>
      <c r="BI147" s="76"/>
      <c r="BJ147" s="76"/>
      <c r="BK147" s="76"/>
      <c r="BL147" s="76"/>
      <c r="BM147" s="76"/>
      <c r="BN147" s="76"/>
      <c r="BO147" s="76"/>
      <c r="BP147" s="76">
        <v>883</v>
      </c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6"/>
      <c r="CT147" s="76"/>
      <c r="CU147" s="76"/>
      <c r="CV147" s="76"/>
      <c r="CW147" s="76"/>
      <c r="CX147" s="76"/>
      <c r="CY147" s="76"/>
      <c r="CZ147" s="76"/>
      <c r="DA147" s="76"/>
      <c r="DB147" s="76"/>
      <c r="DC147" s="76"/>
      <c r="DD147" s="76"/>
      <c r="DE147" s="76"/>
      <c r="DF147" s="76"/>
      <c r="DG147" s="76"/>
      <c r="DH147" s="76"/>
      <c r="DI147" s="76"/>
      <c r="DJ147" s="76"/>
      <c r="DK147" s="76"/>
      <c r="DL147" s="76"/>
      <c r="DM147" s="76"/>
      <c r="DN147" s="76"/>
      <c r="DO147" s="76"/>
      <c r="DP147" s="76"/>
      <c r="DQ147" s="68"/>
      <c r="DR147" s="76"/>
      <c r="DS147" s="76"/>
      <c r="DT147" s="76"/>
      <c r="DU147" s="76"/>
      <c r="DV147" s="76"/>
      <c r="DW147" s="76"/>
      <c r="DX147" s="76"/>
      <c r="DY147" s="76"/>
      <c r="DZ147" s="76"/>
      <c r="EA147" s="76"/>
      <c r="EB147" s="76"/>
      <c r="EC147" s="76"/>
      <c r="ED147" s="76"/>
      <c r="EE147" s="76"/>
      <c r="EF147" s="76"/>
      <c r="EG147" s="76"/>
      <c r="EH147" s="76"/>
      <c r="EI147" s="76"/>
      <c r="EJ147" s="76"/>
      <c r="EK147" s="76"/>
      <c r="EL147" s="76"/>
      <c r="EM147" s="76"/>
      <c r="EN147" s="76"/>
      <c r="EO147" s="76"/>
      <c r="EP147" s="76"/>
      <c r="EQ147" s="76"/>
      <c r="ER147" s="76"/>
      <c r="ES147" s="76"/>
      <c r="ET147" s="76"/>
      <c r="EU147" s="76"/>
      <c r="EV147" s="76"/>
      <c r="EW147" s="76"/>
      <c r="EX147" s="76"/>
      <c r="EY147" s="76"/>
      <c r="EZ147" s="76"/>
      <c r="FA147" s="76"/>
      <c r="FB147" s="76"/>
      <c r="FC147" s="76"/>
      <c r="FD147" s="76"/>
      <c r="FE147" s="76"/>
      <c r="FF147" s="76"/>
      <c r="FG147" s="76"/>
      <c r="FH147" s="76"/>
      <c r="FI147" s="76"/>
      <c r="FJ147" s="76"/>
      <c r="FK147" s="76"/>
      <c r="FL147" s="76"/>
      <c r="FM147" s="76"/>
      <c r="FN147" s="76"/>
      <c r="FO147" s="76"/>
      <c r="FP147" s="76"/>
      <c r="FQ147" s="76"/>
      <c r="FR147" s="76"/>
      <c r="FS147" s="76"/>
      <c r="FT147" s="76"/>
      <c r="FU147" s="76"/>
      <c r="FV147" s="76"/>
      <c r="FW147" s="76"/>
      <c r="FX147" s="76"/>
      <c r="FY147" s="76"/>
      <c r="FZ147" s="76"/>
      <c r="GA147" s="76"/>
      <c r="GB147" s="76"/>
      <c r="GC147" s="76"/>
      <c r="GD147" s="76"/>
      <c r="GE147" s="76"/>
      <c r="GF147" s="76"/>
      <c r="GG147" s="76"/>
      <c r="GH147" s="76"/>
      <c r="GI147" s="76"/>
      <c r="GJ147" s="76"/>
      <c r="GK147" s="76"/>
      <c r="GL147" s="76"/>
      <c r="GM147" s="76"/>
      <c r="GN147" s="76"/>
      <c r="GO147" s="76"/>
      <c r="GP147" s="76"/>
      <c r="GQ147" s="76"/>
      <c r="GR147" s="76"/>
      <c r="GS147" s="76"/>
      <c r="GT147" s="76"/>
      <c r="GU147" s="76"/>
      <c r="GV147" s="76"/>
      <c r="GW147" s="76"/>
      <c r="GX147" s="76"/>
      <c r="GY147" s="76"/>
      <c r="GZ147" s="76"/>
      <c r="HA147" s="76">
        <v>42499</v>
      </c>
      <c r="HB147" s="76"/>
      <c r="HC147" s="76"/>
      <c r="HD147" s="76"/>
      <c r="HE147" s="76">
        <v>757</v>
      </c>
      <c r="HF147" s="76"/>
      <c r="HG147" s="76"/>
      <c r="HH147" s="76"/>
      <c r="HI147" s="76"/>
      <c r="HJ147" s="76"/>
      <c r="HK147" s="76"/>
      <c r="HL147" s="76"/>
      <c r="HM147" s="76"/>
      <c r="HN147" s="76"/>
      <c r="HO147" s="76"/>
      <c r="HP147" s="76"/>
      <c r="HQ147" s="76"/>
      <c r="HR147" s="76"/>
      <c r="HS147" s="76">
        <v>1633.9432590826457</v>
      </c>
      <c r="HT147" s="76">
        <v>210.05674091735426</v>
      </c>
      <c r="HU147" s="76">
        <v>1274</v>
      </c>
      <c r="HV147" s="76">
        <v>48927</v>
      </c>
    </row>
    <row r="148" spans="1:230" x14ac:dyDescent="0.2">
      <c r="A148" s="74" t="s">
        <v>245</v>
      </c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7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>
        <v>3569</v>
      </c>
      <c r="AH148" s="76"/>
      <c r="AI148" s="76"/>
      <c r="AJ148" s="76"/>
      <c r="AK148" s="76"/>
      <c r="AL148" s="76">
        <v>1580</v>
      </c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  <c r="CS148" s="76"/>
      <c r="CT148" s="76"/>
      <c r="CU148" s="76"/>
      <c r="CV148" s="76"/>
      <c r="CW148" s="76"/>
      <c r="CX148" s="76"/>
      <c r="CY148" s="76"/>
      <c r="CZ148" s="76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6"/>
      <c r="DL148" s="76"/>
      <c r="DM148" s="76"/>
      <c r="DN148" s="76"/>
      <c r="DO148" s="76"/>
      <c r="DP148" s="76"/>
      <c r="DQ148" s="68"/>
      <c r="DR148" s="76"/>
      <c r="DS148" s="76"/>
      <c r="DT148" s="76"/>
      <c r="DU148" s="76"/>
      <c r="DV148" s="76"/>
      <c r="DW148" s="76"/>
      <c r="DX148" s="76"/>
      <c r="DY148" s="76"/>
      <c r="DZ148" s="76"/>
      <c r="EA148" s="76"/>
      <c r="EB148" s="76"/>
      <c r="EC148" s="76"/>
      <c r="ED148" s="76"/>
      <c r="EE148" s="76"/>
      <c r="EF148" s="76"/>
      <c r="EG148" s="76"/>
      <c r="EH148" s="76"/>
      <c r="EI148" s="76"/>
      <c r="EJ148" s="76"/>
      <c r="EK148" s="76"/>
      <c r="EL148" s="76"/>
      <c r="EM148" s="76"/>
      <c r="EN148" s="76"/>
      <c r="EO148" s="76"/>
      <c r="EP148" s="76"/>
      <c r="EQ148" s="76"/>
      <c r="ER148" s="76"/>
      <c r="ES148" s="76"/>
      <c r="ET148" s="76"/>
      <c r="EU148" s="76"/>
      <c r="EV148" s="76"/>
      <c r="EW148" s="76"/>
      <c r="EX148" s="76"/>
      <c r="EY148" s="76"/>
      <c r="EZ148" s="76"/>
      <c r="FA148" s="76"/>
      <c r="FB148" s="76"/>
      <c r="FC148" s="76"/>
      <c r="FD148" s="76"/>
      <c r="FE148" s="76"/>
      <c r="FF148" s="76"/>
      <c r="FG148" s="76"/>
      <c r="FH148" s="76"/>
      <c r="FI148" s="76"/>
      <c r="FJ148" s="76"/>
      <c r="FK148" s="76"/>
      <c r="FL148" s="76"/>
      <c r="FM148" s="76"/>
      <c r="FN148" s="76"/>
      <c r="FO148" s="76"/>
      <c r="FP148" s="76"/>
      <c r="FQ148" s="76"/>
      <c r="FR148" s="76"/>
      <c r="FS148" s="76"/>
      <c r="FT148" s="76"/>
      <c r="FU148" s="76"/>
      <c r="FV148" s="76"/>
      <c r="FW148" s="76"/>
      <c r="FX148" s="76"/>
      <c r="FY148" s="76"/>
      <c r="FZ148" s="76"/>
      <c r="GA148" s="76"/>
      <c r="GB148" s="76"/>
      <c r="GC148" s="76"/>
      <c r="GD148" s="76"/>
      <c r="GE148" s="76"/>
      <c r="GF148" s="76"/>
      <c r="GG148" s="76"/>
      <c r="GH148" s="76"/>
      <c r="GI148" s="76"/>
      <c r="GJ148" s="76"/>
      <c r="GK148" s="76"/>
      <c r="GL148" s="76"/>
      <c r="GM148" s="76"/>
      <c r="GN148" s="76"/>
      <c r="GO148" s="76"/>
      <c r="GP148" s="76"/>
      <c r="GQ148" s="76"/>
      <c r="GR148" s="76"/>
      <c r="GS148" s="76"/>
      <c r="GT148" s="76"/>
      <c r="GU148" s="76"/>
      <c r="GV148" s="76"/>
      <c r="GW148" s="76"/>
      <c r="GX148" s="76"/>
      <c r="GY148" s="76"/>
      <c r="GZ148" s="76"/>
      <c r="HA148" s="76">
        <v>325</v>
      </c>
      <c r="HB148" s="76"/>
      <c r="HC148" s="76"/>
      <c r="HD148" s="76"/>
      <c r="HE148" s="76">
        <v>3053</v>
      </c>
      <c r="HF148" s="76"/>
      <c r="HG148" s="76"/>
      <c r="HH148" s="76"/>
      <c r="HI148" s="76"/>
      <c r="HJ148" s="76"/>
      <c r="HK148" s="76"/>
      <c r="HL148" s="76"/>
      <c r="HM148" s="76"/>
      <c r="HN148" s="76"/>
      <c r="HO148" s="76"/>
      <c r="HP148" s="76"/>
      <c r="HQ148" s="76"/>
      <c r="HR148" s="76"/>
      <c r="HS148" s="76">
        <v>27238.294893818074</v>
      </c>
      <c r="HT148" s="76">
        <v>3501.7051061819252</v>
      </c>
      <c r="HU148" s="76">
        <v>-294</v>
      </c>
      <c r="HV148" s="76">
        <v>38973</v>
      </c>
    </row>
    <row r="149" spans="1:230" x14ac:dyDescent="0.2">
      <c r="A149" s="74" t="s">
        <v>246</v>
      </c>
      <c r="B149" s="76"/>
      <c r="C149" s="76"/>
      <c r="D149" s="76"/>
      <c r="E149" s="76">
        <v>112</v>
      </c>
      <c r="F149" s="76">
        <v>1413</v>
      </c>
      <c r="G149" s="76">
        <v>1331</v>
      </c>
      <c r="H149" s="76">
        <v>487</v>
      </c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7"/>
      <c r="V149" s="76"/>
      <c r="W149" s="76"/>
      <c r="X149" s="76"/>
      <c r="Y149" s="76"/>
      <c r="Z149" s="76"/>
      <c r="AA149" s="76"/>
      <c r="AB149" s="76"/>
      <c r="AC149" s="76">
        <v>8</v>
      </c>
      <c r="AD149" s="76"/>
      <c r="AE149" s="76"/>
      <c r="AF149" s="76"/>
      <c r="AG149" s="76">
        <v>2006</v>
      </c>
      <c r="AH149" s="76"/>
      <c r="AI149" s="76"/>
      <c r="AJ149" s="76"/>
      <c r="AK149" s="76"/>
      <c r="AL149" s="76">
        <v>1337</v>
      </c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>
        <v>5</v>
      </c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  <c r="CT149" s="76"/>
      <c r="CU149" s="76"/>
      <c r="CV149" s="76"/>
      <c r="CW149" s="76"/>
      <c r="CX149" s="76"/>
      <c r="CY149" s="76"/>
      <c r="CZ149" s="76"/>
      <c r="DA149" s="76"/>
      <c r="DB149" s="76"/>
      <c r="DC149" s="76"/>
      <c r="DD149" s="76"/>
      <c r="DE149" s="76"/>
      <c r="DF149" s="76"/>
      <c r="DG149" s="76"/>
      <c r="DH149" s="76"/>
      <c r="DI149" s="76"/>
      <c r="DJ149" s="76"/>
      <c r="DK149" s="76"/>
      <c r="DL149" s="76"/>
      <c r="DM149" s="76"/>
      <c r="DN149" s="76"/>
      <c r="DO149" s="76"/>
      <c r="DP149" s="76"/>
      <c r="DQ149" s="68"/>
      <c r="DR149" s="76"/>
      <c r="DS149" s="76"/>
      <c r="DT149" s="76"/>
      <c r="DU149" s="76"/>
      <c r="DV149" s="76"/>
      <c r="DW149" s="76"/>
      <c r="DX149" s="76"/>
      <c r="DY149" s="76"/>
      <c r="DZ149" s="76"/>
      <c r="EA149" s="76"/>
      <c r="EB149" s="76"/>
      <c r="EC149" s="76"/>
      <c r="ED149" s="76"/>
      <c r="EE149" s="76"/>
      <c r="EF149" s="76"/>
      <c r="EG149" s="76"/>
      <c r="EH149" s="76"/>
      <c r="EI149" s="76"/>
      <c r="EJ149" s="76"/>
      <c r="EK149" s="76"/>
      <c r="EL149" s="76"/>
      <c r="EM149" s="76"/>
      <c r="EN149" s="76"/>
      <c r="EO149" s="76"/>
      <c r="EP149" s="76"/>
      <c r="EQ149" s="76"/>
      <c r="ER149" s="76"/>
      <c r="ES149" s="76"/>
      <c r="ET149" s="76"/>
      <c r="EU149" s="76"/>
      <c r="EV149" s="76"/>
      <c r="EW149" s="76"/>
      <c r="EX149" s="76"/>
      <c r="EY149" s="76"/>
      <c r="EZ149" s="76"/>
      <c r="FA149" s="76"/>
      <c r="FB149" s="76"/>
      <c r="FC149" s="76"/>
      <c r="FD149" s="76"/>
      <c r="FE149" s="76"/>
      <c r="FF149" s="76"/>
      <c r="FG149" s="76"/>
      <c r="FH149" s="76"/>
      <c r="FI149" s="76"/>
      <c r="FJ149" s="76"/>
      <c r="FK149" s="76"/>
      <c r="FL149" s="76"/>
      <c r="FM149" s="76"/>
      <c r="FN149" s="76"/>
      <c r="FO149" s="76"/>
      <c r="FP149" s="76"/>
      <c r="FQ149" s="76"/>
      <c r="FR149" s="76"/>
      <c r="FS149" s="76"/>
      <c r="FT149" s="76"/>
      <c r="FU149" s="76"/>
      <c r="FV149" s="76"/>
      <c r="FW149" s="76"/>
      <c r="FX149" s="76"/>
      <c r="FY149" s="76"/>
      <c r="FZ149" s="76"/>
      <c r="GA149" s="76"/>
      <c r="GB149" s="76"/>
      <c r="GC149" s="76"/>
      <c r="GD149" s="76"/>
      <c r="GE149" s="76"/>
      <c r="GF149" s="76"/>
      <c r="GG149" s="76"/>
      <c r="GH149" s="76"/>
      <c r="GI149" s="76"/>
      <c r="GJ149" s="76"/>
      <c r="GK149" s="76"/>
      <c r="GL149" s="76"/>
      <c r="GM149" s="76"/>
      <c r="GN149" s="76"/>
      <c r="GO149" s="76"/>
      <c r="GP149" s="76"/>
      <c r="GQ149" s="76"/>
      <c r="GR149" s="76"/>
      <c r="GS149" s="76"/>
      <c r="GT149" s="76"/>
      <c r="GU149" s="76"/>
      <c r="GV149" s="76"/>
      <c r="GW149" s="76"/>
      <c r="GX149" s="76"/>
      <c r="GY149" s="76"/>
      <c r="GZ149" s="76"/>
      <c r="HA149" s="76"/>
      <c r="HB149" s="76"/>
      <c r="HC149" s="76"/>
      <c r="HD149" s="76"/>
      <c r="HE149" s="76">
        <v>9898</v>
      </c>
      <c r="HF149" s="76"/>
      <c r="HG149" s="76"/>
      <c r="HH149" s="76"/>
      <c r="HI149" s="76"/>
      <c r="HJ149" s="76"/>
      <c r="HK149" s="76"/>
      <c r="HL149" s="76"/>
      <c r="HM149" s="76"/>
      <c r="HN149" s="76"/>
      <c r="HO149" s="76"/>
      <c r="HP149" s="76"/>
      <c r="HQ149" s="76"/>
      <c r="HR149" s="76"/>
      <c r="HS149" s="76">
        <v>6331.9731721283006</v>
      </c>
      <c r="HT149" s="76">
        <v>814.02682787169931</v>
      </c>
      <c r="HU149" s="76">
        <v>-765</v>
      </c>
      <c r="HV149" s="76">
        <v>22978</v>
      </c>
    </row>
    <row r="150" spans="1:230" x14ac:dyDescent="0.2">
      <c r="A150" s="74" t="s">
        <v>247</v>
      </c>
      <c r="B150" s="76">
        <v>20</v>
      </c>
      <c r="C150" s="76">
        <v>49</v>
      </c>
      <c r="D150" s="76">
        <v>10</v>
      </c>
      <c r="E150" s="76">
        <v>58</v>
      </c>
      <c r="F150" s="76">
        <v>4092</v>
      </c>
      <c r="G150" s="76">
        <v>4244</v>
      </c>
      <c r="H150" s="76">
        <v>987</v>
      </c>
      <c r="I150" s="76"/>
      <c r="J150" s="76"/>
      <c r="K150" s="76"/>
      <c r="L150" s="76"/>
      <c r="M150" s="76"/>
      <c r="N150" s="76"/>
      <c r="O150" s="76"/>
      <c r="P150" s="76"/>
      <c r="Q150" s="76">
        <v>123</v>
      </c>
      <c r="R150" s="76"/>
      <c r="S150" s="76"/>
      <c r="T150" s="76"/>
      <c r="U150" s="77"/>
      <c r="V150" s="76"/>
      <c r="W150" s="76"/>
      <c r="X150" s="76"/>
      <c r="Y150" s="76"/>
      <c r="Z150" s="76">
        <v>102</v>
      </c>
      <c r="AA150" s="76">
        <v>2</v>
      </c>
      <c r="AB150" s="76"/>
      <c r="AC150" s="76">
        <v>26</v>
      </c>
      <c r="AD150" s="76">
        <v>65</v>
      </c>
      <c r="AE150" s="76">
        <v>77</v>
      </c>
      <c r="AF150" s="76">
        <v>775</v>
      </c>
      <c r="AG150" s="76">
        <v>21985</v>
      </c>
      <c r="AH150" s="76">
        <v>2172</v>
      </c>
      <c r="AI150" s="76">
        <v>34</v>
      </c>
      <c r="AJ150" s="76">
        <v>965</v>
      </c>
      <c r="AK150" s="76"/>
      <c r="AL150" s="76">
        <v>14656</v>
      </c>
      <c r="AM150" s="76">
        <v>38</v>
      </c>
      <c r="AN150" s="76">
        <v>124</v>
      </c>
      <c r="AO150" s="76">
        <v>5959</v>
      </c>
      <c r="AP150" s="76">
        <v>499</v>
      </c>
      <c r="AQ150" s="76">
        <v>719</v>
      </c>
      <c r="AR150" s="76">
        <v>46</v>
      </c>
      <c r="AS150" s="76">
        <v>246</v>
      </c>
      <c r="AT150" s="76"/>
      <c r="AU150" s="76">
        <v>322</v>
      </c>
      <c r="AV150" s="76">
        <v>9</v>
      </c>
      <c r="AW150" s="76"/>
      <c r="AX150" s="76"/>
      <c r="AY150" s="76"/>
      <c r="AZ150" s="76">
        <v>81</v>
      </c>
      <c r="BA150" s="76"/>
      <c r="BB150" s="76">
        <v>5</v>
      </c>
      <c r="BC150" s="76"/>
      <c r="BD150" s="76"/>
      <c r="BE150" s="76">
        <v>5</v>
      </c>
      <c r="BF150" s="76">
        <v>3</v>
      </c>
      <c r="BG150" s="76"/>
      <c r="BH150" s="76">
        <v>2573</v>
      </c>
      <c r="BI150" s="76"/>
      <c r="BJ150" s="76">
        <v>124</v>
      </c>
      <c r="BK150" s="76">
        <v>15</v>
      </c>
      <c r="BL150" s="76"/>
      <c r="BM150" s="76">
        <v>228</v>
      </c>
      <c r="BN150" s="76"/>
      <c r="BO150" s="76">
        <v>3</v>
      </c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  <c r="CT150" s="76"/>
      <c r="CU150" s="76"/>
      <c r="CV150" s="76"/>
      <c r="CW150" s="76"/>
      <c r="CX150" s="76"/>
      <c r="CY150" s="76"/>
      <c r="CZ150" s="76"/>
      <c r="DA150" s="76"/>
      <c r="DB150" s="76"/>
      <c r="DC150" s="76"/>
      <c r="DD150" s="76"/>
      <c r="DE150" s="76"/>
      <c r="DF150" s="76"/>
      <c r="DG150" s="76"/>
      <c r="DH150" s="76"/>
      <c r="DI150" s="76"/>
      <c r="DJ150" s="76"/>
      <c r="DK150" s="76"/>
      <c r="DL150" s="76"/>
      <c r="DM150" s="76"/>
      <c r="DN150" s="76"/>
      <c r="DO150" s="76"/>
      <c r="DP150" s="76"/>
      <c r="DQ150" s="68"/>
      <c r="DR150" s="76"/>
      <c r="DS150" s="76"/>
      <c r="DT150" s="76"/>
      <c r="DU150" s="76"/>
      <c r="DV150" s="76"/>
      <c r="DW150" s="76"/>
      <c r="DX150" s="76"/>
      <c r="DY150" s="76"/>
      <c r="DZ150" s="76"/>
      <c r="EA150" s="76"/>
      <c r="EB150" s="76"/>
      <c r="EC150" s="76"/>
      <c r="ED150" s="76"/>
      <c r="EE150" s="76"/>
      <c r="EF150" s="76"/>
      <c r="EG150" s="76"/>
      <c r="EH150" s="76"/>
      <c r="EI150" s="76"/>
      <c r="EJ150" s="76"/>
      <c r="EK150" s="76"/>
      <c r="EL150" s="76"/>
      <c r="EM150" s="76"/>
      <c r="EN150" s="76"/>
      <c r="EO150" s="76"/>
      <c r="EP150" s="76"/>
      <c r="EQ150" s="76"/>
      <c r="ER150" s="76"/>
      <c r="ES150" s="76"/>
      <c r="ET150" s="76"/>
      <c r="EU150" s="76"/>
      <c r="EV150" s="76"/>
      <c r="EW150" s="76"/>
      <c r="EX150" s="76"/>
      <c r="EY150" s="76"/>
      <c r="EZ150" s="76"/>
      <c r="FA150" s="76"/>
      <c r="FB150" s="76"/>
      <c r="FC150" s="76"/>
      <c r="FD150" s="76"/>
      <c r="FE150" s="76"/>
      <c r="FF150" s="76"/>
      <c r="FG150" s="76"/>
      <c r="FH150" s="76"/>
      <c r="FI150" s="76"/>
      <c r="FJ150" s="76"/>
      <c r="FK150" s="76"/>
      <c r="FL150" s="76"/>
      <c r="FM150" s="76"/>
      <c r="FN150" s="76"/>
      <c r="FO150" s="76"/>
      <c r="FP150" s="76"/>
      <c r="FQ150" s="76"/>
      <c r="FR150" s="76"/>
      <c r="FS150" s="76"/>
      <c r="FT150" s="76"/>
      <c r="FU150" s="76"/>
      <c r="FV150" s="76"/>
      <c r="FW150" s="76"/>
      <c r="FX150" s="76"/>
      <c r="FY150" s="76"/>
      <c r="FZ150" s="76"/>
      <c r="GA150" s="76"/>
      <c r="GB150" s="76"/>
      <c r="GC150" s="76"/>
      <c r="GD150" s="76"/>
      <c r="GE150" s="76"/>
      <c r="GF150" s="76"/>
      <c r="GG150" s="76"/>
      <c r="GH150" s="76"/>
      <c r="GI150" s="76"/>
      <c r="GJ150" s="76"/>
      <c r="GK150" s="76"/>
      <c r="GL150" s="76"/>
      <c r="GM150" s="76"/>
      <c r="GN150" s="76"/>
      <c r="GO150" s="76"/>
      <c r="GP150" s="76"/>
      <c r="GQ150" s="76"/>
      <c r="GR150" s="76"/>
      <c r="GS150" s="76"/>
      <c r="GT150" s="76"/>
      <c r="GU150" s="76"/>
      <c r="GV150" s="76"/>
      <c r="GW150" s="76"/>
      <c r="GX150" s="76"/>
      <c r="GY150" s="76"/>
      <c r="GZ150" s="76"/>
      <c r="HA150" s="76">
        <v>7230</v>
      </c>
      <c r="HB150" s="76"/>
      <c r="HC150" s="76"/>
      <c r="HD150" s="76"/>
      <c r="HE150" s="76">
        <v>15530</v>
      </c>
      <c r="HF150" s="76"/>
      <c r="HG150" s="76"/>
      <c r="HH150" s="76"/>
      <c r="HI150" s="76"/>
      <c r="HJ150" s="76"/>
      <c r="HK150" s="76"/>
      <c r="HL150" s="76"/>
      <c r="HM150" s="76"/>
      <c r="HN150" s="76"/>
      <c r="HO150" s="76"/>
      <c r="HP150" s="76"/>
      <c r="HQ150" s="76"/>
      <c r="HR150" s="76"/>
      <c r="HS150" s="76">
        <v>60260.961585516576</v>
      </c>
      <c r="HT150" s="76">
        <v>7747.0384144834215</v>
      </c>
      <c r="HU150" s="76">
        <v>-2972</v>
      </c>
      <c r="HV150" s="76">
        <v>149237</v>
      </c>
    </row>
    <row r="151" spans="1:230" x14ac:dyDescent="0.2">
      <c r="A151" s="74" t="s">
        <v>249</v>
      </c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7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>
        <v>2323</v>
      </c>
      <c r="AI151" s="76"/>
      <c r="AJ151" s="76"/>
      <c r="AK151" s="76"/>
      <c r="AL151" s="76"/>
      <c r="AM151" s="76"/>
      <c r="AN151" s="76"/>
      <c r="AO151" s="76"/>
      <c r="AP151" s="76">
        <v>172</v>
      </c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>
        <v>23</v>
      </c>
      <c r="BF151" s="76"/>
      <c r="BG151" s="76"/>
      <c r="BH151" s="76"/>
      <c r="BI151" s="76"/>
      <c r="BJ151" s="76">
        <v>23</v>
      </c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6"/>
      <c r="DL151" s="76"/>
      <c r="DM151" s="76"/>
      <c r="DN151" s="76"/>
      <c r="DO151" s="76"/>
      <c r="DP151" s="76"/>
      <c r="DQ151" s="68"/>
      <c r="DR151" s="76"/>
      <c r="DS151" s="76"/>
      <c r="DT151" s="76"/>
      <c r="DU151" s="76"/>
      <c r="DV151" s="76"/>
      <c r="DW151" s="76"/>
      <c r="DX151" s="76"/>
      <c r="DY151" s="76"/>
      <c r="DZ151" s="76"/>
      <c r="EA151" s="76"/>
      <c r="EB151" s="76"/>
      <c r="EC151" s="76"/>
      <c r="ED151" s="76"/>
      <c r="EE151" s="76"/>
      <c r="EF151" s="76"/>
      <c r="EG151" s="76"/>
      <c r="EH151" s="76"/>
      <c r="EI151" s="76"/>
      <c r="EJ151" s="76"/>
      <c r="EK151" s="76"/>
      <c r="EL151" s="76"/>
      <c r="EM151" s="76"/>
      <c r="EN151" s="76"/>
      <c r="EO151" s="76"/>
      <c r="EP151" s="76"/>
      <c r="EQ151" s="76"/>
      <c r="ER151" s="76"/>
      <c r="ES151" s="76"/>
      <c r="ET151" s="76"/>
      <c r="EU151" s="76"/>
      <c r="EV151" s="76"/>
      <c r="EW151" s="76"/>
      <c r="EX151" s="76"/>
      <c r="EY151" s="76"/>
      <c r="EZ151" s="76"/>
      <c r="FA151" s="76"/>
      <c r="FB151" s="76"/>
      <c r="FC151" s="76"/>
      <c r="FD151" s="76"/>
      <c r="FE151" s="76"/>
      <c r="FF151" s="76"/>
      <c r="FG151" s="76"/>
      <c r="FH151" s="76"/>
      <c r="FI151" s="76"/>
      <c r="FJ151" s="76"/>
      <c r="FK151" s="76"/>
      <c r="FL151" s="76"/>
      <c r="FM151" s="76"/>
      <c r="FN151" s="76"/>
      <c r="FO151" s="76"/>
      <c r="FP151" s="76"/>
      <c r="FQ151" s="76"/>
      <c r="FR151" s="76"/>
      <c r="FS151" s="76"/>
      <c r="FT151" s="76"/>
      <c r="FU151" s="76"/>
      <c r="FV151" s="76"/>
      <c r="FW151" s="76"/>
      <c r="FX151" s="76"/>
      <c r="FY151" s="76"/>
      <c r="FZ151" s="76"/>
      <c r="GA151" s="76"/>
      <c r="GB151" s="76"/>
      <c r="GC151" s="76"/>
      <c r="GD151" s="76"/>
      <c r="GE151" s="76"/>
      <c r="GF151" s="76"/>
      <c r="GG151" s="76"/>
      <c r="GH151" s="76"/>
      <c r="GI151" s="76"/>
      <c r="GJ151" s="76"/>
      <c r="GK151" s="76"/>
      <c r="GL151" s="76"/>
      <c r="GM151" s="76"/>
      <c r="GN151" s="76"/>
      <c r="GO151" s="76"/>
      <c r="GP151" s="76"/>
      <c r="GQ151" s="76"/>
      <c r="GR151" s="76"/>
      <c r="GS151" s="76"/>
      <c r="GT151" s="76"/>
      <c r="GU151" s="76"/>
      <c r="GV151" s="76"/>
      <c r="GW151" s="76"/>
      <c r="GX151" s="76"/>
      <c r="GY151" s="76"/>
      <c r="GZ151" s="76"/>
      <c r="HA151" s="76">
        <v>116252</v>
      </c>
      <c r="HB151" s="76"/>
      <c r="HC151" s="76"/>
      <c r="HD151" s="76">
        <v>15925</v>
      </c>
      <c r="HE151" s="76">
        <v>25397</v>
      </c>
      <c r="HF151" s="76"/>
      <c r="HG151" s="76"/>
      <c r="HH151" s="76"/>
      <c r="HI151" s="76"/>
      <c r="HJ151" s="76"/>
      <c r="HK151" s="76"/>
      <c r="HL151" s="76"/>
      <c r="HM151" s="76"/>
      <c r="HN151" s="76"/>
      <c r="HO151" s="76"/>
      <c r="HP151" s="76"/>
      <c r="HQ151" s="76"/>
      <c r="HR151" s="76"/>
      <c r="HS151" s="76">
        <v>53165.181965812772</v>
      </c>
      <c r="HT151" s="76">
        <v>6834.8180341872321</v>
      </c>
      <c r="HU151" s="76">
        <v>-1339</v>
      </c>
      <c r="HV151" s="76">
        <v>218776</v>
      </c>
    </row>
    <row r="152" spans="1:230" x14ac:dyDescent="0.2">
      <c r="A152" s="74" t="s">
        <v>250</v>
      </c>
      <c r="B152" s="76"/>
      <c r="C152" s="76"/>
      <c r="D152" s="76"/>
      <c r="E152" s="76"/>
      <c r="F152" s="76"/>
      <c r="G152" s="76"/>
      <c r="H152" s="76"/>
      <c r="I152" s="76"/>
      <c r="J152" s="76">
        <v>66</v>
      </c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7"/>
      <c r="V152" s="76"/>
      <c r="W152" s="76">
        <v>27</v>
      </c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>
        <v>4998</v>
      </c>
      <c r="AI152" s="76">
        <v>42</v>
      </c>
      <c r="AJ152" s="76"/>
      <c r="AK152" s="76"/>
      <c r="AL152" s="76"/>
      <c r="AM152" s="76"/>
      <c r="AN152" s="76"/>
      <c r="AO152" s="76"/>
      <c r="AP152" s="76">
        <v>244</v>
      </c>
      <c r="AQ152" s="76"/>
      <c r="AR152" s="76">
        <v>816</v>
      </c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6"/>
      <c r="CT152" s="76"/>
      <c r="CU152" s="76"/>
      <c r="CV152" s="76"/>
      <c r="CW152" s="76"/>
      <c r="CX152" s="76"/>
      <c r="CY152" s="76"/>
      <c r="CZ152" s="76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6"/>
      <c r="DL152" s="76"/>
      <c r="DM152" s="76"/>
      <c r="DN152" s="76"/>
      <c r="DO152" s="76"/>
      <c r="DP152" s="76"/>
      <c r="DQ152" s="68"/>
      <c r="DR152" s="76"/>
      <c r="DS152" s="76"/>
      <c r="DT152" s="76"/>
      <c r="DU152" s="76"/>
      <c r="DV152" s="76"/>
      <c r="DW152" s="76"/>
      <c r="DX152" s="76"/>
      <c r="DY152" s="76"/>
      <c r="DZ152" s="76"/>
      <c r="EA152" s="76"/>
      <c r="EB152" s="76"/>
      <c r="EC152" s="76"/>
      <c r="ED152" s="76"/>
      <c r="EE152" s="76"/>
      <c r="EF152" s="76"/>
      <c r="EG152" s="76"/>
      <c r="EH152" s="76"/>
      <c r="EI152" s="76"/>
      <c r="EJ152" s="76"/>
      <c r="EK152" s="76"/>
      <c r="EL152" s="76"/>
      <c r="EM152" s="76"/>
      <c r="EN152" s="76"/>
      <c r="EO152" s="76"/>
      <c r="EP152" s="76"/>
      <c r="EQ152" s="76"/>
      <c r="ER152" s="76"/>
      <c r="ES152" s="76"/>
      <c r="ET152" s="76"/>
      <c r="EU152" s="76"/>
      <c r="EV152" s="76"/>
      <c r="EW152" s="76"/>
      <c r="EX152" s="76"/>
      <c r="EY152" s="76"/>
      <c r="EZ152" s="76"/>
      <c r="FA152" s="76"/>
      <c r="FB152" s="76"/>
      <c r="FC152" s="76"/>
      <c r="FD152" s="76"/>
      <c r="FE152" s="76"/>
      <c r="FF152" s="76"/>
      <c r="FG152" s="76"/>
      <c r="FH152" s="76"/>
      <c r="FI152" s="76"/>
      <c r="FJ152" s="76"/>
      <c r="FK152" s="76"/>
      <c r="FL152" s="76"/>
      <c r="FM152" s="76"/>
      <c r="FN152" s="76"/>
      <c r="FO152" s="76"/>
      <c r="FP152" s="76"/>
      <c r="FQ152" s="76"/>
      <c r="FR152" s="76"/>
      <c r="FS152" s="76"/>
      <c r="FT152" s="76"/>
      <c r="FU152" s="76"/>
      <c r="FV152" s="76"/>
      <c r="FW152" s="76"/>
      <c r="FX152" s="76"/>
      <c r="FY152" s="76"/>
      <c r="FZ152" s="76"/>
      <c r="GA152" s="76"/>
      <c r="GB152" s="76"/>
      <c r="GC152" s="76"/>
      <c r="GD152" s="76"/>
      <c r="GE152" s="76"/>
      <c r="GF152" s="76"/>
      <c r="GG152" s="76"/>
      <c r="GH152" s="76"/>
      <c r="GI152" s="76"/>
      <c r="GJ152" s="76"/>
      <c r="GK152" s="76"/>
      <c r="GL152" s="76"/>
      <c r="GM152" s="76"/>
      <c r="GN152" s="76"/>
      <c r="GO152" s="76"/>
      <c r="GP152" s="76"/>
      <c r="GQ152" s="76"/>
      <c r="GR152" s="76"/>
      <c r="GS152" s="76"/>
      <c r="GT152" s="76"/>
      <c r="GU152" s="76"/>
      <c r="GV152" s="76"/>
      <c r="GW152" s="76"/>
      <c r="GX152" s="76"/>
      <c r="GY152" s="76"/>
      <c r="GZ152" s="76"/>
      <c r="HA152" s="76">
        <v>1950</v>
      </c>
      <c r="HB152" s="76"/>
      <c r="HC152" s="76"/>
      <c r="HD152" s="76"/>
      <c r="HE152" s="76">
        <v>13877</v>
      </c>
      <c r="HF152" s="76"/>
      <c r="HG152" s="76"/>
      <c r="HH152" s="76"/>
      <c r="HI152" s="76"/>
      <c r="HJ152" s="76"/>
      <c r="HK152" s="76"/>
      <c r="HL152" s="76"/>
      <c r="HM152" s="76"/>
      <c r="HN152" s="76"/>
      <c r="HO152" s="76"/>
      <c r="HP152" s="76"/>
      <c r="HQ152" s="76"/>
      <c r="HR152" s="76"/>
      <c r="HS152" s="76">
        <v>23079.891577725419</v>
      </c>
      <c r="HT152" s="76">
        <v>2967.1084222745803</v>
      </c>
      <c r="HU152" s="76">
        <v>-255</v>
      </c>
      <c r="HV152" s="76">
        <v>47811.999999999993</v>
      </c>
    </row>
    <row r="153" spans="1:230" x14ac:dyDescent="0.2">
      <c r="A153" s="74" t="s">
        <v>116</v>
      </c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7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>
        <v>66413</v>
      </c>
      <c r="AI153" s="76">
        <v>18324</v>
      </c>
      <c r="AJ153" s="76">
        <v>28</v>
      </c>
      <c r="AK153" s="76"/>
      <c r="AL153" s="76"/>
      <c r="AM153" s="76"/>
      <c r="AN153" s="76"/>
      <c r="AO153" s="76"/>
      <c r="AP153" s="76">
        <v>26928</v>
      </c>
      <c r="AQ153" s="76"/>
      <c r="AR153" s="76">
        <v>18878</v>
      </c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>
        <v>51</v>
      </c>
      <c r="BF153" s="76"/>
      <c r="BG153" s="76">
        <v>260</v>
      </c>
      <c r="BH153" s="76"/>
      <c r="BI153" s="76"/>
      <c r="BJ153" s="76">
        <v>1322</v>
      </c>
      <c r="BK153" s="76">
        <v>444</v>
      </c>
      <c r="BL153" s="76"/>
      <c r="BM153" s="76">
        <v>202</v>
      </c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6"/>
      <c r="CT153" s="76"/>
      <c r="CU153" s="76"/>
      <c r="CV153" s="76"/>
      <c r="CW153" s="76"/>
      <c r="CX153" s="76"/>
      <c r="CY153" s="76"/>
      <c r="CZ153" s="76"/>
      <c r="DA153" s="76"/>
      <c r="DB153" s="76"/>
      <c r="DC153" s="76"/>
      <c r="DD153" s="76"/>
      <c r="DE153" s="76"/>
      <c r="DF153" s="76"/>
      <c r="DG153" s="76"/>
      <c r="DH153" s="76"/>
      <c r="DI153" s="76"/>
      <c r="DJ153" s="76"/>
      <c r="DK153" s="76"/>
      <c r="DL153" s="76"/>
      <c r="DM153" s="76"/>
      <c r="DN153" s="76"/>
      <c r="DO153" s="76"/>
      <c r="DP153" s="76"/>
      <c r="DQ153" s="68"/>
      <c r="DR153" s="76"/>
      <c r="DS153" s="76"/>
      <c r="DT153" s="76"/>
      <c r="DU153" s="76"/>
      <c r="DV153" s="76"/>
      <c r="DW153" s="76"/>
      <c r="DX153" s="76"/>
      <c r="DY153" s="76"/>
      <c r="DZ153" s="76"/>
      <c r="EA153" s="76"/>
      <c r="EB153" s="76"/>
      <c r="EC153" s="76"/>
      <c r="ED153" s="76"/>
      <c r="EE153" s="76"/>
      <c r="EF153" s="76"/>
      <c r="EG153" s="76"/>
      <c r="EH153" s="76"/>
      <c r="EI153" s="76"/>
      <c r="EJ153" s="76"/>
      <c r="EK153" s="76"/>
      <c r="EL153" s="76"/>
      <c r="EM153" s="76"/>
      <c r="EN153" s="76"/>
      <c r="EO153" s="76"/>
      <c r="EP153" s="76"/>
      <c r="EQ153" s="76"/>
      <c r="ER153" s="76"/>
      <c r="ES153" s="76"/>
      <c r="ET153" s="76"/>
      <c r="EU153" s="76"/>
      <c r="EV153" s="76"/>
      <c r="EW153" s="76"/>
      <c r="EX153" s="76"/>
      <c r="EY153" s="76"/>
      <c r="EZ153" s="76"/>
      <c r="FA153" s="76"/>
      <c r="FB153" s="76"/>
      <c r="FC153" s="76"/>
      <c r="FD153" s="76"/>
      <c r="FE153" s="76"/>
      <c r="FF153" s="76"/>
      <c r="FG153" s="76"/>
      <c r="FH153" s="76"/>
      <c r="FI153" s="76"/>
      <c r="FJ153" s="76"/>
      <c r="FK153" s="76"/>
      <c r="FL153" s="76"/>
      <c r="FM153" s="76"/>
      <c r="FN153" s="76"/>
      <c r="FO153" s="76"/>
      <c r="FP153" s="76"/>
      <c r="FQ153" s="76"/>
      <c r="FR153" s="76"/>
      <c r="FS153" s="76"/>
      <c r="FT153" s="76"/>
      <c r="FU153" s="76"/>
      <c r="FV153" s="76"/>
      <c r="FW153" s="76"/>
      <c r="FX153" s="76"/>
      <c r="FY153" s="76"/>
      <c r="FZ153" s="76"/>
      <c r="GA153" s="76"/>
      <c r="GB153" s="76"/>
      <c r="GC153" s="76"/>
      <c r="GD153" s="76"/>
      <c r="GE153" s="76"/>
      <c r="GF153" s="76"/>
      <c r="GG153" s="76"/>
      <c r="GH153" s="76"/>
      <c r="GI153" s="76"/>
      <c r="GJ153" s="76"/>
      <c r="GK153" s="76"/>
      <c r="GL153" s="76"/>
      <c r="GM153" s="76"/>
      <c r="GN153" s="76"/>
      <c r="GO153" s="76"/>
      <c r="GP153" s="76"/>
      <c r="GQ153" s="76"/>
      <c r="GR153" s="76"/>
      <c r="GS153" s="76"/>
      <c r="GT153" s="76"/>
      <c r="GU153" s="76"/>
      <c r="GV153" s="76"/>
      <c r="GW153" s="76"/>
      <c r="GX153" s="76"/>
      <c r="GY153" s="76"/>
      <c r="GZ153" s="76"/>
      <c r="HA153" s="76"/>
      <c r="HB153" s="76"/>
      <c r="HC153" s="76"/>
      <c r="HD153" s="76"/>
      <c r="HE153" s="76">
        <v>15088</v>
      </c>
      <c r="HF153" s="76"/>
      <c r="HG153" s="76"/>
      <c r="HH153" s="76"/>
      <c r="HI153" s="76"/>
      <c r="HJ153" s="76"/>
      <c r="HK153" s="76"/>
      <c r="HL153" s="76"/>
      <c r="HM153" s="76"/>
      <c r="HN153" s="76"/>
      <c r="HO153" s="76"/>
      <c r="HP153" s="76"/>
      <c r="HQ153" s="76"/>
      <c r="HR153" s="76"/>
      <c r="HS153" s="76"/>
      <c r="HT153" s="76"/>
      <c r="HU153" s="76">
        <v>-195</v>
      </c>
      <c r="HV153" s="76">
        <v>147743</v>
      </c>
    </row>
    <row r="154" spans="1:230" x14ac:dyDescent="0.2">
      <c r="A154" s="74" t="s">
        <v>238</v>
      </c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7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>
        <v>13227</v>
      </c>
      <c r="AK154" s="76"/>
      <c r="AL154" s="76">
        <v>2678</v>
      </c>
      <c r="AM154" s="76"/>
      <c r="AN154" s="76"/>
      <c r="AO154" s="76"/>
      <c r="AP154" s="76">
        <v>197</v>
      </c>
      <c r="AQ154" s="76"/>
      <c r="AR154" s="76">
        <v>1255</v>
      </c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>
        <v>359</v>
      </c>
      <c r="BK154" s="76">
        <v>1</v>
      </c>
      <c r="BL154" s="76"/>
      <c r="BM154" s="76"/>
      <c r="BN154" s="76"/>
      <c r="BO154" s="76"/>
      <c r="BP154" s="76">
        <v>118</v>
      </c>
      <c r="BQ154" s="76"/>
      <c r="BR154" s="76"/>
      <c r="BS154" s="76"/>
      <c r="BT154" s="76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6"/>
      <c r="CI154" s="76"/>
      <c r="CJ154" s="76"/>
      <c r="CK154" s="76"/>
      <c r="CL154" s="76"/>
      <c r="CM154" s="76"/>
      <c r="CN154" s="76"/>
      <c r="CO154" s="76"/>
      <c r="CP154" s="76"/>
      <c r="CQ154" s="76"/>
      <c r="CR154" s="76"/>
      <c r="CS154" s="76"/>
      <c r="CT154" s="76"/>
      <c r="CU154" s="76"/>
      <c r="CV154" s="76"/>
      <c r="CW154" s="76"/>
      <c r="CX154" s="76"/>
      <c r="CY154" s="76"/>
      <c r="CZ154" s="76"/>
      <c r="DA154" s="76"/>
      <c r="DB154" s="76"/>
      <c r="DC154" s="76"/>
      <c r="DD154" s="76"/>
      <c r="DE154" s="76"/>
      <c r="DF154" s="76"/>
      <c r="DG154" s="76"/>
      <c r="DH154" s="76"/>
      <c r="DI154" s="76"/>
      <c r="DJ154" s="76"/>
      <c r="DK154" s="76"/>
      <c r="DL154" s="76"/>
      <c r="DM154" s="76"/>
      <c r="DN154" s="76"/>
      <c r="DO154" s="76"/>
      <c r="DP154" s="76"/>
      <c r="DQ154" s="68"/>
      <c r="DR154" s="76"/>
      <c r="DS154" s="76"/>
      <c r="DT154" s="76"/>
      <c r="DU154" s="76"/>
      <c r="DV154" s="76"/>
      <c r="DW154" s="76"/>
      <c r="DX154" s="76"/>
      <c r="DY154" s="76"/>
      <c r="DZ154" s="76"/>
      <c r="EA154" s="76"/>
      <c r="EB154" s="76"/>
      <c r="EC154" s="76"/>
      <c r="ED154" s="76"/>
      <c r="EE154" s="76"/>
      <c r="EF154" s="76"/>
      <c r="EG154" s="76"/>
      <c r="EH154" s="76"/>
      <c r="EI154" s="76"/>
      <c r="EJ154" s="76"/>
      <c r="EK154" s="76"/>
      <c r="EL154" s="76"/>
      <c r="EM154" s="76"/>
      <c r="EN154" s="76"/>
      <c r="EO154" s="76"/>
      <c r="EP154" s="76"/>
      <c r="EQ154" s="76"/>
      <c r="ER154" s="76"/>
      <c r="ES154" s="76"/>
      <c r="ET154" s="76"/>
      <c r="EU154" s="76"/>
      <c r="EV154" s="76"/>
      <c r="EW154" s="76"/>
      <c r="EX154" s="76"/>
      <c r="EY154" s="76"/>
      <c r="EZ154" s="76"/>
      <c r="FA154" s="76"/>
      <c r="FB154" s="76"/>
      <c r="FC154" s="76"/>
      <c r="FD154" s="76"/>
      <c r="FE154" s="76"/>
      <c r="FF154" s="76"/>
      <c r="FG154" s="76"/>
      <c r="FH154" s="76"/>
      <c r="FI154" s="76"/>
      <c r="FJ154" s="76"/>
      <c r="FK154" s="76"/>
      <c r="FL154" s="76"/>
      <c r="FM154" s="76"/>
      <c r="FN154" s="76"/>
      <c r="FO154" s="76"/>
      <c r="FP154" s="76"/>
      <c r="FQ154" s="76"/>
      <c r="FR154" s="76"/>
      <c r="FS154" s="76"/>
      <c r="FT154" s="76"/>
      <c r="FU154" s="76"/>
      <c r="FV154" s="76"/>
      <c r="FW154" s="76"/>
      <c r="FX154" s="76"/>
      <c r="FY154" s="76"/>
      <c r="FZ154" s="76"/>
      <c r="GA154" s="76"/>
      <c r="GB154" s="76"/>
      <c r="GC154" s="76"/>
      <c r="GD154" s="76"/>
      <c r="GE154" s="76"/>
      <c r="GF154" s="76"/>
      <c r="GG154" s="76"/>
      <c r="GH154" s="76"/>
      <c r="GI154" s="76"/>
      <c r="GJ154" s="76"/>
      <c r="GK154" s="76"/>
      <c r="GL154" s="76"/>
      <c r="GM154" s="76"/>
      <c r="GN154" s="76"/>
      <c r="GO154" s="76"/>
      <c r="GP154" s="76"/>
      <c r="GQ154" s="76"/>
      <c r="GR154" s="76"/>
      <c r="GS154" s="76"/>
      <c r="GT154" s="76"/>
      <c r="GU154" s="76"/>
      <c r="GV154" s="76"/>
      <c r="GW154" s="76"/>
      <c r="GX154" s="76"/>
      <c r="GY154" s="76"/>
      <c r="GZ154" s="76"/>
      <c r="HA154" s="76">
        <v>16938</v>
      </c>
      <c r="HB154" s="76"/>
      <c r="HC154" s="76"/>
      <c r="HD154" s="76"/>
      <c r="HE154" s="76">
        <v>27077</v>
      </c>
      <c r="HF154" s="76"/>
      <c r="HG154" s="76"/>
      <c r="HH154" s="76"/>
      <c r="HI154" s="76"/>
      <c r="HJ154" s="76"/>
      <c r="HK154" s="76"/>
      <c r="HL154" s="76"/>
      <c r="HM154" s="76"/>
      <c r="HN154" s="76"/>
      <c r="HO154" s="76"/>
      <c r="HP154" s="76"/>
      <c r="HQ154" s="76"/>
      <c r="HR154" s="76"/>
      <c r="HS154" s="76">
        <v>12629.388975978824</v>
      </c>
      <c r="HT154" s="76">
        <v>1623.6110240211769</v>
      </c>
      <c r="HU154" s="76">
        <v>-4602</v>
      </c>
      <c r="HV154" s="76">
        <v>71501</v>
      </c>
    </row>
    <row r="155" spans="1:230" x14ac:dyDescent="0.2">
      <c r="A155" s="74" t="s">
        <v>239</v>
      </c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7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>
        <v>683</v>
      </c>
      <c r="AJ155" s="76">
        <v>9</v>
      </c>
      <c r="AK155" s="76">
        <v>3122</v>
      </c>
      <c r="AL155" s="76"/>
      <c r="AM155" s="76"/>
      <c r="AN155" s="76"/>
      <c r="AO155" s="76">
        <v>1</v>
      </c>
      <c r="AP155" s="76">
        <v>14</v>
      </c>
      <c r="AQ155" s="76">
        <v>130</v>
      </c>
      <c r="AR155" s="76"/>
      <c r="AS155" s="76"/>
      <c r="AT155" s="76"/>
      <c r="AU155" s="76">
        <v>53</v>
      </c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>
        <v>151</v>
      </c>
      <c r="BK155" s="76">
        <v>125</v>
      </c>
      <c r="BL155" s="76"/>
      <c r="BM155" s="76">
        <v>74</v>
      </c>
      <c r="BN155" s="76">
        <v>40</v>
      </c>
      <c r="BO155" s="76">
        <v>8</v>
      </c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6"/>
      <c r="CI155" s="76"/>
      <c r="CJ155" s="76"/>
      <c r="CK155" s="76"/>
      <c r="CL155" s="76"/>
      <c r="CM155" s="76"/>
      <c r="CN155" s="76"/>
      <c r="CO155" s="76"/>
      <c r="CP155" s="76"/>
      <c r="CQ155" s="76"/>
      <c r="CR155" s="76"/>
      <c r="CS155" s="76"/>
      <c r="CT155" s="76"/>
      <c r="CU155" s="76"/>
      <c r="CV155" s="76"/>
      <c r="CW155" s="76"/>
      <c r="CX155" s="76"/>
      <c r="CY155" s="76"/>
      <c r="CZ155" s="76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6"/>
      <c r="DL155" s="76"/>
      <c r="DM155" s="76"/>
      <c r="DN155" s="76"/>
      <c r="DO155" s="76"/>
      <c r="DP155" s="76"/>
      <c r="DQ155" s="68"/>
      <c r="DR155" s="76"/>
      <c r="DS155" s="76"/>
      <c r="DT155" s="76"/>
      <c r="DU155" s="76"/>
      <c r="DV155" s="76"/>
      <c r="DW155" s="76"/>
      <c r="DX155" s="76"/>
      <c r="DY155" s="76"/>
      <c r="DZ155" s="76"/>
      <c r="EA155" s="76"/>
      <c r="EB155" s="76"/>
      <c r="EC155" s="76"/>
      <c r="ED155" s="76"/>
      <c r="EE155" s="76"/>
      <c r="EF155" s="76"/>
      <c r="EG155" s="76"/>
      <c r="EH155" s="76"/>
      <c r="EI155" s="76"/>
      <c r="EJ155" s="76"/>
      <c r="EK155" s="76"/>
      <c r="EL155" s="76"/>
      <c r="EM155" s="76"/>
      <c r="EN155" s="76"/>
      <c r="EO155" s="76"/>
      <c r="EP155" s="76"/>
      <c r="EQ155" s="76"/>
      <c r="ER155" s="76"/>
      <c r="ES155" s="76"/>
      <c r="ET155" s="76"/>
      <c r="EU155" s="76"/>
      <c r="EV155" s="76"/>
      <c r="EW155" s="76"/>
      <c r="EX155" s="76"/>
      <c r="EY155" s="76"/>
      <c r="EZ155" s="76"/>
      <c r="FA155" s="76"/>
      <c r="FB155" s="76"/>
      <c r="FC155" s="76"/>
      <c r="FD155" s="76"/>
      <c r="FE155" s="76"/>
      <c r="FF155" s="76"/>
      <c r="FG155" s="76"/>
      <c r="FH155" s="76"/>
      <c r="FI155" s="76"/>
      <c r="FJ155" s="76"/>
      <c r="FK155" s="76"/>
      <c r="FL155" s="76"/>
      <c r="FM155" s="76"/>
      <c r="FN155" s="76"/>
      <c r="FO155" s="76"/>
      <c r="FP155" s="76"/>
      <c r="FQ155" s="76"/>
      <c r="FR155" s="76"/>
      <c r="FS155" s="76"/>
      <c r="FT155" s="76"/>
      <c r="FU155" s="76"/>
      <c r="FV155" s="76"/>
      <c r="FW155" s="76"/>
      <c r="FX155" s="76"/>
      <c r="FY155" s="76"/>
      <c r="FZ155" s="76"/>
      <c r="GA155" s="76"/>
      <c r="GB155" s="76"/>
      <c r="GC155" s="76"/>
      <c r="GD155" s="76"/>
      <c r="GE155" s="76"/>
      <c r="GF155" s="76"/>
      <c r="GG155" s="76"/>
      <c r="GH155" s="76"/>
      <c r="GI155" s="76"/>
      <c r="GJ155" s="76"/>
      <c r="GK155" s="76"/>
      <c r="GL155" s="76"/>
      <c r="GM155" s="76"/>
      <c r="GN155" s="76"/>
      <c r="GO155" s="76"/>
      <c r="GP155" s="76"/>
      <c r="GQ155" s="76"/>
      <c r="GR155" s="76"/>
      <c r="GS155" s="76"/>
      <c r="GT155" s="76"/>
      <c r="GU155" s="76"/>
      <c r="GV155" s="76"/>
      <c r="GW155" s="76"/>
      <c r="GX155" s="76"/>
      <c r="GY155" s="76"/>
      <c r="GZ155" s="76"/>
      <c r="HA155" s="76">
        <v>61795</v>
      </c>
      <c r="HB155" s="76"/>
      <c r="HC155" s="76"/>
      <c r="HD155" s="76"/>
      <c r="HE155" s="76">
        <v>2015</v>
      </c>
      <c r="HF155" s="76"/>
      <c r="HG155" s="76"/>
      <c r="HH155" s="76"/>
      <c r="HI155" s="76"/>
      <c r="HJ155" s="76"/>
      <c r="HK155" s="76"/>
      <c r="HL155" s="76"/>
      <c r="HM155" s="76"/>
      <c r="HN155" s="76"/>
      <c r="HO155" s="76"/>
      <c r="HP155" s="76"/>
      <c r="HQ155" s="76"/>
      <c r="HR155" s="76"/>
      <c r="HS155" s="76">
        <v>12325.461352407594</v>
      </c>
      <c r="HT155" s="76">
        <v>1584.5386475924065</v>
      </c>
      <c r="HU155" s="76">
        <v>-405</v>
      </c>
      <c r="HV155" s="76">
        <v>81725</v>
      </c>
    </row>
    <row r="156" spans="1:230" x14ac:dyDescent="0.2">
      <c r="A156" s="74" t="s">
        <v>47</v>
      </c>
      <c r="B156" s="76">
        <v>9</v>
      </c>
      <c r="C156" s="76">
        <v>3</v>
      </c>
      <c r="D156" s="76">
        <v>22</v>
      </c>
      <c r="E156" s="76"/>
      <c r="F156" s="76">
        <v>97</v>
      </c>
      <c r="G156" s="76">
        <v>54</v>
      </c>
      <c r="H156" s="76">
        <v>8</v>
      </c>
      <c r="I156" s="76">
        <v>17</v>
      </c>
      <c r="J156" s="76">
        <v>12</v>
      </c>
      <c r="K156" s="76">
        <v>32</v>
      </c>
      <c r="L156" s="76">
        <v>11</v>
      </c>
      <c r="M156" s="76"/>
      <c r="N156" s="76">
        <v>15</v>
      </c>
      <c r="O156" s="76">
        <v>2488</v>
      </c>
      <c r="P156" s="76">
        <v>487</v>
      </c>
      <c r="Q156" s="76">
        <v>13</v>
      </c>
      <c r="R156" s="76">
        <v>2</v>
      </c>
      <c r="S156" s="76"/>
      <c r="T156" s="76">
        <v>6</v>
      </c>
      <c r="U156" s="77">
        <v>2</v>
      </c>
      <c r="V156" s="76">
        <v>170</v>
      </c>
      <c r="W156" s="76">
        <v>70</v>
      </c>
      <c r="X156" s="76"/>
      <c r="Y156" s="76">
        <v>99</v>
      </c>
      <c r="Z156" s="76">
        <v>2</v>
      </c>
      <c r="AA156" s="76">
        <v>200</v>
      </c>
      <c r="AB156" s="76">
        <v>12</v>
      </c>
      <c r="AC156" s="76">
        <v>1</v>
      </c>
      <c r="AD156" s="76">
        <v>4</v>
      </c>
      <c r="AE156" s="76">
        <v>46</v>
      </c>
      <c r="AF156" s="76">
        <v>3</v>
      </c>
      <c r="AG156" s="76">
        <v>745</v>
      </c>
      <c r="AH156" s="76">
        <v>564</v>
      </c>
      <c r="AI156" s="76">
        <v>46</v>
      </c>
      <c r="AJ156" s="76">
        <v>18</v>
      </c>
      <c r="AK156" s="76">
        <v>1518</v>
      </c>
      <c r="AL156" s="76">
        <v>220</v>
      </c>
      <c r="AM156" s="76">
        <v>122</v>
      </c>
      <c r="AN156" s="76">
        <v>65</v>
      </c>
      <c r="AO156" s="76">
        <v>1228</v>
      </c>
      <c r="AP156" s="76">
        <v>33</v>
      </c>
      <c r="AQ156" s="76">
        <v>634</v>
      </c>
      <c r="AR156" s="76">
        <v>196</v>
      </c>
      <c r="AS156" s="76">
        <v>184</v>
      </c>
      <c r="AT156" s="76">
        <v>2</v>
      </c>
      <c r="AU156" s="76">
        <v>254</v>
      </c>
      <c r="AV156" s="76">
        <v>9</v>
      </c>
      <c r="AW156" s="76">
        <v>12</v>
      </c>
      <c r="AX156" s="76">
        <v>2</v>
      </c>
      <c r="AY156" s="76">
        <v>88</v>
      </c>
      <c r="AZ156" s="76">
        <v>3</v>
      </c>
      <c r="BA156" s="76">
        <v>147</v>
      </c>
      <c r="BB156" s="76">
        <v>367</v>
      </c>
      <c r="BC156" s="76">
        <v>278</v>
      </c>
      <c r="BD156" s="76">
        <v>488</v>
      </c>
      <c r="BE156" s="76">
        <v>620</v>
      </c>
      <c r="BF156" s="76">
        <v>522</v>
      </c>
      <c r="BG156" s="76">
        <v>883</v>
      </c>
      <c r="BH156" s="76">
        <v>343</v>
      </c>
      <c r="BI156" s="76">
        <v>30</v>
      </c>
      <c r="BJ156" s="76">
        <v>1050</v>
      </c>
      <c r="BK156" s="76">
        <v>1644</v>
      </c>
      <c r="BL156" s="76">
        <v>58</v>
      </c>
      <c r="BM156" s="76">
        <v>4790</v>
      </c>
      <c r="BN156" s="76">
        <v>24013</v>
      </c>
      <c r="BO156" s="76">
        <v>313</v>
      </c>
      <c r="BP156" s="76">
        <v>176</v>
      </c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6"/>
      <c r="CK156" s="76"/>
      <c r="CL156" s="76"/>
      <c r="CM156" s="76"/>
      <c r="CN156" s="76"/>
      <c r="CO156" s="76"/>
      <c r="CP156" s="76"/>
      <c r="CQ156" s="76"/>
      <c r="CR156" s="76"/>
      <c r="CS156" s="76"/>
      <c r="CT156" s="76"/>
      <c r="CU156" s="76"/>
      <c r="CV156" s="76"/>
      <c r="CW156" s="76"/>
      <c r="CX156" s="76"/>
      <c r="CY156" s="76"/>
      <c r="CZ156" s="76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6"/>
      <c r="DL156" s="76"/>
      <c r="DM156" s="76"/>
      <c r="DN156" s="76"/>
      <c r="DO156" s="76"/>
      <c r="DP156" s="76"/>
      <c r="DQ156" s="68"/>
      <c r="DR156" s="76"/>
      <c r="DS156" s="76"/>
      <c r="DT156" s="76"/>
      <c r="DU156" s="76"/>
      <c r="DV156" s="76"/>
      <c r="DW156" s="76"/>
      <c r="DX156" s="76"/>
      <c r="DY156" s="76"/>
      <c r="DZ156" s="76"/>
      <c r="EA156" s="76"/>
      <c r="EB156" s="76"/>
      <c r="EC156" s="76"/>
      <c r="ED156" s="76"/>
      <c r="EE156" s="76"/>
      <c r="EF156" s="76"/>
      <c r="EG156" s="76"/>
      <c r="EH156" s="76"/>
      <c r="EI156" s="76"/>
      <c r="EJ156" s="76"/>
      <c r="EK156" s="76"/>
      <c r="EL156" s="76"/>
      <c r="EM156" s="76"/>
      <c r="EN156" s="76"/>
      <c r="EO156" s="76"/>
      <c r="EP156" s="76"/>
      <c r="EQ156" s="76"/>
      <c r="ER156" s="76"/>
      <c r="ES156" s="76"/>
      <c r="ET156" s="76"/>
      <c r="EU156" s="76"/>
      <c r="EV156" s="76"/>
      <c r="EW156" s="76"/>
      <c r="EX156" s="76"/>
      <c r="EY156" s="76"/>
      <c r="EZ156" s="76"/>
      <c r="FA156" s="76"/>
      <c r="FB156" s="76"/>
      <c r="FC156" s="76"/>
      <c r="FD156" s="76"/>
      <c r="FE156" s="76"/>
      <c r="FF156" s="76"/>
      <c r="FG156" s="76"/>
      <c r="FH156" s="76"/>
      <c r="FI156" s="76"/>
      <c r="FJ156" s="76"/>
      <c r="FK156" s="76"/>
      <c r="FL156" s="76"/>
      <c r="FM156" s="76"/>
      <c r="FN156" s="76"/>
      <c r="FO156" s="76"/>
      <c r="FP156" s="76"/>
      <c r="FQ156" s="76"/>
      <c r="FR156" s="76"/>
      <c r="FS156" s="76"/>
      <c r="FT156" s="76"/>
      <c r="FU156" s="76"/>
      <c r="FV156" s="76"/>
      <c r="FW156" s="76"/>
      <c r="FX156" s="76"/>
      <c r="FY156" s="76"/>
      <c r="FZ156" s="76"/>
      <c r="GA156" s="76"/>
      <c r="GB156" s="76"/>
      <c r="GC156" s="76"/>
      <c r="GD156" s="76"/>
      <c r="GE156" s="76"/>
      <c r="GF156" s="76"/>
      <c r="GG156" s="76"/>
      <c r="GH156" s="76"/>
      <c r="GI156" s="76"/>
      <c r="GJ156" s="76"/>
      <c r="GK156" s="76"/>
      <c r="GL156" s="76"/>
      <c r="GM156" s="76"/>
      <c r="GN156" s="76"/>
      <c r="GO156" s="76"/>
      <c r="GP156" s="76"/>
      <c r="GQ156" s="76"/>
      <c r="GR156" s="76"/>
      <c r="GS156" s="76"/>
      <c r="GT156" s="76"/>
      <c r="GU156" s="76"/>
      <c r="GV156" s="76"/>
      <c r="GW156" s="76"/>
      <c r="GX156" s="76"/>
      <c r="GY156" s="76"/>
      <c r="GZ156" s="76"/>
      <c r="HA156" s="76">
        <v>45651</v>
      </c>
      <c r="HB156" s="76"/>
      <c r="HC156" s="76"/>
      <c r="HD156" s="76"/>
      <c r="HE156" s="76">
        <v>2717</v>
      </c>
      <c r="HF156" s="76"/>
      <c r="HG156" s="76"/>
      <c r="HH156" s="76"/>
      <c r="HI156" s="76"/>
      <c r="HJ156" s="76"/>
      <c r="HK156" s="76"/>
      <c r="HL156" s="76"/>
      <c r="HM156" s="76"/>
      <c r="HN156" s="76"/>
      <c r="HO156" s="76"/>
      <c r="HP156" s="76"/>
      <c r="HQ156" s="76"/>
      <c r="HR156" s="76"/>
      <c r="HS156" s="76">
        <v>9270.2355621055522</v>
      </c>
      <c r="HT156" s="76">
        <v>1191.7644378944469</v>
      </c>
      <c r="HU156" s="76">
        <v>-420</v>
      </c>
      <c r="HV156" s="76">
        <v>103960</v>
      </c>
    </row>
    <row r="157" spans="1:230" x14ac:dyDescent="0.2">
      <c r="A157" s="74" t="s">
        <v>248</v>
      </c>
      <c r="B157" s="76">
        <v>97</v>
      </c>
      <c r="C157" s="76">
        <v>33</v>
      </c>
      <c r="D157" s="76">
        <v>105</v>
      </c>
      <c r="E157" s="76">
        <v>931</v>
      </c>
      <c r="F157" s="76">
        <v>4159</v>
      </c>
      <c r="G157" s="76">
        <v>1830</v>
      </c>
      <c r="H157" s="76">
        <v>1014</v>
      </c>
      <c r="I157" s="76">
        <v>1367</v>
      </c>
      <c r="J157" s="76">
        <v>764</v>
      </c>
      <c r="K157" s="76">
        <v>772</v>
      </c>
      <c r="L157" s="76">
        <v>515</v>
      </c>
      <c r="M157" s="76">
        <v>15</v>
      </c>
      <c r="N157" s="76">
        <v>192</v>
      </c>
      <c r="O157" s="76">
        <v>351</v>
      </c>
      <c r="P157" s="76">
        <v>233</v>
      </c>
      <c r="Q157" s="76">
        <v>722</v>
      </c>
      <c r="R157" s="76">
        <v>3417</v>
      </c>
      <c r="S157" s="76">
        <v>1436</v>
      </c>
      <c r="T157" s="76">
        <v>753</v>
      </c>
      <c r="U157" s="77">
        <v>993</v>
      </c>
      <c r="V157" s="76">
        <v>1548</v>
      </c>
      <c r="W157" s="76">
        <v>669</v>
      </c>
      <c r="X157" s="76">
        <v>206</v>
      </c>
      <c r="Y157" s="76">
        <v>743</v>
      </c>
      <c r="Z157" s="76">
        <v>660</v>
      </c>
      <c r="AA157" s="76">
        <v>2996</v>
      </c>
      <c r="AB157" s="76">
        <v>10319</v>
      </c>
      <c r="AC157" s="76">
        <v>2318</v>
      </c>
      <c r="AD157" s="76">
        <v>968</v>
      </c>
      <c r="AE157" s="76">
        <v>68</v>
      </c>
      <c r="AF157" s="76">
        <v>562</v>
      </c>
      <c r="AG157" s="76">
        <v>1642</v>
      </c>
      <c r="AH157" s="76">
        <v>222</v>
      </c>
      <c r="AI157" s="76">
        <v>874</v>
      </c>
      <c r="AJ157" s="76">
        <v>575</v>
      </c>
      <c r="AK157" s="76">
        <v>922</v>
      </c>
      <c r="AL157" s="76">
        <v>1217</v>
      </c>
      <c r="AM157" s="76">
        <v>2400</v>
      </c>
      <c r="AN157" s="76">
        <v>1474</v>
      </c>
      <c r="AO157" s="76">
        <v>2499</v>
      </c>
      <c r="AP157" s="76">
        <v>979</v>
      </c>
      <c r="AQ157" s="76">
        <v>5672</v>
      </c>
      <c r="AR157" s="76">
        <v>1644</v>
      </c>
      <c r="AS157" s="76">
        <v>2321</v>
      </c>
      <c r="AT157" s="76">
        <v>1028</v>
      </c>
      <c r="AU157" s="76">
        <v>4001</v>
      </c>
      <c r="AV157" s="76">
        <v>7</v>
      </c>
      <c r="AW157" s="76">
        <v>367</v>
      </c>
      <c r="AX157" s="76">
        <v>594</v>
      </c>
      <c r="AY157" s="76">
        <v>202</v>
      </c>
      <c r="AZ157" s="76">
        <v>531</v>
      </c>
      <c r="BA157" s="76">
        <v>1426</v>
      </c>
      <c r="BB157" s="76">
        <v>417</v>
      </c>
      <c r="BC157" s="76">
        <v>192</v>
      </c>
      <c r="BD157" s="76">
        <v>1147</v>
      </c>
      <c r="BE157" s="76">
        <v>231</v>
      </c>
      <c r="BF157" s="76">
        <v>184</v>
      </c>
      <c r="BG157" s="76">
        <v>1129</v>
      </c>
      <c r="BH157" s="76">
        <v>1108</v>
      </c>
      <c r="BI157" s="76">
        <v>301</v>
      </c>
      <c r="BJ157" s="76">
        <v>1283</v>
      </c>
      <c r="BK157" s="76">
        <v>191</v>
      </c>
      <c r="BL157" s="76"/>
      <c r="BM157" s="76">
        <v>1218</v>
      </c>
      <c r="BN157" s="76">
        <v>768</v>
      </c>
      <c r="BO157" s="76">
        <v>748</v>
      </c>
      <c r="BP157" s="76">
        <v>710</v>
      </c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6"/>
      <c r="CI157" s="76"/>
      <c r="CJ157" s="76"/>
      <c r="CK157" s="76"/>
      <c r="CL157" s="76"/>
      <c r="CM157" s="76"/>
      <c r="CN157" s="76"/>
      <c r="CO157" s="76"/>
      <c r="CP157" s="76"/>
      <c r="CQ157" s="76"/>
      <c r="CR157" s="76"/>
      <c r="CS157" s="76"/>
      <c r="CT157" s="76"/>
      <c r="CU157" s="76"/>
      <c r="CV157" s="76"/>
      <c r="CW157" s="76"/>
      <c r="CX157" s="76"/>
      <c r="CY157" s="76"/>
      <c r="CZ157" s="76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6"/>
      <c r="DL157" s="76"/>
      <c r="DM157" s="76"/>
      <c r="DN157" s="76"/>
      <c r="DO157" s="76"/>
      <c r="DP157" s="76"/>
      <c r="DQ157" s="68"/>
      <c r="DR157" s="76"/>
      <c r="DS157" s="76"/>
      <c r="DT157" s="76"/>
      <c r="DU157" s="76"/>
      <c r="DV157" s="76"/>
      <c r="DW157" s="76"/>
      <c r="DX157" s="76"/>
      <c r="DY157" s="76"/>
      <c r="DZ157" s="76"/>
      <c r="EA157" s="76"/>
      <c r="EB157" s="76"/>
      <c r="EC157" s="76"/>
      <c r="ED157" s="76"/>
      <c r="EE157" s="76"/>
      <c r="EF157" s="76"/>
      <c r="EG157" s="76"/>
      <c r="EH157" s="76"/>
      <c r="EI157" s="76"/>
      <c r="EJ157" s="76"/>
      <c r="EK157" s="76"/>
      <c r="EL157" s="76"/>
      <c r="EM157" s="76"/>
      <c r="EN157" s="76"/>
      <c r="EO157" s="76"/>
      <c r="EP157" s="76"/>
      <c r="EQ157" s="76"/>
      <c r="ER157" s="76"/>
      <c r="ES157" s="76"/>
      <c r="ET157" s="76"/>
      <c r="EU157" s="76"/>
      <c r="EV157" s="76"/>
      <c r="EW157" s="76"/>
      <c r="EX157" s="76"/>
      <c r="EY157" s="76"/>
      <c r="EZ157" s="76"/>
      <c r="FA157" s="76"/>
      <c r="FB157" s="76"/>
      <c r="FC157" s="76"/>
      <c r="FD157" s="76"/>
      <c r="FE157" s="76"/>
      <c r="FF157" s="76"/>
      <c r="FG157" s="76"/>
      <c r="FH157" s="76"/>
      <c r="FI157" s="76"/>
      <c r="FJ157" s="76"/>
      <c r="FK157" s="76"/>
      <c r="FL157" s="76"/>
      <c r="FM157" s="76"/>
      <c r="FN157" s="76"/>
      <c r="FO157" s="76"/>
      <c r="FP157" s="76"/>
      <c r="FQ157" s="76"/>
      <c r="FR157" s="76"/>
      <c r="FS157" s="76"/>
      <c r="FT157" s="76"/>
      <c r="FU157" s="76"/>
      <c r="FV157" s="76"/>
      <c r="FW157" s="76"/>
      <c r="FX157" s="76"/>
      <c r="FY157" s="76"/>
      <c r="FZ157" s="76"/>
      <c r="GA157" s="76"/>
      <c r="GB157" s="76"/>
      <c r="GC157" s="76"/>
      <c r="GD157" s="76"/>
      <c r="GE157" s="76"/>
      <c r="GF157" s="76"/>
      <c r="GG157" s="76"/>
      <c r="GH157" s="76"/>
      <c r="GI157" s="76"/>
      <c r="GJ157" s="76"/>
      <c r="GK157" s="76"/>
      <c r="GL157" s="76"/>
      <c r="GM157" s="76"/>
      <c r="GN157" s="76"/>
      <c r="GO157" s="76"/>
      <c r="GP157" s="76"/>
      <c r="GQ157" s="76"/>
      <c r="GR157" s="76"/>
      <c r="GS157" s="76"/>
      <c r="GT157" s="76"/>
      <c r="GU157" s="76"/>
      <c r="GV157" s="76"/>
      <c r="GW157" s="76"/>
      <c r="GX157" s="76"/>
      <c r="GY157" s="76"/>
      <c r="GZ157" s="76"/>
      <c r="HA157" s="76">
        <v>560</v>
      </c>
      <c r="HB157" s="76"/>
      <c r="HC157" s="76"/>
      <c r="HD157" s="76"/>
      <c r="HE157" s="76">
        <v>2447</v>
      </c>
      <c r="HF157" s="76"/>
      <c r="HG157" s="76"/>
      <c r="HH157" s="76"/>
      <c r="HI157" s="76"/>
      <c r="HJ157" s="76"/>
      <c r="HK157" s="76"/>
      <c r="HL157" s="76"/>
      <c r="HM157" s="76"/>
      <c r="HN157" s="76"/>
      <c r="HO157" s="76"/>
      <c r="HP157" s="76"/>
      <c r="HQ157" s="76"/>
      <c r="HR157" s="76"/>
      <c r="HS157" s="76">
        <v>11346.335917870541</v>
      </c>
      <c r="HT157" s="76">
        <v>1458.6640821294584</v>
      </c>
      <c r="HU157" s="76"/>
      <c r="HV157" s="76">
        <v>96792</v>
      </c>
    </row>
    <row r="158" spans="1:230" x14ac:dyDescent="0.2">
      <c r="A158" s="74" t="s">
        <v>251</v>
      </c>
      <c r="B158" s="76">
        <v>8222</v>
      </c>
      <c r="C158" s="76">
        <v>5220</v>
      </c>
      <c r="D158" s="76">
        <v>458</v>
      </c>
      <c r="E158" s="76">
        <v>809</v>
      </c>
      <c r="F158" s="76">
        <v>468</v>
      </c>
      <c r="G158" s="76">
        <v>1373</v>
      </c>
      <c r="H158" s="76">
        <v>570</v>
      </c>
      <c r="I158" s="76">
        <v>1899</v>
      </c>
      <c r="J158" s="76">
        <v>136</v>
      </c>
      <c r="K158" s="76">
        <v>3699</v>
      </c>
      <c r="L158" s="76">
        <v>756</v>
      </c>
      <c r="M158" s="76">
        <v>67</v>
      </c>
      <c r="N158" s="76">
        <v>1682</v>
      </c>
      <c r="O158" s="76">
        <v>256</v>
      </c>
      <c r="P158" s="76">
        <v>345</v>
      </c>
      <c r="Q158" s="76">
        <v>1026</v>
      </c>
      <c r="R158" s="76">
        <v>2328</v>
      </c>
      <c r="S158" s="76">
        <v>162</v>
      </c>
      <c r="T158" s="76">
        <v>47</v>
      </c>
      <c r="U158" s="77">
        <v>150</v>
      </c>
      <c r="V158" s="76">
        <v>5168</v>
      </c>
      <c r="W158" s="76">
        <v>733</v>
      </c>
      <c r="X158" s="76">
        <v>252</v>
      </c>
      <c r="Y158" s="76">
        <v>313</v>
      </c>
      <c r="Z158" s="76">
        <v>2680</v>
      </c>
      <c r="AA158" s="76">
        <v>4020</v>
      </c>
      <c r="AB158" s="76">
        <v>4696</v>
      </c>
      <c r="AC158" s="76">
        <v>3173</v>
      </c>
      <c r="AD158" s="76">
        <v>1529</v>
      </c>
      <c r="AE158" s="76">
        <v>193</v>
      </c>
      <c r="AF158" s="76">
        <v>733</v>
      </c>
      <c r="AG158" s="76">
        <v>746</v>
      </c>
      <c r="AH158" s="76">
        <v>645</v>
      </c>
      <c r="AI158" s="76">
        <v>1578</v>
      </c>
      <c r="AJ158" s="76">
        <v>310</v>
      </c>
      <c r="AK158" s="76">
        <v>465</v>
      </c>
      <c r="AL158" s="76">
        <v>341</v>
      </c>
      <c r="AM158" s="76">
        <v>111014</v>
      </c>
      <c r="AN158" s="76">
        <v>4772</v>
      </c>
      <c r="AO158" s="76">
        <v>694</v>
      </c>
      <c r="AP158" s="76">
        <v>1781</v>
      </c>
      <c r="AQ158" s="76">
        <v>23743</v>
      </c>
      <c r="AR158" s="76">
        <v>1759</v>
      </c>
      <c r="AS158" s="76">
        <v>79</v>
      </c>
      <c r="AT158" s="76">
        <v>50</v>
      </c>
      <c r="AU158" s="76">
        <v>1404</v>
      </c>
      <c r="AV158" s="76">
        <v>1677</v>
      </c>
      <c r="AW158" s="76">
        <v>2176</v>
      </c>
      <c r="AX158" s="76">
        <v>154</v>
      </c>
      <c r="AY158" s="76">
        <v>472</v>
      </c>
      <c r="AZ158" s="76">
        <v>2289</v>
      </c>
      <c r="BA158" s="76">
        <v>776</v>
      </c>
      <c r="BB158" s="76">
        <v>2768</v>
      </c>
      <c r="BC158" s="76">
        <v>820</v>
      </c>
      <c r="BD158" s="76">
        <v>1386</v>
      </c>
      <c r="BE158" s="76">
        <v>355</v>
      </c>
      <c r="BF158" s="76">
        <v>243</v>
      </c>
      <c r="BG158" s="76">
        <v>188</v>
      </c>
      <c r="BH158" s="76">
        <v>8771</v>
      </c>
      <c r="BI158" s="76">
        <v>129</v>
      </c>
      <c r="BJ158" s="76">
        <v>6366</v>
      </c>
      <c r="BK158" s="76">
        <v>2091</v>
      </c>
      <c r="BL158" s="76">
        <v>2742</v>
      </c>
      <c r="BM158" s="76">
        <v>1367</v>
      </c>
      <c r="BN158" s="76">
        <v>2129</v>
      </c>
      <c r="BO158" s="76">
        <v>1194</v>
      </c>
      <c r="BP158" s="76">
        <v>3238</v>
      </c>
      <c r="BQ158" s="76"/>
      <c r="BR158" s="76"/>
      <c r="BS158" s="76"/>
      <c r="BT158" s="76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6"/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6"/>
      <c r="CT158" s="76"/>
      <c r="CU158" s="76"/>
      <c r="CV158" s="76"/>
      <c r="CW158" s="76"/>
      <c r="CX158" s="76"/>
      <c r="CY158" s="76"/>
      <c r="CZ158" s="76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6"/>
      <c r="DL158" s="76"/>
      <c r="DM158" s="76"/>
      <c r="DN158" s="76"/>
      <c r="DO158" s="76"/>
      <c r="DP158" s="76"/>
      <c r="DQ158" s="68"/>
      <c r="DR158" s="76"/>
      <c r="DS158" s="76"/>
      <c r="DT158" s="76"/>
      <c r="DU158" s="76"/>
      <c r="DV158" s="76"/>
      <c r="DW158" s="76"/>
      <c r="DX158" s="76"/>
      <c r="DY158" s="76"/>
      <c r="DZ158" s="76"/>
      <c r="EA158" s="76"/>
      <c r="EB158" s="76"/>
      <c r="EC158" s="76"/>
      <c r="ED158" s="76"/>
      <c r="EE158" s="76"/>
      <c r="EF158" s="76"/>
      <c r="EG158" s="76"/>
      <c r="EH158" s="76"/>
      <c r="EI158" s="76"/>
      <c r="EJ158" s="76"/>
      <c r="EK158" s="76"/>
      <c r="EL158" s="76"/>
      <c r="EM158" s="76"/>
      <c r="EN158" s="76"/>
      <c r="EO158" s="76"/>
      <c r="EP158" s="76"/>
      <c r="EQ158" s="76"/>
      <c r="ER158" s="76"/>
      <c r="ES158" s="76"/>
      <c r="ET158" s="76"/>
      <c r="EU158" s="76"/>
      <c r="EV158" s="76"/>
      <c r="EW158" s="76"/>
      <c r="EX158" s="76"/>
      <c r="EY158" s="76"/>
      <c r="EZ158" s="76"/>
      <c r="FA158" s="76"/>
      <c r="FB158" s="76"/>
      <c r="FC158" s="76"/>
      <c r="FD158" s="76"/>
      <c r="FE158" s="76"/>
      <c r="FF158" s="76"/>
      <c r="FG158" s="76"/>
      <c r="FH158" s="76"/>
      <c r="FI158" s="76"/>
      <c r="FJ158" s="76"/>
      <c r="FK158" s="76"/>
      <c r="FL158" s="76"/>
      <c r="FM158" s="76"/>
      <c r="FN158" s="76"/>
      <c r="FO158" s="76"/>
      <c r="FP158" s="76"/>
      <c r="FQ158" s="76"/>
      <c r="FR158" s="76"/>
      <c r="FS158" s="76"/>
      <c r="FT158" s="76"/>
      <c r="FU158" s="76"/>
      <c r="FV158" s="76"/>
      <c r="FW158" s="76"/>
      <c r="FX158" s="76"/>
      <c r="FY158" s="76"/>
      <c r="FZ158" s="76"/>
      <c r="GA158" s="76"/>
      <c r="GB158" s="76"/>
      <c r="GC158" s="76"/>
      <c r="GD158" s="76"/>
      <c r="GE158" s="76"/>
      <c r="GF158" s="76"/>
      <c r="GG158" s="76"/>
      <c r="GH158" s="76"/>
      <c r="GI158" s="76"/>
      <c r="GJ158" s="76"/>
      <c r="GK158" s="76"/>
      <c r="GL158" s="76"/>
      <c r="GM158" s="76"/>
      <c r="GN158" s="76"/>
      <c r="GO158" s="76"/>
      <c r="GP158" s="76"/>
      <c r="GQ158" s="76"/>
      <c r="GR158" s="76"/>
      <c r="GS158" s="76"/>
      <c r="GT158" s="76"/>
      <c r="GU158" s="76"/>
      <c r="GV158" s="76"/>
      <c r="GW158" s="76"/>
      <c r="GX158" s="76"/>
      <c r="GY158" s="76"/>
      <c r="GZ158" s="76"/>
      <c r="HA158" s="76">
        <v>107050</v>
      </c>
      <c r="HB158" s="76"/>
      <c r="HC158" s="76"/>
      <c r="HD158" s="76"/>
      <c r="HE158" s="76">
        <v>38</v>
      </c>
      <c r="HF158" s="76"/>
      <c r="HG158" s="76"/>
      <c r="HH158" s="76"/>
      <c r="HI158" s="76"/>
      <c r="HJ158" s="76"/>
      <c r="HK158" s="76"/>
      <c r="HL158" s="76"/>
      <c r="HM158" s="76"/>
      <c r="HN158" s="76"/>
      <c r="HO158" s="76"/>
      <c r="HP158" s="76"/>
      <c r="HQ158" s="76"/>
      <c r="HR158" s="76"/>
      <c r="HS158" s="76"/>
      <c r="HT158" s="76"/>
      <c r="HU158" s="76"/>
      <c r="HV158" s="76">
        <v>350963</v>
      </c>
    </row>
    <row r="159" spans="1:230" x14ac:dyDescent="0.2">
      <c r="A159" s="74" t="s">
        <v>252</v>
      </c>
      <c r="B159" s="76">
        <v>5</v>
      </c>
      <c r="C159" s="76">
        <v>1</v>
      </c>
      <c r="D159" s="76">
        <v>1</v>
      </c>
      <c r="E159" s="76">
        <v>30</v>
      </c>
      <c r="F159" s="76">
        <v>76</v>
      </c>
      <c r="G159" s="76">
        <v>254</v>
      </c>
      <c r="H159" s="76">
        <v>73</v>
      </c>
      <c r="I159" s="76">
        <v>184</v>
      </c>
      <c r="J159" s="76">
        <v>76</v>
      </c>
      <c r="K159" s="76">
        <v>351</v>
      </c>
      <c r="L159" s="76">
        <v>590</v>
      </c>
      <c r="M159" s="76">
        <v>1</v>
      </c>
      <c r="N159" s="76">
        <v>71</v>
      </c>
      <c r="O159" s="76">
        <v>31</v>
      </c>
      <c r="P159" s="76">
        <v>27</v>
      </c>
      <c r="Q159" s="76">
        <v>259</v>
      </c>
      <c r="R159" s="76">
        <v>354</v>
      </c>
      <c r="S159" s="76">
        <v>7</v>
      </c>
      <c r="T159" s="76">
        <v>421</v>
      </c>
      <c r="U159" s="77">
        <v>32</v>
      </c>
      <c r="V159" s="76">
        <v>780</v>
      </c>
      <c r="W159" s="76">
        <v>450</v>
      </c>
      <c r="X159" s="76">
        <v>149</v>
      </c>
      <c r="Y159" s="76">
        <v>82</v>
      </c>
      <c r="Z159" s="76">
        <v>540</v>
      </c>
      <c r="AA159" s="76">
        <v>749</v>
      </c>
      <c r="AB159" s="76">
        <v>4935</v>
      </c>
      <c r="AC159" s="76">
        <v>2353</v>
      </c>
      <c r="AD159" s="76">
        <v>191</v>
      </c>
      <c r="AE159" s="76">
        <v>20</v>
      </c>
      <c r="AF159" s="76">
        <v>64</v>
      </c>
      <c r="AG159" s="76">
        <v>96</v>
      </c>
      <c r="AH159" s="76">
        <v>117</v>
      </c>
      <c r="AI159" s="76">
        <v>333</v>
      </c>
      <c r="AJ159" s="76">
        <v>108</v>
      </c>
      <c r="AK159" s="76">
        <v>87</v>
      </c>
      <c r="AL159" s="76">
        <v>32</v>
      </c>
      <c r="AM159" s="76">
        <v>82</v>
      </c>
      <c r="AN159" s="76">
        <v>1204</v>
      </c>
      <c r="AO159" s="76">
        <v>288</v>
      </c>
      <c r="AP159" s="76">
        <v>397</v>
      </c>
      <c r="AQ159" s="76">
        <v>4322</v>
      </c>
      <c r="AR159" s="76">
        <v>317</v>
      </c>
      <c r="AS159" s="76">
        <v>11</v>
      </c>
      <c r="AT159" s="76">
        <v>7</v>
      </c>
      <c r="AU159" s="76">
        <v>826</v>
      </c>
      <c r="AV159" s="76">
        <v>433</v>
      </c>
      <c r="AW159" s="76">
        <v>1328</v>
      </c>
      <c r="AX159" s="76">
        <v>29</v>
      </c>
      <c r="AY159" s="76">
        <v>60</v>
      </c>
      <c r="AZ159" s="76">
        <v>47</v>
      </c>
      <c r="BA159" s="76">
        <v>118</v>
      </c>
      <c r="BB159" s="76">
        <v>484</v>
      </c>
      <c r="BC159" s="76">
        <v>490</v>
      </c>
      <c r="BD159" s="76">
        <v>585</v>
      </c>
      <c r="BE159" s="76">
        <v>72</v>
      </c>
      <c r="BF159" s="76">
        <v>36</v>
      </c>
      <c r="BG159" s="76">
        <v>47</v>
      </c>
      <c r="BH159" s="76">
        <v>5962</v>
      </c>
      <c r="BI159" s="76">
        <v>34</v>
      </c>
      <c r="BJ159" s="76">
        <v>10869</v>
      </c>
      <c r="BK159" s="76">
        <v>1451</v>
      </c>
      <c r="BL159" s="76">
        <v>268</v>
      </c>
      <c r="BM159" s="76">
        <v>1559</v>
      </c>
      <c r="BN159" s="76">
        <v>2409</v>
      </c>
      <c r="BO159" s="76">
        <v>125</v>
      </c>
      <c r="BP159" s="76">
        <v>1999</v>
      </c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6"/>
      <c r="CT159" s="76"/>
      <c r="CU159" s="76"/>
      <c r="CV159" s="76"/>
      <c r="CW159" s="76"/>
      <c r="CX159" s="76"/>
      <c r="CY159" s="76"/>
      <c r="CZ159" s="76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6"/>
      <c r="DL159" s="76"/>
      <c r="DM159" s="76"/>
      <c r="DN159" s="76"/>
      <c r="DO159" s="76"/>
      <c r="DP159" s="76"/>
      <c r="DQ159" s="68"/>
      <c r="DR159" s="76"/>
      <c r="DS159" s="76"/>
      <c r="DT159" s="76"/>
      <c r="DU159" s="76"/>
      <c r="DV159" s="76"/>
      <c r="DW159" s="76"/>
      <c r="DX159" s="76"/>
      <c r="DY159" s="76"/>
      <c r="DZ159" s="76"/>
      <c r="EA159" s="76"/>
      <c r="EB159" s="76"/>
      <c r="EC159" s="76"/>
      <c r="ED159" s="76"/>
      <c r="EE159" s="76"/>
      <c r="EF159" s="76"/>
      <c r="EG159" s="76"/>
      <c r="EH159" s="76"/>
      <c r="EI159" s="76"/>
      <c r="EJ159" s="76"/>
      <c r="EK159" s="76"/>
      <c r="EL159" s="76"/>
      <c r="EM159" s="76"/>
      <c r="EN159" s="76"/>
      <c r="EO159" s="76"/>
      <c r="EP159" s="76"/>
      <c r="EQ159" s="76"/>
      <c r="ER159" s="76"/>
      <c r="ES159" s="76"/>
      <c r="ET159" s="76"/>
      <c r="EU159" s="76"/>
      <c r="EV159" s="76"/>
      <c r="EW159" s="76"/>
      <c r="EX159" s="76"/>
      <c r="EY159" s="76"/>
      <c r="EZ159" s="76"/>
      <c r="FA159" s="76"/>
      <c r="FB159" s="76"/>
      <c r="FC159" s="76"/>
      <c r="FD159" s="76"/>
      <c r="FE159" s="76"/>
      <c r="FF159" s="76"/>
      <c r="FG159" s="76"/>
      <c r="FH159" s="76"/>
      <c r="FI159" s="76"/>
      <c r="FJ159" s="76"/>
      <c r="FK159" s="76"/>
      <c r="FL159" s="76"/>
      <c r="FM159" s="76"/>
      <c r="FN159" s="76"/>
      <c r="FO159" s="76"/>
      <c r="FP159" s="76"/>
      <c r="FQ159" s="76"/>
      <c r="FR159" s="76"/>
      <c r="FS159" s="76"/>
      <c r="FT159" s="76"/>
      <c r="FU159" s="76"/>
      <c r="FV159" s="76"/>
      <c r="FW159" s="76"/>
      <c r="FX159" s="76"/>
      <c r="FY159" s="76"/>
      <c r="FZ159" s="76"/>
      <c r="GA159" s="76"/>
      <c r="GB159" s="76"/>
      <c r="GC159" s="76"/>
      <c r="GD159" s="76"/>
      <c r="GE159" s="76"/>
      <c r="GF159" s="76"/>
      <c r="GG159" s="76"/>
      <c r="GH159" s="76"/>
      <c r="GI159" s="76"/>
      <c r="GJ159" s="76"/>
      <c r="GK159" s="76"/>
      <c r="GL159" s="76"/>
      <c r="GM159" s="76"/>
      <c r="GN159" s="76"/>
      <c r="GO159" s="76"/>
      <c r="GP159" s="76"/>
      <c r="GQ159" s="76"/>
      <c r="GR159" s="76"/>
      <c r="GS159" s="76"/>
      <c r="GT159" s="76"/>
      <c r="GU159" s="76"/>
      <c r="GV159" s="76"/>
      <c r="GW159" s="76"/>
      <c r="GX159" s="76"/>
      <c r="GY159" s="76"/>
      <c r="GZ159" s="76"/>
      <c r="HA159" s="76">
        <v>36310</v>
      </c>
      <c r="HB159" s="76"/>
      <c r="HC159" s="76"/>
      <c r="HD159" s="76"/>
      <c r="HE159" s="76">
        <v>2</v>
      </c>
      <c r="HF159" s="76"/>
      <c r="HG159" s="76"/>
      <c r="HH159" s="76"/>
      <c r="HI159" s="76"/>
      <c r="HJ159" s="76"/>
      <c r="HK159" s="76"/>
      <c r="HL159" s="76"/>
      <c r="HM159" s="76"/>
      <c r="HN159" s="76"/>
      <c r="HO159" s="76"/>
      <c r="HP159" s="76"/>
      <c r="HQ159" s="76"/>
      <c r="HR159" s="76"/>
      <c r="HS159" s="76"/>
      <c r="HT159" s="76"/>
      <c r="HU159" s="76">
        <v>436</v>
      </c>
      <c r="HV159" s="76">
        <v>86537</v>
      </c>
    </row>
    <row r="160" spans="1:230" x14ac:dyDescent="0.2">
      <c r="A160" s="74" t="s">
        <v>253</v>
      </c>
      <c r="B160" s="76">
        <v>23</v>
      </c>
      <c r="C160" s="76">
        <v>41</v>
      </c>
      <c r="D160" s="76">
        <v>3</v>
      </c>
      <c r="E160" s="76">
        <v>1</v>
      </c>
      <c r="F160" s="76">
        <v>596</v>
      </c>
      <c r="G160" s="76">
        <v>291</v>
      </c>
      <c r="H160" s="76">
        <v>39</v>
      </c>
      <c r="I160" s="76"/>
      <c r="J160" s="76"/>
      <c r="K160" s="76">
        <v>5</v>
      </c>
      <c r="L160" s="76"/>
      <c r="M160" s="76"/>
      <c r="N160" s="76"/>
      <c r="O160" s="76"/>
      <c r="P160" s="76"/>
      <c r="Q160" s="76"/>
      <c r="R160" s="76">
        <v>11</v>
      </c>
      <c r="S160" s="76"/>
      <c r="T160" s="76"/>
      <c r="U160" s="77">
        <v>27</v>
      </c>
      <c r="V160" s="76">
        <v>75</v>
      </c>
      <c r="W160" s="76"/>
      <c r="X160" s="76"/>
      <c r="Y160" s="76"/>
      <c r="Z160" s="76"/>
      <c r="AA160" s="76">
        <v>3</v>
      </c>
      <c r="AB160" s="76">
        <v>19</v>
      </c>
      <c r="AC160" s="76">
        <v>12</v>
      </c>
      <c r="AD160" s="76">
        <v>36</v>
      </c>
      <c r="AE160" s="76">
        <v>73</v>
      </c>
      <c r="AF160" s="76">
        <v>3</v>
      </c>
      <c r="AG160" s="76">
        <v>43</v>
      </c>
      <c r="AH160" s="76">
        <v>258</v>
      </c>
      <c r="AI160" s="76">
        <v>18</v>
      </c>
      <c r="AJ160" s="76">
        <v>206</v>
      </c>
      <c r="AK160" s="76">
        <v>14</v>
      </c>
      <c r="AL160" s="76"/>
      <c r="AM160" s="76"/>
      <c r="AN160" s="76"/>
      <c r="AO160" s="76">
        <v>30731</v>
      </c>
      <c r="AP160" s="76">
        <v>484</v>
      </c>
      <c r="AQ160" s="76">
        <v>640</v>
      </c>
      <c r="AR160" s="76">
        <v>20</v>
      </c>
      <c r="AS160" s="76">
        <v>6</v>
      </c>
      <c r="AT160" s="76">
        <v>2</v>
      </c>
      <c r="AU160" s="76">
        <v>298</v>
      </c>
      <c r="AV160" s="76">
        <v>249</v>
      </c>
      <c r="AW160" s="76"/>
      <c r="AX160" s="76">
        <v>8</v>
      </c>
      <c r="AY160" s="76">
        <v>215</v>
      </c>
      <c r="AZ160" s="76">
        <v>2</v>
      </c>
      <c r="BA160" s="76">
        <v>828</v>
      </c>
      <c r="BB160" s="76">
        <v>300</v>
      </c>
      <c r="BC160" s="76">
        <v>565</v>
      </c>
      <c r="BD160" s="76">
        <v>58</v>
      </c>
      <c r="BE160" s="76">
        <v>135</v>
      </c>
      <c r="BF160" s="76"/>
      <c r="BG160" s="76">
        <v>166</v>
      </c>
      <c r="BH160" s="76">
        <v>2038</v>
      </c>
      <c r="BI160" s="76"/>
      <c r="BJ160" s="76">
        <v>3770</v>
      </c>
      <c r="BK160" s="76">
        <v>1035</v>
      </c>
      <c r="BL160" s="76">
        <v>412</v>
      </c>
      <c r="BM160" s="76">
        <v>1520</v>
      </c>
      <c r="BN160" s="76"/>
      <c r="BO160" s="76">
        <v>10</v>
      </c>
      <c r="BP160" s="76">
        <v>210</v>
      </c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76"/>
      <c r="CM160" s="76"/>
      <c r="CN160" s="76"/>
      <c r="CO160" s="76"/>
      <c r="CP160" s="76"/>
      <c r="CQ160" s="76"/>
      <c r="CR160" s="76"/>
      <c r="CS160" s="76"/>
      <c r="CT160" s="76"/>
      <c r="CU160" s="76"/>
      <c r="CV160" s="76"/>
      <c r="CW160" s="76"/>
      <c r="CX160" s="76"/>
      <c r="CY160" s="76"/>
      <c r="CZ160" s="76"/>
      <c r="DA160" s="76"/>
      <c r="DB160" s="76"/>
      <c r="DC160" s="76"/>
      <c r="DD160" s="76"/>
      <c r="DE160" s="76"/>
      <c r="DF160" s="76"/>
      <c r="DG160" s="76"/>
      <c r="DH160" s="76"/>
      <c r="DI160" s="76"/>
      <c r="DJ160" s="76"/>
      <c r="DK160" s="76"/>
      <c r="DL160" s="76"/>
      <c r="DM160" s="76"/>
      <c r="DN160" s="76"/>
      <c r="DO160" s="76"/>
      <c r="DP160" s="76"/>
      <c r="DQ160" s="68"/>
      <c r="DR160" s="76"/>
      <c r="DS160" s="76"/>
      <c r="DT160" s="76"/>
      <c r="DU160" s="76"/>
      <c r="DV160" s="76"/>
      <c r="DW160" s="76"/>
      <c r="DX160" s="76"/>
      <c r="DY160" s="76"/>
      <c r="DZ160" s="76"/>
      <c r="EA160" s="76"/>
      <c r="EB160" s="76"/>
      <c r="EC160" s="76"/>
      <c r="ED160" s="76"/>
      <c r="EE160" s="76"/>
      <c r="EF160" s="76"/>
      <c r="EG160" s="76"/>
      <c r="EH160" s="76"/>
      <c r="EI160" s="76"/>
      <c r="EJ160" s="76"/>
      <c r="EK160" s="76"/>
      <c r="EL160" s="76"/>
      <c r="EM160" s="76"/>
      <c r="EN160" s="76"/>
      <c r="EO160" s="76"/>
      <c r="EP160" s="76"/>
      <c r="EQ160" s="76"/>
      <c r="ER160" s="76"/>
      <c r="ES160" s="76"/>
      <c r="ET160" s="76"/>
      <c r="EU160" s="76"/>
      <c r="EV160" s="76"/>
      <c r="EW160" s="76"/>
      <c r="EX160" s="76"/>
      <c r="EY160" s="76"/>
      <c r="EZ160" s="76"/>
      <c r="FA160" s="76"/>
      <c r="FB160" s="76"/>
      <c r="FC160" s="76"/>
      <c r="FD160" s="76"/>
      <c r="FE160" s="76"/>
      <c r="FF160" s="76"/>
      <c r="FG160" s="76"/>
      <c r="FH160" s="76"/>
      <c r="FI160" s="76"/>
      <c r="FJ160" s="76"/>
      <c r="FK160" s="76"/>
      <c r="FL160" s="76"/>
      <c r="FM160" s="76"/>
      <c r="FN160" s="76"/>
      <c r="FO160" s="76"/>
      <c r="FP160" s="76"/>
      <c r="FQ160" s="76"/>
      <c r="FR160" s="76"/>
      <c r="FS160" s="76"/>
      <c r="FT160" s="76"/>
      <c r="FU160" s="76"/>
      <c r="FV160" s="76"/>
      <c r="FW160" s="76"/>
      <c r="FX160" s="76"/>
      <c r="FY160" s="76"/>
      <c r="FZ160" s="76"/>
      <c r="GA160" s="76"/>
      <c r="GB160" s="76"/>
      <c r="GC160" s="76"/>
      <c r="GD160" s="76"/>
      <c r="GE160" s="76"/>
      <c r="GF160" s="76"/>
      <c r="GG160" s="76"/>
      <c r="GH160" s="76"/>
      <c r="GI160" s="76"/>
      <c r="GJ160" s="76"/>
      <c r="GK160" s="76"/>
      <c r="GL160" s="76"/>
      <c r="GM160" s="76"/>
      <c r="GN160" s="76"/>
      <c r="GO160" s="76"/>
      <c r="GP160" s="76"/>
      <c r="GQ160" s="76"/>
      <c r="GR160" s="76"/>
      <c r="GS160" s="76"/>
      <c r="GT160" s="76"/>
      <c r="GU160" s="76"/>
      <c r="GV160" s="76"/>
      <c r="GW160" s="76"/>
      <c r="GX160" s="76"/>
      <c r="GY160" s="76"/>
      <c r="GZ160" s="76"/>
      <c r="HA160" s="76"/>
      <c r="HB160" s="76"/>
      <c r="HC160" s="76"/>
      <c r="HD160" s="76"/>
      <c r="HE160" s="76">
        <v>230</v>
      </c>
      <c r="HF160" s="76"/>
      <c r="HG160" s="76"/>
      <c r="HH160" s="76"/>
      <c r="HI160" s="76"/>
      <c r="HJ160" s="76"/>
      <c r="HK160" s="76"/>
      <c r="HL160" s="76"/>
      <c r="HM160" s="76"/>
      <c r="HN160" s="76"/>
      <c r="HO160" s="76"/>
      <c r="HP160" s="76"/>
      <c r="HQ160" s="76"/>
      <c r="HR160" s="76"/>
      <c r="HS160" s="76">
        <v>254925.27535334002</v>
      </c>
      <c r="HT160" s="76">
        <v>32772.724646659968</v>
      </c>
      <c r="HU160" s="76"/>
      <c r="HV160" s="76">
        <v>333427</v>
      </c>
    </row>
    <row r="161" spans="1:230" x14ac:dyDescent="0.2">
      <c r="A161" s="74" t="s">
        <v>254</v>
      </c>
      <c r="B161" s="76"/>
      <c r="C161" s="76"/>
      <c r="D161" s="76"/>
      <c r="E161" s="76"/>
      <c r="F161" s="76">
        <v>909</v>
      </c>
      <c r="G161" s="76">
        <v>1294</v>
      </c>
      <c r="H161" s="76">
        <v>157</v>
      </c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7"/>
      <c r="V161" s="76"/>
      <c r="W161" s="76"/>
      <c r="X161" s="76"/>
      <c r="Y161" s="76"/>
      <c r="Z161" s="76"/>
      <c r="AA161" s="76"/>
      <c r="AB161" s="76">
        <v>80</v>
      </c>
      <c r="AC161" s="76">
        <v>38</v>
      </c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>
        <v>5020</v>
      </c>
      <c r="AO161" s="76">
        <v>6185</v>
      </c>
      <c r="AP161" s="76"/>
      <c r="AQ161" s="76"/>
      <c r="AR161" s="76">
        <v>257</v>
      </c>
      <c r="AS161" s="76"/>
      <c r="AT161" s="76"/>
      <c r="AU161" s="76">
        <v>350</v>
      </c>
      <c r="AV161" s="76"/>
      <c r="AW161" s="76"/>
      <c r="AX161" s="76"/>
      <c r="AY161" s="76"/>
      <c r="AZ161" s="76">
        <v>839</v>
      </c>
      <c r="BA161" s="76"/>
      <c r="BB161" s="76"/>
      <c r="BC161" s="76"/>
      <c r="BD161" s="76"/>
      <c r="BE161" s="76"/>
      <c r="BF161" s="76"/>
      <c r="BG161" s="76"/>
      <c r="BH161" s="76"/>
      <c r="BI161" s="76"/>
      <c r="BJ161" s="76">
        <v>8644</v>
      </c>
      <c r="BK161" s="76">
        <v>69</v>
      </c>
      <c r="BL161" s="76"/>
      <c r="BM161" s="76"/>
      <c r="BN161" s="76"/>
      <c r="BO161" s="76"/>
      <c r="BP161" s="76">
        <v>73</v>
      </c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6"/>
      <c r="CK161" s="76"/>
      <c r="CL161" s="76"/>
      <c r="CM161" s="76"/>
      <c r="CN161" s="76"/>
      <c r="CO161" s="76"/>
      <c r="CP161" s="76"/>
      <c r="CQ161" s="76"/>
      <c r="CR161" s="76"/>
      <c r="CS161" s="76"/>
      <c r="CT161" s="76"/>
      <c r="CU161" s="76"/>
      <c r="CV161" s="76"/>
      <c r="CW161" s="76"/>
      <c r="CX161" s="76"/>
      <c r="CY161" s="76"/>
      <c r="CZ161" s="76"/>
      <c r="DA161" s="76"/>
      <c r="DB161" s="76"/>
      <c r="DC161" s="76"/>
      <c r="DD161" s="76"/>
      <c r="DE161" s="76"/>
      <c r="DF161" s="76"/>
      <c r="DG161" s="76"/>
      <c r="DH161" s="76"/>
      <c r="DI161" s="76"/>
      <c r="DJ161" s="76"/>
      <c r="DK161" s="76"/>
      <c r="DL161" s="76"/>
      <c r="DM161" s="76"/>
      <c r="DN161" s="76"/>
      <c r="DO161" s="76"/>
      <c r="DP161" s="76"/>
      <c r="DQ161" s="68"/>
      <c r="DR161" s="76"/>
      <c r="DS161" s="76"/>
      <c r="DT161" s="76"/>
      <c r="DU161" s="76"/>
      <c r="DV161" s="76"/>
      <c r="DW161" s="76"/>
      <c r="DX161" s="76"/>
      <c r="DY161" s="76"/>
      <c r="DZ161" s="76"/>
      <c r="EA161" s="76"/>
      <c r="EB161" s="76"/>
      <c r="EC161" s="76"/>
      <c r="ED161" s="76"/>
      <c r="EE161" s="76"/>
      <c r="EF161" s="76"/>
      <c r="EG161" s="76"/>
      <c r="EH161" s="76"/>
      <c r="EI161" s="76"/>
      <c r="EJ161" s="76"/>
      <c r="EK161" s="76"/>
      <c r="EL161" s="76"/>
      <c r="EM161" s="76"/>
      <c r="EN161" s="76"/>
      <c r="EO161" s="76"/>
      <c r="EP161" s="76"/>
      <c r="EQ161" s="76"/>
      <c r="ER161" s="76"/>
      <c r="ES161" s="76"/>
      <c r="ET161" s="76"/>
      <c r="EU161" s="76"/>
      <c r="EV161" s="76"/>
      <c r="EW161" s="76"/>
      <c r="EX161" s="76"/>
      <c r="EY161" s="76"/>
      <c r="EZ161" s="76"/>
      <c r="FA161" s="76"/>
      <c r="FB161" s="76"/>
      <c r="FC161" s="76"/>
      <c r="FD161" s="76"/>
      <c r="FE161" s="76"/>
      <c r="FF161" s="76"/>
      <c r="FG161" s="76"/>
      <c r="FH161" s="76"/>
      <c r="FI161" s="76"/>
      <c r="FJ161" s="76"/>
      <c r="FK161" s="76"/>
      <c r="FL161" s="76"/>
      <c r="FM161" s="76"/>
      <c r="FN161" s="76"/>
      <c r="FO161" s="76"/>
      <c r="FP161" s="76"/>
      <c r="FQ161" s="76"/>
      <c r="FR161" s="76"/>
      <c r="FS161" s="76"/>
      <c r="FT161" s="76"/>
      <c r="FU161" s="76"/>
      <c r="FV161" s="76"/>
      <c r="FW161" s="76"/>
      <c r="FX161" s="76"/>
      <c r="FY161" s="76"/>
      <c r="FZ161" s="76"/>
      <c r="GA161" s="76"/>
      <c r="GB161" s="76"/>
      <c r="GC161" s="76"/>
      <c r="GD161" s="76"/>
      <c r="GE161" s="76"/>
      <c r="GF161" s="76"/>
      <c r="GG161" s="76"/>
      <c r="GH161" s="76"/>
      <c r="GI161" s="76"/>
      <c r="GJ161" s="76"/>
      <c r="GK161" s="76"/>
      <c r="GL161" s="76"/>
      <c r="GM161" s="76"/>
      <c r="GN161" s="76"/>
      <c r="GO161" s="76"/>
      <c r="GP161" s="76"/>
      <c r="GQ161" s="76"/>
      <c r="GR161" s="76"/>
      <c r="GS161" s="76"/>
      <c r="GT161" s="76"/>
      <c r="GU161" s="76"/>
      <c r="GV161" s="76"/>
      <c r="GW161" s="76"/>
      <c r="GX161" s="76"/>
      <c r="GY161" s="76"/>
      <c r="GZ161" s="76"/>
      <c r="HA161" s="76"/>
      <c r="HB161" s="76"/>
      <c r="HC161" s="76"/>
      <c r="HD161" s="76"/>
      <c r="HE161" s="76"/>
      <c r="HF161" s="76"/>
      <c r="HG161" s="76"/>
      <c r="HH161" s="76"/>
      <c r="HI161" s="76"/>
      <c r="HJ161" s="76"/>
      <c r="HK161" s="76"/>
      <c r="HL161" s="76"/>
      <c r="HM161" s="76"/>
      <c r="HN161" s="76"/>
      <c r="HO161" s="76"/>
      <c r="HP161" s="76"/>
      <c r="HQ161" s="76"/>
      <c r="HR161" s="76"/>
      <c r="HS161" s="76">
        <v>72971.870507176311</v>
      </c>
      <c r="HT161" s="76">
        <v>9381.1294928236857</v>
      </c>
      <c r="HU161" s="76"/>
      <c r="HV161" s="76">
        <v>106268</v>
      </c>
    </row>
    <row r="162" spans="1:230" x14ac:dyDescent="0.2">
      <c r="A162" s="74" t="s">
        <v>255</v>
      </c>
      <c r="B162" s="76">
        <v>81</v>
      </c>
      <c r="C162" s="76">
        <v>156</v>
      </c>
      <c r="D162" s="76">
        <v>9</v>
      </c>
      <c r="E162" s="76">
        <v>3</v>
      </c>
      <c r="F162" s="76">
        <v>413</v>
      </c>
      <c r="G162" s="76">
        <v>15</v>
      </c>
      <c r="H162" s="76">
        <v>155</v>
      </c>
      <c r="I162" s="76"/>
      <c r="J162" s="76">
        <v>5</v>
      </c>
      <c r="K162" s="76">
        <v>1</v>
      </c>
      <c r="L162" s="76"/>
      <c r="M162" s="76"/>
      <c r="N162" s="76">
        <v>23</v>
      </c>
      <c r="O162" s="76"/>
      <c r="P162" s="76"/>
      <c r="Q162" s="76"/>
      <c r="R162" s="76">
        <v>13</v>
      </c>
      <c r="S162" s="76">
        <v>19</v>
      </c>
      <c r="T162" s="76">
        <v>22</v>
      </c>
      <c r="U162" s="77"/>
      <c r="V162" s="76"/>
      <c r="W162" s="76">
        <v>2</v>
      </c>
      <c r="X162" s="76"/>
      <c r="Y162" s="76"/>
      <c r="Z162" s="76"/>
      <c r="AA162" s="76">
        <v>22</v>
      </c>
      <c r="AB162" s="76">
        <v>20</v>
      </c>
      <c r="AC162" s="76">
        <v>1788</v>
      </c>
      <c r="AD162" s="76">
        <v>22</v>
      </c>
      <c r="AE162" s="76"/>
      <c r="AF162" s="76">
        <v>9</v>
      </c>
      <c r="AG162" s="76">
        <v>21</v>
      </c>
      <c r="AH162" s="76"/>
      <c r="AI162" s="76">
        <v>11</v>
      </c>
      <c r="AJ162" s="76"/>
      <c r="AK162" s="76">
        <v>3</v>
      </c>
      <c r="AL162" s="76"/>
      <c r="AM162" s="76"/>
      <c r="AN162" s="76"/>
      <c r="AO162" s="76">
        <v>25209</v>
      </c>
      <c r="AP162" s="76">
        <v>15</v>
      </c>
      <c r="AQ162" s="76">
        <v>43</v>
      </c>
      <c r="AR162" s="76">
        <v>10</v>
      </c>
      <c r="AS162" s="76"/>
      <c r="AT162" s="76"/>
      <c r="AU162" s="76">
        <v>814</v>
      </c>
      <c r="AV162" s="76">
        <v>43</v>
      </c>
      <c r="AW162" s="76">
        <v>471</v>
      </c>
      <c r="AX162" s="76"/>
      <c r="AY162" s="76"/>
      <c r="AZ162" s="76">
        <v>3699</v>
      </c>
      <c r="BA162" s="76"/>
      <c r="BB162" s="76">
        <v>980</v>
      </c>
      <c r="BC162" s="76">
        <v>1412</v>
      </c>
      <c r="BD162" s="76">
        <v>212</v>
      </c>
      <c r="BE162" s="76">
        <v>578</v>
      </c>
      <c r="BF162" s="76">
        <v>4</v>
      </c>
      <c r="BG162" s="76">
        <v>2</v>
      </c>
      <c r="BH162" s="76">
        <v>1005</v>
      </c>
      <c r="BI162" s="76">
        <v>8</v>
      </c>
      <c r="BJ162" s="76">
        <v>2004</v>
      </c>
      <c r="BK162" s="76">
        <v>267</v>
      </c>
      <c r="BL162" s="76"/>
      <c r="BM162" s="76">
        <v>1742</v>
      </c>
      <c r="BN162" s="76"/>
      <c r="BO162" s="76">
        <v>116</v>
      </c>
      <c r="BP162" s="76">
        <v>12</v>
      </c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/>
      <c r="CI162" s="76"/>
      <c r="CJ162" s="76"/>
      <c r="CK162" s="76"/>
      <c r="CL162" s="76"/>
      <c r="CM162" s="76"/>
      <c r="CN162" s="76"/>
      <c r="CO162" s="76"/>
      <c r="CP162" s="76"/>
      <c r="CQ162" s="76"/>
      <c r="CR162" s="76"/>
      <c r="CS162" s="76"/>
      <c r="CT162" s="76"/>
      <c r="CU162" s="76"/>
      <c r="CV162" s="76"/>
      <c r="CW162" s="76"/>
      <c r="CX162" s="76"/>
      <c r="CY162" s="76"/>
      <c r="CZ162" s="76"/>
      <c r="DA162" s="76"/>
      <c r="DB162" s="76"/>
      <c r="DC162" s="76"/>
      <c r="DD162" s="76"/>
      <c r="DE162" s="76"/>
      <c r="DF162" s="76"/>
      <c r="DG162" s="76"/>
      <c r="DH162" s="76"/>
      <c r="DI162" s="76"/>
      <c r="DJ162" s="76"/>
      <c r="DK162" s="76"/>
      <c r="DL162" s="76"/>
      <c r="DM162" s="76"/>
      <c r="DN162" s="76"/>
      <c r="DO162" s="76"/>
      <c r="DP162" s="76"/>
      <c r="DQ162" s="68"/>
      <c r="DR162" s="76"/>
      <c r="DS162" s="76"/>
      <c r="DT162" s="76"/>
      <c r="DU162" s="76"/>
      <c r="DV162" s="76"/>
      <c r="DW162" s="76"/>
      <c r="DX162" s="76"/>
      <c r="DY162" s="76"/>
      <c r="DZ162" s="76"/>
      <c r="EA162" s="76"/>
      <c r="EB162" s="76"/>
      <c r="EC162" s="76"/>
      <c r="ED162" s="76"/>
      <c r="EE162" s="76"/>
      <c r="EF162" s="76"/>
      <c r="EG162" s="76"/>
      <c r="EH162" s="76"/>
      <c r="EI162" s="76"/>
      <c r="EJ162" s="76"/>
      <c r="EK162" s="76"/>
      <c r="EL162" s="76"/>
      <c r="EM162" s="76"/>
      <c r="EN162" s="76"/>
      <c r="EO162" s="76"/>
      <c r="EP162" s="76"/>
      <c r="EQ162" s="76"/>
      <c r="ER162" s="76"/>
      <c r="ES162" s="76"/>
      <c r="ET162" s="76"/>
      <c r="EU162" s="76"/>
      <c r="EV162" s="76"/>
      <c r="EW162" s="76"/>
      <c r="EX162" s="76"/>
      <c r="EY162" s="76"/>
      <c r="EZ162" s="76"/>
      <c r="FA162" s="76"/>
      <c r="FB162" s="76"/>
      <c r="FC162" s="76"/>
      <c r="FD162" s="76"/>
      <c r="FE162" s="76"/>
      <c r="FF162" s="76"/>
      <c r="FG162" s="76"/>
      <c r="FH162" s="76"/>
      <c r="FI162" s="76"/>
      <c r="FJ162" s="76"/>
      <c r="FK162" s="76"/>
      <c r="FL162" s="76"/>
      <c r="FM162" s="76"/>
      <c r="FN162" s="76"/>
      <c r="FO162" s="76"/>
      <c r="FP162" s="76"/>
      <c r="FQ162" s="76"/>
      <c r="FR162" s="76"/>
      <c r="FS162" s="76"/>
      <c r="FT162" s="76"/>
      <c r="FU162" s="76"/>
      <c r="FV162" s="76"/>
      <c r="FW162" s="76"/>
      <c r="FX162" s="76"/>
      <c r="FY162" s="76"/>
      <c r="FZ162" s="76"/>
      <c r="GA162" s="76"/>
      <c r="GB162" s="76"/>
      <c r="GC162" s="76"/>
      <c r="GD162" s="76"/>
      <c r="GE162" s="76"/>
      <c r="GF162" s="76"/>
      <c r="GG162" s="76"/>
      <c r="GH162" s="76"/>
      <c r="GI162" s="76"/>
      <c r="GJ162" s="76"/>
      <c r="GK162" s="76"/>
      <c r="GL162" s="76"/>
      <c r="GM162" s="76"/>
      <c r="GN162" s="76"/>
      <c r="GO162" s="76"/>
      <c r="GP162" s="76"/>
      <c r="GQ162" s="76"/>
      <c r="GR162" s="76"/>
      <c r="GS162" s="76"/>
      <c r="GT162" s="76"/>
      <c r="GU162" s="76"/>
      <c r="GV162" s="76"/>
      <c r="GW162" s="76"/>
      <c r="GX162" s="76"/>
      <c r="GY162" s="76"/>
      <c r="GZ162" s="76"/>
      <c r="HA162" s="76"/>
      <c r="HB162" s="76"/>
      <c r="HC162" s="76"/>
      <c r="HD162" s="76"/>
      <c r="HE162" s="76">
        <v>2549</v>
      </c>
      <c r="HF162" s="76"/>
      <c r="HG162" s="76"/>
      <c r="HH162" s="76"/>
      <c r="HI162" s="76"/>
      <c r="HJ162" s="76"/>
      <c r="HK162" s="76"/>
      <c r="HL162" s="76"/>
      <c r="HM162" s="76"/>
      <c r="HN162" s="76"/>
      <c r="HO162" s="76"/>
      <c r="HP162" s="76"/>
      <c r="HQ162" s="76"/>
      <c r="HR162" s="76"/>
      <c r="HS162" s="76">
        <v>90350.682405434418</v>
      </c>
      <c r="HT162" s="76">
        <v>11615.317594565588</v>
      </c>
      <c r="HU162" s="76"/>
      <c r="HV162" s="76">
        <v>145974.00000000003</v>
      </c>
    </row>
    <row r="163" spans="1:230" x14ac:dyDescent="0.2">
      <c r="A163" s="74" t="s">
        <v>256</v>
      </c>
      <c r="B163" s="76">
        <v>202</v>
      </c>
      <c r="C163" s="76">
        <v>38</v>
      </c>
      <c r="D163" s="76">
        <v>18</v>
      </c>
      <c r="E163" s="76">
        <v>53</v>
      </c>
      <c r="F163" s="76">
        <v>97</v>
      </c>
      <c r="G163" s="76">
        <v>905</v>
      </c>
      <c r="H163" s="76">
        <v>96</v>
      </c>
      <c r="I163" s="76">
        <v>8</v>
      </c>
      <c r="J163" s="76">
        <v>3</v>
      </c>
      <c r="K163" s="76">
        <v>18</v>
      </c>
      <c r="L163" s="76">
        <v>31</v>
      </c>
      <c r="M163" s="76"/>
      <c r="N163" s="76">
        <v>4</v>
      </c>
      <c r="O163" s="76"/>
      <c r="P163" s="76">
        <v>4</v>
      </c>
      <c r="Q163" s="76"/>
      <c r="R163" s="76"/>
      <c r="S163" s="76"/>
      <c r="T163" s="76"/>
      <c r="U163" s="77">
        <v>5</v>
      </c>
      <c r="V163" s="76"/>
      <c r="W163" s="76">
        <v>9</v>
      </c>
      <c r="X163" s="76"/>
      <c r="Y163" s="76">
        <v>44</v>
      </c>
      <c r="Z163" s="76">
        <v>218</v>
      </c>
      <c r="AA163" s="76">
        <v>311</v>
      </c>
      <c r="AB163" s="76">
        <v>4</v>
      </c>
      <c r="AC163" s="76">
        <v>51</v>
      </c>
      <c r="AD163" s="76">
        <v>1</v>
      </c>
      <c r="AE163" s="76">
        <v>540</v>
      </c>
      <c r="AF163" s="76">
        <v>33</v>
      </c>
      <c r="AG163" s="76">
        <v>2438</v>
      </c>
      <c r="AH163" s="76">
        <v>324</v>
      </c>
      <c r="AI163" s="76">
        <v>3</v>
      </c>
      <c r="AJ163" s="76"/>
      <c r="AK163" s="76">
        <v>44</v>
      </c>
      <c r="AL163" s="76">
        <v>70</v>
      </c>
      <c r="AM163" s="76">
        <v>384</v>
      </c>
      <c r="AN163" s="76">
        <v>732</v>
      </c>
      <c r="AO163" s="76">
        <v>507</v>
      </c>
      <c r="AP163" s="76">
        <v>1346</v>
      </c>
      <c r="AQ163" s="76">
        <v>3726</v>
      </c>
      <c r="AR163" s="76">
        <v>7299</v>
      </c>
      <c r="AS163" s="76"/>
      <c r="AT163" s="76"/>
      <c r="AU163" s="76">
        <v>418</v>
      </c>
      <c r="AV163" s="76"/>
      <c r="AW163" s="76">
        <v>114</v>
      </c>
      <c r="AX163" s="76">
        <v>5</v>
      </c>
      <c r="AY163" s="76">
        <v>57</v>
      </c>
      <c r="AZ163" s="76">
        <v>23</v>
      </c>
      <c r="BA163" s="76">
        <v>3</v>
      </c>
      <c r="BB163" s="76">
        <v>97</v>
      </c>
      <c r="BC163" s="76">
        <v>26</v>
      </c>
      <c r="BD163" s="76"/>
      <c r="BE163" s="76">
        <v>94</v>
      </c>
      <c r="BF163" s="76">
        <v>20</v>
      </c>
      <c r="BG163" s="76">
        <v>836</v>
      </c>
      <c r="BH163" s="76">
        <v>61</v>
      </c>
      <c r="BI163" s="76">
        <v>162</v>
      </c>
      <c r="BJ163" s="76">
        <v>1621</v>
      </c>
      <c r="BK163" s="76">
        <v>299</v>
      </c>
      <c r="BL163" s="76"/>
      <c r="BM163" s="76">
        <v>990</v>
      </c>
      <c r="BN163" s="76">
        <v>740</v>
      </c>
      <c r="BO163" s="76">
        <v>53</v>
      </c>
      <c r="BP163" s="76">
        <v>39</v>
      </c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6"/>
      <c r="CI163" s="76"/>
      <c r="CJ163" s="76"/>
      <c r="CK163" s="76"/>
      <c r="CL163" s="76"/>
      <c r="CM163" s="76"/>
      <c r="CN163" s="76"/>
      <c r="CO163" s="76"/>
      <c r="CP163" s="76"/>
      <c r="CQ163" s="76"/>
      <c r="CR163" s="76"/>
      <c r="CS163" s="76"/>
      <c r="CT163" s="76"/>
      <c r="CU163" s="76"/>
      <c r="CV163" s="76"/>
      <c r="CW163" s="76"/>
      <c r="CX163" s="76"/>
      <c r="CY163" s="76"/>
      <c r="CZ163" s="76"/>
      <c r="DA163" s="76"/>
      <c r="DB163" s="76"/>
      <c r="DC163" s="76"/>
      <c r="DD163" s="76"/>
      <c r="DE163" s="76"/>
      <c r="DF163" s="76"/>
      <c r="DG163" s="76"/>
      <c r="DH163" s="76"/>
      <c r="DI163" s="76"/>
      <c r="DJ163" s="76"/>
      <c r="DK163" s="76"/>
      <c r="DL163" s="76"/>
      <c r="DM163" s="76"/>
      <c r="DN163" s="76"/>
      <c r="DO163" s="76"/>
      <c r="DP163" s="76"/>
      <c r="DQ163" s="68"/>
      <c r="DR163" s="76"/>
      <c r="DS163" s="76"/>
      <c r="DT163" s="76"/>
      <c r="DU163" s="76"/>
      <c r="DV163" s="76"/>
      <c r="DW163" s="76"/>
      <c r="DX163" s="76"/>
      <c r="DY163" s="76"/>
      <c r="DZ163" s="76"/>
      <c r="EA163" s="76"/>
      <c r="EB163" s="76"/>
      <c r="EC163" s="76"/>
      <c r="ED163" s="76"/>
      <c r="EE163" s="76"/>
      <c r="EF163" s="76"/>
      <c r="EG163" s="76"/>
      <c r="EH163" s="76"/>
      <c r="EI163" s="76"/>
      <c r="EJ163" s="76"/>
      <c r="EK163" s="76"/>
      <c r="EL163" s="76"/>
      <c r="EM163" s="76"/>
      <c r="EN163" s="76"/>
      <c r="EO163" s="76"/>
      <c r="EP163" s="76"/>
      <c r="EQ163" s="76"/>
      <c r="ER163" s="76"/>
      <c r="ES163" s="76"/>
      <c r="ET163" s="76"/>
      <c r="EU163" s="76"/>
      <c r="EV163" s="76"/>
      <c r="EW163" s="76"/>
      <c r="EX163" s="76"/>
      <c r="EY163" s="76"/>
      <c r="EZ163" s="76"/>
      <c r="FA163" s="76"/>
      <c r="FB163" s="76"/>
      <c r="FC163" s="76"/>
      <c r="FD163" s="76"/>
      <c r="FE163" s="76"/>
      <c r="FF163" s="76"/>
      <c r="FG163" s="76"/>
      <c r="FH163" s="76"/>
      <c r="FI163" s="76"/>
      <c r="FJ163" s="76"/>
      <c r="FK163" s="76"/>
      <c r="FL163" s="76"/>
      <c r="FM163" s="76"/>
      <c r="FN163" s="76"/>
      <c r="FO163" s="76"/>
      <c r="FP163" s="76"/>
      <c r="FQ163" s="76"/>
      <c r="FR163" s="76"/>
      <c r="FS163" s="76"/>
      <c r="FT163" s="76"/>
      <c r="FU163" s="76"/>
      <c r="FV163" s="76"/>
      <c r="FW163" s="76"/>
      <c r="FX163" s="76"/>
      <c r="FY163" s="76"/>
      <c r="FZ163" s="76"/>
      <c r="GA163" s="76"/>
      <c r="GB163" s="76"/>
      <c r="GC163" s="76"/>
      <c r="GD163" s="76"/>
      <c r="GE163" s="76"/>
      <c r="GF163" s="76"/>
      <c r="GG163" s="76"/>
      <c r="GH163" s="76"/>
      <c r="GI163" s="76"/>
      <c r="GJ163" s="76"/>
      <c r="GK163" s="76"/>
      <c r="GL163" s="76"/>
      <c r="GM163" s="76"/>
      <c r="GN163" s="76"/>
      <c r="GO163" s="76"/>
      <c r="GP163" s="76">
        <v>69477.798345344752</v>
      </c>
      <c r="GQ163" s="76">
        <v>11253.877126329235</v>
      </c>
      <c r="GR163" s="76">
        <v>7919.3245283260276</v>
      </c>
      <c r="GS163" s="76"/>
      <c r="GT163" s="76"/>
      <c r="GU163" s="76"/>
      <c r="GV163" s="76"/>
      <c r="GW163" s="76"/>
      <c r="GX163" s="76"/>
      <c r="GY163" s="76"/>
      <c r="GZ163" s="76"/>
      <c r="HA163" s="76">
        <v>50478</v>
      </c>
      <c r="HB163" s="76"/>
      <c r="HC163" s="76"/>
      <c r="HD163" s="76"/>
      <c r="HE163" s="76">
        <v>169</v>
      </c>
      <c r="HF163" s="76"/>
      <c r="HG163" s="76"/>
      <c r="HH163" s="76"/>
      <c r="HI163" s="76"/>
      <c r="HJ163" s="76"/>
      <c r="HK163" s="76"/>
      <c r="HL163" s="76"/>
      <c r="HM163" s="76"/>
      <c r="HN163" s="76"/>
      <c r="HO163" s="76"/>
      <c r="HP163" s="76"/>
      <c r="HQ163" s="76"/>
      <c r="HR163" s="76"/>
      <c r="HS163" s="76"/>
      <c r="HT163" s="76"/>
      <c r="HU163" s="76"/>
      <c r="HV163" s="76">
        <v>164522</v>
      </c>
    </row>
    <row r="164" spans="1:230" x14ac:dyDescent="0.2">
      <c r="A164" s="74" t="s">
        <v>257</v>
      </c>
      <c r="B164" s="76">
        <v>3</v>
      </c>
      <c r="C164" s="76">
        <v>2</v>
      </c>
      <c r="D164" s="76"/>
      <c r="E164" s="76">
        <v>35</v>
      </c>
      <c r="F164" s="76">
        <v>83</v>
      </c>
      <c r="G164" s="76">
        <v>79</v>
      </c>
      <c r="H164" s="76">
        <v>50</v>
      </c>
      <c r="I164" s="76">
        <v>6791</v>
      </c>
      <c r="J164" s="76">
        <v>368</v>
      </c>
      <c r="K164" s="76">
        <v>4480</v>
      </c>
      <c r="L164" s="76">
        <v>192</v>
      </c>
      <c r="M164" s="76">
        <v>169</v>
      </c>
      <c r="N164" s="76">
        <v>577</v>
      </c>
      <c r="O164" s="76">
        <v>729</v>
      </c>
      <c r="P164" s="76">
        <v>1043</v>
      </c>
      <c r="Q164" s="76">
        <v>296</v>
      </c>
      <c r="R164" s="76">
        <v>1863</v>
      </c>
      <c r="S164" s="76">
        <v>64</v>
      </c>
      <c r="T164" s="76">
        <v>473</v>
      </c>
      <c r="U164" s="77">
        <v>491</v>
      </c>
      <c r="V164" s="76">
        <v>927</v>
      </c>
      <c r="W164" s="76">
        <v>1119</v>
      </c>
      <c r="X164" s="76">
        <v>88</v>
      </c>
      <c r="Y164" s="76">
        <v>1317</v>
      </c>
      <c r="Z164" s="76">
        <v>1624</v>
      </c>
      <c r="AA164" s="76">
        <v>1129</v>
      </c>
      <c r="AB164" s="76">
        <v>1514</v>
      </c>
      <c r="AC164" s="76">
        <v>434</v>
      </c>
      <c r="AD164" s="76">
        <v>1441</v>
      </c>
      <c r="AE164" s="76">
        <v>816</v>
      </c>
      <c r="AF164" s="76">
        <v>1073</v>
      </c>
      <c r="AG164" s="76">
        <v>2535</v>
      </c>
      <c r="AH164" s="76">
        <v>86</v>
      </c>
      <c r="AI164" s="76">
        <v>35</v>
      </c>
      <c r="AJ164" s="76">
        <v>188</v>
      </c>
      <c r="AK164" s="76">
        <v>692</v>
      </c>
      <c r="AL164" s="76">
        <v>629</v>
      </c>
      <c r="AM164" s="76"/>
      <c r="AN164" s="76">
        <v>11</v>
      </c>
      <c r="AO164" s="76">
        <v>1</v>
      </c>
      <c r="AP164" s="76"/>
      <c r="AQ164" s="76">
        <v>5543</v>
      </c>
      <c r="AR164" s="76"/>
      <c r="AS164" s="76"/>
      <c r="AT164" s="76"/>
      <c r="AU164" s="76"/>
      <c r="AV164" s="76"/>
      <c r="AW164" s="76"/>
      <c r="AX164" s="76">
        <v>375</v>
      </c>
      <c r="AY164" s="76">
        <v>544</v>
      </c>
      <c r="AZ164" s="76">
        <v>3140</v>
      </c>
      <c r="BA164" s="76">
        <v>364</v>
      </c>
      <c r="BB164" s="76">
        <v>35</v>
      </c>
      <c r="BC164" s="76"/>
      <c r="BD164" s="76">
        <v>415</v>
      </c>
      <c r="BE164" s="76">
        <v>39</v>
      </c>
      <c r="BF164" s="76">
        <v>172</v>
      </c>
      <c r="BG164" s="76"/>
      <c r="BH164" s="76">
        <v>368</v>
      </c>
      <c r="BI164" s="76">
        <v>43</v>
      </c>
      <c r="BJ164" s="76"/>
      <c r="BK164" s="76"/>
      <c r="BL164" s="76">
        <v>14</v>
      </c>
      <c r="BM164" s="76"/>
      <c r="BN164" s="76"/>
      <c r="BO164" s="76">
        <v>24</v>
      </c>
      <c r="BP164" s="76">
        <v>14</v>
      </c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68"/>
      <c r="DR164" s="76"/>
      <c r="DS164" s="76"/>
      <c r="DT164" s="76"/>
      <c r="DU164" s="76"/>
      <c r="DV164" s="76"/>
      <c r="DW164" s="76"/>
      <c r="DX164" s="76"/>
      <c r="DY164" s="76"/>
      <c r="DZ164" s="76"/>
      <c r="EA164" s="76"/>
      <c r="EB164" s="76"/>
      <c r="EC164" s="76"/>
      <c r="ED164" s="76"/>
      <c r="EE164" s="76"/>
      <c r="EF164" s="76"/>
      <c r="EG164" s="76"/>
      <c r="EH164" s="76"/>
      <c r="EI164" s="76"/>
      <c r="EJ164" s="76"/>
      <c r="EK164" s="76"/>
      <c r="EL164" s="76"/>
      <c r="EM164" s="76"/>
      <c r="EN164" s="76"/>
      <c r="EO164" s="76"/>
      <c r="EP164" s="76"/>
      <c r="EQ164" s="76"/>
      <c r="ER164" s="76"/>
      <c r="ES164" s="76"/>
      <c r="ET164" s="76"/>
      <c r="EU164" s="76"/>
      <c r="EV164" s="76"/>
      <c r="EW164" s="76"/>
      <c r="EX164" s="76"/>
      <c r="EY164" s="76"/>
      <c r="EZ164" s="76"/>
      <c r="FA164" s="76"/>
      <c r="FB164" s="76"/>
      <c r="FC164" s="76"/>
      <c r="FD164" s="76"/>
      <c r="FE164" s="76"/>
      <c r="FF164" s="76"/>
      <c r="FG164" s="76"/>
      <c r="FH164" s="76"/>
      <c r="FI164" s="76"/>
      <c r="FJ164" s="76"/>
      <c r="FK164" s="76"/>
      <c r="FL164" s="76"/>
      <c r="FM164" s="76"/>
      <c r="FN164" s="76"/>
      <c r="FO164" s="76"/>
      <c r="FP164" s="76"/>
      <c r="FQ164" s="76"/>
      <c r="FR164" s="76"/>
      <c r="FS164" s="76"/>
      <c r="FT164" s="76"/>
      <c r="FU164" s="76"/>
      <c r="FV164" s="76"/>
      <c r="FW164" s="76"/>
      <c r="FX164" s="76"/>
      <c r="FY164" s="76"/>
      <c r="FZ164" s="76"/>
      <c r="GA164" s="76"/>
      <c r="GB164" s="76"/>
      <c r="GC164" s="76"/>
      <c r="GD164" s="76"/>
      <c r="GE164" s="76"/>
      <c r="GF164" s="76"/>
      <c r="GG164" s="76"/>
      <c r="GH164" s="76"/>
      <c r="GI164" s="76"/>
      <c r="GJ164" s="76"/>
      <c r="GK164" s="76"/>
      <c r="GL164" s="76"/>
      <c r="GM164" s="76"/>
      <c r="GN164" s="76"/>
      <c r="GO164" s="76"/>
      <c r="GP164" s="76">
        <v>733308.92476094002</v>
      </c>
      <c r="GQ164" s="76">
        <v>118779.93735322759</v>
      </c>
      <c r="GR164" s="76">
        <v>83585.137885832388</v>
      </c>
      <c r="GS164" s="76"/>
      <c r="GT164" s="76"/>
      <c r="GU164" s="76"/>
      <c r="GV164" s="76"/>
      <c r="GW164" s="76"/>
      <c r="GX164" s="76"/>
      <c r="GY164" s="76"/>
      <c r="GZ164" s="76"/>
      <c r="HA164" s="76"/>
      <c r="HB164" s="76"/>
      <c r="HC164" s="76"/>
      <c r="HD164" s="76"/>
      <c r="HE164" s="76">
        <v>3257</v>
      </c>
      <c r="HF164" s="76"/>
      <c r="HG164" s="76"/>
      <c r="HH164" s="76"/>
      <c r="HI164" s="76"/>
      <c r="HJ164" s="76"/>
      <c r="HK164" s="76"/>
      <c r="HL164" s="76"/>
      <c r="HM164" s="76"/>
      <c r="HN164" s="76"/>
      <c r="HO164" s="76"/>
      <c r="HP164" s="76"/>
      <c r="HQ164" s="76"/>
      <c r="HR164" s="76"/>
      <c r="HS164" s="76"/>
      <c r="HT164" s="76"/>
      <c r="HU164" s="76"/>
      <c r="HV164" s="76">
        <v>983468</v>
      </c>
    </row>
    <row r="165" spans="1:230" x14ac:dyDescent="0.2">
      <c r="A165" s="74" t="s">
        <v>258</v>
      </c>
      <c r="B165" s="76">
        <v>5415</v>
      </c>
      <c r="C165" s="76">
        <v>780</v>
      </c>
      <c r="D165" s="76">
        <v>542</v>
      </c>
      <c r="E165" s="76">
        <v>742</v>
      </c>
      <c r="F165" s="76">
        <v>5204</v>
      </c>
      <c r="G165" s="76">
        <v>2329</v>
      </c>
      <c r="H165" s="76">
        <v>647</v>
      </c>
      <c r="I165" s="76">
        <v>9080</v>
      </c>
      <c r="J165" s="76">
        <v>2013</v>
      </c>
      <c r="K165" s="76">
        <v>11683</v>
      </c>
      <c r="L165" s="76">
        <v>2557</v>
      </c>
      <c r="M165" s="76">
        <v>117</v>
      </c>
      <c r="N165" s="76">
        <v>815</v>
      </c>
      <c r="O165" s="76">
        <v>538</v>
      </c>
      <c r="P165" s="76">
        <v>896</v>
      </c>
      <c r="Q165" s="76">
        <v>477</v>
      </c>
      <c r="R165" s="76">
        <v>2690</v>
      </c>
      <c r="S165" s="76">
        <v>270</v>
      </c>
      <c r="T165" s="76">
        <v>3162</v>
      </c>
      <c r="U165" s="77">
        <v>981</v>
      </c>
      <c r="V165" s="76">
        <v>4720</v>
      </c>
      <c r="W165" s="76">
        <v>1647</v>
      </c>
      <c r="X165" s="76">
        <v>1321</v>
      </c>
      <c r="Y165" s="76">
        <v>2388</v>
      </c>
      <c r="Z165" s="76">
        <v>2348</v>
      </c>
      <c r="AA165" s="76">
        <v>2056</v>
      </c>
      <c r="AB165" s="76">
        <v>4281</v>
      </c>
      <c r="AC165" s="76">
        <v>531</v>
      </c>
      <c r="AD165" s="76">
        <v>2037</v>
      </c>
      <c r="AE165" s="76">
        <v>1023</v>
      </c>
      <c r="AF165" s="76">
        <v>1193</v>
      </c>
      <c r="AG165" s="76">
        <v>1376</v>
      </c>
      <c r="AH165" s="76">
        <v>3770</v>
      </c>
      <c r="AI165" s="76">
        <v>1408</v>
      </c>
      <c r="AJ165" s="76">
        <v>518</v>
      </c>
      <c r="AK165" s="76">
        <v>1299</v>
      </c>
      <c r="AL165" s="76">
        <v>54</v>
      </c>
      <c r="AM165" s="76">
        <v>3852</v>
      </c>
      <c r="AN165" s="76">
        <v>298</v>
      </c>
      <c r="AO165" s="76">
        <v>1597</v>
      </c>
      <c r="AP165" s="76">
        <v>1072</v>
      </c>
      <c r="AQ165" s="76">
        <v>38567</v>
      </c>
      <c r="AR165" s="76">
        <v>39411</v>
      </c>
      <c r="AS165" s="76">
        <v>137</v>
      </c>
      <c r="AT165" s="76">
        <v>78</v>
      </c>
      <c r="AU165" s="76">
        <v>4826</v>
      </c>
      <c r="AV165" s="76">
        <v>23</v>
      </c>
      <c r="AW165" s="76">
        <v>902</v>
      </c>
      <c r="AX165" s="76">
        <v>319</v>
      </c>
      <c r="AY165" s="76">
        <v>123</v>
      </c>
      <c r="AZ165" s="76">
        <v>197</v>
      </c>
      <c r="BA165" s="76">
        <v>180</v>
      </c>
      <c r="BB165" s="76">
        <v>409</v>
      </c>
      <c r="BC165" s="76">
        <v>10</v>
      </c>
      <c r="BD165" s="76">
        <v>558</v>
      </c>
      <c r="BE165" s="76">
        <v>286</v>
      </c>
      <c r="BF165" s="76">
        <v>47</v>
      </c>
      <c r="BG165" s="76">
        <v>336</v>
      </c>
      <c r="BH165" s="76">
        <v>147</v>
      </c>
      <c r="BI165" s="76">
        <v>65</v>
      </c>
      <c r="BJ165" s="76">
        <v>1313</v>
      </c>
      <c r="BK165" s="76">
        <v>100</v>
      </c>
      <c r="BL165" s="76">
        <v>2</v>
      </c>
      <c r="BM165" s="76">
        <v>284</v>
      </c>
      <c r="BN165" s="76"/>
      <c r="BO165" s="76">
        <v>80</v>
      </c>
      <c r="BP165" s="76">
        <v>117</v>
      </c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6"/>
      <c r="CT165" s="76"/>
      <c r="CU165" s="76"/>
      <c r="CV165" s="76"/>
      <c r="CW165" s="76"/>
      <c r="CX165" s="76"/>
      <c r="CY165" s="76"/>
      <c r="CZ165" s="76"/>
      <c r="DA165" s="76"/>
      <c r="DB165" s="76"/>
      <c r="DC165" s="76"/>
      <c r="DD165" s="76"/>
      <c r="DE165" s="76"/>
      <c r="DF165" s="76"/>
      <c r="DG165" s="76"/>
      <c r="DH165" s="76"/>
      <c r="DI165" s="76"/>
      <c r="DJ165" s="76"/>
      <c r="DK165" s="76"/>
      <c r="DL165" s="76"/>
      <c r="DM165" s="76"/>
      <c r="DN165" s="76"/>
      <c r="DO165" s="76"/>
      <c r="DP165" s="76"/>
      <c r="DQ165" s="68"/>
      <c r="DR165" s="76"/>
      <c r="DS165" s="76"/>
      <c r="DT165" s="76"/>
      <c r="DU165" s="76"/>
      <c r="DV165" s="76"/>
      <c r="DW165" s="76"/>
      <c r="DX165" s="76"/>
      <c r="DY165" s="76"/>
      <c r="DZ165" s="76"/>
      <c r="EA165" s="76"/>
      <c r="EB165" s="76"/>
      <c r="EC165" s="76"/>
      <c r="ED165" s="76"/>
      <c r="EE165" s="76"/>
      <c r="EF165" s="76"/>
      <c r="EG165" s="76"/>
      <c r="EH165" s="76"/>
      <c r="EI165" s="76"/>
      <c r="EJ165" s="76"/>
      <c r="EK165" s="76"/>
      <c r="EL165" s="76"/>
      <c r="EM165" s="76"/>
      <c r="EN165" s="76"/>
      <c r="EO165" s="76"/>
      <c r="EP165" s="76"/>
      <c r="EQ165" s="76"/>
      <c r="ER165" s="76"/>
      <c r="ES165" s="76"/>
      <c r="ET165" s="76"/>
      <c r="EU165" s="76"/>
      <c r="EV165" s="76"/>
      <c r="EW165" s="76"/>
      <c r="EX165" s="76"/>
      <c r="EY165" s="76"/>
      <c r="EZ165" s="76"/>
      <c r="FA165" s="76"/>
      <c r="FB165" s="76"/>
      <c r="FC165" s="76"/>
      <c r="FD165" s="76"/>
      <c r="FE165" s="76"/>
      <c r="FF165" s="76"/>
      <c r="FG165" s="76"/>
      <c r="FH165" s="76"/>
      <c r="FI165" s="76"/>
      <c r="FJ165" s="76"/>
      <c r="FK165" s="76"/>
      <c r="FL165" s="76"/>
      <c r="FM165" s="76"/>
      <c r="FN165" s="76"/>
      <c r="FO165" s="76"/>
      <c r="FP165" s="76"/>
      <c r="FQ165" s="76"/>
      <c r="FR165" s="76"/>
      <c r="FS165" s="76"/>
      <c r="FT165" s="76"/>
      <c r="FU165" s="76"/>
      <c r="FV165" s="76"/>
      <c r="FW165" s="76"/>
      <c r="FX165" s="76"/>
      <c r="FY165" s="76"/>
      <c r="FZ165" s="76"/>
      <c r="GA165" s="76"/>
      <c r="GB165" s="76"/>
      <c r="GC165" s="76"/>
      <c r="GD165" s="76"/>
      <c r="GE165" s="76"/>
      <c r="GF165" s="76"/>
      <c r="GG165" s="76"/>
      <c r="GH165" s="76"/>
      <c r="GI165" s="76"/>
      <c r="GJ165" s="76"/>
      <c r="GK165" s="76"/>
      <c r="GL165" s="76"/>
      <c r="GM165" s="76"/>
      <c r="GN165" s="76"/>
      <c r="GO165" s="76"/>
      <c r="GP165" s="76">
        <v>62427.429213414798</v>
      </c>
      <c r="GQ165" s="76">
        <v>10111.87220107788</v>
      </c>
      <c r="GR165" s="76">
        <v>7115.6985855073226</v>
      </c>
      <c r="GS165" s="76"/>
      <c r="GT165" s="76"/>
      <c r="GU165" s="76"/>
      <c r="GV165" s="76"/>
      <c r="GW165" s="76"/>
      <c r="GX165" s="76"/>
      <c r="GY165" s="76"/>
      <c r="GZ165" s="76"/>
      <c r="HA165" s="76">
        <v>1809</v>
      </c>
      <c r="HB165" s="76"/>
      <c r="HC165" s="76"/>
      <c r="HD165" s="76"/>
      <c r="HE165" s="76">
        <v>1251</v>
      </c>
      <c r="HF165" s="76"/>
      <c r="HG165" s="76"/>
      <c r="HH165" s="76"/>
      <c r="HI165" s="76"/>
      <c r="HJ165" s="76"/>
      <c r="HK165" s="76"/>
      <c r="HL165" s="76"/>
      <c r="HM165" s="76"/>
      <c r="HN165" s="76"/>
      <c r="HO165" s="76"/>
      <c r="HP165" s="76"/>
      <c r="HQ165" s="76"/>
      <c r="HR165" s="76"/>
      <c r="HS165" s="76"/>
      <c r="HT165" s="76"/>
      <c r="HU165" s="76"/>
      <c r="HV165" s="76">
        <v>260958.99999999997</v>
      </c>
    </row>
    <row r="166" spans="1:230" x14ac:dyDescent="0.2">
      <c r="A166" s="74" t="s">
        <v>259</v>
      </c>
      <c r="B166" s="76">
        <v>5</v>
      </c>
      <c r="C166" s="76">
        <v>3</v>
      </c>
      <c r="D166" s="76">
        <v>24</v>
      </c>
      <c r="E166" s="76">
        <v>17</v>
      </c>
      <c r="F166" s="76">
        <v>421</v>
      </c>
      <c r="G166" s="76">
        <v>421</v>
      </c>
      <c r="H166" s="76">
        <v>135</v>
      </c>
      <c r="I166" s="76">
        <v>85</v>
      </c>
      <c r="J166" s="76">
        <v>47</v>
      </c>
      <c r="K166" s="76">
        <v>125</v>
      </c>
      <c r="L166" s="76">
        <v>15</v>
      </c>
      <c r="M166" s="76"/>
      <c r="N166" s="76">
        <v>2</v>
      </c>
      <c r="O166" s="76">
        <v>137</v>
      </c>
      <c r="P166" s="76">
        <v>6</v>
      </c>
      <c r="Q166" s="76">
        <v>697</v>
      </c>
      <c r="R166" s="76">
        <v>1</v>
      </c>
      <c r="S166" s="76"/>
      <c r="T166" s="76"/>
      <c r="U166" s="77">
        <v>73</v>
      </c>
      <c r="V166" s="76">
        <v>207</v>
      </c>
      <c r="W166" s="76">
        <v>144</v>
      </c>
      <c r="X166" s="76">
        <v>19</v>
      </c>
      <c r="Y166" s="76">
        <v>124</v>
      </c>
      <c r="Z166" s="76">
        <v>221</v>
      </c>
      <c r="AA166" s="76">
        <v>331</v>
      </c>
      <c r="AB166" s="76">
        <v>94</v>
      </c>
      <c r="AC166" s="76">
        <v>12</v>
      </c>
      <c r="AD166" s="76">
        <v>321</v>
      </c>
      <c r="AE166" s="76">
        <v>3</v>
      </c>
      <c r="AF166" s="76">
        <v>58</v>
      </c>
      <c r="AG166" s="76">
        <v>486</v>
      </c>
      <c r="AH166" s="76"/>
      <c r="AI166" s="76">
        <v>336</v>
      </c>
      <c r="AJ166" s="76">
        <v>2</v>
      </c>
      <c r="AK166" s="76">
        <v>9</v>
      </c>
      <c r="AL166" s="76">
        <v>81</v>
      </c>
      <c r="AM166" s="76"/>
      <c r="AN166" s="76">
        <v>7</v>
      </c>
      <c r="AO166" s="76">
        <v>76</v>
      </c>
      <c r="AP166" s="76"/>
      <c r="AQ166" s="76">
        <v>53</v>
      </c>
      <c r="AR166" s="76">
        <v>180</v>
      </c>
      <c r="AS166" s="76"/>
      <c r="AT166" s="76"/>
      <c r="AU166" s="76">
        <v>38</v>
      </c>
      <c r="AV166" s="76">
        <v>22</v>
      </c>
      <c r="AW166" s="76">
        <v>70</v>
      </c>
      <c r="AX166" s="76"/>
      <c r="AY166" s="76">
        <v>103</v>
      </c>
      <c r="AZ166" s="76">
        <v>16</v>
      </c>
      <c r="BA166" s="76">
        <v>201</v>
      </c>
      <c r="BB166" s="76">
        <v>368</v>
      </c>
      <c r="BC166" s="76">
        <v>40</v>
      </c>
      <c r="BD166" s="76">
        <v>8</v>
      </c>
      <c r="BE166" s="76">
        <v>775</v>
      </c>
      <c r="BF166" s="76">
        <v>41</v>
      </c>
      <c r="BG166" s="76">
        <v>24</v>
      </c>
      <c r="BH166" s="76">
        <v>243</v>
      </c>
      <c r="BI166" s="76">
        <v>33</v>
      </c>
      <c r="BJ166" s="76">
        <v>2370</v>
      </c>
      <c r="BK166" s="76">
        <v>2085</v>
      </c>
      <c r="BL166" s="76">
        <v>1398</v>
      </c>
      <c r="BM166" s="76">
        <v>834</v>
      </c>
      <c r="BN166" s="76"/>
      <c r="BO166" s="76">
        <v>14</v>
      </c>
      <c r="BP166" s="76">
        <v>1985</v>
      </c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6"/>
      <c r="CK166" s="76"/>
      <c r="CL166" s="76"/>
      <c r="CM166" s="76"/>
      <c r="CN166" s="76"/>
      <c r="CO166" s="76"/>
      <c r="CP166" s="76"/>
      <c r="CQ166" s="76"/>
      <c r="CR166" s="76"/>
      <c r="CS166" s="76"/>
      <c r="CT166" s="76"/>
      <c r="CU166" s="76"/>
      <c r="CV166" s="76"/>
      <c r="CW166" s="76"/>
      <c r="CX166" s="76"/>
      <c r="CY166" s="76"/>
      <c r="CZ166" s="76"/>
      <c r="DA166" s="76"/>
      <c r="DB166" s="76"/>
      <c r="DC166" s="76"/>
      <c r="DD166" s="76"/>
      <c r="DE166" s="76"/>
      <c r="DF166" s="76"/>
      <c r="DG166" s="76"/>
      <c r="DH166" s="76"/>
      <c r="DI166" s="76"/>
      <c r="DJ166" s="76"/>
      <c r="DK166" s="76"/>
      <c r="DL166" s="76"/>
      <c r="DM166" s="76"/>
      <c r="DN166" s="76"/>
      <c r="DO166" s="76"/>
      <c r="DP166" s="76"/>
      <c r="DQ166" s="68"/>
      <c r="DR166" s="76"/>
      <c r="DS166" s="76"/>
      <c r="DT166" s="76"/>
      <c r="DU166" s="76"/>
      <c r="DV166" s="76"/>
      <c r="DW166" s="76"/>
      <c r="DX166" s="76"/>
      <c r="DY166" s="76"/>
      <c r="DZ166" s="76"/>
      <c r="EA166" s="76"/>
      <c r="EB166" s="76"/>
      <c r="EC166" s="76"/>
      <c r="ED166" s="76"/>
      <c r="EE166" s="76"/>
      <c r="EF166" s="76"/>
      <c r="EG166" s="76"/>
      <c r="EH166" s="76"/>
      <c r="EI166" s="76"/>
      <c r="EJ166" s="76"/>
      <c r="EK166" s="76"/>
      <c r="EL166" s="76"/>
      <c r="EM166" s="76"/>
      <c r="EN166" s="76"/>
      <c r="EO166" s="76"/>
      <c r="EP166" s="76"/>
      <c r="EQ166" s="76"/>
      <c r="ER166" s="76"/>
      <c r="ES166" s="76"/>
      <c r="ET166" s="76"/>
      <c r="EU166" s="76"/>
      <c r="EV166" s="76"/>
      <c r="EW166" s="76"/>
      <c r="EX166" s="76"/>
      <c r="EY166" s="76"/>
      <c r="EZ166" s="76"/>
      <c r="FA166" s="76"/>
      <c r="FB166" s="76"/>
      <c r="FC166" s="76"/>
      <c r="FD166" s="76"/>
      <c r="FE166" s="76"/>
      <c r="FF166" s="76"/>
      <c r="FG166" s="76"/>
      <c r="FH166" s="76"/>
      <c r="FI166" s="76"/>
      <c r="FJ166" s="76"/>
      <c r="FK166" s="76"/>
      <c r="FL166" s="76"/>
      <c r="FM166" s="76"/>
      <c r="FN166" s="76"/>
      <c r="FO166" s="76"/>
      <c r="FP166" s="76"/>
      <c r="FQ166" s="76"/>
      <c r="FR166" s="76"/>
      <c r="FS166" s="76"/>
      <c r="FT166" s="76"/>
      <c r="FU166" s="76"/>
      <c r="FV166" s="76"/>
      <c r="FW166" s="76"/>
      <c r="FX166" s="76"/>
      <c r="FY166" s="76"/>
      <c r="FZ166" s="76"/>
      <c r="GA166" s="76"/>
      <c r="GB166" s="76"/>
      <c r="GC166" s="76"/>
      <c r="GD166" s="76"/>
      <c r="GE166" s="76"/>
      <c r="GF166" s="76"/>
      <c r="GG166" s="76"/>
      <c r="GH166" s="76"/>
      <c r="GI166" s="76"/>
      <c r="GJ166" s="76"/>
      <c r="GK166" s="76"/>
      <c r="GL166" s="76"/>
      <c r="GM166" s="76"/>
      <c r="GN166" s="76"/>
      <c r="GO166" s="76"/>
      <c r="GP166" s="76"/>
      <c r="GQ166" s="76"/>
      <c r="GR166" s="76"/>
      <c r="GS166" s="76"/>
      <c r="GT166" s="76"/>
      <c r="GU166" s="76"/>
      <c r="GV166" s="76"/>
      <c r="GW166" s="76"/>
      <c r="GX166" s="76"/>
      <c r="GY166" s="76"/>
      <c r="GZ166" s="76"/>
      <c r="HA166" s="76">
        <v>95017</v>
      </c>
      <c r="HB166" s="76"/>
      <c r="HC166" s="76"/>
      <c r="HD166" s="76"/>
      <c r="HE166" s="76">
        <v>460</v>
      </c>
      <c r="HF166" s="76"/>
      <c r="HG166" s="76"/>
      <c r="HH166" s="76"/>
      <c r="HI166" s="76"/>
      <c r="HJ166" s="76"/>
      <c r="HK166" s="76"/>
      <c r="HL166" s="76"/>
      <c r="HM166" s="76"/>
      <c r="HN166" s="76"/>
      <c r="HO166" s="76"/>
      <c r="HP166" s="76"/>
      <c r="HQ166" s="76"/>
      <c r="HR166" s="76"/>
      <c r="HS166" s="76"/>
      <c r="HT166" s="76"/>
      <c r="HU166" s="76"/>
      <c r="HV166" s="76">
        <v>111123</v>
      </c>
    </row>
    <row r="167" spans="1:230" x14ac:dyDescent="0.2">
      <c r="A167" s="74" t="s">
        <v>260</v>
      </c>
      <c r="B167" s="76"/>
      <c r="C167" s="76"/>
      <c r="D167" s="76"/>
      <c r="E167" s="76"/>
      <c r="F167" s="76">
        <v>8598</v>
      </c>
      <c r="G167" s="76"/>
      <c r="H167" s="76">
        <v>19</v>
      </c>
      <c r="I167" s="76">
        <v>1848</v>
      </c>
      <c r="J167" s="76">
        <v>150</v>
      </c>
      <c r="K167" s="76">
        <v>536</v>
      </c>
      <c r="L167" s="76">
        <v>2</v>
      </c>
      <c r="M167" s="76">
        <v>1</v>
      </c>
      <c r="N167" s="76">
        <v>12</v>
      </c>
      <c r="O167" s="76">
        <v>18</v>
      </c>
      <c r="P167" s="76">
        <v>9</v>
      </c>
      <c r="Q167" s="76">
        <v>241</v>
      </c>
      <c r="R167" s="76">
        <v>1925</v>
      </c>
      <c r="S167" s="76">
        <v>24</v>
      </c>
      <c r="T167" s="76">
        <v>83</v>
      </c>
      <c r="U167" s="77">
        <v>15</v>
      </c>
      <c r="V167" s="76">
        <v>1081</v>
      </c>
      <c r="W167" s="76">
        <v>16</v>
      </c>
      <c r="X167" s="76">
        <v>59</v>
      </c>
      <c r="Y167" s="76">
        <v>3</v>
      </c>
      <c r="Z167" s="76">
        <v>62</v>
      </c>
      <c r="AA167" s="76">
        <v>164</v>
      </c>
      <c r="AB167" s="76">
        <v>479</v>
      </c>
      <c r="AC167" s="76">
        <v>16</v>
      </c>
      <c r="AD167" s="76">
        <v>47</v>
      </c>
      <c r="AE167" s="76">
        <v>49</v>
      </c>
      <c r="AF167" s="76">
        <v>61</v>
      </c>
      <c r="AG167" s="76">
        <v>364</v>
      </c>
      <c r="AH167" s="76">
        <v>311</v>
      </c>
      <c r="AI167" s="76">
        <v>119</v>
      </c>
      <c r="AJ167" s="76">
        <v>166</v>
      </c>
      <c r="AK167" s="76">
        <v>1</v>
      </c>
      <c r="AL167" s="76">
        <v>10</v>
      </c>
      <c r="AM167" s="76"/>
      <c r="AN167" s="76"/>
      <c r="AO167" s="76">
        <v>6</v>
      </c>
      <c r="AP167" s="76">
        <v>2</v>
      </c>
      <c r="AQ167" s="76">
        <v>1470</v>
      </c>
      <c r="AR167" s="76">
        <v>1083</v>
      </c>
      <c r="AS167" s="76">
        <v>1743</v>
      </c>
      <c r="AT167" s="76"/>
      <c r="AU167" s="76">
        <v>79</v>
      </c>
      <c r="AV167" s="76"/>
      <c r="AW167" s="76">
        <v>24</v>
      </c>
      <c r="AX167" s="76"/>
      <c r="AY167" s="76">
        <v>3</v>
      </c>
      <c r="AZ167" s="76"/>
      <c r="BA167" s="76">
        <v>21</v>
      </c>
      <c r="BB167" s="76"/>
      <c r="BC167" s="76"/>
      <c r="BD167" s="76">
        <v>1</v>
      </c>
      <c r="BE167" s="76">
        <v>3</v>
      </c>
      <c r="BF167" s="76"/>
      <c r="BG167" s="76"/>
      <c r="BH167" s="76">
        <v>328</v>
      </c>
      <c r="BI167" s="76">
        <v>1</v>
      </c>
      <c r="BJ167" s="76"/>
      <c r="BK167" s="76"/>
      <c r="BL167" s="76"/>
      <c r="BM167" s="76"/>
      <c r="BN167" s="76"/>
      <c r="BO167" s="76">
        <v>1</v>
      </c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6"/>
      <c r="CK167" s="76"/>
      <c r="CL167" s="76"/>
      <c r="CM167" s="76"/>
      <c r="CN167" s="76"/>
      <c r="CO167" s="76"/>
      <c r="CP167" s="76"/>
      <c r="CQ167" s="76"/>
      <c r="CR167" s="76"/>
      <c r="CS167" s="76"/>
      <c r="CT167" s="76"/>
      <c r="CU167" s="76"/>
      <c r="CV167" s="76"/>
      <c r="CW167" s="76"/>
      <c r="CX167" s="76"/>
      <c r="CY167" s="76"/>
      <c r="CZ167" s="76"/>
      <c r="DA167" s="76"/>
      <c r="DB167" s="76"/>
      <c r="DC167" s="76"/>
      <c r="DD167" s="76"/>
      <c r="DE167" s="76"/>
      <c r="DF167" s="76"/>
      <c r="DG167" s="76"/>
      <c r="DH167" s="76"/>
      <c r="DI167" s="76"/>
      <c r="DJ167" s="76"/>
      <c r="DK167" s="76"/>
      <c r="DL167" s="76"/>
      <c r="DM167" s="76"/>
      <c r="DN167" s="76"/>
      <c r="DO167" s="76"/>
      <c r="DP167" s="76"/>
      <c r="DQ167" s="68"/>
      <c r="DR167" s="76"/>
      <c r="DS167" s="76"/>
      <c r="DT167" s="76"/>
      <c r="DU167" s="76"/>
      <c r="DV167" s="76"/>
      <c r="DW167" s="76"/>
      <c r="DX167" s="76"/>
      <c r="DY167" s="76"/>
      <c r="DZ167" s="76"/>
      <c r="EA167" s="76"/>
      <c r="EB167" s="76"/>
      <c r="EC167" s="76"/>
      <c r="ED167" s="76"/>
      <c r="EE167" s="76"/>
      <c r="EF167" s="76"/>
      <c r="EG167" s="76"/>
      <c r="EH167" s="76"/>
      <c r="EI167" s="76"/>
      <c r="EJ167" s="76"/>
      <c r="EK167" s="76"/>
      <c r="EL167" s="76"/>
      <c r="EM167" s="76"/>
      <c r="EN167" s="76"/>
      <c r="EO167" s="76"/>
      <c r="EP167" s="76"/>
      <c r="EQ167" s="76"/>
      <c r="ER167" s="76"/>
      <c r="ES167" s="76"/>
      <c r="ET167" s="76"/>
      <c r="EU167" s="76"/>
      <c r="EV167" s="76"/>
      <c r="EW167" s="76"/>
      <c r="EX167" s="76"/>
      <c r="EY167" s="76"/>
      <c r="EZ167" s="76"/>
      <c r="FA167" s="76"/>
      <c r="FB167" s="76"/>
      <c r="FC167" s="76"/>
      <c r="FD167" s="76"/>
      <c r="FE167" s="76"/>
      <c r="FF167" s="76"/>
      <c r="FG167" s="76"/>
      <c r="FH167" s="76"/>
      <c r="FI167" s="76"/>
      <c r="FJ167" s="76"/>
      <c r="FK167" s="76"/>
      <c r="FL167" s="76"/>
      <c r="FM167" s="76"/>
      <c r="FN167" s="76"/>
      <c r="FO167" s="76"/>
      <c r="FP167" s="76"/>
      <c r="FQ167" s="76"/>
      <c r="FR167" s="76"/>
      <c r="FS167" s="76"/>
      <c r="FT167" s="76"/>
      <c r="FU167" s="76"/>
      <c r="FV167" s="76"/>
      <c r="FW167" s="76"/>
      <c r="FX167" s="76"/>
      <c r="FY167" s="76"/>
      <c r="FZ167" s="76"/>
      <c r="GA167" s="76"/>
      <c r="GB167" s="76"/>
      <c r="GC167" s="76"/>
      <c r="GD167" s="76"/>
      <c r="GE167" s="76"/>
      <c r="GF167" s="76"/>
      <c r="GG167" s="76"/>
      <c r="GH167" s="76"/>
      <c r="GI167" s="76"/>
      <c r="GJ167" s="76"/>
      <c r="GK167" s="76"/>
      <c r="GL167" s="76"/>
      <c r="GM167" s="76"/>
      <c r="GN167" s="76"/>
      <c r="GO167" s="76"/>
      <c r="GP167" s="76">
        <v>1645.8176052748865</v>
      </c>
      <c r="GQ167" s="76">
        <v>266.586298691401</v>
      </c>
      <c r="GR167" s="76">
        <v>187.5960960337126</v>
      </c>
      <c r="GS167" s="76"/>
      <c r="GT167" s="76"/>
      <c r="GU167" s="76"/>
      <c r="GV167" s="76"/>
      <c r="GW167" s="76"/>
      <c r="GX167" s="76"/>
      <c r="GY167" s="76"/>
      <c r="GZ167" s="76"/>
      <c r="HA167" s="76">
        <v>2081</v>
      </c>
      <c r="HB167" s="76"/>
      <c r="HC167" s="76"/>
      <c r="HD167" s="76"/>
      <c r="HE167" s="76">
        <v>6819</v>
      </c>
      <c r="HF167" s="76"/>
      <c r="HG167" s="76"/>
      <c r="HH167" s="76"/>
      <c r="HI167" s="76"/>
      <c r="HJ167" s="76"/>
      <c r="HK167" s="76"/>
      <c r="HL167" s="76"/>
      <c r="HM167" s="76"/>
      <c r="HN167" s="76"/>
      <c r="HO167" s="76"/>
      <c r="HP167" s="76"/>
      <c r="HQ167" s="76"/>
      <c r="HR167" s="76"/>
      <c r="HS167" s="76"/>
      <c r="HT167" s="76"/>
      <c r="HU167" s="76"/>
      <c r="HV167" s="76">
        <v>32254</v>
      </c>
    </row>
    <row r="168" spans="1:230" x14ac:dyDescent="0.2">
      <c r="A168" s="74" t="s">
        <v>261</v>
      </c>
      <c r="B168" s="76">
        <v>1</v>
      </c>
      <c r="C168" s="76"/>
      <c r="D168" s="76">
        <v>2</v>
      </c>
      <c r="E168" s="76">
        <v>4</v>
      </c>
      <c r="F168" s="76">
        <v>2470</v>
      </c>
      <c r="G168" s="76">
        <v>14</v>
      </c>
      <c r="H168" s="76">
        <v>37</v>
      </c>
      <c r="I168" s="76">
        <v>314</v>
      </c>
      <c r="J168" s="76">
        <v>9</v>
      </c>
      <c r="K168" s="76">
        <v>273</v>
      </c>
      <c r="L168" s="76">
        <v>51</v>
      </c>
      <c r="M168" s="76">
        <v>25</v>
      </c>
      <c r="N168" s="76">
        <v>34</v>
      </c>
      <c r="O168" s="76">
        <v>40</v>
      </c>
      <c r="P168" s="76">
        <v>64</v>
      </c>
      <c r="Q168" s="76">
        <v>50</v>
      </c>
      <c r="R168" s="76">
        <v>105</v>
      </c>
      <c r="S168" s="76">
        <v>20</v>
      </c>
      <c r="T168" s="76">
        <v>41</v>
      </c>
      <c r="U168" s="77">
        <v>6</v>
      </c>
      <c r="V168" s="76">
        <v>302</v>
      </c>
      <c r="W168" s="76">
        <v>273</v>
      </c>
      <c r="X168" s="76">
        <v>13</v>
      </c>
      <c r="Y168" s="76">
        <v>139</v>
      </c>
      <c r="Z168" s="76">
        <v>49</v>
      </c>
      <c r="AA168" s="76">
        <v>123</v>
      </c>
      <c r="AB168" s="76">
        <v>99</v>
      </c>
      <c r="AC168" s="76">
        <v>13</v>
      </c>
      <c r="AD168" s="76">
        <v>60</v>
      </c>
      <c r="AE168" s="76">
        <v>287</v>
      </c>
      <c r="AF168" s="76">
        <v>181</v>
      </c>
      <c r="AG168" s="76">
        <v>214</v>
      </c>
      <c r="AH168" s="76">
        <v>268</v>
      </c>
      <c r="AI168" s="76">
        <v>114</v>
      </c>
      <c r="AJ168" s="76">
        <v>62</v>
      </c>
      <c r="AK168" s="76">
        <v>43</v>
      </c>
      <c r="AL168" s="76">
        <v>86</v>
      </c>
      <c r="AM168" s="76">
        <v>606</v>
      </c>
      <c r="AN168" s="76">
        <v>50</v>
      </c>
      <c r="AO168" s="76">
        <v>1266</v>
      </c>
      <c r="AP168" s="76">
        <v>226</v>
      </c>
      <c r="AQ168" s="76">
        <v>3683</v>
      </c>
      <c r="AR168" s="76">
        <v>252</v>
      </c>
      <c r="AS168" s="76">
        <v>113</v>
      </c>
      <c r="AT168" s="76">
        <v>16</v>
      </c>
      <c r="AU168" s="76">
        <v>849</v>
      </c>
      <c r="AV168" s="76">
        <v>79</v>
      </c>
      <c r="AW168" s="76">
        <v>60</v>
      </c>
      <c r="AX168" s="76">
        <v>16</v>
      </c>
      <c r="AY168" s="76">
        <v>173</v>
      </c>
      <c r="AZ168" s="76">
        <v>192</v>
      </c>
      <c r="BA168" s="76">
        <v>750</v>
      </c>
      <c r="BB168" s="76">
        <v>2507</v>
      </c>
      <c r="BC168" s="76">
        <v>69</v>
      </c>
      <c r="BD168" s="76">
        <v>1015</v>
      </c>
      <c r="BE168" s="76">
        <v>315</v>
      </c>
      <c r="BF168" s="76">
        <v>613</v>
      </c>
      <c r="BG168" s="76">
        <v>90</v>
      </c>
      <c r="BH168" s="76">
        <v>370</v>
      </c>
      <c r="BI168" s="76">
        <v>26</v>
      </c>
      <c r="BJ168" s="76">
        <v>1087</v>
      </c>
      <c r="BK168" s="76">
        <v>345</v>
      </c>
      <c r="BL168" s="76">
        <v>2407</v>
      </c>
      <c r="BM168" s="76">
        <v>406</v>
      </c>
      <c r="BN168" s="76"/>
      <c r="BO168" s="76">
        <v>108</v>
      </c>
      <c r="BP168" s="76">
        <v>7275</v>
      </c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6"/>
      <c r="CK168" s="76"/>
      <c r="CL168" s="76"/>
      <c r="CM168" s="76"/>
      <c r="CN168" s="76"/>
      <c r="CO168" s="76"/>
      <c r="CP168" s="76"/>
      <c r="CQ168" s="76"/>
      <c r="CR168" s="76"/>
      <c r="CS168" s="76"/>
      <c r="CT168" s="76"/>
      <c r="CU168" s="76"/>
      <c r="CV168" s="76"/>
      <c r="CW168" s="76"/>
      <c r="CX168" s="76"/>
      <c r="CY168" s="76"/>
      <c r="CZ168" s="76"/>
      <c r="DA168" s="76"/>
      <c r="DB168" s="76"/>
      <c r="DC168" s="76"/>
      <c r="DD168" s="76"/>
      <c r="DE168" s="76"/>
      <c r="DF168" s="76"/>
      <c r="DG168" s="76"/>
      <c r="DH168" s="76"/>
      <c r="DI168" s="76"/>
      <c r="DJ168" s="76"/>
      <c r="DK168" s="76"/>
      <c r="DL168" s="76"/>
      <c r="DM168" s="76"/>
      <c r="DN168" s="76"/>
      <c r="DO168" s="76"/>
      <c r="DP168" s="76"/>
      <c r="DQ168" s="68"/>
      <c r="DR168" s="76"/>
      <c r="DS168" s="76"/>
      <c r="DT168" s="76"/>
      <c r="DU168" s="76"/>
      <c r="DV168" s="76"/>
      <c r="DW168" s="76"/>
      <c r="DX168" s="76"/>
      <c r="DY168" s="76"/>
      <c r="DZ168" s="76"/>
      <c r="EA168" s="76"/>
      <c r="EB168" s="76"/>
      <c r="EC168" s="76"/>
      <c r="ED168" s="76"/>
      <c r="EE168" s="76"/>
      <c r="EF168" s="76"/>
      <c r="EG168" s="76"/>
      <c r="EH168" s="76"/>
      <c r="EI168" s="76"/>
      <c r="EJ168" s="76"/>
      <c r="EK168" s="76"/>
      <c r="EL168" s="76"/>
      <c r="EM168" s="76"/>
      <c r="EN168" s="76"/>
      <c r="EO168" s="76"/>
      <c r="EP168" s="76"/>
      <c r="EQ168" s="76"/>
      <c r="ER168" s="76"/>
      <c r="ES168" s="76"/>
      <c r="ET168" s="76"/>
      <c r="EU168" s="76"/>
      <c r="EV168" s="76"/>
      <c r="EW168" s="76"/>
      <c r="EX168" s="76"/>
      <c r="EY168" s="76"/>
      <c r="EZ168" s="76"/>
      <c r="FA168" s="76"/>
      <c r="FB168" s="76"/>
      <c r="FC168" s="76"/>
      <c r="FD168" s="76"/>
      <c r="FE168" s="76"/>
      <c r="FF168" s="76"/>
      <c r="FG168" s="76"/>
      <c r="FH168" s="76"/>
      <c r="FI168" s="76"/>
      <c r="FJ168" s="76"/>
      <c r="FK168" s="76"/>
      <c r="FL168" s="76"/>
      <c r="FM168" s="76"/>
      <c r="FN168" s="76"/>
      <c r="FO168" s="76"/>
      <c r="FP168" s="76"/>
      <c r="FQ168" s="76"/>
      <c r="FR168" s="76"/>
      <c r="FS168" s="76"/>
      <c r="FT168" s="76"/>
      <c r="FU168" s="76"/>
      <c r="FV168" s="76"/>
      <c r="FW168" s="76"/>
      <c r="FX168" s="76"/>
      <c r="FY168" s="76"/>
      <c r="FZ168" s="76"/>
      <c r="GA168" s="76"/>
      <c r="GB168" s="76"/>
      <c r="GC168" s="76"/>
      <c r="GD168" s="76"/>
      <c r="GE168" s="76"/>
      <c r="GF168" s="76"/>
      <c r="GG168" s="76"/>
      <c r="GH168" s="76"/>
      <c r="GI168" s="76"/>
      <c r="GJ168" s="76"/>
      <c r="GK168" s="76"/>
      <c r="GL168" s="76"/>
      <c r="GM168" s="76"/>
      <c r="GN168" s="76"/>
      <c r="GO168" s="76"/>
      <c r="GP168" s="76"/>
      <c r="GQ168" s="76"/>
      <c r="GR168" s="76"/>
      <c r="GS168" s="76"/>
      <c r="GT168" s="76"/>
      <c r="GU168" s="76"/>
      <c r="GV168" s="76"/>
      <c r="GW168" s="76"/>
      <c r="GX168" s="76"/>
      <c r="GY168" s="76"/>
      <c r="GZ168" s="76"/>
      <c r="HA168" s="76">
        <v>12062</v>
      </c>
      <c r="HB168" s="76"/>
      <c r="HC168" s="76"/>
      <c r="HD168" s="76"/>
      <c r="HE168" s="76">
        <v>5948</v>
      </c>
      <c r="HF168" s="76"/>
      <c r="HG168" s="76"/>
      <c r="HH168" s="76"/>
      <c r="HI168" s="76"/>
      <c r="HJ168" s="76"/>
      <c r="HK168" s="76"/>
      <c r="HL168" s="76"/>
      <c r="HM168" s="76"/>
      <c r="HN168" s="76"/>
      <c r="HO168" s="76"/>
      <c r="HP168" s="76"/>
      <c r="HQ168" s="76"/>
      <c r="HR168" s="76"/>
      <c r="HS168" s="76"/>
      <c r="HT168" s="76"/>
      <c r="HU168" s="76"/>
      <c r="HV168" s="76">
        <v>48860</v>
      </c>
    </row>
    <row r="169" spans="1:230" x14ac:dyDescent="0.2">
      <c r="A169" s="74" t="s">
        <v>262</v>
      </c>
      <c r="B169" s="76">
        <v>1048</v>
      </c>
      <c r="C169" s="76">
        <v>53</v>
      </c>
      <c r="D169" s="76">
        <v>250</v>
      </c>
      <c r="E169" s="76">
        <v>26</v>
      </c>
      <c r="F169" s="76">
        <v>3810</v>
      </c>
      <c r="G169" s="76">
        <v>2377</v>
      </c>
      <c r="H169" s="76">
        <v>523</v>
      </c>
      <c r="I169" s="76">
        <v>2928</v>
      </c>
      <c r="J169" s="76">
        <v>1998</v>
      </c>
      <c r="K169" s="76">
        <v>3640</v>
      </c>
      <c r="L169" s="76">
        <v>2186</v>
      </c>
      <c r="M169" s="76">
        <v>26</v>
      </c>
      <c r="N169" s="76">
        <v>107</v>
      </c>
      <c r="O169" s="76">
        <v>5</v>
      </c>
      <c r="P169" s="76">
        <v>80</v>
      </c>
      <c r="Q169" s="76">
        <v>217</v>
      </c>
      <c r="R169" s="76">
        <v>1165</v>
      </c>
      <c r="S169" s="76">
        <v>141</v>
      </c>
      <c r="T169" s="76">
        <v>682</v>
      </c>
      <c r="U169" s="77">
        <v>903</v>
      </c>
      <c r="V169" s="76">
        <v>1049</v>
      </c>
      <c r="W169" s="76">
        <v>397</v>
      </c>
      <c r="X169" s="76">
        <v>421</v>
      </c>
      <c r="Y169" s="76">
        <v>548</v>
      </c>
      <c r="Z169" s="76">
        <v>193</v>
      </c>
      <c r="AA169" s="76">
        <v>249</v>
      </c>
      <c r="AB169" s="76">
        <v>2850</v>
      </c>
      <c r="AC169" s="76">
        <v>136</v>
      </c>
      <c r="AD169" s="76">
        <v>898</v>
      </c>
      <c r="AE169" s="76">
        <v>538</v>
      </c>
      <c r="AF169" s="76">
        <v>878</v>
      </c>
      <c r="AG169" s="76">
        <v>277</v>
      </c>
      <c r="AH169" s="76">
        <v>4026</v>
      </c>
      <c r="AI169" s="76">
        <v>589</v>
      </c>
      <c r="AJ169" s="76">
        <v>355</v>
      </c>
      <c r="AK169" s="76">
        <v>219</v>
      </c>
      <c r="AL169" s="76">
        <v>213</v>
      </c>
      <c r="AM169" s="76">
        <v>103</v>
      </c>
      <c r="AN169" s="76">
        <v>11</v>
      </c>
      <c r="AO169" s="76">
        <v>285</v>
      </c>
      <c r="AP169" s="76">
        <v>307</v>
      </c>
      <c r="AQ169" s="76">
        <v>12851</v>
      </c>
      <c r="AR169" s="76">
        <v>9795</v>
      </c>
      <c r="AS169" s="76">
        <v>2746</v>
      </c>
      <c r="AT169" s="76">
        <v>5229</v>
      </c>
      <c r="AU169" s="76">
        <v>3628</v>
      </c>
      <c r="AV169" s="76">
        <v>2</v>
      </c>
      <c r="AW169" s="76">
        <v>36</v>
      </c>
      <c r="AX169" s="76">
        <v>17</v>
      </c>
      <c r="AY169" s="76">
        <v>46</v>
      </c>
      <c r="AZ169" s="76">
        <v>117</v>
      </c>
      <c r="BA169" s="76">
        <v>19</v>
      </c>
      <c r="BB169" s="76">
        <v>154</v>
      </c>
      <c r="BC169" s="76">
        <v>1</v>
      </c>
      <c r="BD169" s="76">
        <v>75</v>
      </c>
      <c r="BE169" s="76">
        <v>86</v>
      </c>
      <c r="BF169" s="76">
        <v>217</v>
      </c>
      <c r="BG169" s="76">
        <v>31</v>
      </c>
      <c r="BH169" s="76">
        <v>149</v>
      </c>
      <c r="BI169" s="76">
        <v>40</v>
      </c>
      <c r="BJ169" s="76">
        <v>1720</v>
      </c>
      <c r="BK169" s="76">
        <v>121</v>
      </c>
      <c r="BL169" s="76"/>
      <c r="BM169" s="76">
        <v>170</v>
      </c>
      <c r="BN169" s="76"/>
      <c r="BO169" s="76">
        <v>2</v>
      </c>
      <c r="BP169" s="76">
        <v>989</v>
      </c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6"/>
      <c r="CT169" s="76"/>
      <c r="CU169" s="76"/>
      <c r="CV169" s="76"/>
      <c r="CW169" s="76"/>
      <c r="CX169" s="76"/>
      <c r="CY169" s="76"/>
      <c r="CZ169" s="76"/>
      <c r="DA169" s="76"/>
      <c r="DB169" s="76"/>
      <c r="DC169" s="76"/>
      <c r="DD169" s="76"/>
      <c r="DE169" s="76"/>
      <c r="DF169" s="76"/>
      <c r="DG169" s="76"/>
      <c r="DH169" s="76"/>
      <c r="DI169" s="76"/>
      <c r="DJ169" s="76"/>
      <c r="DK169" s="76"/>
      <c r="DL169" s="76"/>
      <c r="DM169" s="76"/>
      <c r="DN169" s="76"/>
      <c r="DO169" s="76"/>
      <c r="DP169" s="76"/>
      <c r="DQ169" s="68"/>
      <c r="DR169" s="76"/>
      <c r="DS169" s="76"/>
      <c r="DT169" s="76"/>
      <c r="DU169" s="76"/>
      <c r="DV169" s="76"/>
      <c r="DW169" s="76"/>
      <c r="DX169" s="76"/>
      <c r="DY169" s="76"/>
      <c r="DZ169" s="76"/>
      <c r="EA169" s="76"/>
      <c r="EB169" s="76"/>
      <c r="EC169" s="76"/>
      <c r="ED169" s="76"/>
      <c r="EE169" s="76"/>
      <c r="EF169" s="76"/>
      <c r="EG169" s="76"/>
      <c r="EH169" s="76"/>
      <c r="EI169" s="76"/>
      <c r="EJ169" s="76"/>
      <c r="EK169" s="76"/>
      <c r="EL169" s="76"/>
      <c r="EM169" s="76"/>
      <c r="EN169" s="76"/>
      <c r="EO169" s="76"/>
      <c r="EP169" s="76"/>
      <c r="EQ169" s="76"/>
      <c r="ER169" s="76"/>
      <c r="ES169" s="76"/>
      <c r="ET169" s="76"/>
      <c r="EU169" s="76"/>
      <c r="EV169" s="76"/>
      <c r="EW169" s="76"/>
      <c r="EX169" s="76"/>
      <c r="EY169" s="76"/>
      <c r="EZ169" s="76"/>
      <c r="FA169" s="76"/>
      <c r="FB169" s="76"/>
      <c r="FC169" s="76"/>
      <c r="FD169" s="76"/>
      <c r="FE169" s="76"/>
      <c r="FF169" s="76"/>
      <c r="FG169" s="76"/>
      <c r="FH169" s="76"/>
      <c r="FI169" s="76"/>
      <c r="FJ169" s="76"/>
      <c r="FK169" s="76"/>
      <c r="FL169" s="76"/>
      <c r="FM169" s="76"/>
      <c r="FN169" s="76"/>
      <c r="FO169" s="76"/>
      <c r="FP169" s="76"/>
      <c r="FQ169" s="76"/>
      <c r="FR169" s="76"/>
      <c r="FS169" s="76"/>
      <c r="FT169" s="76"/>
      <c r="FU169" s="76"/>
      <c r="FV169" s="76"/>
      <c r="FW169" s="76"/>
      <c r="FX169" s="76"/>
      <c r="FY169" s="76"/>
      <c r="FZ169" s="76"/>
      <c r="GA169" s="76"/>
      <c r="GB169" s="76"/>
      <c r="GC169" s="76"/>
      <c r="GD169" s="76"/>
      <c r="GE169" s="76"/>
      <c r="GF169" s="76"/>
      <c r="GG169" s="76"/>
      <c r="GH169" s="76"/>
      <c r="GI169" s="76"/>
      <c r="GJ169" s="76"/>
      <c r="GK169" s="76"/>
      <c r="GL169" s="76"/>
      <c r="GM169" s="76"/>
      <c r="GN169" s="76"/>
      <c r="GO169" s="76"/>
      <c r="GP169" s="76"/>
      <c r="GQ169" s="76"/>
      <c r="GR169" s="76"/>
      <c r="GS169" s="76"/>
      <c r="GT169" s="76"/>
      <c r="GU169" s="76"/>
      <c r="GV169" s="76"/>
      <c r="GW169" s="76"/>
      <c r="GX169" s="76"/>
      <c r="GY169" s="76"/>
      <c r="GZ169" s="76"/>
      <c r="HA169" s="76">
        <v>28937</v>
      </c>
      <c r="HB169" s="76"/>
      <c r="HC169" s="76"/>
      <c r="HD169" s="76"/>
      <c r="HE169" s="76">
        <v>9686</v>
      </c>
      <c r="HF169" s="76"/>
      <c r="HG169" s="76"/>
      <c r="HH169" s="76"/>
      <c r="HI169" s="76"/>
      <c r="HJ169" s="76"/>
      <c r="HK169" s="76"/>
      <c r="HL169" s="76"/>
      <c r="HM169" s="76"/>
      <c r="HN169" s="76"/>
      <c r="HO169" s="76"/>
      <c r="HP169" s="76"/>
      <c r="HQ169" s="76"/>
      <c r="HR169" s="76"/>
      <c r="HS169" s="76"/>
      <c r="HT169" s="76"/>
      <c r="HU169" s="76"/>
      <c r="HV169" s="76">
        <v>113571</v>
      </c>
    </row>
    <row r="170" spans="1:230" x14ac:dyDescent="0.2">
      <c r="A170" s="74" t="s">
        <v>263</v>
      </c>
      <c r="B170" s="76">
        <v>1</v>
      </c>
      <c r="C170" s="76"/>
      <c r="D170" s="76">
        <v>1</v>
      </c>
      <c r="E170" s="76">
        <v>3</v>
      </c>
      <c r="F170" s="76">
        <v>41</v>
      </c>
      <c r="G170" s="76"/>
      <c r="H170" s="76">
        <v>22</v>
      </c>
      <c r="I170" s="76">
        <v>101</v>
      </c>
      <c r="J170" s="76">
        <v>85</v>
      </c>
      <c r="K170" s="76">
        <v>178</v>
      </c>
      <c r="L170" s="76">
        <v>28</v>
      </c>
      <c r="M170" s="76">
        <v>7</v>
      </c>
      <c r="N170" s="76">
        <v>76</v>
      </c>
      <c r="O170" s="76">
        <v>117</v>
      </c>
      <c r="P170" s="76">
        <v>122</v>
      </c>
      <c r="Q170" s="76">
        <v>25</v>
      </c>
      <c r="R170" s="76">
        <v>181</v>
      </c>
      <c r="S170" s="76">
        <v>49</v>
      </c>
      <c r="T170" s="76">
        <v>39</v>
      </c>
      <c r="U170" s="77">
        <v>26</v>
      </c>
      <c r="V170" s="76">
        <v>57</v>
      </c>
      <c r="W170" s="76">
        <v>387</v>
      </c>
      <c r="X170" s="76">
        <v>19</v>
      </c>
      <c r="Y170" s="76">
        <v>118</v>
      </c>
      <c r="Z170" s="76">
        <v>82</v>
      </c>
      <c r="AA170" s="76">
        <v>99</v>
      </c>
      <c r="AB170" s="76">
        <v>26</v>
      </c>
      <c r="AC170" s="76">
        <v>12</v>
      </c>
      <c r="AD170" s="76">
        <v>98</v>
      </c>
      <c r="AE170" s="76">
        <v>203</v>
      </c>
      <c r="AF170" s="76">
        <v>95</v>
      </c>
      <c r="AG170" s="76">
        <v>64</v>
      </c>
      <c r="AH170" s="76">
        <v>186</v>
      </c>
      <c r="AI170" s="76">
        <v>157</v>
      </c>
      <c r="AJ170" s="76">
        <v>89</v>
      </c>
      <c r="AK170" s="76">
        <v>161</v>
      </c>
      <c r="AL170" s="76">
        <v>22</v>
      </c>
      <c r="AM170" s="76">
        <v>649</v>
      </c>
      <c r="AN170" s="76">
        <v>15</v>
      </c>
      <c r="AO170" s="76">
        <v>404</v>
      </c>
      <c r="AP170" s="76">
        <v>469</v>
      </c>
      <c r="AQ170" s="76">
        <v>4637</v>
      </c>
      <c r="AR170" s="76">
        <v>194</v>
      </c>
      <c r="AS170" s="76">
        <v>12</v>
      </c>
      <c r="AT170" s="76">
        <v>10</v>
      </c>
      <c r="AU170" s="76">
        <v>1555</v>
      </c>
      <c r="AV170" s="76">
        <v>65</v>
      </c>
      <c r="AW170" s="76">
        <v>256</v>
      </c>
      <c r="AX170" s="76">
        <v>47</v>
      </c>
      <c r="AY170" s="76">
        <v>45</v>
      </c>
      <c r="AZ170" s="76">
        <v>499</v>
      </c>
      <c r="BA170" s="76">
        <v>148</v>
      </c>
      <c r="BB170" s="76">
        <v>4140</v>
      </c>
      <c r="BC170" s="76">
        <v>235</v>
      </c>
      <c r="BD170" s="76">
        <v>597</v>
      </c>
      <c r="BE170" s="76">
        <v>150</v>
      </c>
      <c r="BF170" s="76">
        <v>77</v>
      </c>
      <c r="BG170" s="76">
        <v>191</v>
      </c>
      <c r="BH170" s="76">
        <v>600</v>
      </c>
      <c r="BI170" s="76">
        <v>42</v>
      </c>
      <c r="BJ170" s="76">
        <v>2053</v>
      </c>
      <c r="BK170" s="76">
        <v>204</v>
      </c>
      <c r="BL170" s="76">
        <v>517</v>
      </c>
      <c r="BM170" s="76">
        <v>260</v>
      </c>
      <c r="BN170" s="76">
        <v>331</v>
      </c>
      <c r="BO170" s="76">
        <v>66</v>
      </c>
      <c r="BP170" s="76">
        <v>458</v>
      </c>
      <c r="BQ170" s="76"/>
      <c r="BR170" s="76"/>
      <c r="BS170" s="76"/>
      <c r="BT170" s="76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6"/>
      <c r="CI170" s="76"/>
      <c r="CJ170" s="76"/>
      <c r="CK170" s="76"/>
      <c r="CL170" s="76"/>
      <c r="CM170" s="76"/>
      <c r="CN170" s="76"/>
      <c r="CO170" s="76"/>
      <c r="CP170" s="76"/>
      <c r="CQ170" s="76"/>
      <c r="CR170" s="76"/>
      <c r="CS170" s="76"/>
      <c r="CT170" s="76"/>
      <c r="CU170" s="76"/>
      <c r="CV170" s="76"/>
      <c r="CW170" s="76"/>
      <c r="CX170" s="76"/>
      <c r="CY170" s="76"/>
      <c r="CZ170" s="76"/>
      <c r="DA170" s="76"/>
      <c r="DB170" s="76"/>
      <c r="DC170" s="76"/>
      <c r="DD170" s="76"/>
      <c r="DE170" s="76"/>
      <c r="DF170" s="76"/>
      <c r="DG170" s="76"/>
      <c r="DH170" s="76"/>
      <c r="DI170" s="76"/>
      <c r="DJ170" s="76"/>
      <c r="DK170" s="76"/>
      <c r="DL170" s="76"/>
      <c r="DM170" s="76"/>
      <c r="DN170" s="76"/>
      <c r="DO170" s="76"/>
      <c r="DP170" s="76"/>
      <c r="DQ170" s="68"/>
      <c r="DR170" s="76"/>
      <c r="DS170" s="76"/>
      <c r="DT170" s="76"/>
      <c r="DU170" s="76"/>
      <c r="DV170" s="76"/>
      <c r="DW170" s="76"/>
      <c r="DX170" s="76"/>
      <c r="DY170" s="76"/>
      <c r="DZ170" s="76"/>
      <c r="EA170" s="76"/>
      <c r="EB170" s="76"/>
      <c r="EC170" s="76"/>
      <c r="ED170" s="76"/>
      <c r="EE170" s="76"/>
      <c r="EF170" s="76"/>
      <c r="EG170" s="76"/>
      <c r="EH170" s="76"/>
      <c r="EI170" s="76"/>
      <c r="EJ170" s="76"/>
      <c r="EK170" s="76"/>
      <c r="EL170" s="76"/>
      <c r="EM170" s="76"/>
      <c r="EN170" s="76"/>
      <c r="EO170" s="76"/>
      <c r="EP170" s="76"/>
      <c r="EQ170" s="76"/>
      <c r="ER170" s="76"/>
      <c r="ES170" s="76"/>
      <c r="ET170" s="76"/>
      <c r="EU170" s="76"/>
      <c r="EV170" s="76"/>
      <c r="EW170" s="76"/>
      <c r="EX170" s="76"/>
      <c r="EY170" s="76"/>
      <c r="EZ170" s="76"/>
      <c r="FA170" s="76"/>
      <c r="FB170" s="76"/>
      <c r="FC170" s="76"/>
      <c r="FD170" s="76"/>
      <c r="FE170" s="76"/>
      <c r="FF170" s="76"/>
      <c r="FG170" s="76"/>
      <c r="FH170" s="76"/>
      <c r="FI170" s="76"/>
      <c r="FJ170" s="76"/>
      <c r="FK170" s="76"/>
      <c r="FL170" s="76"/>
      <c r="FM170" s="76"/>
      <c r="FN170" s="76"/>
      <c r="FO170" s="76"/>
      <c r="FP170" s="76"/>
      <c r="FQ170" s="76"/>
      <c r="FR170" s="76"/>
      <c r="FS170" s="76"/>
      <c r="FT170" s="76"/>
      <c r="FU170" s="76"/>
      <c r="FV170" s="76"/>
      <c r="FW170" s="76"/>
      <c r="FX170" s="76"/>
      <c r="FY170" s="76"/>
      <c r="FZ170" s="76"/>
      <c r="GA170" s="76"/>
      <c r="GB170" s="76"/>
      <c r="GC170" s="76"/>
      <c r="GD170" s="76"/>
      <c r="GE170" s="76"/>
      <c r="GF170" s="76"/>
      <c r="GG170" s="76"/>
      <c r="GH170" s="76"/>
      <c r="GI170" s="76"/>
      <c r="GJ170" s="76"/>
      <c r="GK170" s="76"/>
      <c r="GL170" s="76"/>
      <c r="GM170" s="76"/>
      <c r="GN170" s="76"/>
      <c r="GO170" s="76"/>
      <c r="GP170" s="76"/>
      <c r="GQ170" s="76"/>
      <c r="GR170" s="76"/>
      <c r="GS170" s="76"/>
      <c r="GT170" s="76"/>
      <c r="GU170" s="76"/>
      <c r="GV170" s="76"/>
      <c r="GW170" s="76"/>
      <c r="GX170" s="76"/>
      <c r="GY170" s="76"/>
      <c r="GZ170" s="76"/>
      <c r="HA170" s="76">
        <v>2230</v>
      </c>
      <c r="HB170" s="76"/>
      <c r="HC170" s="76"/>
      <c r="HD170" s="76"/>
      <c r="HE170" s="76">
        <v>183</v>
      </c>
      <c r="HF170" s="76"/>
      <c r="HG170" s="76"/>
      <c r="HH170" s="76"/>
      <c r="HI170" s="76"/>
      <c r="HJ170" s="76"/>
      <c r="HK170" s="76"/>
      <c r="HL170" s="76"/>
      <c r="HM170" s="76"/>
      <c r="HN170" s="76"/>
      <c r="HO170" s="76"/>
      <c r="HP170" s="76"/>
      <c r="HQ170" s="76"/>
      <c r="HR170" s="76"/>
      <c r="HS170" s="76"/>
      <c r="HT170" s="76"/>
      <c r="HU170" s="76"/>
      <c r="HV170" s="76">
        <v>24316</v>
      </c>
    </row>
    <row r="171" spans="1:230" x14ac:dyDescent="0.2">
      <c r="A171" s="74" t="s">
        <v>264</v>
      </c>
      <c r="B171" s="76">
        <v>4</v>
      </c>
      <c r="C171" s="76">
        <v>1</v>
      </c>
      <c r="D171" s="76">
        <v>4</v>
      </c>
      <c r="E171" s="76">
        <v>16</v>
      </c>
      <c r="F171" s="76">
        <v>432</v>
      </c>
      <c r="G171" s="76">
        <v>114</v>
      </c>
      <c r="H171" s="76">
        <v>27</v>
      </c>
      <c r="I171" s="76">
        <v>445</v>
      </c>
      <c r="J171" s="76">
        <v>53</v>
      </c>
      <c r="K171" s="76">
        <v>435</v>
      </c>
      <c r="L171" s="76">
        <v>84</v>
      </c>
      <c r="M171" s="76">
        <v>39</v>
      </c>
      <c r="N171" s="76">
        <v>40</v>
      </c>
      <c r="O171" s="76">
        <v>35</v>
      </c>
      <c r="P171" s="76">
        <v>47</v>
      </c>
      <c r="Q171" s="76">
        <v>12</v>
      </c>
      <c r="R171" s="76">
        <v>124</v>
      </c>
      <c r="S171" s="76">
        <v>14</v>
      </c>
      <c r="T171" s="76">
        <v>39</v>
      </c>
      <c r="U171" s="77">
        <v>24</v>
      </c>
      <c r="V171" s="76">
        <v>205</v>
      </c>
      <c r="W171" s="76">
        <v>201</v>
      </c>
      <c r="X171" s="76">
        <v>58</v>
      </c>
      <c r="Y171" s="76">
        <v>291</v>
      </c>
      <c r="Z171" s="76">
        <v>154</v>
      </c>
      <c r="AA171" s="76">
        <v>120</v>
      </c>
      <c r="AB171" s="76">
        <v>271</v>
      </c>
      <c r="AC171" s="76">
        <v>65</v>
      </c>
      <c r="AD171" s="76">
        <v>252</v>
      </c>
      <c r="AE171" s="76">
        <v>227</v>
      </c>
      <c r="AF171" s="76">
        <v>186</v>
      </c>
      <c r="AG171" s="76">
        <v>437</v>
      </c>
      <c r="AH171" s="76">
        <v>183</v>
      </c>
      <c r="AI171" s="76">
        <v>144</v>
      </c>
      <c r="AJ171" s="76">
        <v>106</v>
      </c>
      <c r="AK171" s="76">
        <v>171</v>
      </c>
      <c r="AL171" s="76">
        <v>110</v>
      </c>
      <c r="AM171" s="76">
        <v>359</v>
      </c>
      <c r="AN171" s="76">
        <v>20</v>
      </c>
      <c r="AO171" s="76">
        <v>1680</v>
      </c>
      <c r="AP171" s="76">
        <v>553</v>
      </c>
      <c r="AQ171" s="76">
        <v>4580</v>
      </c>
      <c r="AR171" s="76">
        <v>314</v>
      </c>
      <c r="AS171" s="76">
        <v>7</v>
      </c>
      <c r="AT171" s="76">
        <v>119</v>
      </c>
      <c r="AU171" s="76">
        <v>307</v>
      </c>
      <c r="AV171" s="76"/>
      <c r="AW171" s="76">
        <v>48</v>
      </c>
      <c r="AX171" s="76">
        <v>100</v>
      </c>
      <c r="AY171" s="76">
        <v>214</v>
      </c>
      <c r="AZ171" s="76">
        <v>142</v>
      </c>
      <c r="BA171" s="76">
        <v>759</v>
      </c>
      <c r="BB171" s="76">
        <v>1532</v>
      </c>
      <c r="BC171" s="76">
        <v>89</v>
      </c>
      <c r="BD171" s="76">
        <v>491</v>
      </c>
      <c r="BE171" s="76">
        <v>405</v>
      </c>
      <c r="BF171" s="76">
        <v>204</v>
      </c>
      <c r="BG171" s="76">
        <v>202</v>
      </c>
      <c r="BH171" s="76">
        <v>233</v>
      </c>
      <c r="BI171" s="76">
        <v>62</v>
      </c>
      <c r="BJ171" s="76">
        <v>3168</v>
      </c>
      <c r="BK171" s="76">
        <v>328</v>
      </c>
      <c r="BL171" s="76">
        <v>568</v>
      </c>
      <c r="BM171" s="76">
        <v>460</v>
      </c>
      <c r="BN171" s="76"/>
      <c r="BO171" s="76">
        <v>219</v>
      </c>
      <c r="BP171" s="76">
        <v>8207</v>
      </c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  <c r="DG171" s="76"/>
      <c r="DH171" s="76"/>
      <c r="DI171" s="76"/>
      <c r="DJ171" s="76"/>
      <c r="DK171" s="76"/>
      <c r="DL171" s="76"/>
      <c r="DM171" s="76"/>
      <c r="DN171" s="76"/>
      <c r="DO171" s="76"/>
      <c r="DP171" s="76"/>
      <c r="DQ171" s="68"/>
      <c r="DR171" s="76"/>
      <c r="DS171" s="76"/>
      <c r="DT171" s="76"/>
      <c r="DU171" s="76"/>
      <c r="DV171" s="76"/>
      <c r="DW171" s="76"/>
      <c r="DX171" s="76"/>
      <c r="DY171" s="76"/>
      <c r="DZ171" s="76"/>
      <c r="EA171" s="76"/>
      <c r="EB171" s="76"/>
      <c r="EC171" s="76"/>
      <c r="ED171" s="76"/>
      <c r="EE171" s="76"/>
      <c r="EF171" s="76"/>
      <c r="EG171" s="76"/>
      <c r="EH171" s="76"/>
      <c r="EI171" s="76"/>
      <c r="EJ171" s="76"/>
      <c r="EK171" s="76"/>
      <c r="EL171" s="76"/>
      <c r="EM171" s="76"/>
      <c r="EN171" s="76"/>
      <c r="EO171" s="76"/>
      <c r="EP171" s="76"/>
      <c r="EQ171" s="76"/>
      <c r="ER171" s="76"/>
      <c r="ES171" s="76"/>
      <c r="ET171" s="76"/>
      <c r="EU171" s="76"/>
      <c r="EV171" s="76"/>
      <c r="EW171" s="76"/>
      <c r="EX171" s="76"/>
      <c r="EY171" s="76"/>
      <c r="EZ171" s="76"/>
      <c r="FA171" s="76"/>
      <c r="FB171" s="76"/>
      <c r="FC171" s="76"/>
      <c r="FD171" s="76"/>
      <c r="FE171" s="76"/>
      <c r="FF171" s="76"/>
      <c r="FG171" s="76"/>
      <c r="FH171" s="76"/>
      <c r="FI171" s="76"/>
      <c r="FJ171" s="76"/>
      <c r="FK171" s="76"/>
      <c r="FL171" s="76"/>
      <c r="FM171" s="76"/>
      <c r="FN171" s="76"/>
      <c r="FO171" s="76"/>
      <c r="FP171" s="76"/>
      <c r="FQ171" s="76"/>
      <c r="FR171" s="76"/>
      <c r="FS171" s="76"/>
      <c r="FT171" s="76"/>
      <c r="FU171" s="76"/>
      <c r="FV171" s="76"/>
      <c r="FW171" s="76"/>
      <c r="FX171" s="76"/>
      <c r="FY171" s="76"/>
      <c r="FZ171" s="76"/>
      <c r="GA171" s="76"/>
      <c r="GB171" s="76"/>
      <c r="GC171" s="76"/>
      <c r="GD171" s="76"/>
      <c r="GE171" s="76"/>
      <c r="GF171" s="76"/>
      <c r="GG171" s="76"/>
      <c r="GH171" s="76"/>
      <c r="GI171" s="76"/>
      <c r="GJ171" s="76"/>
      <c r="GK171" s="76"/>
      <c r="GL171" s="76"/>
      <c r="GM171" s="76"/>
      <c r="GN171" s="76"/>
      <c r="GO171" s="76"/>
      <c r="GP171" s="76"/>
      <c r="GQ171" s="76"/>
      <c r="GR171" s="76"/>
      <c r="GS171" s="76"/>
      <c r="GT171" s="76"/>
      <c r="GU171" s="76"/>
      <c r="GV171" s="76"/>
      <c r="GW171" s="76"/>
      <c r="GX171" s="76"/>
      <c r="GY171" s="76"/>
      <c r="GZ171" s="76"/>
      <c r="HA171" s="76">
        <v>12786</v>
      </c>
      <c r="HB171" s="76"/>
      <c r="HC171" s="76"/>
      <c r="HD171" s="76"/>
      <c r="HE171" s="76">
        <v>6116</v>
      </c>
      <c r="HF171" s="76"/>
      <c r="HG171" s="76"/>
      <c r="HH171" s="76"/>
      <c r="HI171" s="76"/>
      <c r="HJ171" s="76"/>
      <c r="HK171" s="76"/>
      <c r="HL171" s="76"/>
      <c r="HM171" s="76"/>
      <c r="HN171" s="76"/>
      <c r="HO171" s="76"/>
      <c r="HP171" s="76"/>
      <c r="HQ171" s="76"/>
      <c r="HR171" s="76"/>
      <c r="HS171" s="76"/>
      <c r="HT171" s="76"/>
      <c r="HU171" s="76"/>
      <c r="HV171" s="76">
        <v>49442</v>
      </c>
    </row>
    <row r="172" spans="1:230" x14ac:dyDescent="0.2">
      <c r="A172" s="74" t="s">
        <v>265</v>
      </c>
      <c r="B172" s="76">
        <v>1</v>
      </c>
      <c r="C172" s="76"/>
      <c r="D172" s="76">
        <v>2</v>
      </c>
      <c r="E172" s="76">
        <v>1</v>
      </c>
      <c r="F172" s="76">
        <v>228</v>
      </c>
      <c r="G172" s="76"/>
      <c r="H172" s="76">
        <v>9</v>
      </c>
      <c r="I172" s="76">
        <v>2</v>
      </c>
      <c r="J172" s="76"/>
      <c r="K172" s="76">
        <v>135</v>
      </c>
      <c r="L172" s="76">
        <v>1</v>
      </c>
      <c r="M172" s="76"/>
      <c r="N172" s="76">
        <v>10</v>
      </c>
      <c r="O172" s="76">
        <v>2</v>
      </c>
      <c r="P172" s="76"/>
      <c r="Q172" s="76"/>
      <c r="R172" s="76">
        <v>4</v>
      </c>
      <c r="S172" s="76">
        <v>14</v>
      </c>
      <c r="T172" s="76"/>
      <c r="U172" s="77">
        <v>2</v>
      </c>
      <c r="V172" s="76">
        <v>107</v>
      </c>
      <c r="W172" s="76">
        <v>120</v>
      </c>
      <c r="X172" s="76">
        <v>1</v>
      </c>
      <c r="Y172" s="76">
        <v>288</v>
      </c>
      <c r="Z172" s="76">
        <v>12</v>
      </c>
      <c r="AA172" s="76"/>
      <c r="AB172" s="76">
        <v>31</v>
      </c>
      <c r="AC172" s="76">
        <v>60</v>
      </c>
      <c r="AD172" s="76">
        <v>29</v>
      </c>
      <c r="AE172" s="76">
        <v>1</v>
      </c>
      <c r="AF172" s="76"/>
      <c r="AG172" s="76">
        <v>90</v>
      </c>
      <c r="AH172" s="76">
        <v>453</v>
      </c>
      <c r="AI172" s="76">
        <v>13</v>
      </c>
      <c r="AJ172" s="76"/>
      <c r="AK172" s="76"/>
      <c r="AL172" s="76">
        <v>99</v>
      </c>
      <c r="AM172" s="76">
        <v>325</v>
      </c>
      <c r="AN172" s="76">
        <v>1</v>
      </c>
      <c r="AO172" s="76"/>
      <c r="AP172" s="76">
        <v>166</v>
      </c>
      <c r="AQ172" s="76">
        <v>608</v>
      </c>
      <c r="AR172" s="76">
        <v>11</v>
      </c>
      <c r="AS172" s="76"/>
      <c r="AT172" s="76">
        <v>1055</v>
      </c>
      <c r="AU172" s="76">
        <v>34</v>
      </c>
      <c r="AV172" s="76">
        <v>281</v>
      </c>
      <c r="AW172" s="76"/>
      <c r="AX172" s="76"/>
      <c r="AY172" s="76">
        <v>773</v>
      </c>
      <c r="AZ172" s="76">
        <v>55</v>
      </c>
      <c r="BA172" s="76">
        <v>16</v>
      </c>
      <c r="BB172" s="76">
        <v>3143</v>
      </c>
      <c r="BC172" s="76">
        <v>74</v>
      </c>
      <c r="BD172" s="76">
        <v>1655</v>
      </c>
      <c r="BE172" s="76">
        <v>1</v>
      </c>
      <c r="BF172" s="76">
        <v>259</v>
      </c>
      <c r="BG172" s="76"/>
      <c r="BH172" s="76">
        <v>1568</v>
      </c>
      <c r="BI172" s="76">
        <v>4</v>
      </c>
      <c r="BJ172" s="76">
        <v>10764</v>
      </c>
      <c r="BK172" s="76">
        <v>1934</v>
      </c>
      <c r="BL172" s="76">
        <v>274</v>
      </c>
      <c r="BM172" s="76">
        <v>4617</v>
      </c>
      <c r="BN172" s="76">
        <v>4771</v>
      </c>
      <c r="BO172" s="76">
        <v>48</v>
      </c>
      <c r="BP172" s="76">
        <v>9161</v>
      </c>
      <c r="BQ172" s="76"/>
      <c r="BR172" s="76"/>
      <c r="BS172" s="76"/>
      <c r="BT172" s="76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/>
      <c r="CK172" s="76"/>
      <c r="CL172" s="76"/>
      <c r="CM172" s="76"/>
      <c r="CN172" s="76"/>
      <c r="CO172" s="76"/>
      <c r="CP172" s="76"/>
      <c r="CQ172" s="76"/>
      <c r="CR172" s="76"/>
      <c r="CS172" s="76"/>
      <c r="CT172" s="76"/>
      <c r="CU172" s="76"/>
      <c r="CV172" s="76"/>
      <c r="CW172" s="76"/>
      <c r="CX172" s="76"/>
      <c r="CY172" s="76"/>
      <c r="CZ172" s="76"/>
      <c r="DA172" s="76"/>
      <c r="DB172" s="76"/>
      <c r="DC172" s="76"/>
      <c r="DD172" s="76"/>
      <c r="DE172" s="76"/>
      <c r="DF172" s="76"/>
      <c r="DG172" s="76"/>
      <c r="DH172" s="76"/>
      <c r="DI172" s="76"/>
      <c r="DJ172" s="76"/>
      <c r="DK172" s="76"/>
      <c r="DL172" s="76"/>
      <c r="DM172" s="76"/>
      <c r="DN172" s="76"/>
      <c r="DO172" s="76"/>
      <c r="DP172" s="76"/>
      <c r="DQ172" s="68"/>
      <c r="DR172" s="76"/>
      <c r="DS172" s="76"/>
      <c r="DT172" s="76"/>
      <c r="DU172" s="76"/>
      <c r="DV172" s="76"/>
      <c r="DW172" s="76"/>
      <c r="DX172" s="76"/>
      <c r="DY172" s="76"/>
      <c r="DZ172" s="76"/>
      <c r="EA172" s="76"/>
      <c r="EB172" s="76"/>
      <c r="EC172" s="76"/>
      <c r="ED172" s="76"/>
      <c r="EE172" s="76"/>
      <c r="EF172" s="76"/>
      <c r="EG172" s="76"/>
      <c r="EH172" s="76"/>
      <c r="EI172" s="76"/>
      <c r="EJ172" s="76"/>
      <c r="EK172" s="76"/>
      <c r="EL172" s="76"/>
      <c r="EM172" s="76"/>
      <c r="EN172" s="76"/>
      <c r="EO172" s="76"/>
      <c r="EP172" s="76"/>
      <c r="EQ172" s="76"/>
      <c r="ER172" s="76"/>
      <c r="ES172" s="76"/>
      <c r="ET172" s="76"/>
      <c r="EU172" s="76"/>
      <c r="EV172" s="76"/>
      <c r="EW172" s="76"/>
      <c r="EX172" s="76"/>
      <c r="EY172" s="76"/>
      <c r="EZ172" s="76"/>
      <c r="FA172" s="76"/>
      <c r="FB172" s="76"/>
      <c r="FC172" s="76"/>
      <c r="FD172" s="76"/>
      <c r="FE172" s="76"/>
      <c r="FF172" s="76"/>
      <c r="FG172" s="76"/>
      <c r="FH172" s="76"/>
      <c r="FI172" s="76"/>
      <c r="FJ172" s="76"/>
      <c r="FK172" s="76"/>
      <c r="FL172" s="76"/>
      <c r="FM172" s="76"/>
      <c r="FN172" s="76"/>
      <c r="FO172" s="76"/>
      <c r="FP172" s="76"/>
      <c r="FQ172" s="76"/>
      <c r="FR172" s="76"/>
      <c r="FS172" s="76"/>
      <c r="FT172" s="76"/>
      <c r="FU172" s="76"/>
      <c r="FV172" s="76"/>
      <c r="FW172" s="76"/>
      <c r="FX172" s="76"/>
      <c r="FY172" s="76"/>
      <c r="FZ172" s="76"/>
      <c r="GA172" s="76"/>
      <c r="GB172" s="76"/>
      <c r="GC172" s="76"/>
      <c r="GD172" s="76"/>
      <c r="GE172" s="76"/>
      <c r="GF172" s="76"/>
      <c r="GG172" s="76"/>
      <c r="GH172" s="76"/>
      <c r="GI172" s="76"/>
      <c r="GJ172" s="76"/>
      <c r="GK172" s="76"/>
      <c r="GL172" s="76"/>
      <c r="GM172" s="76"/>
      <c r="GN172" s="76"/>
      <c r="GO172" s="76"/>
      <c r="GP172" s="76"/>
      <c r="GQ172" s="76"/>
      <c r="GR172" s="76"/>
      <c r="GS172" s="76"/>
      <c r="GT172" s="76"/>
      <c r="GU172" s="76"/>
      <c r="GV172" s="76"/>
      <c r="GW172" s="76"/>
      <c r="GX172" s="76"/>
      <c r="GY172" s="76"/>
      <c r="GZ172" s="76"/>
      <c r="HA172" s="76">
        <v>255350</v>
      </c>
      <c r="HB172" s="76"/>
      <c r="HC172" s="76"/>
      <c r="HD172" s="76"/>
      <c r="HE172" s="76">
        <v>4449</v>
      </c>
      <c r="HF172" s="76"/>
      <c r="HG172" s="76"/>
      <c r="HH172" s="76"/>
      <c r="HI172" s="76"/>
      <c r="HJ172" s="76"/>
      <c r="HK172" s="76"/>
      <c r="HL172" s="76"/>
      <c r="HM172" s="76"/>
      <c r="HN172" s="76"/>
      <c r="HO172" s="76"/>
      <c r="HP172" s="76"/>
      <c r="HQ172" s="76"/>
      <c r="HR172" s="76"/>
      <c r="HS172" s="76"/>
      <c r="HT172" s="76"/>
      <c r="HU172" s="76"/>
      <c r="HV172" s="76">
        <v>303112</v>
      </c>
    </row>
    <row r="173" spans="1:230" x14ac:dyDescent="0.2">
      <c r="A173" s="74" t="s">
        <v>266</v>
      </c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7"/>
      <c r="V173" s="76">
        <v>206</v>
      </c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>
        <v>4</v>
      </c>
      <c r="AJ173" s="76"/>
      <c r="AK173" s="76"/>
      <c r="AL173" s="76">
        <v>21</v>
      </c>
      <c r="AM173" s="76">
        <v>146</v>
      </c>
      <c r="AN173" s="76">
        <v>8</v>
      </c>
      <c r="AO173" s="76"/>
      <c r="AP173" s="76"/>
      <c r="AQ173" s="76">
        <v>305</v>
      </c>
      <c r="AR173" s="76"/>
      <c r="AS173" s="76"/>
      <c r="AT173" s="76"/>
      <c r="AU173" s="76"/>
      <c r="AV173" s="76">
        <v>81</v>
      </c>
      <c r="AW173" s="76"/>
      <c r="AX173" s="76">
        <v>20</v>
      </c>
      <c r="AY173" s="76">
        <v>3</v>
      </c>
      <c r="AZ173" s="76">
        <v>152</v>
      </c>
      <c r="BA173" s="76">
        <v>1</v>
      </c>
      <c r="BB173" s="76">
        <v>1795</v>
      </c>
      <c r="BC173" s="76">
        <v>58</v>
      </c>
      <c r="BD173" s="76">
        <v>390</v>
      </c>
      <c r="BE173" s="76">
        <v>185</v>
      </c>
      <c r="BF173" s="76">
        <v>2661</v>
      </c>
      <c r="BG173" s="76">
        <v>24</v>
      </c>
      <c r="BH173" s="76">
        <v>5</v>
      </c>
      <c r="BI173" s="76"/>
      <c r="BJ173" s="76">
        <v>1068</v>
      </c>
      <c r="BK173" s="76">
        <v>3270</v>
      </c>
      <c r="BL173" s="76">
        <v>2082</v>
      </c>
      <c r="BM173" s="76">
        <v>46</v>
      </c>
      <c r="BN173" s="76">
        <v>195</v>
      </c>
      <c r="BO173" s="76"/>
      <c r="BP173" s="76">
        <v>162</v>
      </c>
      <c r="BQ173" s="76"/>
      <c r="BR173" s="76"/>
      <c r="BS173" s="76"/>
      <c r="BT173" s="76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/>
      <c r="CK173" s="76"/>
      <c r="CL173" s="76"/>
      <c r="CM173" s="76"/>
      <c r="CN173" s="76"/>
      <c r="CO173" s="76"/>
      <c r="CP173" s="76"/>
      <c r="CQ173" s="76"/>
      <c r="CR173" s="76"/>
      <c r="CS173" s="76"/>
      <c r="CT173" s="76"/>
      <c r="CU173" s="76"/>
      <c r="CV173" s="76"/>
      <c r="CW173" s="76"/>
      <c r="CX173" s="76"/>
      <c r="CY173" s="76"/>
      <c r="CZ173" s="76"/>
      <c r="DA173" s="76"/>
      <c r="DB173" s="76"/>
      <c r="DC173" s="76"/>
      <c r="DD173" s="76"/>
      <c r="DE173" s="76"/>
      <c r="DF173" s="76"/>
      <c r="DG173" s="76"/>
      <c r="DH173" s="76"/>
      <c r="DI173" s="76"/>
      <c r="DJ173" s="76"/>
      <c r="DK173" s="76"/>
      <c r="DL173" s="76"/>
      <c r="DM173" s="76"/>
      <c r="DN173" s="76"/>
      <c r="DO173" s="76"/>
      <c r="DP173" s="76"/>
      <c r="DQ173" s="68"/>
      <c r="DR173" s="76"/>
      <c r="DS173" s="76"/>
      <c r="DT173" s="76"/>
      <c r="DU173" s="76"/>
      <c r="DV173" s="76"/>
      <c r="DW173" s="76"/>
      <c r="DX173" s="76"/>
      <c r="DY173" s="76"/>
      <c r="DZ173" s="76"/>
      <c r="EA173" s="76"/>
      <c r="EB173" s="76"/>
      <c r="EC173" s="76"/>
      <c r="ED173" s="76"/>
      <c r="EE173" s="76"/>
      <c r="EF173" s="76"/>
      <c r="EG173" s="76"/>
      <c r="EH173" s="76"/>
      <c r="EI173" s="76"/>
      <c r="EJ173" s="76"/>
      <c r="EK173" s="76"/>
      <c r="EL173" s="76"/>
      <c r="EM173" s="76"/>
      <c r="EN173" s="76"/>
      <c r="EO173" s="76"/>
      <c r="EP173" s="76"/>
      <c r="EQ173" s="76"/>
      <c r="ER173" s="76"/>
      <c r="ES173" s="76"/>
      <c r="ET173" s="76"/>
      <c r="EU173" s="76"/>
      <c r="EV173" s="76"/>
      <c r="EW173" s="76"/>
      <c r="EX173" s="76"/>
      <c r="EY173" s="76"/>
      <c r="EZ173" s="76"/>
      <c r="FA173" s="76"/>
      <c r="FB173" s="76"/>
      <c r="FC173" s="76"/>
      <c r="FD173" s="76"/>
      <c r="FE173" s="76"/>
      <c r="FF173" s="76"/>
      <c r="FG173" s="76"/>
      <c r="FH173" s="76"/>
      <c r="FI173" s="76"/>
      <c r="FJ173" s="76"/>
      <c r="FK173" s="76"/>
      <c r="FL173" s="76"/>
      <c r="FM173" s="76"/>
      <c r="FN173" s="76"/>
      <c r="FO173" s="76"/>
      <c r="FP173" s="76"/>
      <c r="FQ173" s="76"/>
      <c r="FR173" s="76"/>
      <c r="FS173" s="76"/>
      <c r="FT173" s="76"/>
      <c r="FU173" s="76"/>
      <c r="FV173" s="76"/>
      <c r="FW173" s="76"/>
      <c r="FX173" s="76"/>
      <c r="FY173" s="76"/>
      <c r="FZ173" s="76"/>
      <c r="GA173" s="76"/>
      <c r="GB173" s="76"/>
      <c r="GC173" s="76"/>
      <c r="GD173" s="76"/>
      <c r="GE173" s="76"/>
      <c r="GF173" s="76"/>
      <c r="GG173" s="76"/>
      <c r="GH173" s="76"/>
      <c r="GI173" s="76"/>
      <c r="GJ173" s="76"/>
      <c r="GK173" s="76"/>
      <c r="GL173" s="76"/>
      <c r="GM173" s="76"/>
      <c r="GN173" s="76"/>
      <c r="GO173" s="76"/>
      <c r="GP173" s="76"/>
      <c r="GQ173" s="76"/>
      <c r="GR173" s="76"/>
      <c r="GS173" s="76"/>
      <c r="GT173" s="76"/>
      <c r="GU173" s="76"/>
      <c r="GV173" s="76"/>
      <c r="GW173" s="76"/>
      <c r="GX173" s="76"/>
      <c r="GY173" s="76"/>
      <c r="GZ173" s="76"/>
      <c r="HA173" s="76">
        <v>16513</v>
      </c>
      <c r="HB173" s="76"/>
      <c r="HC173" s="76"/>
      <c r="HD173" s="76"/>
      <c r="HE173" s="76">
        <v>1060</v>
      </c>
      <c r="HF173" s="76"/>
      <c r="HG173" s="76"/>
      <c r="HH173" s="76"/>
      <c r="HI173" s="76"/>
      <c r="HJ173" s="76"/>
      <c r="HK173" s="76"/>
      <c r="HL173" s="76"/>
      <c r="HM173" s="76"/>
      <c r="HN173" s="76"/>
      <c r="HO173" s="76"/>
      <c r="HP173" s="76"/>
      <c r="HQ173" s="76"/>
      <c r="HR173" s="76"/>
      <c r="HS173" s="76"/>
      <c r="HT173" s="76"/>
      <c r="HU173" s="76">
        <v>78</v>
      </c>
      <c r="HV173" s="76">
        <v>30539</v>
      </c>
    </row>
    <row r="174" spans="1:230" x14ac:dyDescent="0.2">
      <c r="A174" s="74" t="s">
        <v>267</v>
      </c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7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>
        <v>1</v>
      </c>
      <c r="AS174" s="76"/>
      <c r="AT174" s="76"/>
      <c r="AU174" s="76"/>
      <c r="AV174" s="76">
        <v>4</v>
      </c>
      <c r="AW174" s="76"/>
      <c r="AX174" s="76">
        <v>10</v>
      </c>
      <c r="AY174" s="76">
        <v>5161</v>
      </c>
      <c r="AZ174" s="76">
        <v>4647</v>
      </c>
      <c r="BA174" s="76">
        <v>1</v>
      </c>
      <c r="BB174" s="76">
        <v>2</v>
      </c>
      <c r="BC174" s="76"/>
      <c r="BD174" s="76"/>
      <c r="BE174" s="76"/>
      <c r="BF174" s="76">
        <v>32605</v>
      </c>
      <c r="BG174" s="76"/>
      <c r="BH174" s="76">
        <v>29</v>
      </c>
      <c r="BI174" s="76">
        <v>3</v>
      </c>
      <c r="BJ174" s="76"/>
      <c r="BK174" s="76"/>
      <c r="BL174" s="76"/>
      <c r="BM174" s="76"/>
      <c r="BN174" s="76"/>
      <c r="BO174" s="76">
        <v>130</v>
      </c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  <c r="CT174" s="76"/>
      <c r="CU174" s="76"/>
      <c r="CV174" s="76"/>
      <c r="CW174" s="76"/>
      <c r="CX174" s="76"/>
      <c r="CY174" s="76"/>
      <c r="CZ174" s="76"/>
      <c r="DA174" s="76"/>
      <c r="DB174" s="76"/>
      <c r="DC174" s="76"/>
      <c r="DD174" s="76"/>
      <c r="DE174" s="76"/>
      <c r="DF174" s="76"/>
      <c r="DG174" s="76"/>
      <c r="DH174" s="76"/>
      <c r="DI174" s="76"/>
      <c r="DJ174" s="76"/>
      <c r="DK174" s="76"/>
      <c r="DL174" s="76"/>
      <c r="DM174" s="76"/>
      <c r="DN174" s="76"/>
      <c r="DO174" s="76"/>
      <c r="DP174" s="76"/>
      <c r="DQ174" s="68"/>
      <c r="DR174" s="76"/>
      <c r="DS174" s="76"/>
      <c r="DT174" s="76"/>
      <c r="DU174" s="76"/>
      <c r="DV174" s="76"/>
      <c r="DW174" s="76"/>
      <c r="DX174" s="76"/>
      <c r="DY174" s="76"/>
      <c r="DZ174" s="76"/>
      <c r="EA174" s="76"/>
      <c r="EB174" s="76"/>
      <c r="EC174" s="76"/>
      <c r="ED174" s="76"/>
      <c r="EE174" s="76"/>
      <c r="EF174" s="76"/>
      <c r="EG174" s="76"/>
      <c r="EH174" s="76"/>
      <c r="EI174" s="76"/>
      <c r="EJ174" s="76"/>
      <c r="EK174" s="76"/>
      <c r="EL174" s="76"/>
      <c r="EM174" s="76"/>
      <c r="EN174" s="76"/>
      <c r="EO174" s="76"/>
      <c r="EP174" s="76"/>
      <c r="EQ174" s="76"/>
      <c r="ER174" s="76"/>
      <c r="ES174" s="76"/>
      <c r="ET174" s="76"/>
      <c r="EU174" s="76"/>
      <c r="EV174" s="76"/>
      <c r="EW174" s="76"/>
      <c r="EX174" s="76"/>
      <c r="EY174" s="76"/>
      <c r="EZ174" s="76"/>
      <c r="FA174" s="76"/>
      <c r="FB174" s="76"/>
      <c r="FC174" s="76"/>
      <c r="FD174" s="76"/>
      <c r="FE174" s="76"/>
      <c r="FF174" s="76"/>
      <c r="FG174" s="76"/>
      <c r="FH174" s="76"/>
      <c r="FI174" s="76"/>
      <c r="FJ174" s="76"/>
      <c r="FK174" s="76"/>
      <c r="FL174" s="76"/>
      <c r="FM174" s="76"/>
      <c r="FN174" s="76"/>
      <c r="FO174" s="76"/>
      <c r="FP174" s="76"/>
      <c r="FQ174" s="76"/>
      <c r="FR174" s="76"/>
      <c r="FS174" s="76"/>
      <c r="FT174" s="76"/>
      <c r="FU174" s="76"/>
      <c r="FV174" s="76"/>
      <c r="FW174" s="76"/>
      <c r="FX174" s="76"/>
      <c r="FY174" s="76"/>
      <c r="FZ174" s="76"/>
      <c r="GA174" s="76"/>
      <c r="GB174" s="76"/>
      <c r="GC174" s="76"/>
      <c r="GD174" s="76"/>
      <c r="GE174" s="76"/>
      <c r="GF174" s="76"/>
      <c r="GG174" s="76"/>
      <c r="GH174" s="76"/>
      <c r="GI174" s="76"/>
      <c r="GJ174" s="76"/>
      <c r="GK174" s="76"/>
      <c r="GL174" s="76"/>
      <c r="GM174" s="76"/>
      <c r="GN174" s="76"/>
      <c r="GO174" s="76"/>
      <c r="GP174" s="76"/>
      <c r="GQ174" s="76"/>
      <c r="GR174" s="76"/>
      <c r="GS174" s="76"/>
      <c r="GT174" s="76"/>
      <c r="GU174" s="76"/>
      <c r="GV174" s="76"/>
      <c r="GW174" s="76"/>
      <c r="GX174" s="76"/>
      <c r="GY174" s="76"/>
      <c r="GZ174" s="76"/>
      <c r="HA174" s="76">
        <v>2124</v>
      </c>
      <c r="HB174" s="76"/>
      <c r="HC174" s="76"/>
      <c r="HD174" s="76"/>
      <c r="HE174" s="76">
        <v>501</v>
      </c>
      <c r="HF174" s="76"/>
      <c r="HG174" s="76"/>
      <c r="HH174" s="76"/>
      <c r="HI174" s="76"/>
      <c r="HJ174" s="76"/>
      <c r="HK174" s="76"/>
      <c r="HL174" s="76"/>
      <c r="HM174" s="76"/>
      <c r="HN174" s="76"/>
      <c r="HO174" s="76"/>
      <c r="HP174" s="76"/>
      <c r="HQ174" s="76"/>
      <c r="HR174" s="76"/>
      <c r="HS174" s="76"/>
      <c r="HT174" s="76"/>
      <c r="HU174" s="76"/>
      <c r="HV174" s="76">
        <v>45218</v>
      </c>
    </row>
    <row r="175" spans="1:230" x14ac:dyDescent="0.2">
      <c r="A175" s="74" t="s">
        <v>268</v>
      </c>
      <c r="B175" s="76">
        <v>6</v>
      </c>
      <c r="C175" s="76">
        <v>3</v>
      </c>
      <c r="D175" s="76">
        <v>8</v>
      </c>
      <c r="E175" s="76">
        <v>28</v>
      </c>
      <c r="F175" s="76">
        <v>759</v>
      </c>
      <c r="G175" s="76">
        <v>91</v>
      </c>
      <c r="H175" s="76">
        <v>30</v>
      </c>
      <c r="I175" s="76">
        <v>728</v>
      </c>
      <c r="J175" s="76">
        <v>205</v>
      </c>
      <c r="K175" s="76">
        <v>1393</v>
      </c>
      <c r="L175" s="76">
        <v>394</v>
      </c>
      <c r="M175" s="76">
        <v>15</v>
      </c>
      <c r="N175" s="76">
        <v>208</v>
      </c>
      <c r="O175" s="76">
        <v>559</v>
      </c>
      <c r="P175" s="76">
        <v>188</v>
      </c>
      <c r="Q175" s="76">
        <v>94</v>
      </c>
      <c r="R175" s="76">
        <v>373</v>
      </c>
      <c r="S175" s="76">
        <v>317</v>
      </c>
      <c r="T175" s="76">
        <v>196</v>
      </c>
      <c r="U175" s="77">
        <v>146</v>
      </c>
      <c r="V175" s="76">
        <v>294</v>
      </c>
      <c r="W175" s="76">
        <v>244</v>
      </c>
      <c r="X175" s="76">
        <v>31</v>
      </c>
      <c r="Y175" s="76">
        <v>236</v>
      </c>
      <c r="Z175" s="76">
        <v>338</v>
      </c>
      <c r="AA175" s="76">
        <v>411</v>
      </c>
      <c r="AB175" s="76">
        <v>185</v>
      </c>
      <c r="AC175" s="76">
        <v>66</v>
      </c>
      <c r="AD175" s="76">
        <v>390</v>
      </c>
      <c r="AE175" s="76">
        <v>838</v>
      </c>
      <c r="AF175" s="76">
        <v>442</v>
      </c>
      <c r="AG175" s="76">
        <v>416</v>
      </c>
      <c r="AH175" s="76">
        <v>1334</v>
      </c>
      <c r="AI175" s="76">
        <v>1347</v>
      </c>
      <c r="AJ175" s="76">
        <v>170</v>
      </c>
      <c r="AK175" s="76">
        <v>484</v>
      </c>
      <c r="AL175" s="76">
        <v>126</v>
      </c>
      <c r="AM175" s="76">
        <v>484</v>
      </c>
      <c r="AN175" s="76">
        <v>189</v>
      </c>
      <c r="AO175" s="76">
        <v>1199</v>
      </c>
      <c r="AP175" s="76">
        <v>1172</v>
      </c>
      <c r="AQ175" s="76">
        <v>7095</v>
      </c>
      <c r="AR175" s="76">
        <v>1032</v>
      </c>
      <c r="AS175" s="76">
        <v>38</v>
      </c>
      <c r="AT175" s="76">
        <v>74</v>
      </c>
      <c r="AU175" s="76">
        <v>833</v>
      </c>
      <c r="AV175" s="76">
        <v>256</v>
      </c>
      <c r="AW175" s="76">
        <v>785</v>
      </c>
      <c r="AX175" s="76">
        <v>118</v>
      </c>
      <c r="AY175" s="76">
        <v>331</v>
      </c>
      <c r="AZ175" s="76">
        <v>23343</v>
      </c>
      <c r="BA175" s="76">
        <v>1729</v>
      </c>
      <c r="BB175" s="76">
        <v>8943</v>
      </c>
      <c r="BC175" s="76">
        <v>648</v>
      </c>
      <c r="BD175" s="76">
        <v>2867</v>
      </c>
      <c r="BE175" s="76">
        <v>373</v>
      </c>
      <c r="BF175" s="76">
        <v>2822</v>
      </c>
      <c r="BG175" s="76">
        <v>120</v>
      </c>
      <c r="BH175" s="76">
        <v>1925</v>
      </c>
      <c r="BI175" s="76">
        <v>290</v>
      </c>
      <c r="BJ175" s="76">
        <v>5700</v>
      </c>
      <c r="BK175" s="76">
        <v>1029</v>
      </c>
      <c r="BL175" s="76">
        <v>1501</v>
      </c>
      <c r="BM175" s="76">
        <v>473</v>
      </c>
      <c r="BN175" s="76">
        <v>1272</v>
      </c>
      <c r="BO175" s="76">
        <v>280</v>
      </c>
      <c r="BP175" s="76">
        <v>1657</v>
      </c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6"/>
      <c r="CT175" s="76"/>
      <c r="CU175" s="76"/>
      <c r="CV175" s="76"/>
      <c r="CW175" s="76"/>
      <c r="CX175" s="76"/>
      <c r="CY175" s="76"/>
      <c r="CZ175" s="76"/>
      <c r="DA175" s="76"/>
      <c r="DB175" s="76"/>
      <c r="DC175" s="76"/>
      <c r="DD175" s="76"/>
      <c r="DE175" s="76"/>
      <c r="DF175" s="76"/>
      <c r="DG175" s="76"/>
      <c r="DH175" s="76"/>
      <c r="DI175" s="76"/>
      <c r="DJ175" s="76"/>
      <c r="DK175" s="76"/>
      <c r="DL175" s="76"/>
      <c r="DM175" s="76"/>
      <c r="DN175" s="76"/>
      <c r="DO175" s="76"/>
      <c r="DP175" s="76"/>
      <c r="DQ175" s="68"/>
      <c r="DR175" s="76"/>
      <c r="DS175" s="76"/>
      <c r="DT175" s="76"/>
      <c r="DU175" s="76"/>
      <c r="DV175" s="76"/>
      <c r="DW175" s="76"/>
      <c r="DX175" s="76"/>
      <c r="DY175" s="76"/>
      <c r="DZ175" s="76"/>
      <c r="EA175" s="76"/>
      <c r="EB175" s="76"/>
      <c r="EC175" s="76"/>
      <c r="ED175" s="76"/>
      <c r="EE175" s="76"/>
      <c r="EF175" s="76"/>
      <c r="EG175" s="76"/>
      <c r="EH175" s="76"/>
      <c r="EI175" s="76"/>
      <c r="EJ175" s="76"/>
      <c r="EK175" s="76"/>
      <c r="EL175" s="76"/>
      <c r="EM175" s="76"/>
      <c r="EN175" s="76"/>
      <c r="EO175" s="76"/>
      <c r="EP175" s="76"/>
      <c r="EQ175" s="76"/>
      <c r="ER175" s="76"/>
      <c r="ES175" s="76"/>
      <c r="ET175" s="76"/>
      <c r="EU175" s="76"/>
      <c r="EV175" s="76"/>
      <c r="EW175" s="76"/>
      <c r="EX175" s="76"/>
      <c r="EY175" s="76"/>
      <c r="EZ175" s="76"/>
      <c r="FA175" s="76"/>
      <c r="FB175" s="76"/>
      <c r="FC175" s="76"/>
      <c r="FD175" s="76"/>
      <c r="FE175" s="76"/>
      <c r="FF175" s="76"/>
      <c r="FG175" s="76"/>
      <c r="FH175" s="76"/>
      <c r="FI175" s="76"/>
      <c r="FJ175" s="76"/>
      <c r="FK175" s="76"/>
      <c r="FL175" s="76"/>
      <c r="FM175" s="76"/>
      <c r="FN175" s="76"/>
      <c r="FO175" s="76"/>
      <c r="FP175" s="76"/>
      <c r="FQ175" s="76"/>
      <c r="FR175" s="76"/>
      <c r="FS175" s="76"/>
      <c r="FT175" s="76"/>
      <c r="FU175" s="76"/>
      <c r="FV175" s="76"/>
      <c r="FW175" s="76"/>
      <c r="FX175" s="76"/>
      <c r="FY175" s="76"/>
      <c r="FZ175" s="76"/>
      <c r="GA175" s="76"/>
      <c r="GB175" s="76"/>
      <c r="GC175" s="76"/>
      <c r="GD175" s="76"/>
      <c r="GE175" s="76"/>
      <c r="GF175" s="76"/>
      <c r="GG175" s="76"/>
      <c r="GH175" s="76"/>
      <c r="GI175" s="76"/>
      <c r="GJ175" s="76"/>
      <c r="GK175" s="76"/>
      <c r="GL175" s="76"/>
      <c r="GM175" s="76"/>
      <c r="GN175" s="76"/>
      <c r="GO175" s="76"/>
      <c r="GP175" s="76"/>
      <c r="GQ175" s="76"/>
      <c r="GR175" s="76"/>
      <c r="GS175" s="76"/>
      <c r="GT175" s="76"/>
      <c r="GU175" s="76"/>
      <c r="GV175" s="76"/>
      <c r="GW175" s="76"/>
      <c r="GX175" s="76"/>
      <c r="GY175" s="76"/>
      <c r="GZ175" s="76"/>
      <c r="HA175" s="76">
        <v>125227</v>
      </c>
      <c r="HB175" s="76"/>
      <c r="HC175" s="76"/>
      <c r="HD175" s="76"/>
      <c r="HE175" s="76">
        <v>1302</v>
      </c>
      <c r="HF175" s="76"/>
      <c r="HG175" s="76"/>
      <c r="HH175" s="76"/>
      <c r="HI175" s="76"/>
      <c r="HJ175" s="76"/>
      <c r="HK175" s="76"/>
      <c r="HL175" s="76"/>
      <c r="HM175" s="76"/>
      <c r="HN175" s="76"/>
      <c r="HO175" s="76"/>
      <c r="HP175" s="76"/>
      <c r="HQ175" s="76"/>
      <c r="HR175" s="76"/>
      <c r="HS175" s="76"/>
      <c r="HT175" s="76"/>
      <c r="HU175" s="76"/>
      <c r="HV175" s="76">
        <v>208200</v>
      </c>
    </row>
    <row r="176" spans="1:230" x14ac:dyDescent="0.2">
      <c r="A176" s="74" t="s">
        <v>269</v>
      </c>
      <c r="B176" s="76">
        <v>20</v>
      </c>
      <c r="C176" s="76">
        <v>10</v>
      </c>
      <c r="D176" s="76">
        <v>1</v>
      </c>
      <c r="E176" s="76">
        <v>1</v>
      </c>
      <c r="F176" s="76">
        <v>59</v>
      </c>
      <c r="G176" s="76">
        <v>254</v>
      </c>
      <c r="H176" s="76">
        <v>35</v>
      </c>
      <c r="I176" s="76">
        <v>503</v>
      </c>
      <c r="J176" s="76">
        <v>16</v>
      </c>
      <c r="K176" s="76">
        <v>897</v>
      </c>
      <c r="L176" s="76">
        <v>75</v>
      </c>
      <c r="M176" s="76">
        <v>33</v>
      </c>
      <c r="N176" s="76">
        <v>40</v>
      </c>
      <c r="O176" s="76">
        <v>51</v>
      </c>
      <c r="P176" s="76">
        <v>14</v>
      </c>
      <c r="Q176" s="76">
        <v>13</v>
      </c>
      <c r="R176" s="76">
        <v>187</v>
      </c>
      <c r="S176" s="76">
        <v>3</v>
      </c>
      <c r="T176" s="76">
        <v>41</v>
      </c>
      <c r="U176" s="77">
        <v>2</v>
      </c>
      <c r="V176" s="76">
        <v>374</v>
      </c>
      <c r="W176" s="76">
        <v>218</v>
      </c>
      <c r="X176" s="76">
        <v>26</v>
      </c>
      <c r="Y176" s="76">
        <v>389</v>
      </c>
      <c r="Z176" s="76">
        <v>143</v>
      </c>
      <c r="AA176" s="76">
        <v>83</v>
      </c>
      <c r="AB176" s="76">
        <v>181</v>
      </c>
      <c r="AC176" s="76">
        <v>26</v>
      </c>
      <c r="AD176" s="76">
        <v>122</v>
      </c>
      <c r="AE176" s="76">
        <v>196</v>
      </c>
      <c r="AF176" s="76">
        <v>383</v>
      </c>
      <c r="AG176" s="76">
        <v>173</v>
      </c>
      <c r="AH176" s="76">
        <v>850</v>
      </c>
      <c r="AI176" s="76">
        <v>139</v>
      </c>
      <c r="AJ176" s="76">
        <v>60</v>
      </c>
      <c r="AK176" s="76">
        <v>126</v>
      </c>
      <c r="AL176" s="76">
        <v>90</v>
      </c>
      <c r="AM176" s="76">
        <v>1668</v>
      </c>
      <c r="AN176" s="76">
        <v>460</v>
      </c>
      <c r="AO176" s="76">
        <v>466</v>
      </c>
      <c r="AP176" s="76">
        <v>441</v>
      </c>
      <c r="AQ176" s="76">
        <v>9309</v>
      </c>
      <c r="AR176" s="76">
        <v>1004</v>
      </c>
      <c r="AS176" s="76">
        <v>1</v>
      </c>
      <c r="AT176" s="76">
        <v>837</v>
      </c>
      <c r="AU176" s="76">
        <v>1442</v>
      </c>
      <c r="AV176" s="76">
        <v>76</v>
      </c>
      <c r="AW176" s="76">
        <v>116</v>
      </c>
      <c r="AX176" s="76">
        <v>477</v>
      </c>
      <c r="AY176" s="76">
        <v>1285</v>
      </c>
      <c r="AZ176" s="76">
        <v>3343</v>
      </c>
      <c r="BA176" s="76">
        <v>10476</v>
      </c>
      <c r="BB176" s="76">
        <v>18792</v>
      </c>
      <c r="BC176" s="76">
        <v>380</v>
      </c>
      <c r="BD176" s="76">
        <v>2969</v>
      </c>
      <c r="BE176" s="76">
        <v>36</v>
      </c>
      <c r="BF176" s="76">
        <v>7847</v>
      </c>
      <c r="BG176" s="76">
        <v>374</v>
      </c>
      <c r="BH176" s="76">
        <v>1095</v>
      </c>
      <c r="BI176" s="76">
        <v>210</v>
      </c>
      <c r="BJ176" s="76">
        <v>10863</v>
      </c>
      <c r="BK176" s="76">
        <v>1655</v>
      </c>
      <c r="BL176" s="76">
        <v>452</v>
      </c>
      <c r="BM176" s="76">
        <v>2298</v>
      </c>
      <c r="BN176" s="76"/>
      <c r="BO176" s="76">
        <v>212</v>
      </c>
      <c r="BP176" s="76">
        <v>1651</v>
      </c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6"/>
      <c r="CT176" s="76"/>
      <c r="CU176" s="76"/>
      <c r="CV176" s="76"/>
      <c r="CW176" s="76"/>
      <c r="CX176" s="76"/>
      <c r="CY176" s="76"/>
      <c r="CZ176" s="76"/>
      <c r="DA176" s="76"/>
      <c r="DB176" s="76"/>
      <c r="DC176" s="76"/>
      <c r="DD176" s="76"/>
      <c r="DE176" s="76"/>
      <c r="DF176" s="76"/>
      <c r="DG176" s="76"/>
      <c r="DH176" s="76"/>
      <c r="DI176" s="76"/>
      <c r="DJ176" s="76"/>
      <c r="DK176" s="76"/>
      <c r="DL176" s="76"/>
      <c r="DM176" s="76"/>
      <c r="DN176" s="76"/>
      <c r="DO176" s="76"/>
      <c r="DP176" s="76"/>
      <c r="DQ176" s="68"/>
      <c r="DR176" s="76"/>
      <c r="DS176" s="76"/>
      <c r="DT176" s="76"/>
      <c r="DU176" s="76"/>
      <c r="DV176" s="76"/>
      <c r="DW176" s="76"/>
      <c r="DX176" s="76"/>
      <c r="DY176" s="76"/>
      <c r="DZ176" s="76"/>
      <c r="EA176" s="76"/>
      <c r="EB176" s="76"/>
      <c r="EC176" s="76"/>
      <c r="ED176" s="76"/>
      <c r="EE176" s="76"/>
      <c r="EF176" s="76"/>
      <c r="EG176" s="76"/>
      <c r="EH176" s="76"/>
      <c r="EI176" s="76"/>
      <c r="EJ176" s="76"/>
      <c r="EK176" s="76"/>
      <c r="EL176" s="76"/>
      <c r="EM176" s="76"/>
      <c r="EN176" s="76"/>
      <c r="EO176" s="76"/>
      <c r="EP176" s="76"/>
      <c r="EQ176" s="76"/>
      <c r="ER176" s="76"/>
      <c r="ES176" s="76"/>
      <c r="ET176" s="76"/>
      <c r="EU176" s="76"/>
      <c r="EV176" s="76"/>
      <c r="EW176" s="76"/>
      <c r="EX176" s="76"/>
      <c r="EY176" s="76"/>
      <c r="EZ176" s="76"/>
      <c r="FA176" s="76"/>
      <c r="FB176" s="76"/>
      <c r="FC176" s="76"/>
      <c r="FD176" s="76"/>
      <c r="FE176" s="76"/>
      <c r="FF176" s="76"/>
      <c r="FG176" s="76"/>
      <c r="FH176" s="76"/>
      <c r="FI176" s="76"/>
      <c r="FJ176" s="76"/>
      <c r="FK176" s="76"/>
      <c r="FL176" s="76"/>
      <c r="FM176" s="76"/>
      <c r="FN176" s="76"/>
      <c r="FO176" s="76"/>
      <c r="FP176" s="76"/>
      <c r="FQ176" s="76"/>
      <c r="FR176" s="76"/>
      <c r="FS176" s="76"/>
      <c r="FT176" s="76"/>
      <c r="FU176" s="76"/>
      <c r="FV176" s="76"/>
      <c r="FW176" s="76"/>
      <c r="FX176" s="76"/>
      <c r="FY176" s="76"/>
      <c r="FZ176" s="76"/>
      <c r="GA176" s="76"/>
      <c r="GB176" s="76"/>
      <c r="GC176" s="76"/>
      <c r="GD176" s="76"/>
      <c r="GE176" s="76"/>
      <c r="GF176" s="76"/>
      <c r="GG176" s="76"/>
      <c r="GH176" s="76"/>
      <c r="GI176" s="76"/>
      <c r="GJ176" s="76"/>
      <c r="GK176" s="76"/>
      <c r="GL176" s="76"/>
      <c r="GM176" s="76"/>
      <c r="GN176" s="76"/>
      <c r="GO176" s="76"/>
      <c r="GP176" s="76"/>
      <c r="GQ176" s="76"/>
      <c r="GR176" s="76"/>
      <c r="GS176" s="76"/>
      <c r="GT176" s="76"/>
      <c r="GU176" s="76"/>
      <c r="GV176" s="76"/>
      <c r="GW176" s="76"/>
      <c r="GX176" s="76"/>
      <c r="GY176" s="76"/>
      <c r="GZ176" s="76"/>
      <c r="HA176" s="76">
        <v>1124</v>
      </c>
      <c r="HB176" s="76"/>
      <c r="HC176" s="76"/>
      <c r="HD176" s="76"/>
      <c r="HE176" s="76">
        <v>5679</v>
      </c>
      <c r="HF176" s="76"/>
      <c r="HG176" s="76"/>
      <c r="HH176" s="76"/>
      <c r="HI176" s="76"/>
      <c r="HJ176" s="76"/>
      <c r="HK176" s="76"/>
      <c r="HL176" s="76"/>
      <c r="HM176" s="76"/>
      <c r="HN176" s="76"/>
      <c r="HO176" s="76"/>
      <c r="HP176" s="76"/>
      <c r="HQ176" s="76"/>
      <c r="HR176" s="76"/>
      <c r="HS176" s="76">
        <v>68233.08062129021</v>
      </c>
      <c r="HT176" s="76">
        <v>8771.9193787097956</v>
      </c>
      <c r="HU176" s="76">
        <v>30</v>
      </c>
      <c r="HV176" s="76">
        <v>169907</v>
      </c>
    </row>
    <row r="177" spans="1:230" x14ac:dyDescent="0.2">
      <c r="A177" s="74" t="s">
        <v>270</v>
      </c>
      <c r="B177" s="76">
        <v>7869</v>
      </c>
      <c r="C177" s="76">
        <v>2861</v>
      </c>
      <c r="D177" s="76">
        <v>701</v>
      </c>
      <c r="E177" s="76">
        <v>723</v>
      </c>
      <c r="F177" s="76">
        <v>5024</v>
      </c>
      <c r="G177" s="76">
        <v>2104</v>
      </c>
      <c r="H177" s="76">
        <v>716</v>
      </c>
      <c r="I177" s="76">
        <v>6580</v>
      </c>
      <c r="J177" s="76">
        <v>2331</v>
      </c>
      <c r="K177" s="76">
        <v>6658</v>
      </c>
      <c r="L177" s="76">
        <v>1743</v>
      </c>
      <c r="M177" s="76">
        <v>360</v>
      </c>
      <c r="N177" s="76">
        <v>1083</v>
      </c>
      <c r="O177" s="76">
        <v>1349</v>
      </c>
      <c r="P177" s="76">
        <v>1008</v>
      </c>
      <c r="Q177" s="76">
        <v>668</v>
      </c>
      <c r="R177" s="76">
        <v>2864</v>
      </c>
      <c r="S177" s="76">
        <v>439</v>
      </c>
      <c r="T177" s="76">
        <v>3934</v>
      </c>
      <c r="U177" s="77">
        <v>1364</v>
      </c>
      <c r="V177" s="76">
        <v>4777</v>
      </c>
      <c r="W177" s="76">
        <v>1753</v>
      </c>
      <c r="X177" s="76">
        <v>1053</v>
      </c>
      <c r="Y177" s="76">
        <v>1303</v>
      </c>
      <c r="Z177" s="76">
        <v>2362</v>
      </c>
      <c r="AA177" s="76">
        <v>2221</v>
      </c>
      <c r="AB177" s="76">
        <v>3086</v>
      </c>
      <c r="AC177" s="76">
        <v>1398</v>
      </c>
      <c r="AD177" s="76">
        <v>1915</v>
      </c>
      <c r="AE177" s="76">
        <v>2168</v>
      </c>
      <c r="AF177" s="76">
        <v>1608</v>
      </c>
      <c r="AG177" s="76">
        <v>2671</v>
      </c>
      <c r="AH177" s="76">
        <v>3673</v>
      </c>
      <c r="AI177" s="76">
        <v>1535</v>
      </c>
      <c r="AJ177" s="76">
        <v>1042</v>
      </c>
      <c r="AK177" s="76">
        <v>1248</v>
      </c>
      <c r="AL177" s="76">
        <v>880</v>
      </c>
      <c r="AM177" s="76">
        <v>8741</v>
      </c>
      <c r="AN177" s="76">
        <v>1717</v>
      </c>
      <c r="AO177" s="76">
        <v>9821</v>
      </c>
      <c r="AP177" s="76">
        <v>3253</v>
      </c>
      <c r="AQ177" s="76">
        <v>32978</v>
      </c>
      <c r="AR177" s="76">
        <v>10802</v>
      </c>
      <c r="AS177" s="76">
        <v>747</v>
      </c>
      <c r="AT177" s="76">
        <v>1632</v>
      </c>
      <c r="AU177" s="76">
        <v>4028</v>
      </c>
      <c r="AV177" s="76">
        <v>696</v>
      </c>
      <c r="AW177" s="76">
        <v>3879</v>
      </c>
      <c r="AX177" s="76">
        <v>527</v>
      </c>
      <c r="AY177" s="76">
        <v>1152</v>
      </c>
      <c r="AZ177" s="76">
        <v>8143</v>
      </c>
      <c r="BA177" s="76">
        <v>3368</v>
      </c>
      <c r="BB177" s="76">
        <v>91345</v>
      </c>
      <c r="BC177" s="76">
        <v>28243</v>
      </c>
      <c r="BD177" s="76">
        <v>5475</v>
      </c>
      <c r="BE177" s="76">
        <v>1462</v>
      </c>
      <c r="BF177" s="76">
        <v>1045</v>
      </c>
      <c r="BG177" s="76">
        <v>1472</v>
      </c>
      <c r="BH177" s="76">
        <v>6405</v>
      </c>
      <c r="BI177" s="76">
        <v>1285</v>
      </c>
      <c r="BJ177" s="76">
        <v>68887</v>
      </c>
      <c r="BK177" s="76">
        <v>953</v>
      </c>
      <c r="BL177" s="76">
        <v>2701</v>
      </c>
      <c r="BM177" s="76">
        <v>381</v>
      </c>
      <c r="BN177" s="76">
        <v>6221</v>
      </c>
      <c r="BO177" s="76">
        <v>921</v>
      </c>
      <c r="BP177" s="76">
        <v>2731</v>
      </c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6"/>
      <c r="CT177" s="76"/>
      <c r="CU177" s="76"/>
      <c r="CV177" s="76"/>
      <c r="CW177" s="76"/>
      <c r="CX177" s="76"/>
      <c r="CY177" s="76"/>
      <c r="CZ177" s="76"/>
      <c r="DA177" s="76"/>
      <c r="DB177" s="76"/>
      <c r="DC177" s="76"/>
      <c r="DD177" s="76"/>
      <c r="DE177" s="76"/>
      <c r="DF177" s="76"/>
      <c r="DG177" s="76"/>
      <c r="DH177" s="76"/>
      <c r="DI177" s="76"/>
      <c r="DJ177" s="76"/>
      <c r="DK177" s="76"/>
      <c r="DL177" s="76"/>
      <c r="DM177" s="76"/>
      <c r="DN177" s="76"/>
      <c r="DO177" s="76"/>
      <c r="DP177" s="76"/>
      <c r="DQ177" s="68"/>
      <c r="DR177" s="76"/>
      <c r="DS177" s="76"/>
      <c r="DT177" s="76"/>
      <c r="DU177" s="76"/>
      <c r="DV177" s="76"/>
      <c r="DW177" s="76"/>
      <c r="DX177" s="76"/>
      <c r="DY177" s="76"/>
      <c r="DZ177" s="76"/>
      <c r="EA177" s="76"/>
      <c r="EB177" s="76"/>
      <c r="EC177" s="76"/>
      <c r="ED177" s="76"/>
      <c r="EE177" s="76"/>
      <c r="EF177" s="76"/>
      <c r="EG177" s="76"/>
      <c r="EH177" s="76"/>
      <c r="EI177" s="76"/>
      <c r="EJ177" s="76"/>
      <c r="EK177" s="76"/>
      <c r="EL177" s="76"/>
      <c r="EM177" s="76"/>
      <c r="EN177" s="76"/>
      <c r="EO177" s="76"/>
      <c r="EP177" s="76"/>
      <c r="EQ177" s="76"/>
      <c r="ER177" s="76"/>
      <c r="ES177" s="76"/>
      <c r="ET177" s="76"/>
      <c r="EU177" s="76"/>
      <c r="EV177" s="76"/>
      <c r="EW177" s="76"/>
      <c r="EX177" s="76"/>
      <c r="EY177" s="76"/>
      <c r="EZ177" s="76"/>
      <c r="FA177" s="76"/>
      <c r="FB177" s="76"/>
      <c r="FC177" s="76"/>
      <c r="FD177" s="76"/>
      <c r="FE177" s="76"/>
      <c r="FF177" s="76"/>
      <c r="FG177" s="76"/>
      <c r="FH177" s="76"/>
      <c r="FI177" s="76"/>
      <c r="FJ177" s="76"/>
      <c r="FK177" s="76"/>
      <c r="FL177" s="76"/>
      <c r="FM177" s="76"/>
      <c r="FN177" s="76"/>
      <c r="FO177" s="76"/>
      <c r="FP177" s="76"/>
      <c r="FQ177" s="76"/>
      <c r="FR177" s="76"/>
      <c r="FS177" s="76"/>
      <c r="FT177" s="76"/>
      <c r="FU177" s="76"/>
      <c r="FV177" s="76"/>
      <c r="FW177" s="76"/>
      <c r="FX177" s="76"/>
      <c r="FY177" s="76"/>
      <c r="FZ177" s="76"/>
      <c r="GA177" s="76"/>
      <c r="GB177" s="76"/>
      <c r="GC177" s="76"/>
      <c r="GD177" s="76"/>
      <c r="GE177" s="76"/>
      <c r="GF177" s="76"/>
      <c r="GG177" s="76"/>
      <c r="GH177" s="76"/>
      <c r="GI177" s="76"/>
      <c r="GJ177" s="76"/>
      <c r="GK177" s="76"/>
      <c r="GL177" s="76"/>
      <c r="GM177" s="76"/>
      <c r="GN177" s="76"/>
      <c r="GO177" s="76"/>
      <c r="GP177" s="76"/>
      <c r="GQ177" s="76"/>
      <c r="GR177" s="76"/>
      <c r="GS177" s="76"/>
      <c r="GT177" s="76"/>
      <c r="GU177" s="76"/>
      <c r="GV177" s="76"/>
      <c r="GW177" s="76"/>
      <c r="GX177" s="76"/>
      <c r="GY177" s="76"/>
      <c r="GZ177" s="76"/>
      <c r="HA177" s="76">
        <v>329896</v>
      </c>
      <c r="HB177" s="76"/>
      <c r="HC177" s="76"/>
      <c r="HD177" s="76">
        <v>2141</v>
      </c>
      <c r="HE177" s="76">
        <v>9061</v>
      </c>
      <c r="HF177" s="76"/>
      <c r="HG177" s="76"/>
      <c r="HH177" s="76"/>
      <c r="HI177" s="76"/>
      <c r="HJ177" s="76"/>
      <c r="HK177" s="76"/>
      <c r="HL177" s="76"/>
      <c r="HM177" s="76"/>
      <c r="HN177" s="76"/>
      <c r="HO177" s="76"/>
      <c r="HP177" s="76"/>
      <c r="HQ177" s="76"/>
      <c r="HR177" s="76"/>
      <c r="HS177" s="76"/>
      <c r="HT177" s="76"/>
      <c r="HU177" s="76"/>
      <c r="HV177" s="76">
        <v>737181</v>
      </c>
    </row>
    <row r="178" spans="1:230" x14ac:dyDescent="0.2">
      <c r="A178" s="74" t="s">
        <v>271</v>
      </c>
      <c r="B178" s="76">
        <v>8</v>
      </c>
      <c r="C178" s="76">
        <v>6</v>
      </c>
      <c r="D178" s="76">
        <v>9</v>
      </c>
      <c r="E178" s="76">
        <v>24</v>
      </c>
      <c r="F178" s="76">
        <v>456</v>
      </c>
      <c r="G178" s="76">
        <v>41</v>
      </c>
      <c r="H178" s="76">
        <v>23</v>
      </c>
      <c r="I178" s="76">
        <v>708</v>
      </c>
      <c r="J178" s="76">
        <v>196</v>
      </c>
      <c r="K178" s="76">
        <v>550</v>
      </c>
      <c r="L178" s="76">
        <v>76</v>
      </c>
      <c r="M178" s="76">
        <v>23</v>
      </c>
      <c r="N178" s="76">
        <v>336</v>
      </c>
      <c r="O178" s="76">
        <v>424</v>
      </c>
      <c r="P178" s="76">
        <v>113</v>
      </c>
      <c r="Q178" s="76">
        <v>41</v>
      </c>
      <c r="R178" s="76">
        <v>175</v>
      </c>
      <c r="S178" s="76">
        <v>58</v>
      </c>
      <c r="T178" s="76">
        <v>176</v>
      </c>
      <c r="U178" s="77">
        <v>221</v>
      </c>
      <c r="V178" s="76">
        <v>196</v>
      </c>
      <c r="W178" s="76">
        <v>103</v>
      </c>
      <c r="X178" s="76">
        <v>185</v>
      </c>
      <c r="Y178" s="76">
        <v>266</v>
      </c>
      <c r="Z178" s="76">
        <v>445</v>
      </c>
      <c r="AA178" s="76">
        <v>200</v>
      </c>
      <c r="AB178" s="76">
        <v>311</v>
      </c>
      <c r="AC178" s="76">
        <v>13</v>
      </c>
      <c r="AD178" s="76">
        <v>290</v>
      </c>
      <c r="AE178" s="76">
        <v>201</v>
      </c>
      <c r="AF178" s="76">
        <v>125</v>
      </c>
      <c r="AG178" s="76">
        <v>223</v>
      </c>
      <c r="AH178" s="76">
        <v>129</v>
      </c>
      <c r="AI178" s="76">
        <v>242</v>
      </c>
      <c r="AJ178" s="76">
        <v>73</v>
      </c>
      <c r="AK178" s="76">
        <v>271</v>
      </c>
      <c r="AL178" s="76">
        <v>65</v>
      </c>
      <c r="AM178" s="76">
        <v>1373</v>
      </c>
      <c r="AN178" s="76">
        <v>349</v>
      </c>
      <c r="AO178" s="76">
        <v>1353</v>
      </c>
      <c r="AP178" s="76">
        <v>4149</v>
      </c>
      <c r="AQ178" s="76">
        <v>43199</v>
      </c>
      <c r="AR178" s="76">
        <v>1448</v>
      </c>
      <c r="AS178" s="76">
        <v>88</v>
      </c>
      <c r="AT178" s="76">
        <v>140</v>
      </c>
      <c r="AU178" s="76">
        <v>3027</v>
      </c>
      <c r="AV178" s="76">
        <v>1377</v>
      </c>
      <c r="AW178" s="76">
        <v>6176</v>
      </c>
      <c r="AX178" s="76">
        <v>222</v>
      </c>
      <c r="AY178" s="76">
        <v>535</v>
      </c>
      <c r="AZ178" s="76">
        <v>2538</v>
      </c>
      <c r="BA178" s="76">
        <v>1919</v>
      </c>
      <c r="BB178" s="76">
        <v>5960</v>
      </c>
      <c r="BC178" s="76">
        <v>2526</v>
      </c>
      <c r="BD178" s="76">
        <v>5768</v>
      </c>
      <c r="BE178" s="76">
        <v>908</v>
      </c>
      <c r="BF178" s="76">
        <v>1076</v>
      </c>
      <c r="BG178" s="76">
        <v>1134</v>
      </c>
      <c r="BH178" s="76">
        <v>3719</v>
      </c>
      <c r="BI178" s="76">
        <v>288</v>
      </c>
      <c r="BJ178" s="76">
        <v>3047</v>
      </c>
      <c r="BK178" s="76">
        <v>676</v>
      </c>
      <c r="BL178" s="76">
        <v>5473</v>
      </c>
      <c r="BM178" s="76">
        <v>529</v>
      </c>
      <c r="BN178" s="76">
        <v>2586</v>
      </c>
      <c r="BO178" s="76">
        <v>4669</v>
      </c>
      <c r="BP178" s="76">
        <v>3604</v>
      </c>
      <c r="BQ178" s="76"/>
      <c r="BR178" s="76"/>
      <c r="BS178" s="76"/>
      <c r="BT178" s="76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6"/>
      <c r="CK178" s="76"/>
      <c r="CL178" s="76"/>
      <c r="CM178" s="76"/>
      <c r="CN178" s="76"/>
      <c r="CO178" s="76"/>
      <c r="CP178" s="76"/>
      <c r="CQ178" s="76"/>
      <c r="CR178" s="76"/>
      <c r="CS178" s="76"/>
      <c r="CT178" s="76"/>
      <c r="CU178" s="76"/>
      <c r="CV178" s="76"/>
      <c r="CW178" s="76"/>
      <c r="CX178" s="76"/>
      <c r="CY178" s="76"/>
      <c r="CZ178" s="76"/>
      <c r="DA178" s="76"/>
      <c r="DB178" s="76"/>
      <c r="DC178" s="76"/>
      <c r="DD178" s="76"/>
      <c r="DE178" s="76"/>
      <c r="DF178" s="76"/>
      <c r="DG178" s="76"/>
      <c r="DH178" s="76"/>
      <c r="DI178" s="76"/>
      <c r="DJ178" s="76"/>
      <c r="DK178" s="76"/>
      <c r="DL178" s="76"/>
      <c r="DM178" s="76"/>
      <c r="DN178" s="76"/>
      <c r="DO178" s="76"/>
      <c r="DP178" s="76"/>
      <c r="DQ178" s="68"/>
      <c r="DR178" s="76"/>
      <c r="DS178" s="76"/>
      <c r="DT178" s="76"/>
      <c r="DU178" s="76"/>
      <c r="DV178" s="76"/>
      <c r="DW178" s="76"/>
      <c r="DX178" s="76"/>
      <c r="DY178" s="76"/>
      <c r="DZ178" s="76"/>
      <c r="EA178" s="76"/>
      <c r="EB178" s="76"/>
      <c r="EC178" s="76"/>
      <c r="ED178" s="76"/>
      <c r="EE178" s="76"/>
      <c r="EF178" s="76"/>
      <c r="EG178" s="76"/>
      <c r="EH178" s="76"/>
      <c r="EI178" s="76"/>
      <c r="EJ178" s="76"/>
      <c r="EK178" s="76"/>
      <c r="EL178" s="76"/>
      <c r="EM178" s="76"/>
      <c r="EN178" s="76"/>
      <c r="EO178" s="76"/>
      <c r="EP178" s="76"/>
      <c r="EQ178" s="76"/>
      <c r="ER178" s="76"/>
      <c r="ES178" s="76"/>
      <c r="ET178" s="76"/>
      <c r="EU178" s="76"/>
      <c r="EV178" s="76"/>
      <c r="EW178" s="76"/>
      <c r="EX178" s="76"/>
      <c r="EY178" s="76"/>
      <c r="EZ178" s="76"/>
      <c r="FA178" s="76"/>
      <c r="FB178" s="76"/>
      <c r="FC178" s="76"/>
      <c r="FD178" s="76"/>
      <c r="FE178" s="76"/>
      <c r="FF178" s="76"/>
      <c r="FG178" s="76"/>
      <c r="FH178" s="76"/>
      <c r="FI178" s="76"/>
      <c r="FJ178" s="76"/>
      <c r="FK178" s="76"/>
      <c r="FL178" s="76"/>
      <c r="FM178" s="76"/>
      <c r="FN178" s="76"/>
      <c r="FO178" s="76"/>
      <c r="FP178" s="76"/>
      <c r="FQ178" s="76"/>
      <c r="FR178" s="76"/>
      <c r="FS178" s="76"/>
      <c r="FT178" s="76"/>
      <c r="FU178" s="76"/>
      <c r="FV178" s="76"/>
      <c r="FW178" s="76"/>
      <c r="FX178" s="76"/>
      <c r="FY178" s="76"/>
      <c r="FZ178" s="76"/>
      <c r="GA178" s="76"/>
      <c r="GB178" s="76"/>
      <c r="GC178" s="76"/>
      <c r="GD178" s="76"/>
      <c r="GE178" s="76"/>
      <c r="GF178" s="76"/>
      <c r="GG178" s="76"/>
      <c r="GH178" s="76"/>
      <c r="GI178" s="76"/>
      <c r="GJ178" s="76"/>
      <c r="GK178" s="76"/>
      <c r="GL178" s="76"/>
      <c r="GM178" s="76"/>
      <c r="GN178" s="76"/>
      <c r="GO178" s="76"/>
      <c r="GP178" s="76"/>
      <c r="GQ178" s="76"/>
      <c r="GR178" s="76"/>
      <c r="GS178" s="76"/>
      <c r="GT178" s="76"/>
      <c r="GU178" s="76"/>
      <c r="GV178" s="76"/>
      <c r="GW178" s="76"/>
      <c r="GX178" s="76"/>
      <c r="GY178" s="76"/>
      <c r="GZ178" s="76"/>
      <c r="HA178" s="76">
        <v>109961</v>
      </c>
      <c r="HB178" s="76"/>
      <c r="HC178" s="76"/>
      <c r="HD178" s="76"/>
      <c r="HE178" s="76">
        <v>3784</v>
      </c>
      <c r="HF178" s="76"/>
      <c r="HG178" s="76"/>
      <c r="HH178" s="76"/>
      <c r="HI178" s="76"/>
      <c r="HJ178" s="76"/>
      <c r="HK178" s="76"/>
      <c r="HL178" s="76"/>
      <c r="HM178" s="76"/>
      <c r="HN178" s="76"/>
      <c r="HO178" s="76"/>
      <c r="HP178" s="76"/>
      <c r="HQ178" s="76"/>
      <c r="HR178" s="76"/>
      <c r="HS178" s="76"/>
      <c r="HT178" s="76"/>
      <c r="HU178" s="76"/>
      <c r="HV178" s="76">
        <v>230603</v>
      </c>
    </row>
    <row r="179" spans="1:230" x14ac:dyDescent="0.2">
      <c r="A179" s="74" t="s">
        <v>272</v>
      </c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7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  <c r="CY179" s="76"/>
      <c r="CZ179" s="76"/>
      <c r="DA179" s="76"/>
      <c r="DB179" s="76"/>
      <c r="DC179" s="76"/>
      <c r="DD179" s="76"/>
      <c r="DE179" s="76"/>
      <c r="DF179" s="76"/>
      <c r="DG179" s="76"/>
      <c r="DH179" s="76"/>
      <c r="DI179" s="76"/>
      <c r="DJ179" s="76"/>
      <c r="DK179" s="76"/>
      <c r="DL179" s="76"/>
      <c r="DM179" s="76"/>
      <c r="DN179" s="76"/>
      <c r="DO179" s="76"/>
      <c r="DP179" s="76"/>
      <c r="DQ179" s="68"/>
      <c r="DR179" s="76"/>
      <c r="DS179" s="76"/>
      <c r="DT179" s="76"/>
      <c r="DU179" s="76"/>
      <c r="DV179" s="76"/>
      <c r="DW179" s="76"/>
      <c r="DX179" s="76"/>
      <c r="DY179" s="76"/>
      <c r="DZ179" s="76"/>
      <c r="EA179" s="76"/>
      <c r="EB179" s="76"/>
      <c r="EC179" s="76"/>
      <c r="ED179" s="76"/>
      <c r="EE179" s="76"/>
      <c r="EF179" s="76"/>
      <c r="EG179" s="76"/>
      <c r="EH179" s="76"/>
      <c r="EI179" s="76"/>
      <c r="EJ179" s="76"/>
      <c r="EK179" s="76"/>
      <c r="EL179" s="76"/>
      <c r="EM179" s="76"/>
      <c r="EN179" s="76"/>
      <c r="EO179" s="76"/>
      <c r="EP179" s="76"/>
      <c r="EQ179" s="76"/>
      <c r="ER179" s="76"/>
      <c r="ES179" s="76"/>
      <c r="ET179" s="76"/>
      <c r="EU179" s="76"/>
      <c r="EV179" s="76"/>
      <c r="EW179" s="76"/>
      <c r="EX179" s="76"/>
      <c r="EY179" s="76"/>
      <c r="EZ179" s="76"/>
      <c r="FA179" s="76"/>
      <c r="FB179" s="76"/>
      <c r="FC179" s="76"/>
      <c r="FD179" s="76"/>
      <c r="FE179" s="76"/>
      <c r="FF179" s="76"/>
      <c r="FG179" s="76"/>
      <c r="FH179" s="76"/>
      <c r="FI179" s="76"/>
      <c r="FJ179" s="76"/>
      <c r="FK179" s="76"/>
      <c r="FL179" s="76"/>
      <c r="FM179" s="76"/>
      <c r="FN179" s="76"/>
      <c r="FO179" s="76"/>
      <c r="FP179" s="76"/>
      <c r="FQ179" s="76"/>
      <c r="FR179" s="76"/>
      <c r="FS179" s="76"/>
      <c r="FT179" s="76"/>
      <c r="FU179" s="76"/>
      <c r="FV179" s="76"/>
      <c r="FW179" s="76"/>
      <c r="FX179" s="76"/>
      <c r="FY179" s="76"/>
      <c r="FZ179" s="76"/>
      <c r="GA179" s="76"/>
      <c r="GB179" s="76"/>
      <c r="GC179" s="76"/>
      <c r="GD179" s="76"/>
      <c r="GE179" s="76"/>
      <c r="GF179" s="76"/>
      <c r="GG179" s="76"/>
      <c r="GH179" s="76"/>
      <c r="GI179" s="76"/>
      <c r="GJ179" s="76"/>
      <c r="GK179" s="76"/>
      <c r="GL179" s="76"/>
      <c r="GM179" s="76"/>
      <c r="GN179" s="76"/>
      <c r="GO179" s="76"/>
      <c r="GP179" s="76"/>
      <c r="GQ179" s="76"/>
      <c r="GR179" s="76"/>
      <c r="GS179" s="76"/>
      <c r="GT179" s="76"/>
      <c r="GU179" s="76"/>
      <c r="GV179" s="76"/>
      <c r="GW179" s="76"/>
      <c r="GX179" s="76"/>
      <c r="GY179" s="76"/>
      <c r="GZ179" s="76"/>
      <c r="HA179" s="76">
        <v>441426</v>
      </c>
      <c r="HB179" s="76"/>
      <c r="HC179" s="76"/>
      <c r="HD179" s="76"/>
      <c r="HE179" s="76"/>
      <c r="HF179" s="76"/>
      <c r="HG179" s="76"/>
      <c r="HH179" s="76"/>
      <c r="HI179" s="76"/>
      <c r="HJ179" s="76"/>
      <c r="HK179" s="76"/>
      <c r="HL179" s="76"/>
      <c r="HM179" s="76"/>
      <c r="HN179" s="76"/>
      <c r="HO179" s="76"/>
      <c r="HP179" s="76"/>
      <c r="HQ179" s="76"/>
      <c r="HR179" s="76"/>
      <c r="HS179" s="76"/>
      <c r="HT179" s="76"/>
      <c r="HU179" s="76"/>
      <c r="HV179" s="76">
        <v>441426</v>
      </c>
    </row>
    <row r="180" spans="1:230" x14ac:dyDescent="0.2">
      <c r="A180" s="74" t="s">
        <v>273</v>
      </c>
      <c r="B180" s="76">
        <v>22</v>
      </c>
      <c r="C180" s="76">
        <v>9</v>
      </c>
      <c r="D180" s="76">
        <v>36</v>
      </c>
      <c r="E180" s="76">
        <v>600</v>
      </c>
      <c r="F180" s="76">
        <v>12077</v>
      </c>
      <c r="G180" s="76">
        <v>2547</v>
      </c>
      <c r="H180" s="76">
        <v>370</v>
      </c>
      <c r="I180" s="76">
        <v>4266</v>
      </c>
      <c r="J180" s="76">
        <v>1023</v>
      </c>
      <c r="K180" s="76">
        <v>7558</v>
      </c>
      <c r="L180" s="76">
        <v>2203</v>
      </c>
      <c r="M180" s="76">
        <v>836</v>
      </c>
      <c r="N180" s="76">
        <v>374</v>
      </c>
      <c r="O180" s="76">
        <v>372</v>
      </c>
      <c r="P180" s="76">
        <v>285</v>
      </c>
      <c r="Q180" s="76">
        <v>258</v>
      </c>
      <c r="R180" s="76">
        <v>2096</v>
      </c>
      <c r="S180" s="76">
        <v>130</v>
      </c>
      <c r="T180" s="76">
        <v>5905</v>
      </c>
      <c r="U180" s="77">
        <v>639</v>
      </c>
      <c r="V180" s="76">
        <v>3943</v>
      </c>
      <c r="W180" s="76">
        <v>4892</v>
      </c>
      <c r="X180" s="76">
        <v>1661</v>
      </c>
      <c r="Y180" s="76">
        <v>4670</v>
      </c>
      <c r="Z180" s="76">
        <v>1869</v>
      </c>
      <c r="AA180" s="76">
        <v>2420</v>
      </c>
      <c r="AB180" s="76">
        <v>1827</v>
      </c>
      <c r="AC180" s="76">
        <v>687</v>
      </c>
      <c r="AD180" s="76">
        <v>944</v>
      </c>
      <c r="AE180" s="76">
        <v>2985</v>
      </c>
      <c r="AF180" s="76">
        <v>2763</v>
      </c>
      <c r="AG180" s="76">
        <v>2277</v>
      </c>
      <c r="AH180" s="76">
        <v>2794</v>
      </c>
      <c r="AI180" s="76">
        <v>1275</v>
      </c>
      <c r="AJ180" s="76">
        <v>291</v>
      </c>
      <c r="AK180" s="76">
        <v>512</v>
      </c>
      <c r="AL180" s="76">
        <v>657</v>
      </c>
      <c r="AM180" s="76">
        <v>1500</v>
      </c>
      <c r="AN180" s="76">
        <v>1511</v>
      </c>
      <c r="AO180" s="76">
        <v>4721</v>
      </c>
      <c r="AP180" s="76">
        <v>7571</v>
      </c>
      <c r="AQ180" s="76">
        <v>29210</v>
      </c>
      <c r="AR180" s="76">
        <v>2834</v>
      </c>
      <c r="AS180" s="76">
        <v>133</v>
      </c>
      <c r="AT180" s="76">
        <v>604</v>
      </c>
      <c r="AU180" s="76">
        <v>2310</v>
      </c>
      <c r="AV180" s="76">
        <v>290</v>
      </c>
      <c r="AW180" s="76">
        <v>1303</v>
      </c>
      <c r="AX180" s="76">
        <v>473</v>
      </c>
      <c r="AY180" s="76">
        <v>3054</v>
      </c>
      <c r="AZ180" s="76">
        <v>3574</v>
      </c>
      <c r="BA180" s="76">
        <v>3385</v>
      </c>
      <c r="BB180" s="76">
        <v>17635</v>
      </c>
      <c r="BC180" s="76">
        <v>3055</v>
      </c>
      <c r="BD180" s="76">
        <v>18345</v>
      </c>
      <c r="BE180" s="76">
        <v>5038</v>
      </c>
      <c r="BF180" s="76">
        <v>430</v>
      </c>
      <c r="BG180" s="76">
        <v>926</v>
      </c>
      <c r="BH180" s="76">
        <v>4684</v>
      </c>
      <c r="BI180" s="76">
        <v>1513</v>
      </c>
      <c r="BJ180" s="76">
        <v>4767</v>
      </c>
      <c r="BK180" s="76">
        <v>161</v>
      </c>
      <c r="BL180" s="76">
        <v>2792</v>
      </c>
      <c r="BM180" s="76">
        <v>308</v>
      </c>
      <c r="BN180" s="76">
        <v>3051</v>
      </c>
      <c r="BO180" s="76">
        <v>1359</v>
      </c>
      <c r="BP180" s="76">
        <v>3365</v>
      </c>
      <c r="BQ180" s="76"/>
      <c r="BR180" s="76"/>
      <c r="BS180" s="76"/>
      <c r="BT180" s="76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  <c r="CT180" s="76"/>
      <c r="CU180" s="76"/>
      <c r="CV180" s="76"/>
      <c r="CW180" s="76"/>
      <c r="CX180" s="76"/>
      <c r="CY180" s="76"/>
      <c r="CZ180" s="76"/>
      <c r="DA180" s="76"/>
      <c r="DB180" s="76"/>
      <c r="DC180" s="76"/>
      <c r="DD180" s="76"/>
      <c r="DE180" s="76"/>
      <c r="DF180" s="76"/>
      <c r="DG180" s="76"/>
      <c r="DH180" s="76"/>
      <c r="DI180" s="76"/>
      <c r="DJ180" s="76"/>
      <c r="DK180" s="76"/>
      <c r="DL180" s="76"/>
      <c r="DM180" s="76"/>
      <c r="DN180" s="76"/>
      <c r="DO180" s="76"/>
      <c r="DP180" s="76"/>
      <c r="DQ180" s="68"/>
      <c r="DR180" s="76"/>
      <c r="DS180" s="76"/>
      <c r="DT180" s="76"/>
      <c r="DU180" s="76"/>
      <c r="DV180" s="76"/>
      <c r="DW180" s="76"/>
      <c r="DX180" s="76"/>
      <c r="DY180" s="76"/>
      <c r="DZ180" s="76"/>
      <c r="EA180" s="76"/>
      <c r="EB180" s="76"/>
      <c r="EC180" s="76"/>
      <c r="ED180" s="76"/>
      <c r="EE180" s="76"/>
      <c r="EF180" s="76"/>
      <c r="EG180" s="76"/>
      <c r="EH180" s="76"/>
      <c r="EI180" s="76"/>
      <c r="EJ180" s="76"/>
      <c r="EK180" s="76"/>
      <c r="EL180" s="76"/>
      <c r="EM180" s="76"/>
      <c r="EN180" s="76"/>
      <c r="EO180" s="76"/>
      <c r="EP180" s="76"/>
      <c r="EQ180" s="76"/>
      <c r="ER180" s="76"/>
      <c r="ES180" s="76"/>
      <c r="ET180" s="76"/>
      <c r="EU180" s="76"/>
      <c r="EV180" s="76"/>
      <c r="EW180" s="76"/>
      <c r="EX180" s="76"/>
      <c r="EY180" s="76"/>
      <c r="EZ180" s="76"/>
      <c r="FA180" s="76"/>
      <c r="FB180" s="76"/>
      <c r="FC180" s="76"/>
      <c r="FD180" s="76"/>
      <c r="FE180" s="76"/>
      <c r="FF180" s="76"/>
      <c r="FG180" s="76"/>
      <c r="FH180" s="76"/>
      <c r="FI180" s="76"/>
      <c r="FJ180" s="76"/>
      <c r="FK180" s="76"/>
      <c r="FL180" s="76"/>
      <c r="FM180" s="76"/>
      <c r="FN180" s="76"/>
      <c r="FO180" s="76"/>
      <c r="FP180" s="76"/>
      <c r="FQ180" s="76"/>
      <c r="FR180" s="76"/>
      <c r="FS180" s="76"/>
      <c r="FT180" s="76"/>
      <c r="FU180" s="76"/>
      <c r="FV180" s="76"/>
      <c r="FW180" s="76"/>
      <c r="FX180" s="76"/>
      <c r="FY180" s="76"/>
      <c r="FZ180" s="76"/>
      <c r="GA180" s="76"/>
      <c r="GB180" s="76"/>
      <c r="GC180" s="76"/>
      <c r="GD180" s="76"/>
      <c r="GE180" s="76"/>
      <c r="GF180" s="76"/>
      <c r="GG180" s="76"/>
      <c r="GH180" s="76"/>
      <c r="GI180" s="76"/>
      <c r="GJ180" s="76"/>
      <c r="GK180" s="76"/>
      <c r="GL180" s="76"/>
      <c r="GM180" s="76"/>
      <c r="GN180" s="76"/>
      <c r="GO180" s="76"/>
      <c r="GP180" s="76"/>
      <c r="GQ180" s="76"/>
      <c r="GR180" s="76"/>
      <c r="GS180" s="76"/>
      <c r="GT180" s="76"/>
      <c r="GU180" s="76"/>
      <c r="GV180" s="76"/>
      <c r="GW180" s="76"/>
      <c r="GX180" s="76"/>
      <c r="GY180" s="76"/>
      <c r="GZ180" s="76"/>
      <c r="HA180" s="76">
        <v>18477</v>
      </c>
      <c r="HB180" s="76"/>
      <c r="HC180" s="76"/>
      <c r="HD180" s="76"/>
      <c r="HE180" s="76">
        <v>12715</v>
      </c>
      <c r="HF180" s="76"/>
      <c r="HG180" s="76"/>
      <c r="HH180" s="76"/>
      <c r="HI180" s="76"/>
      <c r="HJ180" s="76"/>
      <c r="HK180" s="76"/>
      <c r="HL180" s="76"/>
      <c r="HM180" s="76"/>
      <c r="HN180" s="76"/>
      <c r="HO180" s="76"/>
      <c r="HP180" s="76"/>
      <c r="HQ180" s="76"/>
      <c r="HR180" s="76"/>
      <c r="HS180" s="76"/>
      <c r="HT180" s="76"/>
      <c r="HU180" s="76"/>
      <c r="HV180" s="76">
        <v>239167</v>
      </c>
    </row>
    <row r="181" spans="1:230" x14ac:dyDescent="0.2">
      <c r="A181" s="74" t="s">
        <v>274</v>
      </c>
      <c r="B181" s="76"/>
      <c r="C181" s="76"/>
      <c r="D181" s="76"/>
      <c r="E181" s="76">
        <v>1</v>
      </c>
      <c r="F181" s="76"/>
      <c r="G181" s="76">
        <v>137</v>
      </c>
      <c r="H181" s="76"/>
      <c r="I181" s="76">
        <v>98</v>
      </c>
      <c r="J181" s="76">
        <v>15</v>
      </c>
      <c r="K181" s="76">
        <v>52</v>
      </c>
      <c r="L181" s="76">
        <v>101</v>
      </c>
      <c r="M181" s="76">
        <v>19</v>
      </c>
      <c r="N181" s="76"/>
      <c r="O181" s="76">
        <v>17</v>
      </c>
      <c r="P181" s="76">
        <v>31</v>
      </c>
      <c r="Q181" s="76">
        <v>12</v>
      </c>
      <c r="R181" s="76">
        <v>37</v>
      </c>
      <c r="S181" s="76">
        <v>1</v>
      </c>
      <c r="T181" s="76"/>
      <c r="U181" s="77"/>
      <c r="V181" s="76">
        <v>118</v>
      </c>
      <c r="W181" s="76">
        <v>30</v>
      </c>
      <c r="X181" s="76">
        <v>89</v>
      </c>
      <c r="Y181" s="76">
        <v>246</v>
      </c>
      <c r="Z181" s="76">
        <v>40</v>
      </c>
      <c r="AA181" s="76">
        <v>34</v>
      </c>
      <c r="AB181" s="76">
        <v>34</v>
      </c>
      <c r="AC181" s="76">
        <v>120</v>
      </c>
      <c r="AD181" s="76">
        <v>12</v>
      </c>
      <c r="AE181" s="76">
        <v>52</v>
      </c>
      <c r="AF181" s="76">
        <v>157</v>
      </c>
      <c r="AG181" s="76">
        <v>130</v>
      </c>
      <c r="AH181" s="76">
        <v>284</v>
      </c>
      <c r="AI181" s="76">
        <v>168</v>
      </c>
      <c r="AJ181" s="76">
        <v>32</v>
      </c>
      <c r="AK181" s="76">
        <v>25</v>
      </c>
      <c r="AL181" s="76">
        <v>1</v>
      </c>
      <c r="AM181" s="76">
        <v>124</v>
      </c>
      <c r="AN181" s="76">
        <v>14</v>
      </c>
      <c r="AO181" s="76">
        <v>25</v>
      </c>
      <c r="AP181" s="76"/>
      <c r="AQ181" s="76">
        <v>197</v>
      </c>
      <c r="AR181" s="76"/>
      <c r="AS181" s="76"/>
      <c r="AT181" s="76"/>
      <c r="AU181" s="76"/>
      <c r="AV181" s="76"/>
      <c r="AW181" s="76"/>
      <c r="AX181" s="76">
        <v>2</v>
      </c>
      <c r="AY181" s="76"/>
      <c r="AZ181" s="76">
        <v>84</v>
      </c>
      <c r="BA181" s="76">
        <v>111</v>
      </c>
      <c r="BB181" s="76">
        <v>9</v>
      </c>
      <c r="BC181" s="76"/>
      <c r="BD181" s="76"/>
      <c r="BE181" s="76">
        <v>767</v>
      </c>
      <c r="BF181" s="76"/>
      <c r="BG181" s="76">
        <v>33</v>
      </c>
      <c r="BH181" s="76">
        <v>5</v>
      </c>
      <c r="BI181" s="76"/>
      <c r="BJ181" s="76"/>
      <c r="BK181" s="76"/>
      <c r="BL181" s="76">
        <v>1</v>
      </c>
      <c r="BM181" s="76"/>
      <c r="BN181" s="76">
        <v>14</v>
      </c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  <c r="CT181" s="76"/>
      <c r="CU181" s="76"/>
      <c r="CV181" s="76"/>
      <c r="CW181" s="76"/>
      <c r="CX181" s="76"/>
      <c r="CY181" s="76"/>
      <c r="CZ181" s="76"/>
      <c r="DA181" s="76"/>
      <c r="DB181" s="76"/>
      <c r="DC181" s="76"/>
      <c r="DD181" s="76"/>
      <c r="DE181" s="76"/>
      <c r="DF181" s="76"/>
      <c r="DG181" s="76"/>
      <c r="DH181" s="76"/>
      <c r="DI181" s="76"/>
      <c r="DJ181" s="76"/>
      <c r="DK181" s="76"/>
      <c r="DL181" s="76"/>
      <c r="DM181" s="76"/>
      <c r="DN181" s="76"/>
      <c r="DO181" s="76"/>
      <c r="DP181" s="76"/>
      <c r="DQ181" s="68"/>
      <c r="DR181" s="76"/>
      <c r="DS181" s="76"/>
      <c r="DT181" s="76"/>
      <c r="DU181" s="76"/>
      <c r="DV181" s="76"/>
      <c r="DW181" s="76"/>
      <c r="DX181" s="76"/>
      <c r="DY181" s="76"/>
      <c r="DZ181" s="76"/>
      <c r="EA181" s="76"/>
      <c r="EB181" s="76"/>
      <c r="EC181" s="76"/>
      <c r="ED181" s="76"/>
      <c r="EE181" s="76"/>
      <c r="EF181" s="76"/>
      <c r="EG181" s="76"/>
      <c r="EH181" s="76"/>
      <c r="EI181" s="76"/>
      <c r="EJ181" s="76"/>
      <c r="EK181" s="76"/>
      <c r="EL181" s="76"/>
      <c r="EM181" s="76"/>
      <c r="EN181" s="76"/>
      <c r="EO181" s="76"/>
      <c r="EP181" s="76"/>
      <c r="EQ181" s="76"/>
      <c r="ER181" s="76"/>
      <c r="ES181" s="76"/>
      <c r="ET181" s="76"/>
      <c r="EU181" s="76"/>
      <c r="EV181" s="76"/>
      <c r="EW181" s="76"/>
      <c r="EX181" s="76"/>
      <c r="EY181" s="76"/>
      <c r="EZ181" s="76"/>
      <c r="FA181" s="76"/>
      <c r="FB181" s="76"/>
      <c r="FC181" s="76"/>
      <c r="FD181" s="76"/>
      <c r="FE181" s="76"/>
      <c r="FF181" s="76"/>
      <c r="FG181" s="76"/>
      <c r="FH181" s="76"/>
      <c r="FI181" s="76"/>
      <c r="FJ181" s="76"/>
      <c r="FK181" s="76"/>
      <c r="FL181" s="76"/>
      <c r="FM181" s="76"/>
      <c r="FN181" s="76"/>
      <c r="FO181" s="76"/>
      <c r="FP181" s="76"/>
      <c r="FQ181" s="76"/>
      <c r="FR181" s="76"/>
      <c r="FS181" s="76"/>
      <c r="FT181" s="76"/>
      <c r="FU181" s="76"/>
      <c r="FV181" s="76"/>
      <c r="FW181" s="76"/>
      <c r="FX181" s="76"/>
      <c r="FY181" s="76"/>
      <c r="FZ181" s="76"/>
      <c r="GA181" s="76"/>
      <c r="GB181" s="76"/>
      <c r="GC181" s="76"/>
      <c r="GD181" s="76"/>
      <c r="GE181" s="76"/>
      <c r="GF181" s="76"/>
      <c r="GG181" s="76"/>
      <c r="GH181" s="76"/>
      <c r="GI181" s="76"/>
      <c r="GJ181" s="76"/>
      <c r="GK181" s="76"/>
      <c r="GL181" s="76"/>
      <c r="GM181" s="76"/>
      <c r="GN181" s="76"/>
      <c r="GO181" s="76"/>
      <c r="GP181" s="76"/>
      <c r="GQ181" s="76"/>
      <c r="GR181" s="76"/>
      <c r="GS181" s="76"/>
      <c r="GT181" s="76"/>
      <c r="GU181" s="76"/>
      <c r="GV181" s="76"/>
      <c r="GW181" s="76"/>
      <c r="GX181" s="76"/>
      <c r="GY181" s="76"/>
      <c r="GZ181" s="76"/>
      <c r="HA181" s="76"/>
      <c r="HB181" s="76"/>
      <c r="HC181" s="76"/>
      <c r="HD181" s="76"/>
      <c r="HE181" s="76"/>
      <c r="HF181" s="76"/>
      <c r="HG181" s="76"/>
      <c r="HH181" s="76"/>
      <c r="HI181" s="76"/>
      <c r="HJ181" s="76"/>
      <c r="HK181" s="76"/>
      <c r="HL181" s="76"/>
      <c r="HM181" s="76"/>
      <c r="HN181" s="76"/>
      <c r="HO181" s="76"/>
      <c r="HP181" s="76"/>
      <c r="HQ181" s="76"/>
      <c r="HR181" s="76"/>
      <c r="HS181" s="76">
        <v>38382.603120218526</v>
      </c>
      <c r="HT181" s="76">
        <v>4934.3968797814723</v>
      </c>
      <c r="HU181" s="76"/>
      <c r="HV181" s="76">
        <v>46796</v>
      </c>
    </row>
    <row r="182" spans="1:230" x14ac:dyDescent="0.2">
      <c r="A182" s="74" t="s">
        <v>275</v>
      </c>
      <c r="B182" s="76">
        <v>1001</v>
      </c>
      <c r="C182" s="76">
        <v>27</v>
      </c>
      <c r="D182" s="76"/>
      <c r="E182" s="76">
        <v>46</v>
      </c>
      <c r="F182" s="76">
        <v>1901</v>
      </c>
      <c r="G182" s="76">
        <v>395</v>
      </c>
      <c r="H182" s="76">
        <v>147</v>
      </c>
      <c r="I182" s="76">
        <v>965</v>
      </c>
      <c r="J182" s="76">
        <v>342</v>
      </c>
      <c r="K182" s="76">
        <v>1001</v>
      </c>
      <c r="L182" s="76">
        <v>192</v>
      </c>
      <c r="M182" s="76">
        <v>98</v>
      </c>
      <c r="N182" s="76">
        <v>57</v>
      </c>
      <c r="O182" s="76">
        <v>148</v>
      </c>
      <c r="P182" s="76">
        <v>111</v>
      </c>
      <c r="Q182" s="76">
        <v>46</v>
      </c>
      <c r="R182" s="76">
        <v>444</v>
      </c>
      <c r="S182" s="76">
        <v>34</v>
      </c>
      <c r="T182" s="76">
        <v>147</v>
      </c>
      <c r="U182" s="77">
        <v>238</v>
      </c>
      <c r="V182" s="76">
        <v>719</v>
      </c>
      <c r="W182" s="76">
        <v>502</v>
      </c>
      <c r="X182" s="76">
        <v>364</v>
      </c>
      <c r="Y182" s="76">
        <v>775</v>
      </c>
      <c r="Z182" s="76">
        <v>772</v>
      </c>
      <c r="AA182" s="76">
        <v>459</v>
      </c>
      <c r="AB182" s="76">
        <v>360</v>
      </c>
      <c r="AC182" s="76">
        <v>231</v>
      </c>
      <c r="AD182" s="76">
        <v>400</v>
      </c>
      <c r="AE182" s="76">
        <v>560</v>
      </c>
      <c r="AF182" s="76">
        <v>329</v>
      </c>
      <c r="AG182" s="76">
        <v>1449</v>
      </c>
      <c r="AH182" s="76">
        <v>1601</v>
      </c>
      <c r="AI182" s="76">
        <v>660</v>
      </c>
      <c r="AJ182" s="76">
        <v>160</v>
      </c>
      <c r="AK182" s="76">
        <v>230</v>
      </c>
      <c r="AL182" s="76">
        <v>208</v>
      </c>
      <c r="AM182" s="76">
        <v>2864</v>
      </c>
      <c r="AN182" s="76">
        <v>468</v>
      </c>
      <c r="AO182" s="76">
        <v>2851</v>
      </c>
      <c r="AP182" s="76">
        <v>77</v>
      </c>
      <c r="AQ182" s="76">
        <v>1393</v>
      </c>
      <c r="AR182" s="76">
        <v>334</v>
      </c>
      <c r="AS182" s="76">
        <v>13</v>
      </c>
      <c r="AT182" s="76"/>
      <c r="AU182" s="76">
        <v>4234</v>
      </c>
      <c r="AV182" s="76">
        <v>6</v>
      </c>
      <c r="AW182" s="76"/>
      <c r="AX182" s="76"/>
      <c r="AY182" s="76"/>
      <c r="AZ182" s="76">
        <v>5</v>
      </c>
      <c r="BA182" s="76">
        <v>305</v>
      </c>
      <c r="BB182" s="76">
        <v>559</v>
      </c>
      <c r="BC182" s="76">
        <v>14</v>
      </c>
      <c r="BD182" s="76"/>
      <c r="BE182" s="76">
        <v>2327</v>
      </c>
      <c r="BF182" s="76"/>
      <c r="BG182" s="76">
        <v>61</v>
      </c>
      <c r="BH182" s="76">
        <v>20</v>
      </c>
      <c r="BI182" s="76"/>
      <c r="BJ182" s="76">
        <v>5968</v>
      </c>
      <c r="BK182" s="76">
        <v>2212</v>
      </c>
      <c r="BL182" s="76">
        <v>102</v>
      </c>
      <c r="BM182" s="76">
        <v>1797</v>
      </c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  <c r="CT182" s="76"/>
      <c r="CU182" s="76"/>
      <c r="CV182" s="76"/>
      <c r="CW182" s="76"/>
      <c r="CX182" s="76"/>
      <c r="CY182" s="76"/>
      <c r="CZ182" s="76"/>
      <c r="DA182" s="76"/>
      <c r="DB182" s="76"/>
      <c r="DC182" s="76"/>
      <c r="DD182" s="76"/>
      <c r="DE182" s="76"/>
      <c r="DF182" s="76"/>
      <c r="DG182" s="76"/>
      <c r="DH182" s="76"/>
      <c r="DI182" s="76"/>
      <c r="DJ182" s="76"/>
      <c r="DK182" s="76"/>
      <c r="DL182" s="76"/>
      <c r="DM182" s="76"/>
      <c r="DN182" s="76"/>
      <c r="DO182" s="76"/>
      <c r="DP182" s="76"/>
      <c r="DQ182" s="68"/>
      <c r="DR182" s="76"/>
      <c r="DS182" s="76"/>
      <c r="DT182" s="76"/>
      <c r="DU182" s="76"/>
      <c r="DV182" s="76"/>
      <c r="DW182" s="76"/>
      <c r="DX182" s="76"/>
      <c r="DY182" s="76"/>
      <c r="DZ182" s="76"/>
      <c r="EA182" s="76"/>
      <c r="EB182" s="76"/>
      <c r="EC182" s="76"/>
      <c r="ED182" s="76"/>
      <c r="EE182" s="76"/>
      <c r="EF182" s="76"/>
      <c r="EG182" s="76"/>
      <c r="EH182" s="76"/>
      <c r="EI182" s="76"/>
      <c r="EJ182" s="76"/>
      <c r="EK182" s="76"/>
      <c r="EL182" s="76"/>
      <c r="EM182" s="76"/>
      <c r="EN182" s="76"/>
      <c r="EO182" s="76"/>
      <c r="EP182" s="76"/>
      <c r="EQ182" s="76"/>
      <c r="ER182" s="76"/>
      <c r="ES182" s="76"/>
      <c r="ET182" s="76"/>
      <c r="EU182" s="76"/>
      <c r="EV182" s="76"/>
      <c r="EW182" s="76"/>
      <c r="EX182" s="76"/>
      <c r="EY182" s="76"/>
      <c r="EZ182" s="76"/>
      <c r="FA182" s="76"/>
      <c r="FB182" s="76"/>
      <c r="FC182" s="76"/>
      <c r="FD182" s="76"/>
      <c r="FE182" s="76"/>
      <c r="FF182" s="76"/>
      <c r="FG182" s="76"/>
      <c r="FH182" s="76"/>
      <c r="FI182" s="76"/>
      <c r="FJ182" s="76"/>
      <c r="FK182" s="76"/>
      <c r="FL182" s="76"/>
      <c r="FM182" s="76"/>
      <c r="FN182" s="76"/>
      <c r="FO182" s="76"/>
      <c r="FP182" s="76"/>
      <c r="FQ182" s="76"/>
      <c r="FR182" s="76"/>
      <c r="FS182" s="76"/>
      <c r="FT182" s="76"/>
      <c r="FU182" s="76"/>
      <c r="FV182" s="76"/>
      <c r="FW182" s="76"/>
      <c r="FX182" s="76"/>
      <c r="FY182" s="76"/>
      <c r="FZ182" s="76"/>
      <c r="GA182" s="76"/>
      <c r="GB182" s="76"/>
      <c r="GC182" s="76"/>
      <c r="GD182" s="76"/>
      <c r="GE182" s="76"/>
      <c r="GF182" s="76"/>
      <c r="GG182" s="76"/>
      <c r="GH182" s="76"/>
      <c r="GI182" s="76"/>
      <c r="GJ182" s="76"/>
      <c r="GK182" s="76"/>
      <c r="GL182" s="76"/>
      <c r="GM182" s="76"/>
      <c r="GN182" s="76"/>
      <c r="GO182" s="76"/>
      <c r="GP182" s="76"/>
      <c r="GQ182" s="76"/>
      <c r="GR182" s="76"/>
      <c r="GS182" s="76"/>
      <c r="GT182" s="76"/>
      <c r="GU182" s="76"/>
      <c r="GV182" s="76"/>
      <c r="GW182" s="76"/>
      <c r="GX182" s="76"/>
      <c r="GY182" s="76"/>
      <c r="GZ182" s="76"/>
      <c r="HA182" s="76">
        <v>650</v>
      </c>
      <c r="HB182" s="76"/>
      <c r="HC182" s="76"/>
      <c r="HD182" s="76"/>
      <c r="HE182" s="76">
        <v>21601</v>
      </c>
      <c r="HF182" s="76"/>
      <c r="HG182" s="76"/>
      <c r="HH182" s="76"/>
      <c r="HI182" s="76"/>
      <c r="HJ182" s="76"/>
      <c r="HK182" s="76"/>
      <c r="HL182" s="76"/>
      <c r="HM182" s="76"/>
      <c r="HN182" s="76"/>
      <c r="HO182" s="76"/>
      <c r="HP182" s="76"/>
      <c r="HQ182" s="76"/>
      <c r="HR182" s="76"/>
      <c r="HS182" s="76">
        <v>2091.1638239886356</v>
      </c>
      <c r="HT182" s="76">
        <v>268.83617601136444</v>
      </c>
      <c r="HU182" s="76"/>
      <c r="HV182" s="76">
        <v>67340</v>
      </c>
    </row>
    <row r="183" spans="1:230" x14ac:dyDescent="0.2">
      <c r="A183" s="74" t="s">
        <v>276</v>
      </c>
      <c r="B183" s="76">
        <v>18</v>
      </c>
      <c r="C183" s="76">
        <v>557</v>
      </c>
      <c r="D183" s="76">
        <v>132</v>
      </c>
      <c r="E183" s="76">
        <v>47</v>
      </c>
      <c r="F183" s="76">
        <v>905</v>
      </c>
      <c r="G183" s="76">
        <v>14</v>
      </c>
      <c r="H183" s="76">
        <v>1</v>
      </c>
      <c r="I183" s="76">
        <v>2870</v>
      </c>
      <c r="J183" s="76">
        <v>261</v>
      </c>
      <c r="K183" s="76">
        <v>4699</v>
      </c>
      <c r="L183" s="76">
        <v>6583</v>
      </c>
      <c r="M183" s="76">
        <v>294</v>
      </c>
      <c r="N183" s="76">
        <v>116</v>
      </c>
      <c r="O183" s="76">
        <v>500</v>
      </c>
      <c r="P183" s="76">
        <v>1159</v>
      </c>
      <c r="Q183" s="76">
        <v>46</v>
      </c>
      <c r="R183" s="76">
        <v>677</v>
      </c>
      <c r="S183" s="76">
        <v>76</v>
      </c>
      <c r="T183" s="76">
        <v>255</v>
      </c>
      <c r="U183" s="77">
        <v>133</v>
      </c>
      <c r="V183" s="76">
        <v>159</v>
      </c>
      <c r="W183" s="76">
        <v>595</v>
      </c>
      <c r="X183" s="76">
        <v>1625</v>
      </c>
      <c r="Y183" s="76">
        <v>2400</v>
      </c>
      <c r="Z183" s="76">
        <v>653</v>
      </c>
      <c r="AA183" s="76">
        <v>334</v>
      </c>
      <c r="AB183" s="76">
        <v>284</v>
      </c>
      <c r="AC183" s="76">
        <v>23</v>
      </c>
      <c r="AD183" s="76">
        <v>673</v>
      </c>
      <c r="AE183" s="76">
        <v>1769</v>
      </c>
      <c r="AF183" s="76">
        <v>915</v>
      </c>
      <c r="AG183" s="76">
        <v>569</v>
      </c>
      <c r="AH183" s="76">
        <v>5925</v>
      </c>
      <c r="AI183" s="76">
        <v>212</v>
      </c>
      <c r="AJ183" s="76">
        <v>353</v>
      </c>
      <c r="AK183" s="76">
        <v>564</v>
      </c>
      <c r="AL183" s="76">
        <v>176</v>
      </c>
      <c r="AM183" s="76">
        <v>4410</v>
      </c>
      <c r="AN183" s="76">
        <v>268</v>
      </c>
      <c r="AO183" s="76">
        <v>2036</v>
      </c>
      <c r="AP183" s="76">
        <v>3388</v>
      </c>
      <c r="AQ183" s="76">
        <v>23268</v>
      </c>
      <c r="AR183" s="76">
        <v>960</v>
      </c>
      <c r="AS183" s="76">
        <v>60</v>
      </c>
      <c r="AT183" s="76">
        <v>287</v>
      </c>
      <c r="AU183" s="76">
        <v>1533</v>
      </c>
      <c r="AV183" s="76">
        <v>423</v>
      </c>
      <c r="AW183" s="76">
        <v>1063</v>
      </c>
      <c r="AX183" s="76">
        <v>936</v>
      </c>
      <c r="AY183" s="76">
        <v>2539</v>
      </c>
      <c r="AZ183" s="76">
        <v>4089</v>
      </c>
      <c r="BA183" s="76">
        <v>2467</v>
      </c>
      <c r="BB183" s="76">
        <v>12252</v>
      </c>
      <c r="BC183" s="76">
        <v>1213</v>
      </c>
      <c r="BD183" s="76">
        <v>5719</v>
      </c>
      <c r="BE183" s="76">
        <v>501</v>
      </c>
      <c r="BF183" s="76">
        <v>2265</v>
      </c>
      <c r="BG183" s="76">
        <v>1199</v>
      </c>
      <c r="BH183" s="76">
        <v>2081</v>
      </c>
      <c r="BI183" s="76">
        <v>235</v>
      </c>
      <c r="BJ183" s="76">
        <v>4945</v>
      </c>
      <c r="BK183" s="76">
        <v>841</v>
      </c>
      <c r="BL183" s="76">
        <v>3653</v>
      </c>
      <c r="BM183" s="76">
        <v>1293</v>
      </c>
      <c r="BN183" s="76">
        <v>55</v>
      </c>
      <c r="BO183" s="76">
        <v>2105</v>
      </c>
      <c r="BP183" s="76">
        <v>1950</v>
      </c>
      <c r="BQ183" s="76"/>
      <c r="BR183" s="76"/>
      <c r="BS183" s="76"/>
      <c r="BT183" s="76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  <c r="CT183" s="76"/>
      <c r="CU183" s="76"/>
      <c r="CV183" s="76"/>
      <c r="CW183" s="76"/>
      <c r="CX183" s="76"/>
      <c r="CY183" s="76"/>
      <c r="CZ183" s="76"/>
      <c r="DA183" s="76"/>
      <c r="DB183" s="76"/>
      <c r="DC183" s="76"/>
      <c r="DD183" s="76"/>
      <c r="DE183" s="76"/>
      <c r="DF183" s="76"/>
      <c r="DG183" s="76"/>
      <c r="DH183" s="76"/>
      <c r="DI183" s="76"/>
      <c r="DJ183" s="76"/>
      <c r="DK183" s="76"/>
      <c r="DL183" s="76"/>
      <c r="DM183" s="76"/>
      <c r="DN183" s="76"/>
      <c r="DO183" s="76"/>
      <c r="DP183" s="76"/>
      <c r="DQ183" s="68"/>
      <c r="DR183" s="76"/>
      <c r="DS183" s="76"/>
      <c r="DT183" s="76"/>
      <c r="DU183" s="76"/>
      <c r="DV183" s="76"/>
      <c r="DW183" s="76"/>
      <c r="DX183" s="76"/>
      <c r="DY183" s="76"/>
      <c r="DZ183" s="76"/>
      <c r="EA183" s="76"/>
      <c r="EB183" s="76"/>
      <c r="EC183" s="76"/>
      <c r="ED183" s="76"/>
      <c r="EE183" s="76"/>
      <c r="EF183" s="76"/>
      <c r="EG183" s="76"/>
      <c r="EH183" s="76"/>
      <c r="EI183" s="76"/>
      <c r="EJ183" s="76"/>
      <c r="EK183" s="76"/>
      <c r="EL183" s="76"/>
      <c r="EM183" s="76"/>
      <c r="EN183" s="76"/>
      <c r="EO183" s="76"/>
      <c r="EP183" s="76"/>
      <c r="EQ183" s="76"/>
      <c r="ER183" s="76"/>
      <c r="ES183" s="76"/>
      <c r="ET183" s="76"/>
      <c r="EU183" s="76"/>
      <c r="EV183" s="76"/>
      <c r="EW183" s="76"/>
      <c r="EX183" s="76"/>
      <c r="EY183" s="76"/>
      <c r="EZ183" s="76"/>
      <c r="FA183" s="76"/>
      <c r="FB183" s="76"/>
      <c r="FC183" s="76"/>
      <c r="FD183" s="76"/>
      <c r="FE183" s="76"/>
      <c r="FF183" s="76"/>
      <c r="FG183" s="76"/>
      <c r="FH183" s="76"/>
      <c r="FI183" s="76"/>
      <c r="FJ183" s="76"/>
      <c r="FK183" s="76"/>
      <c r="FL183" s="76"/>
      <c r="FM183" s="76"/>
      <c r="FN183" s="76"/>
      <c r="FO183" s="76"/>
      <c r="FP183" s="76"/>
      <c r="FQ183" s="76"/>
      <c r="FR183" s="76"/>
      <c r="FS183" s="76"/>
      <c r="FT183" s="76"/>
      <c r="FU183" s="76"/>
      <c r="FV183" s="76"/>
      <c r="FW183" s="76"/>
      <c r="FX183" s="76"/>
      <c r="FY183" s="76"/>
      <c r="FZ183" s="76"/>
      <c r="GA183" s="76"/>
      <c r="GB183" s="76"/>
      <c r="GC183" s="76"/>
      <c r="GD183" s="76"/>
      <c r="GE183" s="76"/>
      <c r="GF183" s="76"/>
      <c r="GG183" s="76"/>
      <c r="GH183" s="76"/>
      <c r="GI183" s="76"/>
      <c r="GJ183" s="76"/>
      <c r="GK183" s="76"/>
      <c r="GL183" s="76"/>
      <c r="GM183" s="76"/>
      <c r="GN183" s="76"/>
      <c r="GO183" s="76"/>
      <c r="GP183" s="76"/>
      <c r="GQ183" s="76"/>
      <c r="GR183" s="76"/>
      <c r="GS183" s="76"/>
      <c r="GT183" s="76"/>
      <c r="GU183" s="76"/>
      <c r="GV183" s="76"/>
      <c r="GW183" s="76"/>
      <c r="GX183" s="76"/>
      <c r="GY183" s="76"/>
      <c r="GZ183" s="76"/>
      <c r="HA183" s="76">
        <v>1868</v>
      </c>
      <c r="HB183" s="76"/>
      <c r="HC183" s="76"/>
      <c r="HD183" s="76"/>
      <c r="HE183" s="76">
        <v>3179</v>
      </c>
      <c r="HF183" s="76"/>
      <c r="HG183" s="76"/>
      <c r="HH183" s="76"/>
      <c r="HI183" s="76"/>
      <c r="HJ183" s="76"/>
      <c r="HK183" s="76"/>
      <c r="HL183" s="76"/>
      <c r="HM183" s="76"/>
      <c r="HN183" s="76"/>
      <c r="HO183" s="76"/>
      <c r="HP183" s="76"/>
      <c r="HQ183" s="76"/>
      <c r="HR183" s="76"/>
      <c r="HS183" s="76"/>
      <c r="HT183" s="76"/>
      <c r="HU183" s="76"/>
      <c r="HV183" s="76">
        <v>129653</v>
      </c>
    </row>
    <row r="184" spans="1:230" x14ac:dyDescent="0.2">
      <c r="A184" s="74" t="s">
        <v>277</v>
      </c>
      <c r="B184" s="76">
        <v>594</v>
      </c>
      <c r="C184" s="76">
        <v>80</v>
      </c>
      <c r="D184" s="76">
        <v>102</v>
      </c>
      <c r="E184" s="76">
        <v>300</v>
      </c>
      <c r="F184" s="76">
        <v>17724</v>
      </c>
      <c r="G184" s="76">
        <v>2342</v>
      </c>
      <c r="H184" s="76">
        <v>390</v>
      </c>
      <c r="I184" s="76">
        <v>524</v>
      </c>
      <c r="J184" s="76">
        <v>599</v>
      </c>
      <c r="K184" s="76">
        <v>1848</v>
      </c>
      <c r="L184" s="76">
        <v>605</v>
      </c>
      <c r="M184" s="76">
        <v>66</v>
      </c>
      <c r="N184" s="76">
        <v>70</v>
      </c>
      <c r="O184" s="76">
        <v>146</v>
      </c>
      <c r="P184" s="76">
        <v>114</v>
      </c>
      <c r="Q184" s="76">
        <v>188</v>
      </c>
      <c r="R184" s="76">
        <v>1068</v>
      </c>
      <c r="S184" s="76">
        <v>194</v>
      </c>
      <c r="T184" s="76">
        <v>645</v>
      </c>
      <c r="U184" s="77">
        <v>100</v>
      </c>
      <c r="V184" s="76">
        <v>669</v>
      </c>
      <c r="W184" s="76">
        <v>659</v>
      </c>
      <c r="X184" s="76">
        <v>138</v>
      </c>
      <c r="Y184" s="76">
        <v>272</v>
      </c>
      <c r="Z184" s="76">
        <v>958</v>
      </c>
      <c r="AA184" s="76">
        <v>494</v>
      </c>
      <c r="AB184" s="76">
        <v>698</v>
      </c>
      <c r="AC184" s="76">
        <v>301</v>
      </c>
      <c r="AD184" s="76">
        <v>1038</v>
      </c>
      <c r="AE184" s="76">
        <v>748</v>
      </c>
      <c r="AF184" s="76">
        <v>323</v>
      </c>
      <c r="AG184" s="76">
        <v>885</v>
      </c>
      <c r="AH184" s="76">
        <v>2703</v>
      </c>
      <c r="AI184" s="76">
        <v>921</v>
      </c>
      <c r="AJ184" s="76">
        <v>807</v>
      </c>
      <c r="AK184" s="76">
        <v>349</v>
      </c>
      <c r="AL184" s="76">
        <v>563</v>
      </c>
      <c r="AM184" s="76">
        <v>1213</v>
      </c>
      <c r="AN184" s="76">
        <v>2205</v>
      </c>
      <c r="AO184" s="76">
        <v>5139</v>
      </c>
      <c r="AP184" s="76">
        <v>1142</v>
      </c>
      <c r="AQ184" s="76">
        <v>12431</v>
      </c>
      <c r="AR184" s="76">
        <v>6114</v>
      </c>
      <c r="AS184" s="76">
        <v>1568</v>
      </c>
      <c r="AT184" s="76">
        <v>4259</v>
      </c>
      <c r="AU184" s="76">
        <v>2916</v>
      </c>
      <c r="AV184" s="76">
        <v>203</v>
      </c>
      <c r="AW184" s="76">
        <v>1918</v>
      </c>
      <c r="AX184" s="76">
        <v>918</v>
      </c>
      <c r="AY184" s="76">
        <v>1737</v>
      </c>
      <c r="AZ184" s="76">
        <v>6289</v>
      </c>
      <c r="BA184" s="76">
        <v>3978</v>
      </c>
      <c r="BB184" s="76">
        <v>2096</v>
      </c>
      <c r="BC184" s="76">
        <v>455</v>
      </c>
      <c r="BD184" s="76">
        <v>1069</v>
      </c>
      <c r="BE184" s="76">
        <v>1259</v>
      </c>
      <c r="BF184" s="76">
        <v>366</v>
      </c>
      <c r="BG184" s="76">
        <v>2221</v>
      </c>
      <c r="BH184" s="76">
        <v>1474</v>
      </c>
      <c r="BI184" s="76">
        <v>431</v>
      </c>
      <c r="BJ184" s="76">
        <v>4457</v>
      </c>
      <c r="BK184" s="76">
        <v>1867</v>
      </c>
      <c r="BL184" s="76">
        <v>3092</v>
      </c>
      <c r="BM184" s="76">
        <v>2091</v>
      </c>
      <c r="BN184" s="76">
        <v>1233</v>
      </c>
      <c r="BO184" s="76">
        <v>765</v>
      </c>
      <c r="BP184" s="76">
        <v>340</v>
      </c>
      <c r="BQ184" s="76"/>
      <c r="BR184" s="76"/>
      <c r="BS184" s="76"/>
      <c r="BT184" s="76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  <c r="CT184" s="76"/>
      <c r="CU184" s="76"/>
      <c r="CV184" s="76"/>
      <c r="CW184" s="76"/>
      <c r="CX184" s="76"/>
      <c r="CY184" s="76"/>
      <c r="CZ184" s="76"/>
      <c r="DA184" s="76"/>
      <c r="DB184" s="76"/>
      <c r="DC184" s="76"/>
      <c r="DD184" s="76"/>
      <c r="DE184" s="76"/>
      <c r="DF184" s="76"/>
      <c r="DG184" s="76"/>
      <c r="DH184" s="76"/>
      <c r="DI184" s="76"/>
      <c r="DJ184" s="76"/>
      <c r="DK184" s="76"/>
      <c r="DL184" s="76"/>
      <c r="DM184" s="76"/>
      <c r="DN184" s="76"/>
      <c r="DO184" s="76"/>
      <c r="DP184" s="76"/>
      <c r="DQ184" s="68"/>
      <c r="DR184" s="76"/>
      <c r="DS184" s="76"/>
      <c r="DT184" s="76"/>
      <c r="DU184" s="76"/>
      <c r="DV184" s="76"/>
      <c r="DW184" s="76"/>
      <c r="DX184" s="76"/>
      <c r="DY184" s="76"/>
      <c r="DZ184" s="76"/>
      <c r="EA184" s="76"/>
      <c r="EB184" s="76"/>
      <c r="EC184" s="76"/>
      <c r="ED184" s="76"/>
      <c r="EE184" s="76"/>
      <c r="EF184" s="76"/>
      <c r="EG184" s="76"/>
      <c r="EH184" s="76"/>
      <c r="EI184" s="76"/>
      <c r="EJ184" s="76"/>
      <c r="EK184" s="76"/>
      <c r="EL184" s="76"/>
      <c r="EM184" s="76"/>
      <c r="EN184" s="76"/>
      <c r="EO184" s="76"/>
      <c r="EP184" s="76"/>
      <c r="EQ184" s="76"/>
      <c r="ER184" s="76"/>
      <c r="ES184" s="76"/>
      <c r="ET184" s="76"/>
      <c r="EU184" s="76"/>
      <c r="EV184" s="76"/>
      <c r="EW184" s="76"/>
      <c r="EX184" s="76"/>
      <c r="EY184" s="76"/>
      <c r="EZ184" s="76"/>
      <c r="FA184" s="76"/>
      <c r="FB184" s="76"/>
      <c r="FC184" s="76"/>
      <c r="FD184" s="76"/>
      <c r="FE184" s="76"/>
      <c r="FF184" s="76"/>
      <c r="FG184" s="76"/>
      <c r="FH184" s="76"/>
      <c r="FI184" s="76"/>
      <c r="FJ184" s="76"/>
      <c r="FK184" s="76"/>
      <c r="FL184" s="76"/>
      <c r="FM184" s="76"/>
      <c r="FN184" s="76"/>
      <c r="FO184" s="76"/>
      <c r="FP184" s="76"/>
      <c r="FQ184" s="76"/>
      <c r="FR184" s="76"/>
      <c r="FS184" s="76"/>
      <c r="FT184" s="76"/>
      <c r="FU184" s="76"/>
      <c r="FV184" s="76"/>
      <c r="FW184" s="76"/>
      <c r="FX184" s="76"/>
      <c r="FY184" s="76"/>
      <c r="FZ184" s="76"/>
      <c r="GA184" s="76"/>
      <c r="GB184" s="76"/>
      <c r="GC184" s="76"/>
      <c r="GD184" s="76"/>
      <c r="GE184" s="76"/>
      <c r="GF184" s="76"/>
      <c r="GG184" s="76"/>
      <c r="GH184" s="76"/>
      <c r="GI184" s="76"/>
      <c r="GJ184" s="76"/>
      <c r="GK184" s="76"/>
      <c r="GL184" s="76"/>
      <c r="GM184" s="76"/>
      <c r="GN184" s="76"/>
      <c r="GO184" s="76"/>
      <c r="GP184" s="76"/>
      <c r="GQ184" s="76"/>
      <c r="GR184" s="76"/>
      <c r="GS184" s="76"/>
      <c r="GT184" s="76"/>
      <c r="GU184" s="76"/>
      <c r="GV184" s="76"/>
      <c r="GW184" s="76"/>
      <c r="GX184" s="76"/>
      <c r="GY184" s="76"/>
      <c r="GZ184" s="76"/>
      <c r="HA184" s="76">
        <v>4470</v>
      </c>
      <c r="HB184" s="76"/>
      <c r="HC184" s="76"/>
      <c r="HD184" s="76"/>
      <c r="HE184" s="76">
        <v>5170</v>
      </c>
      <c r="HF184" s="76"/>
      <c r="HG184" s="76"/>
      <c r="HH184" s="76"/>
      <c r="HI184" s="76"/>
      <c r="HJ184" s="76"/>
      <c r="HK184" s="76"/>
      <c r="HL184" s="76"/>
      <c r="HM184" s="76"/>
      <c r="HN184" s="76"/>
      <c r="HO184" s="76"/>
      <c r="HP184" s="76"/>
      <c r="HQ184" s="76"/>
      <c r="HR184" s="76"/>
      <c r="HS184" s="76"/>
      <c r="HT184" s="76"/>
      <c r="HU184" s="76"/>
      <c r="HV184" s="76">
        <v>125111</v>
      </c>
    </row>
    <row r="185" spans="1:230" x14ac:dyDescent="0.2">
      <c r="A185" s="74" t="s">
        <v>278</v>
      </c>
      <c r="B185" s="76">
        <v>28</v>
      </c>
      <c r="C185" s="76">
        <v>15</v>
      </c>
      <c r="D185" s="76">
        <v>11</v>
      </c>
      <c r="E185" s="76">
        <v>16</v>
      </c>
      <c r="F185" s="76">
        <v>687</v>
      </c>
      <c r="G185" s="76">
        <v>240</v>
      </c>
      <c r="H185" s="76">
        <v>50</v>
      </c>
      <c r="I185" s="76">
        <v>456</v>
      </c>
      <c r="J185" s="76">
        <v>396</v>
      </c>
      <c r="K185" s="76">
        <v>579</v>
      </c>
      <c r="L185" s="76">
        <v>216</v>
      </c>
      <c r="M185" s="76">
        <v>41</v>
      </c>
      <c r="N185" s="76">
        <v>75</v>
      </c>
      <c r="O185" s="76">
        <v>52</v>
      </c>
      <c r="P185" s="76">
        <v>75</v>
      </c>
      <c r="Q185" s="76">
        <v>41</v>
      </c>
      <c r="R185" s="76">
        <v>603</v>
      </c>
      <c r="S185" s="76">
        <v>29</v>
      </c>
      <c r="T185" s="76">
        <v>221</v>
      </c>
      <c r="U185" s="77">
        <v>483</v>
      </c>
      <c r="V185" s="76">
        <v>295</v>
      </c>
      <c r="W185" s="76">
        <v>617</v>
      </c>
      <c r="X185" s="76">
        <v>178</v>
      </c>
      <c r="Y185" s="76">
        <v>440</v>
      </c>
      <c r="Z185" s="76">
        <v>641</v>
      </c>
      <c r="AA185" s="76">
        <v>200</v>
      </c>
      <c r="AB185" s="76">
        <v>254</v>
      </c>
      <c r="AC185" s="76">
        <v>113</v>
      </c>
      <c r="AD185" s="76">
        <v>248</v>
      </c>
      <c r="AE185" s="76">
        <v>183</v>
      </c>
      <c r="AF185" s="76">
        <v>228</v>
      </c>
      <c r="AG185" s="76">
        <v>455</v>
      </c>
      <c r="AH185" s="76">
        <v>1076</v>
      </c>
      <c r="AI185" s="76">
        <v>239</v>
      </c>
      <c r="AJ185" s="76">
        <v>128</v>
      </c>
      <c r="AK185" s="76">
        <v>186</v>
      </c>
      <c r="AL185" s="76">
        <v>78</v>
      </c>
      <c r="AM185" s="76">
        <v>1198</v>
      </c>
      <c r="AN185" s="76">
        <v>339</v>
      </c>
      <c r="AO185" s="76">
        <v>1286</v>
      </c>
      <c r="AP185" s="76">
        <v>943</v>
      </c>
      <c r="AQ185" s="76">
        <v>10491</v>
      </c>
      <c r="AR185" s="76">
        <v>1251</v>
      </c>
      <c r="AS185" s="76">
        <v>5</v>
      </c>
      <c r="AT185" s="76">
        <v>482</v>
      </c>
      <c r="AU185" s="76">
        <v>1980</v>
      </c>
      <c r="AV185" s="76">
        <v>285</v>
      </c>
      <c r="AW185" s="76">
        <v>1481</v>
      </c>
      <c r="AX185" s="76">
        <v>89</v>
      </c>
      <c r="AY185" s="76">
        <v>787</v>
      </c>
      <c r="AZ185" s="76">
        <v>1488</v>
      </c>
      <c r="BA185" s="76">
        <v>1713</v>
      </c>
      <c r="BB185" s="76">
        <v>4277</v>
      </c>
      <c r="BC185" s="76">
        <v>1091</v>
      </c>
      <c r="BD185" s="76">
        <v>2293</v>
      </c>
      <c r="BE185" s="76">
        <v>229</v>
      </c>
      <c r="BF185" s="76">
        <v>260</v>
      </c>
      <c r="BG185" s="76">
        <v>205</v>
      </c>
      <c r="BH185" s="76">
        <v>4091</v>
      </c>
      <c r="BI185" s="76">
        <v>84</v>
      </c>
      <c r="BJ185" s="76">
        <v>7792</v>
      </c>
      <c r="BK185" s="76">
        <v>4774</v>
      </c>
      <c r="BL185" s="76">
        <v>2326</v>
      </c>
      <c r="BM185" s="76">
        <v>2779</v>
      </c>
      <c r="BN185" s="76">
        <v>2560</v>
      </c>
      <c r="BO185" s="76">
        <v>799</v>
      </c>
      <c r="BP185" s="76">
        <v>2217</v>
      </c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  <c r="DG185" s="76"/>
      <c r="DH185" s="76"/>
      <c r="DI185" s="76"/>
      <c r="DJ185" s="76"/>
      <c r="DK185" s="76"/>
      <c r="DL185" s="76"/>
      <c r="DM185" s="76"/>
      <c r="DN185" s="76"/>
      <c r="DO185" s="76"/>
      <c r="DP185" s="76"/>
      <c r="DQ185" s="68"/>
      <c r="DR185" s="76"/>
      <c r="DS185" s="76"/>
      <c r="DT185" s="76"/>
      <c r="DU185" s="76"/>
      <c r="DV185" s="76"/>
      <c r="DW185" s="76"/>
      <c r="DX185" s="76"/>
      <c r="DY185" s="76"/>
      <c r="DZ185" s="76"/>
      <c r="EA185" s="76"/>
      <c r="EB185" s="76"/>
      <c r="EC185" s="76"/>
      <c r="ED185" s="76"/>
      <c r="EE185" s="76"/>
      <c r="EF185" s="76"/>
      <c r="EG185" s="76"/>
      <c r="EH185" s="76"/>
      <c r="EI185" s="76"/>
      <c r="EJ185" s="76"/>
      <c r="EK185" s="76"/>
      <c r="EL185" s="76"/>
      <c r="EM185" s="76"/>
      <c r="EN185" s="76"/>
      <c r="EO185" s="76"/>
      <c r="EP185" s="76"/>
      <c r="EQ185" s="76"/>
      <c r="ER185" s="76"/>
      <c r="ES185" s="76"/>
      <c r="ET185" s="76"/>
      <c r="EU185" s="76"/>
      <c r="EV185" s="76"/>
      <c r="EW185" s="76"/>
      <c r="EX185" s="76"/>
      <c r="EY185" s="76"/>
      <c r="EZ185" s="76"/>
      <c r="FA185" s="76"/>
      <c r="FB185" s="76"/>
      <c r="FC185" s="76"/>
      <c r="FD185" s="76"/>
      <c r="FE185" s="76"/>
      <c r="FF185" s="76"/>
      <c r="FG185" s="76"/>
      <c r="FH185" s="76"/>
      <c r="FI185" s="76"/>
      <c r="FJ185" s="76"/>
      <c r="FK185" s="76"/>
      <c r="FL185" s="76"/>
      <c r="FM185" s="76"/>
      <c r="FN185" s="76"/>
      <c r="FO185" s="76"/>
      <c r="FP185" s="76"/>
      <c r="FQ185" s="76"/>
      <c r="FR185" s="76"/>
      <c r="FS185" s="76"/>
      <c r="FT185" s="76"/>
      <c r="FU185" s="76"/>
      <c r="FV185" s="76"/>
      <c r="FW185" s="76"/>
      <c r="FX185" s="76"/>
      <c r="FY185" s="76"/>
      <c r="FZ185" s="76"/>
      <c r="GA185" s="76"/>
      <c r="GB185" s="76"/>
      <c r="GC185" s="76"/>
      <c r="GD185" s="76"/>
      <c r="GE185" s="76"/>
      <c r="GF185" s="76"/>
      <c r="GG185" s="76"/>
      <c r="GH185" s="76"/>
      <c r="GI185" s="76"/>
      <c r="GJ185" s="76"/>
      <c r="GK185" s="76"/>
      <c r="GL185" s="76"/>
      <c r="GM185" s="76"/>
      <c r="GN185" s="76"/>
      <c r="GO185" s="76"/>
      <c r="GP185" s="76"/>
      <c r="GQ185" s="76"/>
      <c r="GR185" s="76"/>
      <c r="GS185" s="76"/>
      <c r="GT185" s="76"/>
      <c r="GU185" s="76"/>
      <c r="GV185" s="76"/>
      <c r="GW185" s="76"/>
      <c r="GX185" s="76"/>
      <c r="GY185" s="76"/>
      <c r="GZ185" s="76"/>
      <c r="HA185" s="76">
        <v>2517</v>
      </c>
      <c r="HB185" s="76">
        <v>32434</v>
      </c>
      <c r="HC185" s="76"/>
      <c r="HD185" s="76"/>
      <c r="HE185" s="76">
        <v>2503</v>
      </c>
      <c r="HF185" s="76"/>
      <c r="HG185" s="76"/>
      <c r="HH185" s="76"/>
      <c r="HI185" s="76"/>
      <c r="HJ185" s="76"/>
      <c r="HK185" s="76"/>
      <c r="HL185" s="76"/>
      <c r="HM185" s="76"/>
      <c r="HN185" s="76"/>
      <c r="HO185" s="76"/>
      <c r="HP185" s="76"/>
      <c r="HQ185" s="76"/>
      <c r="HR185" s="76"/>
      <c r="HS185" s="76"/>
      <c r="HT185" s="76"/>
      <c r="HU185" s="76"/>
      <c r="HV185" s="76">
        <v>106922</v>
      </c>
    </row>
    <row r="186" spans="1:230" x14ac:dyDescent="0.2">
      <c r="A186" s="74" t="s">
        <v>279</v>
      </c>
      <c r="B186" s="76">
        <v>3</v>
      </c>
      <c r="C186" s="76">
        <v>1</v>
      </c>
      <c r="D186" s="76">
        <v>19</v>
      </c>
      <c r="E186" s="76">
        <v>566</v>
      </c>
      <c r="F186" s="76">
        <v>316</v>
      </c>
      <c r="G186" s="76">
        <v>411</v>
      </c>
      <c r="H186" s="76">
        <v>178</v>
      </c>
      <c r="I186" s="76">
        <v>406</v>
      </c>
      <c r="J186" s="76">
        <v>186</v>
      </c>
      <c r="K186" s="76">
        <v>839</v>
      </c>
      <c r="L186" s="76">
        <v>967</v>
      </c>
      <c r="M186" s="76">
        <v>111</v>
      </c>
      <c r="N186" s="76">
        <v>160</v>
      </c>
      <c r="O186" s="76">
        <v>159</v>
      </c>
      <c r="P186" s="76">
        <v>240</v>
      </c>
      <c r="Q186" s="76">
        <v>11</v>
      </c>
      <c r="R186" s="76">
        <v>71</v>
      </c>
      <c r="S186" s="76">
        <v>8</v>
      </c>
      <c r="T186" s="76">
        <v>30</v>
      </c>
      <c r="U186" s="77">
        <v>28</v>
      </c>
      <c r="V186" s="76">
        <v>336</v>
      </c>
      <c r="W186" s="76">
        <v>257</v>
      </c>
      <c r="X186" s="76">
        <v>267</v>
      </c>
      <c r="Y186" s="76">
        <v>911</v>
      </c>
      <c r="Z186" s="76">
        <v>82</v>
      </c>
      <c r="AA186" s="76">
        <v>657</v>
      </c>
      <c r="AB186" s="76">
        <v>338</v>
      </c>
      <c r="AC186" s="76">
        <v>482</v>
      </c>
      <c r="AD186" s="76">
        <v>566</v>
      </c>
      <c r="AE186" s="76">
        <v>796</v>
      </c>
      <c r="AF186" s="76">
        <v>547</v>
      </c>
      <c r="AG186" s="76">
        <v>1627</v>
      </c>
      <c r="AH186" s="76">
        <v>527</v>
      </c>
      <c r="AI186" s="76">
        <v>194</v>
      </c>
      <c r="AJ186" s="76">
        <v>49</v>
      </c>
      <c r="AK186" s="76">
        <v>127</v>
      </c>
      <c r="AL186" s="76">
        <v>374</v>
      </c>
      <c r="AM186" s="76">
        <v>2451</v>
      </c>
      <c r="AN186" s="76">
        <v>93</v>
      </c>
      <c r="AO186" s="76">
        <v>944</v>
      </c>
      <c r="AP186" s="76">
        <v>1201</v>
      </c>
      <c r="AQ186" s="76">
        <v>25500</v>
      </c>
      <c r="AR186" s="76">
        <v>1155</v>
      </c>
      <c r="AS186" s="76">
        <v>107</v>
      </c>
      <c r="AT186" s="76">
        <v>704</v>
      </c>
      <c r="AU186" s="76">
        <v>1180</v>
      </c>
      <c r="AV186" s="76">
        <v>694</v>
      </c>
      <c r="AW186" s="76">
        <v>852</v>
      </c>
      <c r="AX186" s="76">
        <v>171</v>
      </c>
      <c r="AY186" s="76">
        <v>243</v>
      </c>
      <c r="AZ186" s="76">
        <v>17525</v>
      </c>
      <c r="BA186" s="76">
        <v>4561</v>
      </c>
      <c r="BB186" s="76">
        <v>18430</v>
      </c>
      <c r="BC186" s="76">
        <v>544</v>
      </c>
      <c r="BD186" s="76">
        <v>2375</v>
      </c>
      <c r="BE186" s="76">
        <v>373</v>
      </c>
      <c r="BF186" s="76">
        <v>427</v>
      </c>
      <c r="BG186" s="76">
        <v>464</v>
      </c>
      <c r="BH186" s="76">
        <v>2823</v>
      </c>
      <c r="BI186" s="76">
        <v>334</v>
      </c>
      <c r="BJ186" s="76">
        <v>18052</v>
      </c>
      <c r="BK186" s="76">
        <v>6532</v>
      </c>
      <c r="BL186" s="76">
        <v>2159</v>
      </c>
      <c r="BM186" s="76">
        <v>7147</v>
      </c>
      <c r="BN186" s="76">
        <v>1800</v>
      </c>
      <c r="BO186" s="76">
        <v>551</v>
      </c>
      <c r="BP186" s="76">
        <v>4797</v>
      </c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  <c r="DG186" s="76"/>
      <c r="DH186" s="76"/>
      <c r="DI186" s="76"/>
      <c r="DJ186" s="76"/>
      <c r="DK186" s="76"/>
      <c r="DL186" s="76"/>
      <c r="DM186" s="76"/>
      <c r="DN186" s="76"/>
      <c r="DO186" s="76"/>
      <c r="DP186" s="76"/>
      <c r="DQ186" s="68"/>
      <c r="DR186" s="76"/>
      <c r="DS186" s="76"/>
      <c r="DT186" s="76"/>
      <c r="DU186" s="76"/>
      <c r="DV186" s="76"/>
      <c r="DW186" s="76"/>
      <c r="DX186" s="76"/>
      <c r="DY186" s="76"/>
      <c r="DZ186" s="76"/>
      <c r="EA186" s="76"/>
      <c r="EB186" s="76"/>
      <c r="EC186" s="76"/>
      <c r="ED186" s="76"/>
      <c r="EE186" s="76"/>
      <c r="EF186" s="76"/>
      <c r="EG186" s="76"/>
      <c r="EH186" s="76"/>
      <c r="EI186" s="76"/>
      <c r="EJ186" s="76"/>
      <c r="EK186" s="76"/>
      <c r="EL186" s="76"/>
      <c r="EM186" s="76"/>
      <c r="EN186" s="76"/>
      <c r="EO186" s="76"/>
      <c r="EP186" s="76"/>
      <c r="EQ186" s="76"/>
      <c r="ER186" s="76"/>
      <c r="ES186" s="76"/>
      <c r="ET186" s="76"/>
      <c r="EU186" s="76"/>
      <c r="EV186" s="76"/>
      <c r="EW186" s="76"/>
      <c r="EX186" s="76"/>
      <c r="EY186" s="76"/>
      <c r="EZ186" s="76"/>
      <c r="FA186" s="76"/>
      <c r="FB186" s="76"/>
      <c r="FC186" s="76"/>
      <c r="FD186" s="76"/>
      <c r="FE186" s="76"/>
      <c r="FF186" s="76"/>
      <c r="FG186" s="76"/>
      <c r="FH186" s="76"/>
      <c r="FI186" s="76"/>
      <c r="FJ186" s="76"/>
      <c r="FK186" s="76"/>
      <c r="FL186" s="76"/>
      <c r="FM186" s="76"/>
      <c r="FN186" s="76"/>
      <c r="FO186" s="76"/>
      <c r="FP186" s="76"/>
      <c r="FQ186" s="76"/>
      <c r="FR186" s="76"/>
      <c r="FS186" s="76"/>
      <c r="FT186" s="76"/>
      <c r="FU186" s="76"/>
      <c r="FV186" s="76"/>
      <c r="FW186" s="76"/>
      <c r="FX186" s="76"/>
      <c r="FY186" s="76"/>
      <c r="FZ186" s="76"/>
      <c r="GA186" s="76"/>
      <c r="GB186" s="76"/>
      <c r="GC186" s="76"/>
      <c r="GD186" s="76"/>
      <c r="GE186" s="76"/>
      <c r="GF186" s="76"/>
      <c r="GG186" s="76"/>
      <c r="GH186" s="76"/>
      <c r="GI186" s="76"/>
      <c r="GJ186" s="76"/>
      <c r="GK186" s="76"/>
      <c r="GL186" s="76"/>
      <c r="GM186" s="76"/>
      <c r="GN186" s="76"/>
      <c r="GO186" s="76"/>
      <c r="GP186" s="76"/>
      <c r="GQ186" s="76"/>
      <c r="GR186" s="76"/>
      <c r="GS186" s="76"/>
      <c r="GT186" s="76"/>
      <c r="GU186" s="76"/>
      <c r="GV186" s="76"/>
      <c r="GW186" s="76"/>
      <c r="GX186" s="76"/>
      <c r="GY186" s="76"/>
      <c r="GZ186" s="76"/>
      <c r="HA186" s="76">
        <v>10803</v>
      </c>
      <c r="HB186" s="76"/>
      <c r="HC186" s="76"/>
      <c r="HD186" s="76"/>
      <c r="HE186" s="76">
        <v>3975</v>
      </c>
      <c r="HF186" s="76"/>
      <c r="HG186" s="76"/>
      <c r="HH186" s="76"/>
      <c r="HI186" s="76"/>
      <c r="HJ186" s="76"/>
      <c r="HK186" s="76"/>
      <c r="HL186" s="76"/>
      <c r="HM186" s="76"/>
      <c r="HN186" s="76"/>
      <c r="HO186" s="76"/>
      <c r="HP186" s="76"/>
      <c r="HQ186" s="76"/>
      <c r="HR186" s="76"/>
      <c r="HS186" s="76"/>
      <c r="HT186" s="76"/>
      <c r="HU186" s="76"/>
      <c r="HV186" s="76">
        <v>151814</v>
      </c>
    </row>
    <row r="187" spans="1:230" x14ac:dyDescent="0.2">
      <c r="A187" s="74" t="s">
        <v>280</v>
      </c>
      <c r="B187" s="76">
        <v>1</v>
      </c>
      <c r="C187" s="76"/>
      <c r="D187" s="76">
        <v>2</v>
      </c>
      <c r="E187" s="76">
        <v>8</v>
      </c>
      <c r="F187" s="76">
        <v>126</v>
      </c>
      <c r="G187" s="76">
        <v>76</v>
      </c>
      <c r="H187" s="76">
        <v>20</v>
      </c>
      <c r="I187" s="76">
        <v>364</v>
      </c>
      <c r="J187" s="76">
        <v>140</v>
      </c>
      <c r="K187" s="76">
        <v>327</v>
      </c>
      <c r="L187" s="76">
        <v>132</v>
      </c>
      <c r="M187" s="76">
        <v>127</v>
      </c>
      <c r="N187" s="76">
        <v>34</v>
      </c>
      <c r="O187" s="76">
        <v>35</v>
      </c>
      <c r="P187" s="76">
        <v>51</v>
      </c>
      <c r="Q187" s="76">
        <v>59</v>
      </c>
      <c r="R187" s="76">
        <v>446</v>
      </c>
      <c r="S187" s="76">
        <v>17</v>
      </c>
      <c r="T187" s="76">
        <v>120</v>
      </c>
      <c r="U187" s="77">
        <v>2</v>
      </c>
      <c r="V187" s="76">
        <v>277</v>
      </c>
      <c r="W187" s="76">
        <v>176</v>
      </c>
      <c r="X187" s="76">
        <v>40</v>
      </c>
      <c r="Y187" s="76">
        <v>234</v>
      </c>
      <c r="Z187" s="76">
        <v>216</v>
      </c>
      <c r="AA187" s="76">
        <v>433</v>
      </c>
      <c r="AB187" s="76">
        <v>79</v>
      </c>
      <c r="AC187" s="76">
        <v>66</v>
      </c>
      <c r="AD187" s="76">
        <v>209</v>
      </c>
      <c r="AE187" s="76">
        <v>146</v>
      </c>
      <c r="AF187" s="76">
        <v>106</v>
      </c>
      <c r="AG187" s="76">
        <v>251</v>
      </c>
      <c r="AH187" s="76">
        <v>686</v>
      </c>
      <c r="AI187" s="76">
        <v>318</v>
      </c>
      <c r="AJ187" s="76">
        <v>102</v>
      </c>
      <c r="AK187" s="76">
        <v>63</v>
      </c>
      <c r="AL187" s="76">
        <v>212</v>
      </c>
      <c r="AM187" s="76">
        <v>381</v>
      </c>
      <c r="AN187" s="76">
        <v>567</v>
      </c>
      <c r="AO187" s="76">
        <v>673</v>
      </c>
      <c r="AP187" s="76">
        <v>766</v>
      </c>
      <c r="AQ187" s="76">
        <v>5606</v>
      </c>
      <c r="AR187" s="76">
        <v>1666</v>
      </c>
      <c r="AS187" s="76">
        <v>28</v>
      </c>
      <c r="AT187" s="76">
        <v>227</v>
      </c>
      <c r="AU187" s="76">
        <v>3103</v>
      </c>
      <c r="AV187" s="76">
        <v>113</v>
      </c>
      <c r="AW187" s="76">
        <v>714</v>
      </c>
      <c r="AX187" s="76">
        <v>35</v>
      </c>
      <c r="AY187" s="76">
        <v>312</v>
      </c>
      <c r="AZ187" s="76">
        <v>662</v>
      </c>
      <c r="BA187" s="76">
        <v>573</v>
      </c>
      <c r="BB187" s="76">
        <v>5360</v>
      </c>
      <c r="BC187" s="76">
        <v>221</v>
      </c>
      <c r="BD187" s="76">
        <v>928</v>
      </c>
      <c r="BE187" s="76">
        <v>12</v>
      </c>
      <c r="BF187" s="76">
        <v>198</v>
      </c>
      <c r="BG187" s="76">
        <v>123</v>
      </c>
      <c r="BH187" s="76">
        <v>836</v>
      </c>
      <c r="BI187" s="76">
        <v>48</v>
      </c>
      <c r="BJ187" s="76">
        <v>7696</v>
      </c>
      <c r="BK187" s="76">
        <v>3259</v>
      </c>
      <c r="BL187" s="76">
        <v>1644</v>
      </c>
      <c r="BM187" s="76">
        <v>1414</v>
      </c>
      <c r="BN187" s="76"/>
      <c r="BO187" s="76">
        <v>185</v>
      </c>
      <c r="BP187" s="76">
        <v>3</v>
      </c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  <c r="DG187" s="76"/>
      <c r="DH187" s="76"/>
      <c r="DI187" s="76"/>
      <c r="DJ187" s="76"/>
      <c r="DK187" s="76"/>
      <c r="DL187" s="76"/>
      <c r="DM187" s="76"/>
      <c r="DN187" s="76"/>
      <c r="DO187" s="76"/>
      <c r="DP187" s="76"/>
      <c r="DQ187" s="68"/>
      <c r="DR187" s="76"/>
      <c r="DS187" s="76"/>
      <c r="DT187" s="76"/>
      <c r="DU187" s="76"/>
      <c r="DV187" s="76"/>
      <c r="DW187" s="76"/>
      <c r="DX187" s="76"/>
      <c r="DY187" s="76"/>
      <c r="DZ187" s="76"/>
      <c r="EA187" s="76"/>
      <c r="EB187" s="76"/>
      <c r="EC187" s="76"/>
      <c r="ED187" s="76"/>
      <c r="EE187" s="76"/>
      <c r="EF187" s="76"/>
      <c r="EG187" s="76"/>
      <c r="EH187" s="76"/>
      <c r="EI187" s="76"/>
      <c r="EJ187" s="76"/>
      <c r="EK187" s="76"/>
      <c r="EL187" s="76"/>
      <c r="EM187" s="76"/>
      <c r="EN187" s="76"/>
      <c r="EO187" s="76"/>
      <c r="EP187" s="76"/>
      <c r="EQ187" s="76"/>
      <c r="ER187" s="76"/>
      <c r="ES187" s="76"/>
      <c r="ET187" s="76"/>
      <c r="EU187" s="76"/>
      <c r="EV187" s="76"/>
      <c r="EW187" s="76"/>
      <c r="EX187" s="76"/>
      <c r="EY187" s="76"/>
      <c r="EZ187" s="76"/>
      <c r="FA187" s="76"/>
      <c r="FB187" s="76"/>
      <c r="FC187" s="76"/>
      <c r="FD187" s="76"/>
      <c r="FE187" s="76"/>
      <c r="FF187" s="76"/>
      <c r="FG187" s="76"/>
      <c r="FH187" s="76"/>
      <c r="FI187" s="76"/>
      <c r="FJ187" s="76"/>
      <c r="FK187" s="76"/>
      <c r="FL187" s="76"/>
      <c r="FM187" s="76"/>
      <c r="FN187" s="76"/>
      <c r="FO187" s="76"/>
      <c r="FP187" s="76"/>
      <c r="FQ187" s="76"/>
      <c r="FR187" s="76"/>
      <c r="FS187" s="76"/>
      <c r="FT187" s="76"/>
      <c r="FU187" s="76"/>
      <c r="FV187" s="76"/>
      <c r="FW187" s="76"/>
      <c r="FX187" s="76"/>
      <c r="FY187" s="76"/>
      <c r="FZ187" s="76"/>
      <c r="GA187" s="76"/>
      <c r="GB187" s="76"/>
      <c r="GC187" s="76"/>
      <c r="GD187" s="76"/>
      <c r="GE187" s="76"/>
      <c r="GF187" s="76"/>
      <c r="GG187" s="76"/>
      <c r="GH187" s="76"/>
      <c r="GI187" s="76"/>
      <c r="GJ187" s="76"/>
      <c r="GK187" s="76"/>
      <c r="GL187" s="76"/>
      <c r="GM187" s="76"/>
      <c r="GN187" s="76"/>
      <c r="GO187" s="76"/>
      <c r="GP187" s="76"/>
      <c r="GQ187" s="76"/>
      <c r="GR187" s="76"/>
      <c r="GS187" s="76"/>
      <c r="GT187" s="76"/>
      <c r="GU187" s="76"/>
      <c r="GV187" s="76"/>
      <c r="GW187" s="76"/>
      <c r="GX187" s="76"/>
      <c r="GY187" s="76"/>
      <c r="GZ187" s="76"/>
      <c r="HA187" s="76">
        <v>469</v>
      </c>
      <c r="HB187" s="76"/>
      <c r="HC187" s="76"/>
      <c r="HD187" s="76"/>
      <c r="HE187" s="76"/>
      <c r="HF187" s="76"/>
      <c r="HG187" s="76"/>
      <c r="HH187" s="76"/>
      <c r="HI187" s="76"/>
      <c r="HJ187" s="76"/>
      <c r="HK187" s="76"/>
      <c r="HL187" s="76"/>
      <c r="HM187" s="76"/>
      <c r="HN187" s="76"/>
      <c r="HO187" s="76"/>
      <c r="HP187" s="76"/>
      <c r="HQ187" s="76"/>
      <c r="HR187" s="76"/>
      <c r="HS187" s="76"/>
      <c r="HT187" s="76"/>
      <c r="HU187" s="76"/>
      <c r="HV187" s="76">
        <v>43523</v>
      </c>
    </row>
    <row r="188" spans="1:230" x14ac:dyDescent="0.2">
      <c r="A188" s="74" t="s">
        <v>52</v>
      </c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7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/>
      <c r="DA188" s="76"/>
      <c r="DB188" s="76"/>
      <c r="DC188" s="76"/>
      <c r="DD188" s="76"/>
      <c r="DE188" s="76"/>
      <c r="DF188" s="76"/>
      <c r="DG188" s="76"/>
      <c r="DH188" s="76"/>
      <c r="DI188" s="76"/>
      <c r="DJ188" s="76"/>
      <c r="DK188" s="76"/>
      <c r="DL188" s="76"/>
      <c r="DM188" s="76"/>
      <c r="DN188" s="76"/>
      <c r="DO188" s="76"/>
      <c r="DP188" s="76"/>
      <c r="DQ188" s="68"/>
      <c r="DR188" s="76"/>
      <c r="DS188" s="76"/>
      <c r="DT188" s="76"/>
      <c r="DU188" s="76"/>
      <c r="DV188" s="76"/>
      <c r="DW188" s="76"/>
      <c r="DX188" s="76"/>
      <c r="DY188" s="76"/>
      <c r="DZ188" s="76"/>
      <c r="EA188" s="76"/>
      <c r="EB188" s="76"/>
      <c r="EC188" s="76"/>
      <c r="ED188" s="76"/>
      <c r="EE188" s="76"/>
      <c r="EF188" s="76"/>
      <c r="EG188" s="76"/>
      <c r="EH188" s="76"/>
      <c r="EI188" s="76"/>
      <c r="EJ188" s="76"/>
      <c r="EK188" s="76"/>
      <c r="EL188" s="76"/>
      <c r="EM188" s="76"/>
      <c r="EN188" s="76"/>
      <c r="EO188" s="76"/>
      <c r="EP188" s="76"/>
      <c r="EQ188" s="76"/>
      <c r="ER188" s="76"/>
      <c r="ES188" s="76"/>
      <c r="ET188" s="76"/>
      <c r="EU188" s="76"/>
      <c r="EV188" s="76"/>
      <c r="EW188" s="76"/>
      <c r="EX188" s="76"/>
      <c r="EY188" s="76"/>
      <c r="EZ188" s="76"/>
      <c r="FA188" s="76"/>
      <c r="FB188" s="76"/>
      <c r="FC188" s="76"/>
      <c r="FD188" s="76"/>
      <c r="FE188" s="76"/>
      <c r="FF188" s="76"/>
      <c r="FG188" s="76"/>
      <c r="FH188" s="76"/>
      <c r="FI188" s="76"/>
      <c r="FJ188" s="76"/>
      <c r="FK188" s="76"/>
      <c r="FL188" s="76"/>
      <c r="FM188" s="76"/>
      <c r="FN188" s="76"/>
      <c r="FO188" s="76"/>
      <c r="FP188" s="76"/>
      <c r="FQ188" s="76"/>
      <c r="FR188" s="76"/>
      <c r="FS188" s="76"/>
      <c r="FT188" s="76"/>
      <c r="FU188" s="76"/>
      <c r="FV188" s="76"/>
      <c r="FW188" s="76"/>
      <c r="FX188" s="76"/>
      <c r="FY188" s="76"/>
      <c r="FZ188" s="76"/>
      <c r="GA188" s="76"/>
      <c r="GB188" s="76"/>
      <c r="GC188" s="76"/>
      <c r="GD188" s="76"/>
      <c r="GE188" s="76"/>
      <c r="GF188" s="76"/>
      <c r="GG188" s="76"/>
      <c r="GH188" s="76"/>
      <c r="GI188" s="76"/>
      <c r="GJ188" s="76"/>
      <c r="GK188" s="76"/>
      <c r="GL188" s="76"/>
      <c r="GM188" s="76"/>
      <c r="GN188" s="76"/>
      <c r="GO188" s="76"/>
      <c r="GP188" s="76"/>
      <c r="GQ188" s="76"/>
      <c r="GR188" s="76"/>
      <c r="GS188" s="76"/>
      <c r="GT188" s="76"/>
      <c r="GU188" s="76"/>
      <c r="GV188" s="76"/>
      <c r="GW188" s="76"/>
      <c r="GX188" s="76"/>
      <c r="GY188" s="76"/>
      <c r="GZ188" s="76"/>
      <c r="HA188" s="76"/>
      <c r="HB188" s="76"/>
      <c r="HC188" s="76"/>
      <c r="HD188" s="76">
        <v>749171</v>
      </c>
      <c r="HE188" s="76"/>
      <c r="HF188" s="76"/>
      <c r="HG188" s="76"/>
      <c r="HH188" s="76"/>
      <c r="HI188" s="76"/>
      <c r="HJ188" s="76"/>
      <c r="HK188" s="76"/>
      <c r="HL188" s="76"/>
      <c r="HM188" s="76"/>
      <c r="HN188" s="76"/>
      <c r="HO188" s="76"/>
      <c r="HP188" s="76"/>
      <c r="HQ188" s="76"/>
      <c r="HR188" s="76"/>
      <c r="HS188" s="76"/>
      <c r="HT188" s="76"/>
      <c r="HU188" s="76"/>
      <c r="HV188" s="76">
        <v>749171</v>
      </c>
    </row>
    <row r="189" spans="1:230" x14ac:dyDescent="0.2">
      <c r="A189" s="74" t="s">
        <v>281</v>
      </c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7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  <c r="DG189" s="76"/>
      <c r="DH189" s="76"/>
      <c r="DI189" s="76"/>
      <c r="DJ189" s="76"/>
      <c r="DK189" s="76"/>
      <c r="DL189" s="76"/>
      <c r="DM189" s="76"/>
      <c r="DN189" s="76"/>
      <c r="DO189" s="76"/>
      <c r="DP189" s="76"/>
      <c r="DQ189" s="68"/>
      <c r="DR189" s="76"/>
      <c r="DS189" s="76"/>
      <c r="DT189" s="76"/>
      <c r="DU189" s="76"/>
      <c r="DV189" s="76"/>
      <c r="DW189" s="76"/>
      <c r="DX189" s="76"/>
      <c r="DY189" s="76"/>
      <c r="DZ189" s="76"/>
      <c r="EA189" s="76"/>
      <c r="EB189" s="76"/>
      <c r="EC189" s="76"/>
      <c r="ED189" s="76"/>
      <c r="EE189" s="76"/>
      <c r="EF189" s="76"/>
      <c r="EG189" s="76"/>
      <c r="EH189" s="76"/>
      <c r="EI189" s="76"/>
      <c r="EJ189" s="76"/>
      <c r="EK189" s="76"/>
      <c r="EL189" s="76"/>
      <c r="EM189" s="76"/>
      <c r="EN189" s="76"/>
      <c r="EO189" s="76"/>
      <c r="EP189" s="76"/>
      <c r="EQ189" s="76"/>
      <c r="ER189" s="76"/>
      <c r="ES189" s="76"/>
      <c r="ET189" s="76"/>
      <c r="EU189" s="76"/>
      <c r="EV189" s="76"/>
      <c r="EW189" s="76"/>
      <c r="EX189" s="76"/>
      <c r="EY189" s="76"/>
      <c r="EZ189" s="76"/>
      <c r="FA189" s="76"/>
      <c r="FB189" s="76"/>
      <c r="FC189" s="76"/>
      <c r="FD189" s="76"/>
      <c r="FE189" s="76"/>
      <c r="FF189" s="76"/>
      <c r="FG189" s="76"/>
      <c r="FH189" s="76"/>
      <c r="FI189" s="76"/>
      <c r="FJ189" s="76"/>
      <c r="FK189" s="76"/>
      <c r="FL189" s="76"/>
      <c r="FM189" s="76"/>
      <c r="FN189" s="76"/>
      <c r="FO189" s="76"/>
      <c r="FP189" s="76"/>
      <c r="FQ189" s="76"/>
      <c r="FR189" s="76"/>
      <c r="FS189" s="76"/>
      <c r="FT189" s="76"/>
      <c r="FU189" s="76"/>
      <c r="FV189" s="76"/>
      <c r="FW189" s="76"/>
      <c r="FX189" s="76"/>
      <c r="FY189" s="76"/>
      <c r="FZ189" s="76"/>
      <c r="GA189" s="76"/>
      <c r="GB189" s="76"/>
      <c r="GC189" s="76"/>
      <c r="GD189" s="76"/>
      <c r="GE189" s="76"/>
      <c r="GF189" s="76"/>
      <c r="GG189" s="76"/>
      <c r="GH189" s="76"/>
      <c r="GI189" s="76"/>
      <c r="GJ189" s="76"/>
      <c r="GK189" s="76"/>
      <c r="GL189" s="76"/>
      <c r="GM189" s="76"/>
      <c r="GN189" s="76"/>
      <c r="GO189" s="76"/>
      <c r="GP189" s="76"/>
      <c r="GQ189" s="76"/>
      <c r="GR189" s="76"/>
      <c r="GS189" s="76"/>
      <c r="GT189" s="76"/>
      <c r="GU189" s="76"/>
      <c r="GV189" s="76"/>
      <c r="GW189" s="76"/>
      <c r="GX189" s="76"/>
      <c r="GY189" s="76"/>
      <c r="GZ189" s="76"/>
      <c r="HA189" s="76"/>
      <c r="HB189" s="76"/>
      <c r="HC189" s="76"/>
      <c r="HD189" s="76">
        <v>13756</v>
      </c>
      <c r="HE189" s="76"/>
      <c r="HF189" s="76"/>
      <c r="HG189" s="76"/>
      <c r="HH189" s="76"/>
      <c r="HI189" s="76"/>
      <c r="HJ189" s="76"/>
      <c r="HK189" s="76"/>
      <c r="HL189" s="76"/>
      <c r="HM189" s="76"/>
      <c r="HN189" s="76"/>
      <c r="HO189" s="76"/>
      <c r="HP189" s="76"/>
      <c r="HQ189" s="76"/>
      <c r="HR189" s="76"/>
      <c r="HS189" s="76"/>
      <c r="HT189" s="76"/>
      <c r="HU189" s="76"/>
      <c r="HV189" s="76">
        <v>13756</v>
      </c>
    </row>
    <row r="190" spans="1:230" x14ac:dyDescent="0.2">
      <c r="A190" s="74" t="s">
        <v>282</v>
      </c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7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76"/>
      <c r="DI190" s="76"/>
      <c r="DJ190" s="76"/>
      <c r="DK190" s="76"/>
      <c r="DL190" s="76"/>
      <c r="DM190" s="76"/>
      <c r="DN190" s="76"/>
      <c r="DO190" s="76"/>
      <c r="DP190" s="76"/>
      <c r="DQ190" s="68"/>
      <c r="DR190" s="76"/>
      <c r="DS190" s="76"/>
      <c r="DT190" s="76"/>
      <c r="DU190" s="76"/>
      <c r="DV190" s="76"/>
      <c r="DW190" s="76"/>
      <c r="DX190" s="76"/>
      <c r="DY190" s="76"/>
      <c r="DZ190" s="76"/>
      <c r="EA190" s="76"/>
      <c r="EB190" s="76"/>
      <c r="EC190" s="76"/>
      <c r="ED190" s="76"/>
      <c r="EE190" s="76"/>
      <c r="EF190" s="76"/>
      <c r="EG190" s="76"/>
      <c r="EH190" s="76"/>
      <c r="EI190" s="76"/>
      <c r="EJ190" s="76"/>
      <c r="EK190" s="76"/>
      <c r="EL190" s="76"/>
      <c r="EM190" s="76"/>
      <c r="EN190" s="76"/>
      <c r="EO190" s="76"/>
      <c r="EP190" s="76"/>
      <c r="EQ190" s="76"/>
      <c r="ER190" s="76"/>
      <c r="ES190" s="76"/>
      <c r="ET190" s="76"/>
      <c r="EU190" s="76"/>
      <c r="EV190" s="76"/>
      <c r="EW190" s="76"/>
      <c r="EX190" s="76"/>
      <c r="EY190" s="76"/>
      <c r="EZ190" s="76"/>
      <c r="FA190" s="76"/>
      <c r="FB190" s="76"/>
      <c r="FC190" s="76"/>
      <c r="FD190" s="76"/>
      <c r="FE190" s="76"/>
      <c r="FF190" s="76"/>
      <c r="FG190" s="76"/>
      <c r="FH190" s="76"/>
      <c r="FI190" s="76"/>
      <c r="FJ190" s="76"/>
      <c r="FK190" s="76"/>
      <c r="FL190" s="76"/>
      <c r="FM190" s="76"/>
      <c r="FN190" s="76"/>
      <c r="FO190" s="76"/>
      <c r="FP190" s="76"/>
      <c r="FQ190" s="76"/>
      <c r="FR190" s="76"/>
      <c r="FS190" s="76"/>
      <c r="FT190" s="76"/>
      <c r="FU190" s="76"/>
      <c r="FV190" s="76"/>
      <c r="FW190" s="76"/>
      <c r="FX190" s="76"/>
      <c r="FY190" s="76"/>
      <c r="FZ190" s="76"/>
      <c r="GA190" s="76"/>
      <c r="GB190" s="76"/>
      <c r="GC190" s="76"/>
      <c r="GD190" s="76"/>
      <c r="GE190" s="76"/>
      <c r="GF190" s="76"/>
      <c r="GG190" s="76"/>
      <c r="GH190" s="76"/>
      <c r="GI190" s="76"/>
      <c r="GJ190" s="76"/>
      <c r="GK190" s="76"/>
      <c r="GL190" s="76"/>
      <c r="GM190" s="76"/>
      <c r="GN190" s="76"/>
      <c r="GO190" s="76"/>
      <c r="GP190" s="76"/>
      <c r="GQ190" s="76"/>
      <c r="GR190" s="76"/>
      <c r="GS190" s="76"/>
      <c r="GT190" s="76"/>
      <c r="GU190" s="76"/>
      <c r="GV190" s="76"/>
      <c r="GW190" s="76"/>
      <c r="GX190" s="76"/>
      <c r="GY190" s="76"/>
      <c r="GZ190" s="76"/>
      <c r="HA190" s="76"/>
      <c r="HB190" s="76"/>
      <c r="HC190" s="76"/>
      <c r="HD190" s="76">
        <v>321103</v>
      </c>
      <c r="HE190" s="76"/>
      <c r="HF190" s="76"/>
      <c r="HG190" s="76"/>
      <c r="HH190" s="76"/>
      <c r="HI190" s="76"/>
      <c r="HJ190" s="76"/>
      <c r="HK190" s="76"/>
      <c r="HL190" s="76"/>
      <c r="HM190" s="76"/>
      <c r="HN190" s="76"/>
      <c r="HO190" s="76"/>
      <c r="HP190" s="76"/>
      <c r="HQ190" s="76"/>
      <c r="HR190" s="76"/>
      <c r="HS190" s="76"/>
      <c r="HT190" s="76"/>
      <c r="HU190" s="76"/>
      <c r="HV190" s="76">
        <v>321103</v>
      </c>
    </row>
    <row r="191" spans="1:230" x14ac:dyDescent="0.2">
      <c r="A191" s="74" t="s">
        <v>283</v>
      </c>
      <c r="B191" s="76">
        <v>3</v>
      </c>
      <c r="C191" s="76">
        <v>1</v>
      </c>
      <c r="D191" s="76"/>
      <c r="E191" s="76">
        <v>1</v>
      </c>
      <c r="F191" s="76">
        <v>38</v>
      </c>
      <c r="G191" s="76">
        <v>181</v>
      </c>
      <c r="H191" s="76">
        <v>35</v>
      </c>
      <c r="I191" s="76">
        <v>3</v>
      </c>
      <c r="J191" s="76"/>
      <c r="K191" s="76">
        <v>28</v>
      </c>
      <c r="L191" s="76"/>
      <c r="M191" s="76"/>
      <c r="N191" s="76">
        <v>1</v>
      </c>
      <c r="O191" s="76"/>
      <c r="P191" s="76"/>
      <c r="Q191" s="76"/>
      <c r="R191" s="76">
        <v>50</v>
      </c>
      <c r="S191" s="76"/>
      <c r="T191" s="76">
        <v>9</v>
      </c>
      <c r="U191" s="77"/>
      <c r="V191" s="76">
        <v>14</v>
      </c>
      <c r="W191" s="76">
        <v>34</v>
      </c>
      <c r="X191" s="76"/>
      <c r="Y191" s="76"/>
      <c r="Z191" s="76">
        <v>2</v>
      </c>
      <c r="AA191" s="76"/>
      <c r="AB191" s="76">
        <v>256</v>
      </c>
      <c r="AC191" s="76">
        <v>89</v>
      </c>
      <c r="AD191" s="76">
        <v>86</v>
      </c>
      <c r="AE191" s="76">
        <v>1</v>
      </c>
      <c r="AF191" s="76"/>
      <c r="AG191" s="76">
        <v>26</v>
      </c>
      <c r="AH191" s="76">
        <v>99</v>
      </c>
      <c r="AI191" s="76">
        <v>3</v>
      </c>
      <c r="AJ191" s="76"/>
      <c r="AK191" s="76"/>
      <c r="AL191" s="76">
        <v>11</v>
      </c>
      <c r="AM191" s="76">
        <v>165</v>
      </c>
      <c r="AN191" s="76">
        <v>1</v>
      </c>
      <c r="AO191" s="76">
        <v>2</v>
      </c>
      <c r="AP191" s="76">
        <v>30</v>
      </c>
      <c r="AQ191" s="76">
        <v>1061</v>
      </c>
      <c r="AR191" s="76">
        <v>1422</v>
      </c>
      <c r="AS191" s="76">
        <v>105</v>
      </c>
      <c r="AT191" s="76">
        <v>17</v>
      </c>
      <c r="AU191" s="76">
        <v>330</v>
      </c>
      <c r="AV191" s="76">
        <v>1</v>
      </c>
      <c r="AW191" s="76"/>
      <c r="AX191" s="76"/>
      <c r="AY191" s="76"/>
      <c r="AZ191" s="76">
        <v>68</v>
      </c>
      <c r="BA191" s="76"/>
      <c r="BB191" s="76">
        <v>2171</v>
      </c>
      <c r="BC191" s="76"/>
      <c r="BD191" s="76">
        <v>3565</v>
      </c>
      <c r="BE191" s="76">
        <v>198</v>
      </c>
      <c r="BF191" s="76">
        <v>709</v>
      </c>
      <c r="BG191" s="76">
        <v>72</v>
      </c>
      <c r="BH191" s="76">
        <v>2120</v>
      </c>
      <c r="BI191" s="76">
        <v>175</v>
      </c>
      <c r="BJ191" s="76">
        <v>471</v>
      </c>
      <c r="BK191" s="76">
        <v>468</v>
      </c>
      <c r="BL191" s="76"/>
      <c r="BM191" s="76">
        <v>534</v>
      </c>
      <c r="BN191" s="76"/>
      <c r="BO191" s="76"/>
      <c r="BP191" s="76">
        <v>559</v>
      </c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6"/>
      <c r="DL191" s="76"/>
      <c r="DM191" s="76"/>
      <c r="DN191" s="76"/>
      <c r="DO191" s="76"/>
      <c r="DP191" s="76"/>
      <c r="DQ191" s="68"/>
      <c r="DR191" s="76"/>
      <c r="DS191" s="76"/>
      <c r="DT191" s="76"/>
      <c r="DU191" s="76"/>
      <c r="DV191" s="76"/>
      <c r="DW191" s="76"/>
      <c r="DX191" s="76"/>
      <c r="DY191" s="76"/>
      <c r="DZ191" s="76"/>
      <c r="EA191" s="76"/>
      <c r="EB191" s="76"/>
      <c r="EC191" s="76"/>
      <c r="ED191" s="76"/>
      <c r="EE191" s="76"/>
      <c r="EF191" s="76"/>
      <c r="EG191" s="76"/>
      <c r="EH191" s="76"/>
      <c r="EI191" s="76"/>
      <c r="EJ191" s="76"/>
      <c r="EK191" s="76"/>
      <c r="EL191" s="76"/>
      <c r="EM191" s="76"/>
      <c r="EN191" s="76"/>
      <c r="EO191" s="76"/>
      <c r="EP191" s="76"/>
      <c r="EQ191" s="76"/>
      <c r="ER191" s="76"/>
      <c r="ES191" s="76"/>
      <c r="ET191" s="76"/>
      <c r="EU191" s="76"/>
      <c r="EV191" s="76"/>
      <c r="EW191" s="76"/>
      <c r="EX191" s="76"/>
      <c r="EY191" s="76"/>
      <c r="EZ191" s="76"/>
      <c r="FA191" s="76"/>
      <c r="FB191" s="76"/>
      <c r="FC191" s="76"/>
      <c r="FD191" s="76"/>
      <c r="FE191" s="76"/>
      <c r="FF191" s="76"/>
      <c r="FG191" s="76"/>
      <c r="FH191" s="76"/>
      <c r="FI191" s="76"/>
      <c r="FJ191" s="76"/>
      <c r="FK191" s="76"/>
      <c r="FL191" s="76"/>
      <c r="FM191" s="76"/>
      <c r="FN191" s="76"/>
      <c r="FO191" s="76"/>
      <c r="FP191" s="76"/>
      <c r="FQ191" s="76"/>
      <c r="FR191" s="76"/>
      <c r="FS191" s="76"/>
      <c r="FT191" s="76"/>
      <c r="FU191" s="76"/>
      <c r="FV191" s="76"/>
      <c r="FW191" s="76"/>
      <c r="FX191" s="76"/>
      <c r="FY191" s="76"/>
      <c r="FZ191" s="76"/>
      <c r="GA191" s="76"/>
      <c r="GB191" s="76"/>
      <c r="GC191" s="76"/>
      <c r="GD191" s="76"/>
      <c r="GE191" s="76"/>
      <c r="GF191" s="76"/>
      <c r="GG191" s="76"/>
      <c r="GH191" s="76"/>
      <c r="GI191" s="76"/>
      <c r="GJ191" s="76"/>
      <c r="GK191" s="76"/>
      <c r="GL191" s="76"/>
      <c r="GM191" s="76"/>
      <c r="GN191" s="76"/>
      <c r="GO191" s="76"/>
      <c r="GP191" s="76"/>
      <c r="GQ191" s="76"/>
      <c r="GR191" s="76"/>
      <c r="GS191" s="76"/>
      <c r="GT191" s="76"/>
      <c r="GU191" s="76"/>
      <c r="GV191" s="76"/>
      <c r="GW191" s="76"/>
      <c r="GX191" s="76"/>
      <c r="GY191" s="76"/>
      <c r="GZ191" s="76"/>
      <c r="HA191" s="76">
        <v>125252</v>
      </c>
      <c r="HB191" s="76"/>
      <c r="HC191" s="76"/>
      <c r="HD191" s="76"/>
      <c r="HE191" s="76">
        <v>53</v>
      </c>
      <c r="HF191" s="76"/>
      <c r="HG191" s="76"/>
      <c r="HH191" s="76"/>
      <c r="HI191" s="76"/>
      <c r="HJ191" s="76"/>
      <c r="HK191" s="76"/>
      <c r="HL191" s="76"/>
      <c r="HM191" s="76"/>
      <c r="HN191" s="76"/>
      <c r="HO191" s="76"/>
      <c r="HP191" s="76"/>
      <c r="HQ191" s="76"/>
      <c r="HR191" s="76"/>
      <c r="HS191" s="76"/>
      <c r="HT191" s="76"/>
      <c r="HU191" s="76"/>
      <c r="HV191" s="76">
        <v>140520</v>
      </c>
    </row>
    <row r="192" spans="1:230" x14ac:dyDescent="0.2">
      <c r="A192" s="74" t="s">
        <v>284</v>
      </c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7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  <c r="DG192" s="76"/>
      <c r="DH192" s="76"/>
      <c r="DI192" s="76"/>
      <c r="DJ192" s="76"/>
      <c r="DK192" s="76"/>
      <c r="DL192" s="76"/>
      <c r="DM192" s="76"/>
      <c r="DN192" s="76"/>
      <c r="DO192" s="76"/>
      <c r="DP192" s="76"/>
      <c r="DQ192" s="68"/>
      <c r="DR192" s="76"/>
      <c r="DS192" s="76"/>
      <c r="DT192" s="76"/>
      <c r="DU192" s="76"/>
      <c r="DV192" s="76"/>
      <c r="DW192" s="76"/>
      <c r="DX192" s="76"/>
      <c r="DY192" s="76"/>
      <c r="DZ192" s="76"/>
      <c r="EA192" s="76"/>
      <c r="EB192" s="76"/>
      <c r="EC192" s="76"/>
      <c r="ED192" s="76"/>
      <c r="EE192" s="76"/>
      <c r="EF192" s="76"/>
      <c r="EG192" s="76"/>
      <c r="EH192" s="76"/>
      <c r="EI192" s="76"/>
      <c r="EJ192" s="76"/>
      <c r="EK192" s="76"/>
      <c r="EL192" s="76"/>
      <c r="EM192" s="76"/>
      <c r="EN192" s="76"/>
      <c r="EO192" s="76"/>
      <c r="EP192" s="76"/>
      <c r="EQ192" s="76"/>
      <c r="ER192" s="76"/>
      <c r="ES192" s="76"/>
      <c r="ET192" s="76"/>
      <c r="EU192" s="76"/>
      <c r="EV192" s="76"/>
      <c r="EW192" s="76"/>
      <c r="EX192" s="76"/>
      <c r="EY192" s="76"/>
      <c r="EZ192" s="76"/>
      <c r="FA192" s="76"/>
      <c r="FB192" s="76"/>
      <c r="FC192" s="76"/>
      <c r="FD192" s="76"/>
      <c r="FE192" s="76"/>
      <c r="FF192" s="76"/>
      <c r="FG192" s="76"/>
      <c r="FH192" s="76"/>
      <c r="FI192" s="76"/>
      <c r="FJ192" s="76"/>
      <c r="FK192" s="76"/>
      <c r="FL192" s="76"/>
      <c r="FM192" s="76"/>
      <c r="FN192" s="76"/>
      <c r="FO192" s="76"/>
      <c r="FP192" s="76"/>
      <c r="FQ192" s="76"/>
      <c r="FR192" s="76"/>
      <c r="FS192" s="76"/>
      <c r="FT192" s="76"/>
      <c r="FU192" s="76"/>
      <c r="FV192" s="76"/>
      <c r="FW192" s="76"/>
      <c r="FX192" s="76"/>
      <c r="FY192" s="76"/>
      <c r="FZ192" s="76"/>
      <c r="GA192" s="76"/>
      <c r="GB192" s="76"/>
      <c r="GC192" s="76"/>
      <c r="GD192" s="76"/>
      <c r="GE192" s="76"/>
      <c r="GF192" s="76"/>
      <c r="GG192" s="76"/>
      <c r="GH192" s="76"/>
      <c r="GI192" s="76"/>
      <c r="GJ192" s="76"/>
      <c r="GK192" s="76"/>
      <c r="GL192" s="76"/>
      <c r="GM192" s="76"/>
      <c r="GN192" s="76"/>
      <c r="GO192" s="76"/>
      <c r="GP192" s="76"/>
      <c r="GQ192" s="76"/>
      <c r="GR192" s="76"/>
      <c r="GS192" s="76"/>
      <c r="GT192" s="76"/>
      <c r="GU192" s="76"/>
      <c r="GV192" s="76"/>
      <c r="GW192" s="76"/>
      <c r="GX192" s="76"/>
      <c r="GY192" s="76"/>
      <c r="GZ192" s="76"/>
      <c r="HA192" s="76"/>
      <c r="HB192" s="76"/>
      <c r="HC192" s="76"/>
      <c r="HD192" s="76">
        <v>189202</v>
      </c>
      <c r="HE192" s="76"/>
      <c r="HF192" s="76"/>
      <c r="HG192" s="76"/>
      <c r="HH192" s="76"/>
      <c r="HI192" s="76"/>
      <c r="HJ192" s="76"/>
      <c r="HK192" s="76"/>
      <c r="HL192" s="76"/>
      <c r="HM192" s="76"/>
      <c r="HN192" s="76"/>
      <c r="HO192" s="76"/>
      <c r="HP192" s="76"/>
      <c r="HQ192" s="76"/>
      <c r="HR192" s="76"/>
      <c r="HS192" s="76"/>
      <c r="HT192" s="76"/>
      <c r="HU192" s="76"/>
      <c r="HV192" s="76">
        <v>189202</v>
      </c>
    </row>
    <row r="193" spans="1:230" x14ac:dyDescent="0.2">
      <c r="A193" s="74" t="s">
        <v>285</v>
      </c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7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>
        <v>59</v>
      </c>
      <c r="BK193" s="76">
        <v>6</v>
      </c>
      <c r="BL193" s="76"/>
      <c r="BM193" s="76">
        <v>11</v>
      </c>
      <c r="BN193" s="76">
        <v>29641</v>
      </c>
      <c r="BO193" s="76"/>
      <c r="BP193" s="76"/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6"/>
      <c r="CT193" s="76"/>
      <c r="CU193" s="76"/>
      <c r="CV193" s="76"/>
      <c r="CW193" s="76"/>
      <c r="CX193" s="76"/>
      <c r="CY193" s="76"/>
      <c r="CZ193" s="76"/>
      <c r="DA193" s="76"/>
      <c r="DB193" s="76"/>
      <c r="DC193" s="76"/>
      <c r="DD193" s="76"/>
      <c r="DE193" s="76"/>
      <c r="DF193" s="76"/>
      <c r="DG193" s="76"/>
      <c r="DH193" s="76"/>
      <c r="DI193" s="76"/>
      <c r="DJ193" s="76"/>
      <c r="DK193" s="76"/>
      <c r="DL193" s="76"/>
      <c r="DM193" s="76"/>
      <c r="DN193" s="76"/>
      <c r="DO193" s="76"/>
      <c r="DP193" s="76"/>
      <c r="DQ193" s="68"/>
      <c r="DR193" s="76"/>
      <c r="DS193" s="76"/>
      <c r="DT193" s="76"/>
      <c r="DU193" s="76"/>
      <c r="DV193" s="76"/>
      <c r="DW193" s="76"/>
      <c r="DX193" s="76"/>
      <c r="DY193" s="76"/>
      <c r="DZ193" s="76"/>
      <c r="EA193" s="76"/>
      <c r="EB193" s="76"/>
      <c r="EC193" s="76"/>
      <c r="ED193" s="76"/>
      <c r="EE193" s="76"/>
      <c r="EF193" s="76"/>
      <c r="EG193" s="76"/>
      <c r="EH193" s="76"/>
      <c r="EI193" s="76"/>
      <c r="EJ193" s="76"/>
      <c r="EK193" s="76"/>
      <c r="EL193" s="76"/>
      <c r="EM193" s="76"/>
      <c r="EN193" s="76"/>
      <c r="EO193" s="76"/>
      <c r="EP193" s="76"/>
      <c r="EQ193" s="76"/>
      <c r="ER193" s="76"/>
      <c r="ES193" s="76"/>
      <c r="ET193" s="76"/>
      <c r="EU193" s="76"/>
      <c r="EV193" s="76"/>
      <c r="EW193" s="76"/>
      <c r="EX193" s="76"/>
      <c r="EY193" s="76"/>
      <c r="EZ193" s="76"/>
      <c r="FA193" s="76"/>
      <c r="FB193" s="76"/>
      <c r="FC193" s="76"/>
      <c r="FD193" s="76"/>
      <c r="FE193" s="76"/>
      <c r="FF193" s="76"/>
      <c r="FG193" s="76"/>
      <c r="FH193" s="76"/>
      <c r="FI193" s="76"/>
      <c r="FJ193" s="76"/>
      <c r="FK193" s="76"/>
      <c r="FL193" s="76"/>
      <c r="FM193" s="76"/>
      <c r="FN193" s="76"/>
      <c r="FO193" s="76"/>
      <c r="FP193" s="76"/>
      <c r="FQ193" s="76"/>
      <c r="FR193" s="76"/>
      <c r="FS193" s="76"/>
      <c r="FT193" s="76"/>
      <c r="FU193" s="76"/>
      <c r="FV193" s="76"/>
      <c r="FW193" s="76"/>
      <c r="FX193" s="76"/>
      <c r="FY193" s="76"/>
      <c r="FZ193" s="76"/>
      <c r="GA193" s="76"/>
      <c r="GB193" s="76"/>
      <c r="GC193" s="76"/>
      <c r="GD193" s="76"/>
      <c r="GE193" s="76"/>
      <c r="GF193" s="76"/>
      <c r="GG193" s="76"/>
      <c r="GH193" s="76"/>
      <c r="GI193" s="76"/>
      <c r="GJ193" s="76"/>
      <c r="GK193" s="76"/>
      <c r="GL193" s="76"/>
      <c r="GM193" s="76"/>
      <c r="GN193" s="76"/>
      <c r="GO193" s="76"/>
      <c r="GP193" s="76"/>
      <c r="GQ193" s="76"/>
      <c r="GR193" s="76"/>
      <c r="GS193" s="76"/>
      <c r="GT193" s="76"/>
      <c r="GU193" s="76"/>
      <c r="GV193" s="76"/>
      <c r="GW193" s="76"/>
      <c r="GX193" s="76"/>
      <c r="GY193" s="76"/>
      <c r="GZ193" s="76"/>
      <c r="HA193" s="76">
        <v>192670</v>
      </c>
      <c r="HB193" s="76">
        <v>8886</v>
      </c>
      <c r="HC193" s="76"/>
      <c r="HD193" s="76">
        <v>43633</v>
      </c>
      <c r="HE193" s="76">
        <v>215</v>
      </c>
      <c r="HF193" s="76"/>
      <c r="HG193" s="76"/>
      <c r="HH193" s="76"/>
      <c r="HI193" s="76"/>
      <c r="HJ193" s="76"/>
      <c r="HK193" s="76"/>
      <c r="HL193" s="76"/>
      <c r="HM193" s="76"/>
      <c r="HN193" s="76"/>
      <c r="HO193" s="76"/>
      <c r="HP193" s="76"/>
      <c r="HQ193" s="76"/>
      <c r="HR193" s="76"/>
      <c r="HS193" s="76"/>
      <c r="HT193" s="76"/>
      <c r="HU193" s="76"/>
      <c r="HV193" s="76">
        <v>275121</v>
      </c>
    </row>
    <row r="194" spans="1:230" x14ac:dyDescent="0.2">
      <c r="A194" s="74" t="s">
        <v>286</v>
      </c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7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>
        <v>1</v>
      </c>
      <c r="AR194" s="76"/>
      <c r="AS194" s="76"/>
      <c r="AT194" s="76"/>
      <c r="AU194" s="76"/>
      <c r="AV194" s="76">
        <v>19</v>
      </c>
      <c r="AW194" s="76"/>
      <c r="AX194" s="76"/>
      <c r="AY194" s="76">
        <v>2677</v>
      </c>
      <c r="AZ194" s="76">
        <v>411</v>
      </c>
      <c r="BA194" s="76"/>
      <c r="BB194" s="76"/>
      <c r="BC194" s="76"/>
      <c r="BD194" s="76"/>
      <c r="BE194" s="76"/>
      <c r="BF194" s="76">
        <v>81</v>
      </c>
      <c r="BG194" s="76"/>
      <c r="BH194" s="76">
        <v>28</v>
      </c>
      <c r="BI194" s="76"/>
      <c r="BJ194" s="76">
        <v>766</v>
      </c>
      <c r="BK194" s="76">
        <v>86</v>
      </c>
      <c r="BL194" s="76"/>
      <c r="BM194" s="76">
        <v>57</v>
      </c>
      <c r="BN194" s="76"/>
      <c r="BO194" s="76">
        <v>978</v>
      </c>
      <c r="BP194" s="76">
        <v>1270</v>
      </c>
      <c r="BQ194" s="76"/>
      <c r="BR194" s="76"/>
      <c r="BS194" s="76"/>
      <c r="BT194" s="76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76"/>
      <c r="CM194" s="76"/>
      <c r="CN194" s="76"/>
      <c r="CO194" s="76"/>
      <c r="CP194" s="76"/>
      <c r="CQ194" s="76"/>
      <c r="CR194" s="76"/>
      <c r="CS194" s="76"/>
      <c r="CT194" s="76"/>
      <c r="CU194" s="76"/>
      <c r="CV194" s="76"/>
      <c r="CW194" s="76"/>
      <c r="CX194" s="76"/>
      <c r="CY194" s="76"/>
      <c r="CZ194" s="76"/>
      <c r="DA194" s="76"/>
      <c r="DB194" s="76"/>
      <c r="DC194" s="76"/>
      <c r="DD194" s="76"/>
      <c r="DE194" s="76"/>
      <c r="DF194" s="76"/>
      <c r="DG194" s="76"/>
      <c r="DH194" s="76"/>
      <c r="DI194" s="76"/>
      <c r="DJ194" s="76"/>
      <c r="DK194" s="76"/>
      <c r="DL194" s="76"/>
      <c r="DM194" s="76"/>
      <c r="DN194" s="76"/>
      <c r="DO194" s="76"/>
      <c r="DP194" s="76"/>
      <c r="DQ194" s="68"/>
      <c r="DR194" s="76"/>
      <c r="DS194" s="76"/>
      <c r="DT194" s="76"/>
      <c r="DU194" s="76"/>
      <c r="DV194" s="76"/>
      <c r="DW194" s="76"/>
      <c r="DX194" s="76"/>
      <c r="DY194" s="76"/>
      <c r="DZ194" s="76"/>
      <c r="EA194" s="76"/>
      <c r="EB194" s="76"/>
      <c r="EC194" s="76"/>
      <c r="ED194" s="76"/>
      <c r="EE194" s="76"/>
      <c r="EF194" s="76"/>
      <c r="EG194" s="76"/>
      <c r="EH194" s="76"/>
      <c r="EI194" s="76"/>
      <c r="EJ194" s="76"/>
      <c r="EK194" s="76"/>
      <c r="EL194" s="76"/>
      <c r="EM194" s="76"/>
      <c r="EN194" s="76"/>
      <c r="EO194" s="76"/>
      <c r="EP194" s="76"/>
      <c r="EQ194" s="76"/>
      <c r="ER194" s="76"/>
      <c r="ES194" s="76"/>
      <c r="ET194" s="76"/>
      <c r="EU194" s="76"/>
      <c r="EV194" s="76"/>
      <c r="EW194" s="76"/>
      <c r="EX194" s="76"/>
      <c r="EY194" s="76"/>
      <c r="EZ194" s="76"/>
      <c r="FA194" s="76"/>
      <c r="FB194" s="76"/>
      <c r="FC194" s="76"/>
      <c r="FD194" s="76"/>
      <c r="FE194" s="76"/>
      <c r="FF194" s="76"/>
      <c r="FG194" s="76"/>
      <c r="FH194" s="76"/>
      <c r="FI194" s="76"/>
      <c r="FJ194" s="76"/>
      <c r="FK194" s="76"/>
      <c r="FL194" s="76"/>
      <c r="FM194" s="76"/>
      <c r="FN194" s="76"/>
      <c r="FO194" s="76"/>
      <c r="FP194" s="76"/>
      <c r="FQ194" s="76"/>
      <c r="FR194" s="76"/>
      <c r="FS194" s="76"/>
      <c r="FT194" s="76"/>
      <c r="FU194" s="76"/>
      <c r="FV194" s="76"/>
      <c r="FW194" s="76"/>
      <c r="FX194" s="76"/>
      <c r="FY194" s="76"/>
      <c r="FZ194" s="76"/>
      <c r="GA194" s="76"/>
      <c r="GB194" s="76"/>
      <c r="GC194" s="76"/>
      <c r="GD194" s="76"/>
      <c r="GE194" s="76"/>
      <c r="GF194" s="76"/>
      <c r="GG194" s="76"/>
      <c r="GH194" s="76"/>
      <c r="GI194" s="76"/>
      <c r="GJ194" s="76"/>
      <c r="GK194" s="76"/>
      <c r="GL194" s="76"/>
      <c r="GM194" s="76"/>
      <c r="GN194" s="76"/>
      <c r="GO194" s="76"/>
      <c r="GP194" s="76"/>
      <c r="GQ194" s="76"/>
      <c r="GR194" s="76"/>
      <c r="GS194" s="76"/>
      <c r="GT194" s="76"/>
      <c r="GU194" s="76"/>
      <c r="GV194" s="76"/>
      <c r="GW194" s="76"/>
      <c r="GX194" s="76"/>
      <c r="GY194" s="76"/>
      <c r="GZ194" s="76"/>
      <c r="HA194" s="76">
        <v>32914</v>
      </c>
      <c r="HB194" s="76">
        <v>8899</v>
      </c>
      <c r="HC194" s="76"/>
      <c r="HD194" s="76"/>
      <c r="HE194" s="76">
        <v>1876</v>
      </c>
      <c r="HF194" s="76"/>
      <c r="HG194" s="76"/>
      <c r="HH194" s="76"/>
      <c r="HI194" s="76"/>
      <c r="HJ194" s="76"/>
      <c r="HK194" s="76"/>
      <c r="HL194" s="76"/>
      <c r="HM194" s="76"/>
      <c r="HN194" s="76"/>
      <c r="HO194" s="76"/>
      <c r="HP194" s="76"/>
      <c r="HQ194" s="76"/>
      <c r="HR194" s="76"/>
      <c r="HS194" s="76"/>
      <c r="HT194" s="76"/>
      <c r="HU194" s="76"/>
      <c r="HV194" s="76">
        <v>50063</v>
      </c>
    </row>
    <row r="195" spans="1:230" x14ac:dyDescent="0.2">
      <c r="A195" s="74" t="s">
        <v>287</v>
      </c>
      <c r="B195" s="76">
        <v>128</v>
      </c>
      <c r="C195" s="76">
        <v>33</v>
      </c>
      <c r="D195" s="76">
        <v>17</v>
      </c>
      <c r="E195" s="76">
        <v>39</v>
      </c>
      <c r="F195" s="76">
        <v>702</v>
      </c>
      <c r="G195" s="76">
        <v>263</v>
      </c>
      <c r="H195" s="76">
        <v>58</v>
      </c>
      <c r="I195" s="76">
        <v>216</v>
      </c>
      <c r="J195" s="76">
        <v>88</v>
      </c>
      <c r="K195" s="76">
        <v>235</v>
      </c>
      <c r="L195" s="76">
        <v>139</v>
      </c>
      <c r="M195" s="76">
        <v>14</v>
      </c>
      <c r="N195" s="76">
        <v>50</v>
      </c>
      <c r="O195" s="76">
        <v>110</v>
      </c>
      <c r="P195" s="76">
        <v>65</v>
      </c>
      <c r="Q195" s="76">
        <v>67</v>
      </c>
      <c r="R195" s="76">
        <v>137</v>
      </c>
      <c r="S195" s="76">
        <v>35</v>
      </c>
      <c r="T195" s="76">
        <v>127</v>
      </c>
      <c r="U195" s="77">
        <v>58</v>
      </c>
      <c r="V195" s="76">
        <v>123</v>
      </c>
      <c r="W195" s="76">
        <v>51</v>
      </c>
      <c r="X195" s="76">
        <v>53</v>
      </c>
      <c r="Y195" s="76">
        <v>109</v>
      </c>
      <c r="Z195" s="76">
        <v>181</v>
      </c>
      <c r="AA195" s="76">
        <v>159</v>
      </c>
      <c r="AB195" s="76">
        <v>114</v>
      </c>
      <c r="AC195" s="76">
        <v>52</v>
      </c>
      <c r="AD195" s="76">
        <v>225</v>
      </c>
      <c r="AE195" s="76">
        <v>100</v>
      </c>
      <c r="AF195" s="76">
        <v>100</v>
      </c>
      <c r="AG195" s="76">
        <v>191</v>
      </c>
      <c r="AH195" s="76">
        <v>264</v>
      </c>
      <c r="AI195" s="76">
        <v>166</v>
      </c>
      <c r="AJ195" s="76">
        <v>64</v>
      </c>
      <c r="AK195" s="76">
        <v>120</v>
      </c>
      <c r="AL195" s="76"/>
      <c r="AM195" s="76"/>
      <c r="AN195" s="76"/>
      <c r="AO195" s="76"/>
      <c r="AP195" s="76">
        <v>18</v>
      </c>
      <c r="AQ195" s="76">
        <v>131</v>
      </c>
      <c r="AR195" s="76">
        <v>62</v>
      </c>
      <c r="AS195" s="76">
        <v>3</v>
      </c>
      <c r="AT195" s="76">
        <v>8</v>
      </c>
      <c r="AU195" s="76">
        <v>1087</v>
      </c>
      <c r="AV195" s="76">
        <v>11</v>
      </c>
      <c r="AW195" s="76">
        <v>43</v>
      </c>
      <c r="AX195" s="76">
        <v>3</v>
      </c>
      <c r="AY195" s="76">
        <v>14</v>
      </c>
      <c r="AZ195" s="76">
        <v>66</v>
      </c>
      <c r="BA195" s="76">
        <v>52</v>
      </c>
      <c r="BB195" s="76">
        <v>88</v>
      </c>
      <c r="BC195" s="76">
        <v>16</v>
      </c>
      <c r="BD195" s="76">
        <v>76</v>
      </c>
      <c r="BE195" s="76">
        <v>28</v>
      </c>
      <c r="BF195" s="76">
        <v>17</v>
      </c>
      <c r="BG195" s="76">
        <v>21</v>
      </c>
      <c r="BH195" s="76">
        <v>74</v>
      </c>
      <c r="BI195" s="76">
        <v>23</v>
      </c>
      <c r="BJ195" s="76"/>
      <c r="BK195" s="76"/>
      <c r="BL195" s="76"/>
      <c r="BM195" s="76"/>
      <c r="BN195" s="76"/>
      <c r="BO195" s="76"/>
      <c r="BP195" s="76">
        <v>10</v>
      </c>
      <c r="BQ195" s="76"/>
      <c r="BR195" s="76"/>
      <c r="BS195" s="76"/>
      <c r="BT195" s="76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6"/>
      <c r="CI195" s="76"/>
      <c r="CJ195" s="76"/>
      <c r="CK195" s="76"/>
      <c r="CL195" s="76"/>
      <c r="CM195" s="76"/>
      <c r="CN195" s="76"/>
      <c r="CO195" s="76"/>
      <c r="CP195" s="76"/>
      <c r="CQ195" s="76"/>
      <c r="CR195" s="76"/>
      <c r="CS195" s="76"/>
      <c r="CT195" s="76"/>
      <c r="CU195" s="76"/>
      <c r="CV195" s="76"/>
      <c r="CW195" s="76"/>
      <c r="CX195" s="76"/>
      <c r="CY195" s="76"/>
      <c r="CZ195" s="76"/>
      <c r="DA195" s="76"/>
      <c r="DB195" s="76"/>
      <c r="DC195" s="76"/>
      <c r="DD195" s="76"/>
      <c r="DE195" s="76"/>
      <c r="DF195" s="76"/>
      <c r="DG195" s="76"/>
      <c r="DH195" s="76"/>
      <c r="DI195" s="76"/>
      <c r="DJ195" s="76"/>
      <c r="DK195" s="76"/>
      <c r="DL195" s="76"/>
      <c r="DM195" s="76"/>
      <c r="DN195" s="76"/>
      <c r="DO195" s="76"/>
      <c r="DP195" s="76"/>
      <c r="DQ195" s="68"/>
      <c r="DR195" s="76"/>
      <c r="DS195" s="76"/>
      <c r="DT195" s="76"/>
      <c r="DU195" s="76"/>
      <c r="DV195" s="76"/>
      <c r="DW195" s="76"/>
      <c r="DX195" s="76"/>
      <c r="DY195" s="76"/>
      <c r="DZ195" s="76"/>
      <c r="EA195" s="76"/>
      <c r="EB195" s="76"/>
      <c r="EC195" s="76"/>
      <c r="ED195" s="76"/>
      <c r="EE195" s="76"/>
      <c r="EF195" s="76"/>
      <c r="EG195" s="76"/>
      <c r="EH195" s="76"/>
      <c r="EI195" s="76"/>
      <c r="EJ195" s="76"/>
      <c r="EK195" s="76"/>
      <c r="EL195" s="76"/>
      <c r="EM195" s="76"/>
      <c r="EN195" s="76"/>
      <c r="EO195" s="76"/>
      <c r="EP195" s="76"/>
      <c r="EQ195" s="76"/>
      <c r="ER195" s="76"/>
      <c r="ES195" s="76"/>
      <c r="ET195" s="76"/>
      <c r="EU195" s="76"/>
      <c r="EV195" s="76"/>
      <c r="EW195" s="76"/>
      <c r="EX195" s="76"/>
      <c r="EY195" s="76"/>
      <c r="EZ195" s="76"/>
      <c r="FA195" s="76"/>
      <c r="FB195" s="76"/>
      <c r="FC195" s="76"/>
      <c r="FD195" s="76"/>
      <c r="FE195" s="76"/>
      <c r="FF195" s="76"/>
      <c r="FG195" s="76"/>
      <c r="FH195" s="76"/>
      <c r="FI195" s="76"/>
      <c r="FJ195" s="76"/>
      <c r="FK195" s="76"/>
      <c r="FL195" s="76"/>
      <c r="FM195" s="76"/>
      <c r="FN195" s="76"/>
      <c r="FO195" s="76"/>
      <c r="FP195" s="76"/>
      <c r="FQ195" s="76"/>
      <c r="FR195" s="76"/>
      <c r="FS195" s="76"/>
      <c r="FT195" s="76"/>
      <c r="FU195" s="76"/>
      <c r="FV195" s="76"/>
      <c r="FW195" s="76"/>
      <c r="FX195" s="76"/>
      <c r="FY195" s="76"/>
      <c r="FZ195" s="76"/>
      <c r="GA195" s="76"/>
      <c r="GB195" s="76"/>
      <c r="GC195" s="76"/>
      <c r="GD195" s="76"/>
      <c r="GE195" s="76"/>
      <c r="GF195" s="76"/>
      <c r="GG195" s="76"/>
      <c r="GH195" s="76"/>
      <c r="GI195" s="76"/>
      <c r="GJ195" s="76"/>
      <c r="GK195" s="76"/>
      <c r="GL195" s="76"/>
      <c r="GM195" s="76"/>
      <c r="GN195" s="76"/>
      <c r="GO195" s="76"/>
      <c r="GP195" s="76"/>
      <c r="GQ195" s="76"/>
      <c r="GR195" s="76"/>
      <c r="GS195" s="76"/>
      <c r="GT195" s="76"/>
      <c r="GU195" s="76"/>
      <c r="GV195" s="76"/>
      <c r="GW195" s="76"/>
      <c r="GX195" s="76"/>
      <c r="GY195" s="76"/>
      <c r="GZ195" s="76"/>
      <c r="HA195" s="76">
        <v>32040</v>
      </c>
      <c r="HB195" s="76">
        <v>40888</v>
      </c>
      <c r="HC195" s="76"/>
      <c r="HD195" s="76"/>
      <c r="HE195" s="76"/>
      <c r="HF195" s="76"/>
      <c r="HG195" s="76"/>
      <c r="HH195" s="76"/>
      <c r="HI195" s="76"/>
      <c r="HJ195" s="76"/>
      <c r="HK195" s="76"/>
      <c r="HL195" s="76"/>
      <c r="HM195" s="76"/>
      <c r="HN195" s="76"/>
      <c r="HO195" s="76"/>
      <c r="HP195" s="76"/>
      <c r="HQ195" s="76"/>
      <c r="HR195" s="76"/>
      <c r="HS195" s="76"/>
      <c r="HT195" s="76"/>
      <c r="HU195" s="76"/>
      <c r="HV195" s="76">
        <v>79432</v>
      </c>
    </row>
    <row r="196" spans="1:230" x14ac:dyDescent="0.2">
      <c r="A196" s="74" t="s">
        <v>288</v>
      </c>
      <c r="B196" s="76"/>
      <c r="C196" s="76"/>
      <c r="D196" s="76">
        <v>6</v>
      </c>
      <c r="E196" s="76"/>
      <c r="F196" s="76">
        <v>100</v>
      </c>
      <c r="G196" s="76"/>
      <c r="H196" s="76">
        <v>2</v>
      </c>
      <c r="I196" s="76"/>
      <c r="J196" s="76"/>
      <c r="K196" s="76">
        <v>2</v>
      </c>
      <c r="L196" s="76"/>
      <c r="M196" s="76"/>
      <c r="N196" s="76">
        <v>14</v>
      </c>
      <c r="O196" s="76"/>
      <c r="P196" s="76"/>
      <c r="Q196" s="76"/>
      <c r="R196" s="76"/>
      <c r="S196" s="76">
        <v>15</v>
      </c>
      <c r="T196" s="76"/>
      <c r="U196" s="77"/>
      <c r="V196" s="76"/>
      <c r="W196" s="76"/>
      <c r="X196" s="76"/>
      <c r="Y196" s="76"/>
      <c r="Z196" s="76"/>
      <c r="AA196" s="76">
        <v>2</v>
      </c>
      <c r="AB196" s="76">
        <v>22</v>
      </c>
      <c r="AC196" s="76">
        <v>3</v>
      </c>
      <c r="AD196" s="76">
        <v>35</v>
      </c>
      <c r="AE196" s="76">
        <v>216</v>
      </c>
      <c r="AF196" s="76">
        <v>71</v>
      </c>
      <c r="AG196" s="76">
        <v>19</v>
      </c>
      <c r="AH196" s="76">
        <v>2</v>
      </c>
      <c r="AI196" s="76"/>
      <c r="AJ196" s="76"/>
      <c r="AK196" s="76">
        <v>4</v>
      </c>
      <c r="AL196" s="76">
        <v>4</v>
      </c>
      <c r="AM196" s="76">
        <v>801</v>
      </c>
      <c r="AN196" s="76"/>
      <c r="AO196" s="76">
        <v>168</v>
      </c>
      <c r="AP196" s="76">
        <v>67</v>
      </c>
      <c r="AQ196" s="76">
        <v>3626</v>
      </c>
      <c r="AR196" s="76">
        <v>490</v>
      </c>
      <c r="AS196" s="76">
        <v>3</v>
      </c>
      <c r="AT196" s="76">
        <v>1</v>
      </c>
      <c r="AU196" s="76">
        <v>179</v>
      </c>
      <c r="AV196" s="76">
        <v>51</v>
      </c>
      <c r="AW196" s="76">
        <v>154</v>
      </c>
      <c r="AX196" s="76">
        <v>39</v>
      </c>
      <c r="AY196" s="76">
        <v>193</v>
      </c>
      <c r="AZ196" s="76">
        <v>4016</v>
      </c>
      <c r="BA196" s="76">
        <v>1525</v>
      </c>
      <c r="BB196" s="76">
        <v>1586</v>
      </c>
      <c r="BC196" s="76">
        <v>124</v>
      </c>
      <c r="BD196" s="76">
        <v>506</v>
      </c>
      <c r="BE196" s="76">
        <v>50</v>
      </c>
      <c r="BF196" s="76">
        <v>102</v>
      </c>
      <c r="BG196" s="76">
        <v>139</v>
      </c>
      <c r="BH196" s="76">
        <v>1420</v>
      </c>
      <c r="BI196" s="76">
        <v>17</v>
      </c>
      <c r="BJ196" s="76">
        <v>766</v>
      </c>
      <c r="BK196" s="76">
        <v>90</v>
      </c>
      <c r="BL196" s="76">
        <v>657</v>
      </c>
      <c r="BM196" s="76">
        <v>311</v>
      </c>
      <c r="BN196" s="76">
        <v>924</v>
      </c>
      <c r="BO196" s="76">
        <v>21</v>
      </c>
      <c r="BP196" s="76">
        <v>201</v>
      </c>
      <c r="BQ196" s="76"/>
      <c r="BR196" s="76"/>
      <c r="BS196" s="76"/>
      <c r="BT196" s="76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6"/>
      <c r="CI196" s="76"/>
      <c r="CJ196" s="76"/>
      <c r="CK196" s="76"/>
      <c r="CL196" s="76"/>
      <c r="CM196" s="76"/>
      <c r="CN196" s="76"/>
      <c r="CO196" s="76"/>
      <c r="CP196" s="76"/>
      <c r="CQ196" s="76"/>
      <c r="CR196" s="76"/>
      <c r="CS196" s="76"/>
      <c r="CT196" s="76"/>
      <c r="CU196" s="76"/>
      <c r="CV196" s="76"/>
      <c r="CW196" s="76"/>
      <c r="CX196" s="76"/>
      <c r="CY196" s="76"/>
      <c r="CZ196" s="76"/>
      <c r="DA196" s="76"/>
      <c r="DB196" s="76"/>
      <c r="DC196" s="76"/>
      <c r="DD196" s="76"/>
      <c r="DE196" s="76"/>
      <c r="DF196" s="76"/>
      <c r="DG196" s="76"/>
      <c r="DH196" s="76"/>
      <c r="DI196" s="76"/>
      <c r="DJ196" s="76"/>
      <c r="DK196" s="76"/>
      <c r="DL196" s="76"/>
      <c r="DM196" s="76"/>
      <c r="DN196" s="76"/>
      <c r="DO196" s="76"/>
      <c r="DP196" s="76"/>
      <c r="DQ196" s="68"/>
      <c r="DR196" s="76"/>
      <c r="DS196" s="76"/>
      <c r="DT196" s="76"/>
      <c r="DU196" s="76"/>
      <c r="DV196" s="76"/>
      <c r="DW196" s="76"/>
      <c r="DX196" s="76"/>
      <c r="DY196" s="76"/>
      <c r="DZ196" s="76"/>
      <c r="EA196" s="76"/>
      <c r="EB196" s="76"/>
      <c r="EC196" s="76"/>
      <c r="ED196" s="76"/>
      <c r="EE196" s="76"/>
      <c r="EF196" s="76"/>
      <c r="EG196" s="76"/>
      <c r="EH196" s="76"/>
      <c r="EI196" s="76"/>
      <c r="EJ196" s="76"/>
      <c r="EK196" s="76"/>
      <c r="EL196" s="76"/>
      <c r="EM196" s="76"/>
      <c r="EN196" s="76"/>
      <c r="EO196" s="76"/>
      <c r="EP196" s="76"/>
      <c r="EQ196" s="76"/>
      <c r="ER196" s="76"/>
      <c r="ES196" s="76"/>
      <c r="ET196" s="76"/>
      <c r="EU196" s="76"/>
      <c r="EV196" s="76"/>
      <c r="EW196" s="76"/>
      <c r="EX196" s="76"/>
      <c r="EY196" s="76"/>
      <c r="EZ196" s="76"/>
      <c r="FA196" s="76"/>
      <c r="FB196" s="76"/>
      <c r="FC196" s="76"/>
      <c r="FD196" s="76"/>
      <c r="FE196" s="76"/>
      <c r="FF196" s="76"/>
      <c r="FG196" s="76"/>
      <c r="FH196" s="76"/>
      <c r="FI196" s="76"/>
      <c r="FJ196" s="76"/>
      <c r="FK196" s="76"/>
      <c r="FL196" s="76"/>
      <c r="FM196" s="76"/>
      <c r="FN196" s="76"/>
      <c r="FO196" s="76"/>
      <c r="FP196" s="76"/>
      <c r="FQ196" s="76"/>
      <c r="FR196" s="76"/>
      <c r="FS196" s="76"/>
      <c r="FT196" s="76"/>
      <c r="FU196" s="76"/>
      <c r="FV196" s="76"/>
      <c r="FW196" s="76"/>
      <c r="FX196" s="76"/>
      <c r="FY196" s="76"/>
      <c r="FZ196" s="76"/>
      <c r="GA196" s="76"/>
      <c r="GB196" s="76"/>
      <c r="GC196" s="76"/>
      <c r="GD196" s="76"/>
      <c r="GE196" s="76"/>
      <c r="GF196" s="76"/>
      <c r="GG196" s="76"/>
      <c r="GH196" s="76"/>
      <c r="GI196" s="76"/>
      <c r="GJ196" s="76"/>
      <c r="GK196" s="76"/>
      <c r="GL196" s="76"/>
      <c r="GM196" s="76"/>
      <c r="GN196" s="76"/>
      <c r="GO196" s="76"/>
      <c r="GP196" s="76"/>
      <c r="GQ196" s="76"/>
      <c r="GR196" s="76"/>
      <c r="GS196" s="76"/>
      <c r="GT196" s="76"/>
      <c r="GU196" s="76"/>
      <c r="GV196" s="76"/>
      <c r="GW196" s="76"/>
      <c r="GX196" s="76"/>
      <c r="GY196" s="76"/>
      <c r="GZ196" s="76"/>
      <c r="HA196" s="76">
        <v>10730</v>
      </c>
      <c r="HB196" s="76"/>
      <c r="HC196" s="76"/>
      <c r="HD196" s="76"/>
      <c r="HE196" s="76"/>
      <c r="HF196" s="76"/>
      <c r="HG196" s="76"/>
      <c r="HH196" s="76"/>
      <c r="HI196" s="76"/>
      <c r="HJ196" s="76"/>
      <c r="HK196" s="76"/>
      <c r="HL196" s="76"/>
      <c r="HM196" s="76"/>
      <c r="HN196" s="76"/>
      <c r="HO196" s="76"/>
      <c r="HP196" s="76"/>
      <c r="HQ196" s="76"/>
      <c r="HR196" s="76"/>
      <c r="HS196" s="76"/>
      <c r="HT196" s="76"/>
      <c r="HU196" s="76"/>
      <c r="HV196" s="76">
        <v>29474</v>
      </c>
    </row>
    <row r="197" spans="1:230" x14ac:dyDescent="0.2">
      <c r="A197" s="74" t="s">
        <v>289</v>
      </c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7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>
        <v>100</v>
      </c>
      <c r="AW197" s="76">
        <v>20</v>
      </c>
      <c r="AX197" s="76"/>
      <c r="AY197" s="76"/>
      <c r="AZ197" s="76"/>
      <c r="BA197" s="76"/>
      <c r="BB197" s="76">
        <v>617</v>
      </c>
      <c r="BC197" s="76">
        <v>2</v>
      </c>
      <c r="BD197" s="76"/>
      <c r="BE197" s="76"/>
      <c r="BF197" s="76">
        <v>341</v>
      </c>
      <c r="BG197" s="76"/>
      <c r="BH197" s="76">
        <v>19</v>
      </c>
      <c r="BI197" s="76"/>
      <c r="BJ197" s="76">
        <v>2</v>
      </c>
      <c r="BK197" s="76">
        <v>36</v>
      </c>
      <c r="BL197" s="76"/>
      <c r="BM197" s="76">
        <v>1056</v>
      </c>
      <c r="BN197" s="76">
        <v>1941</v>
      </c>
      <c r="BO197" s="76"/>
      <c r="BP197" s="76">
        <v>342</v>
      </c>
      <c r="BQ197" s="76"/>
      <c r="BR197" s="76"/>
      <c r="BS197" s="76"/>
      <c r="BT197" s="76"/>
      <c r="BU197" s="76"/>
      <c r="BV197" s="76"/>
      <c r="BW197" s="76"/>
      <c r="BX197" s="76"/>
      <c r="BY197" s="76"/>
      <c r="BZ197" s="76"/>
      <c r="CA197" s="76"/>
      <c r="CB197" s="76"/>
      <c r="CC197" s="76"/>
      <c r="CD197" s="76"/>
      <c r="CE197" s="76"/>
      <c r="CF197" s="76"/>
      <c r="CG197" s="76"/>
      <c r="CH197" s="76"/>
      <c r="CI197" s="76"/>
      <c r="CJ197" s="76"/>
      <c r="CK197" s="76"/>
      <c r="CL197" s="76"/>
      <c r="CM197" s="76"/>
      <c r="CN197" s="76"/>
      <c r="CO197" s="76"/>
      <c r="CP197" s="76"/>
      <c r="CQ197" s="76"/>
      <c r="CR197" s="76"/>
      <c r="CS197" s="76"/>
      <c r="CT197" s="76"/>
      <c r="CU197" s="76"/>
      <c r="CV197" s="76"/>
      <c r="CW197" s="76"/>
      <c r="CX197" s="76"/>
      <c r="CY197" s="76"/>
      <c r="CZ197" s="76"/>
      <c r="DA197" s="76"/>
      <c r="DB197" s="76"/>
      <c r="DC197" s="76"/>
      <c r="DD197" s="76"/>
      <c r="DE197" s="76"/>
      <c r="DF197" s="76"/>
      <c r="DG197" s="76"/>
      <c r="DH197" s="76"/>
      <c r="DI197" s="76"/>
      <c r="DJ197" s="76"/>
      <c r="DK197" s="76"/>
      <c r="DL197" s="76"/>
      <c r="DM197" s="76"/>
      <c r="DN197" s="76"/>
      <c r="DO197" s="76"/>
      <c r="DP197" s="76"/>
      <c r="DQ197" s="68"/>
      <c r="DR197" s="76"/>
      <c r="DS197" s="76"/>
      <c r="DT197" s="76"/>
      <c r="DU197" s="76"/>
      <c r="DV197" s="76"/>
      <c r="DW197" s="76"/>
      <c r="DX197" s="76"/>
      <c r="DY197" s="76"/>
      <c r="DZ197" s="76"/>
      <c r="EA197" s="76"/>
      <c r="EB197" s="76"/>
      <c r="EC197" s="76"/>
      <c r="ED197" s="76"/>
      <c r="EE197" s="76"/>
      <c r="EF197" s="76"/>
      <c r="EG197" s="76"/>
      <c r="EH197" s="76"/>
      <c r="EI197" s="76"/>
      <c r="EJ197" s="76"/>
      <c r="EK197" s="76"/>
      <c r="EL197" s="76"/>
      <c r="EM197" s="76"/>
      <c r="EN197" s="76"/>
      <c r="EO197" s="76"/>
      <c r="EP197" s="76"/>
      <c r="EQ197" s="76"/>
      <c r="ER197" s="76"/>
      <c r="ES197" s="76"/>
      <c r="ET197" s="76"/>
      <c r="EU197" s="76"/>
      <c r="EV197" s="76"/>
      <c r="EW197" s="76"/>
      <c r="EX197" s="76"/>
      <c r="EY197" s="76"/>
      <c r="EZ197" s="76"/>
      <c r="FA197" s="76"/>
      <c r="FB197" s="76"/>
      <c r="FC197" s="76"/>
      <c r="FD197" s="76"/>
      <c r="FE197" s="76"/>
      <c r="FF197" s="76"/>
      <c r="FG197" s="76"/>
      <c r="FH197" s="76"/>
      <c r="FI197" s="76"/>
      <c r="FJ197" s="76"/>
      <c r="FK197" s="76"/>
      <c r="FL197" s="76"/>
      <c r="FM197" s="76"/>
      <c r="FN197" s="76"/>
      <c r="FO197" s="76"/>
      <c r="FP197" s="76"/>
      <c r="FQ197" s="76"/>
      <c r="FR197" s="76"/>
      <c r="FS197" s="76"/>
      <c r="FT197" s="76"/>
      <c r="FU197" s="76"/>
      <c r="FV197" s="76"/>
      <c r="FW197" s="76"/>
      <c r="FX197" s="76"/>
      <c r="FY197" s="76"/>
      <c r="FZ197" s="76"/>
      <c r="GA197" s="76"/>
      <c r="GB197" s="76"/>
      <c r="GC197" s="76"/>
      <c r="GD197" s="76"/>
      <c r="GE197" s="76"/>
      <c r="GF197" s="76"/>
      <c r="GG197" s="76"/>
      <c r="GH197" s="76"/>
      <c r="GI197" s="76"/>
      <c r="GJ197" s="76"/>
      <c r="GK197" s="76"/>
      <c r="GL197" s="76"/>
      <c r="GM197" s="76"/>
      <c r="GN197" s="76"/>
      <c r="GO197" s="76"/>
      <c r="GP197" s="76"/>
      <c r="GQ197" s="76"/>
      <c r="GR197" s="76"/>
      <c r="GS197" s="76"/>
      <c r="GT197" s="76"/>
      <c r="GU197" s="76"/>
      <c r="GV197" s="76"/>
      <c r="GW197" s="76"/>
      <c r="GX197" s="76"/>
      <c r="GY197" s="76"/>
      <c r="GZ197" s="76"/>
      <c r="HA197" s="76">
        <v>46669</v>
      </c>
      <c r="HB197" s="76"/>
      <c r="HC197" s="76"/>
      <c r="HD197" s="76"/>
      <c r="HE197" s="76"/>
      <c r="HF197" s="76"/>
      <c r="HG197" s="76"/>
      <c r="HH197" s="76"/>
      <c r="HI197" s="76"/>
      <c r="HJ197" s="76"/>
      <c r="HK197" s="76"/>
      <c r="HL197" s="76"/>
      <c r="HM197" s="76"/>
      <c r="HN197" s="76"/>
      <c r="HO197" s="76"/>
      <c r="HP197" s="76"/>
      <c r="HQ197" s="76"/>
      <c r="HR197" s="76"/>
      <c r="HS197" s="76"/>
      <c r="HT197" s="76"/>
      <c r="HU197" s="76"/>
      <c r="HV197" s="76">
        <v>51145</v>
      </c>
    </row>
    <row r="198" spans="1:230" x14ac:dyDescent="0.2">
      <c r="A198" s="74" t="s">
        <v>290</v>
      </c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7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6"/>
      <c r="CT198" s="76"/>
      <c r="CU198" s="76"/>
      <c r="CV198" s="76"/>
      <c r="CW198" s="76"/>
      <c r="CX198" s="76"/>
      <c r="CY198" s="76"/>
      <c r="CZ198" s="76"/>
      <c r="DA198" s="76"/>
      <c r="DB198" s="76"/>
      <c r="DC198" s="76"/>
      <c r="DD198" s="76"/>
      <c r="DE198" s="76"/>
      <c r="DF198" s="76"/>
      <c r="DG198" s="76"/>
      <c r="DH198" s="76"/>
      <c r="DI198" s="76"/>
      <c r="DJ198" s="76"/>
      <c r="DK198" s="76"/>
      <c r="DL198" s="76"/>
      <c r="DM198" s="76"/>
      <c r="DN198" s="76"/>
      <c r="DO198" s="76"/>
      <c r="DP198" s="76"/>
      <c r="DQ198" s="68"/>
      <c r="DR198" s="76"/>
      <c r="DS198" s="76"/>
      <c r="DT198" s="76"/>
      <c r="DU198" s="76"/>
      <c r="DV198" s="76"/>
      <c r="DW198" s="76"/>
      <c r="DX198" s="76"/>
      <c r="DY198" s="76"/>
      <c r="DZ198" s="76"/>
      <c r="EA198" s="76"/>
      <c r="EB198" s="76"/>
      <c r="EC198" s="76"/>
      <c r="ED198" s="76"/>
      <c r="EE198" s="76"/>
      <c r="EF198" s="76"/>
      <c r="EG198" s="76"/>
      <c r="EH198" s="76"/>
      <c r="EI198" s="76"/>
      <c r="EJ198" s="76"/>
      <c r="EK198" s="76"/>
      <c r="EL198" s="76"/>
      <c r="EM198" s="76"/>
      <c r="EN198" s="76"/>
      <c r="EO198" s="76"/>
      <c r="EP198" s="76"/>
      <c r="EQ198" s="76"/>
      <c r="ER198" s="76"/>
      <c r="ES198" s="76"/>
      <c r="ET198" s="76"/>
      <c r="EU198" s="76"/>
      <c r="EV198" s="76"/>
      <c r="EW198" s="76"/>
      <c r="EX198" s="76"/>
      <c r="EY198" s="76"/>
      <c r="EZ198" s="76"/>
      <c r="FA198" s="76"/>
      <c r="FB198" s="76"/>
      <c r="FC198" s="76"/>
      <c r="FD198" s="76"/>
      <c r="FE198" s="76"/>
      <c r="FF198" s="76"/>
      <c r="FG198" s="76"/>
      <c r="FH198" s="76"/>
      <c r="FI198" s="76"/>
      <c r="FJ198" s="76"/>
      <c r="FK198" s="76"/>
      <c r="FL198" s="76"/>
      <c r="FM198" s="76"/>
      <c r="FN198" s="76"/>
      <c r="FO198" s="76"/>
      <c r="FP198" s="76"/>
      <c r="FQ198" s="76"/>
      <c r="FR198" s="76"/>
      <c r="FS198" s="76"/>
      <c r="FT198" s="76"/>
      <c r="FU198" s="76"/>
      <c r="FV198" s="76"/>
      <c r="FW198" s="76"/>
      <c r="FX198" s="76"/>
      <c r="FY198" s="76"/>
      <c r="FZ198" s="76"/>
      <c r="GA198" s="76"/>
      <c r="GB198" s="76"/>
      <c r="GC198" s="76"/>
      <c r="GD198" s="76"/>
      <c r="GE198" s="76"/>
      <c r="GF198" s="76"/>
      <c r="GG198" s="76"/>
      <c r="GH198" s="76"/>
      <c r="GI198" s="76"/>
      <c r="GJ198" s="76"/>
      <c r="GK198" s="76"/>
      <c r="GL198" s="76"/>
      <c r="GM198" s="76"/>
      <c r="GN198" s="76"/>
      <c r="GO198" s="76"/>
      <c r="GP198" s="76"/>
      <c r="GQ198" s="76"/>
      <c r="GR198" s="76"/>
      <c r="GS198" s="76"/>
      <c r="GT198" s="76"/>
      <c r="GU198" s="76"/>
      <c r="GV198" s="76"/>
      <c r="GW198" s="76"/>
      <c r="GX198" s="76"/>
      <c r="GY198" s="76"/>
      <c r="GZ198" s="76"/>
      <c r="HA198" s="76">
        <v>71458</v>
      </c>
      <c r="HB198" s="76"/>
      <c r="HC198" s="76"/>
      <c r="HD198" s="76"/>
      <c r="HE198" s="76"/>
      <c r="HF198" s="76"/>
      <c r="HG198" s="76"/>
      <c r="HH198" s="76"/>
      <c r="HI198" s="76"/>
      <c r="HJ198" s="76"/>
      <c r="HK198" s="76"/>
      <c r="HL198" s="76"/>
      <c r="HM198" s="76"/>
      <c r="HN198" s="76"/>
      <c r="HO198" s="76"/>
      <c r="HP198" s="76"/>
      <c r="HQ198" s="76"/>
      <c r="HR198" s="76"/>
      <c r="HS198" s="76"/>
      <c r="HT198" s="76"/>
      <c r="HU198" s="76"/>
      <c r="HV198" s="76">
        <v>71458</v>
      </c>
    </row>
    <row r="199" spans="1:230" x14ac:dyDescent="0.2">
      <c r="A199" s="74" t="s">
        <v>291</v>
      </c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7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>
        <v>2266.2981425283829</v>
      </c>
      <c r="BS199" s="76">
        <v>4387.3253137325473</v>
      </c>
      <c r="BT199" s="76">
        <v>753.8572417563787</v>
      </c>
      <c r="BU199" s="76">
        <v>2776</v>
      </c>
      <c r="BV199" s="76">
        <v>2567.5969461911959</v>
      </c>
      <c r="BW199" s="76">
        <v>21842.635063621205</v>
      </c>
      <c r="BX199" s="76">
        <v>5050.4858380335127</v>
      </c>
      <c r="BY199" s="76">
        <v>478.87639363610816</v>
      </c>
      <c r="BZ199" s="76">
        <v>11430.053245688769</v>
      </c>
      <c r="CA199" s="76">
        <v>5872.7617956565336</v>
      </c>
      <c r="CB199" s="76">
        <v>5971</v>
      </c>
      <c r="CC199" s="76">
        <v>641.72502242992709</v>
      </c>
      <c r="CD199" s="76">
        <v>3587.4741414810705</v>
      </c>
      <c r="CE199" s="76">
        <v>3744.9278523595981</v>
      </c>
      <c r="CF199" s="76">
        <v>3191.4545784799629</v>
      </c>
      <c r="CG199" s="76">
        <v>79.089005235602102</v>
      </c>
      <c r="CH199" s="76">
        <v>5015.8512272355047</v>
      </c>
      <c r="CI199" s="76">
        <v>465.98291246547257</v>
      </c>
      <c r="CJ199" s="76">
        <v>2299.870358933817</v>
      </c>
      <c r="CK199" s="76">
        <v>1314.5156783595655</v>
      </c>
      <c r="CL199" s="76">
        <v>36961.378629664148</v>
      </c>
      <c r="CM199" s="76">
        <v>1798.9929982772387</v>
      </c>
      <c r="CN199" s="76">
        <v>7710.2118090253452</v>
      </c>
      <c r="CO199" s="76">
        <v>1215.5899367677773</v>
      </c>
      <c r="CP199" s="76">
        <v>6718.3263485061152</v>
      </c>
      <c r="CQ199" s="76">
        <v>16174.061752107138</v>
      </c>
      <c r="CR199" s="76">
        <v>4229.1551359954974</v>
      </c>
      <c r="CS199" s="76">
        <v>7790.8373208522708</v>
      </c>
      <c r="CT199" s="76">
        <v>5603.976440092114</v>
      </c>
      <c r="CU199" s="76">
        <v>6204.5756164242239</v>
      </c>
      <c r="CV199" s="76">
        <v>8756.9083511483859</v>
      </c>
      <c r="CW199" s="76">
        <v>14779.092383479554</v>
      </c>
      <c r="CX199" s="76">
        <v>9365.176968015654</v>
      </c>
      <c r="CY199" s="76">
        <v>56482.714060349434</v>
      </c>
      <c r="CZ199" s="76">
        <v>25458.789261074631</v>
      </c>
      <c r="DA199" s="76">
        <v>1423.9348900618629</v>
      </c>
      <c r="DB199" s="76">
        <v>1861.1904044478667</v>
      </c>
      <c r="DC199" s="76">
        <v>4276.2145918243932</v>
      </c>
      <c r="DD199" s="76">
        <v>14372.022599019374</v>
      </c>
      <c r="DE199" s="76">
        <v>47785.984639956114</v>
      </c>
      <c r="DF199" s="76">
        <v>16872.745610825303</v>
      </c>
      <c r="DG199" s="76">
        <v>6152.0616835910487</v>
      </c>
      <c r="DH199" s="76">
        <v>491.85332675957324</v>
      </c>
      <c r="DI199" s="76">
        <v>17208.401365566042</v>
      </c>
      <c r="DJ199" s="76">
        <v>13020.819192317893</v>
      </c>
      <c r="DK199" s="76">
        <v>657.78322738164229</v>
      </c>
      <c r="DL199" s="76">
        <v>35280</v>
      </c>
      <c r="DM199" s="76">
        <v>133.25846008725387</v>
      </c>
      <c r="DN199" s="76">
        <v>907.97446460092624</v>
      </c>
      <c r="DO199" s="76">
        <v>18835</v>
      </c>
      <c r="DP199" s="76">
        <v>18128.452107071971</v>
      </c>
      <c r="DQ199" s="68">
        <v>10475.463357372604</v>
      </c>
      <c r="DR199" s="76">
        <v>4325.0916895131904</v>
      </c>
      <c r="DS199" s="76">
        <v>7465.9820526155418</v>
      </c>
      <c r="DT199" s="76">
        <v>3797.3193772049908</v>
      </c>
      <c r="DU199" s="76">
        <v>3983.478135339567</v>
      </c>
      <c r="DV199" s="76">
        <v>3817.9243724092289</v>
      </c>
      <c r="DW199" s="76">
        <v>2506.8753075432905</v>
      </c>
      <c r="DX199" s="76">
        <v>4463.172477885706</v>
      </c>
      <c r="DY199" s="76">
        <v>28115.441826380677</v>
      </c>
      <c r="DZ199" s="76">
        <v>28759.748705900831</v>
      </c>
      <c r="EA199" s="76">
        <v>4253.5679594132653</v>
      </c>
      <c r="EB199" s="76">
        <v>12160.780473054128</v>
      </c>
      <c r="EC199" s="76">
        <v>3508.0748400562384</v>
      </c>
      <c r="ED199" s="76">
        <v>5053.4952977379344</v>
      </c>
      <c r="EE199" s="76">
        <v>14104.68642171025</v>
      </c>
      <c r="EF199" s="76">
        <v>118.94154235370067</v>
      </c>
      <c r="EG199" s="76">
        <v>7832.1305858568185</v>
      </c>
      <c r="EH199" s="76">
        <v>4460.3886012107059</v>
      </c>
      <c r="EI199" s="76">
        <v>1665.521892267034</v>
      </c>
      <c r="EJ199" s="76">
        <v>21030.330417357047</v>
      </c>
      <c r="EK199" s="76">
        <v>579.15667170590268</v>
      </c>
      <c r="EL199" s="76">
        <v>10084.656588771399</v>
      </c>
      <c r="EM199" s="76">
        <v>17375.534497878365</v>
      </c>
      <c r="EN199" s="76">
        <v>3107.6209164410598</v>
      </c>
      <c r="EO199" s="76">
        <v>8967.6282546407929</v>
      </c>
      <c r="EP199" s="76">
        <v>14588.309899969894</v>
      </c>
      <c r="EQ199" s="76">
        <v>6017.8583721693549</v>
      </c>
      <c r="ER199" s="76">
        <v>1280.7760396800811</v>
      </c>
      <c r="ES199" s="76">
        <v>15170.461735692228</v>
      </c>
      <c r="ET199" s="76">
        <v>28271.96446643243</v>
      </c>
      <c r="EU199" s="76">
        <v>4880.6060107845096</v>
      </c>
      <c r="EV199" s="76">
        <v>16498.743867096651</v>
      </c>
      <c r="EW199" s="76">
        <v>2416.4525997439555</v>
      </c>
      <c r="EX199" s="76">
        <v>30315.663387233519</v>
      </c>
      <c r="EY199" s="76">
        <v>31415.185982661191</v>
      </c>
      <c r="EZ199" s="76"/>
      <c r="FA199" s="76">
        <v>1698.0496850152201</v>
      </c>
      <c r="FB199" s="76">
        <v>2969.9282357347383</v>
      </c>
      <c r="FC199" s="76"/>
      <c r="FD199" s="76"/>
      <c r="FE199" s="76"/>
      <c r="FF199" s="76"/>
      <c r="FG199" s="76"/>
      <c r="FH199" s="76"/>
      <c r="FI199" s="76"/>
      <c r="FJ199" s="76"/>
      <c r="FK199" s="76"/>
      <c r="FL199" s="76"/>
      <c r="FM199" s="76"/>
      <c r="FN199" s="76"/>
      <c r="FO199" s="76"/>
      <c r="FP199" s="76">
        <v>8686.970786629412</v>
      </c>
      <c r="FQ199" s="76"/>
      <c r="FR199" s="76"/>
      <c r="FS199" s="76">
        <v>240.72226039504233</v>
      </c>
      <c r="FT199" s="76"/>
      <c r="FU199" s="76"/>
      <c r="FV199" s="76"/>
      <c r="FW199" s="76"/>
      <c r="FX199" s="76"/>
      <c r="FY199" s="76"/>
      <c r="FZ199" s="76"/>
      <c r="GA199" s="76"/>
      <c r="GB199" s="76"/>
      <c r="GC199" s="76"/>
      <c r="GD199" s="76"/>
      <c r="GE199" s="76"/>
      <c r="GF199" s="76"/>
      <c r="GG199" s="76"/>
      <c r="GH199" s="76"/>
      <c r="GI199" s="76"/>
      <c r="GJ199" s="76"/>
      <c r="GK199" s="76"/>
      <c r="GL199" s="76"/>
      <c r="GM199" s="76"/>
      <c r="GN199" s="76"/>
      <c r="GO199" s="76"/>
      <c r="GP199" s="76"/>
      <c r="GQ199" s="76"/>
      <c r="GR199" s="76"/>
      <c r="GS199" s="76"/>
      <c r="GT199" s="76"/>
      <c r="GU199" s="76"/>
      <c r="GV199" s="76"/>
      <c r="GW199" s="76"/>
      <c r="GX199" s="76"/>
      <c r="GY199" s="76"/>
      <c r="GZ199" s="76"/>
      <c r="HA199" s="76"/>
      <c r="HB199" s="76"/>
      <c r="HC199" s="76"/>
      <c r="HD199" s="76"/>
      <c r="HE199" s="76"/>
      <c r="HF199" s="76"/>
      <c r="HG199" s="76"/>
      <c r="HH199" s="76"/>
      <c r="HI199" s="76"/>
      <c r="HJ199" s="76"/>
      <c r="HK199" s="76"/>
      <c r="HL199" s="76"/>
      <c r="HM199" s="76"/>
      <c r="HN199" s="76"/>
      <c r="HO199" s="76"/>
      <c r="HP199" s="76"/>
      <c r="HQ199" s="76"/>
      <c r="HR199" s="76"/>
      <c r="HS199" s="76"/>
      <c r="HT199" s="76"/>
      <c r="HU199" s="76"/>
      <c r="HV199" s="76">
        <v>866859.96992497449</v>
      </c>
    </row>
    <row r="200" spans="1:230" x14ac:dyDescent="0.2">
      <c r="A200" s="74" t="s">
        <v>292</v>
      </c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7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>
        <v>954.47808446548231</v>
      </c>
      <c r="BS200" s="76">
        <v>177.37642695904546</v>
      </c>
      <c r="BT200" s="76">
        <v>25.012575452716298</v>
      </c>
      <c r="BU200" s="76"/>
      <c r="BV200" s="76">
        <v>21.841309823677463</v>
      </c>
      <c r="BW200" s="76">
        <v>836.62671830851752</v>
      </c>
      <c r="BX200" s="76">
        <v>28.619755533531542</v>
      </c>
      <c r="BY200" s="76">
        <v>0.2576051102151945</v>
      </c>
      <c r="BZ200" s="76">
        <v>1023.1799817633444</v>
      </c>
      <c r="CA200" s="76">
        <v>8.3266257736823093</v>
      </c>
      <c r="CB200" s="76"/>
      <c r="CC200" s="76">
        <v>0.465075428807605</v>
      </c>
      <c r="CD200" s="76">
        <v>10.577276032828898</v>
      </c>
      <c r="CE200" s="76">
        <v>250.71828731492593</v>
      </c>
      <c r="CF200" s="76">
        <v>399.21028008234049</v>
      </c>
      <c r="CG200" s="76">
        <v>921.91099476439797</v>
      </c>
      <c r="CH200" s="76">
        <v>474.27402904084812</v>
      </c>
      <c r="CI200" s="76">
        <v>86.808863903778274</v>
      </c>
      <c r="CJ200" s="76"/>
      <c r="CK200" s="76">
        <v>709.60654243467707</v>
      </c>
      <c r="CL200" s="76">
        <v>576.70605646458318</v>
      </c>
      <c r="CM200" s="76">
        <v>0.1537094624611284</v>
      </c>
      <c r="CN200" s="76">
        <v>6.0014875743787188</v>
      </c>
      <c r="CO200" s="76">
        <v>852.36773574561403</v>
      </c>
      <c r="CP200" s="76">
        <v>0.67365149388409862</v>
      </c>
      <c r="CQ200" s="76">
        <v>598.97179319846282</v>
      </c>
      <c r="CR200" s="76">
        <v>6.4024940355660718</v>
      </c>
      <c r="CS200" s="76">
        <v>1108.1854053532984</v>
      </c>
      <c r="CT200" s="76">
        <v>400.01456564239555</v>
      </c>
      <c r="CU200" s="76">
        <v>134.11142061281339</v>
      </c>
      <c r="CV200" s="76">
        <v>567.46502252786343</v>
      </c>
      <c r="CW200" s="76">
        <v>307.70903837206458</v>
      </c>
      <c r="CX200" s="76">
        <v>242.02552490736937</v>
      </c>
      <c r="CY200" s="76">
        <v>1498.8054167935411</v>
      </c>
      <c r="CZ200" s="76">
        <v>2743.6969212503082</v>
      </c>
      <c r="DA200" s="76">
        <v>1201.8816233510101</v>
      </c>
      <c r="DB200" s="76">
        <v>345.08855000421272</v>
      </c>
      <c r="DC200" s="76">
        <v>889.92559208200794</v>
      </c>
      <c r="DD200" s="76">
        <v>2747.6137806637807</v>
      </c>
      <c r="DE200" s="76">
        <v>6614.9952113832251</v>
      </c>
      <c r="DF200" s="76">
        <v>1393.9450656400716</v>
      </c>
      <c r="DG200" s="76">
        <v>102.12999755578058</v>
      </c>
      <c r="DH200" s="76">
        <v>37.357750163505692</v>
      </c>
      <c r="DI200" s="76">
        <v>920.20845939823369</v>
      </c>
      <c r="DJ200" s="76">
        <v>225.65640750670241</v>
      </c>
      <c r="DK200" s="76">
        <v>291.46740128558309</v>
      </c>
      <c r="DL200" s="76"/>
      <c r="DM200" s="76">
        <v>276.74153991274613</v>
      </c>
      <c r="DN200" s="76">
        <v>8.0639245819074059</v>
      </c>
      <c r="DO200" s="76"/>
      <c r="DP200" s="76">
        <v>4408.018839357811</v>
      </c>
      <c r="DQ200" s="68">
        <v>546.30747147698185</v>
      </c>
      <c r="DR200" s="76">
        <v>4356.4746661229483</v>
      </c>
      <c r="DS200" s="76">
        <v>820.0557683101963</v>
      </c>
      <c r="DT200" s="76">
        <v>2586.8180086475372</v>
      </c>
      <c r="DU200" s="76">
        <v>2249.7463220129243</v>
      </c>
      <c r="DV200" s="76">
        <v>1531.8279530781122</v>
      </c>
      <c r="DW200" s="76">
        <v>809.51064543168479</v>
      </c>
      <c r="DX200" s="76">
        <v>385.38152587945325</v>
      </c>
      <c r="DY200" s="76">
        <v>7814.5906762108934</v>
      </c>
      <c r="DZ200" s="76">
        <v>11798.371515521649</v>
      </c>
      <c r="EA200" s="76">
        <v>1226.0720415602307</v>
      </c>
      <c r="EB200" s="76">
        <v>1395.2916732252479</v>
      </c>
      <c r="EC200" s="76">
        <v>62.426215352732932</v>
      </c>
      <c r="ED200" s="76">
        <v>57.106517279469784</v>
      </c>
      <c r="EE200" s="76">
        <v>1635.2395788612898</v>
      </c>
      <c r="EF200" s="76">
        <v>16.011752506049007</v>
      </c>
      <c r="EG200" s="76">
        <v>895.18643228762232</v>
      </c>
      <c r="EH200" s="76">
        <v>1789.8180616594518</v>
      </c>
      <c r="EI200" s="76">
        <v>85.870357634112793</v>
      </c>
      <c r="EJ200" s="76">
        <v>2687.3025928108432</v>
      </c>
      <c r="EK200" s="76">
        <v>2148.5253557900933</v>
      </c>
      <c r="EL200" s="76">
        <v>5016.8411062906716</v>
      </c>
      <c r="EM200" s="76">
        <v>9112.7178818640259</v>
      </c>
      <c r="EN200" s="76">
        <v>4150.6004823546773</v>
      </c>
      <c r="EO200" s="76">
        <v>3779.7654395720419</v>
      </c>
      <c r="EP200" s="76">
        <v>2173.4039100944274</v>
      </c>
      <c r="EQ200" s="76">
        <v>361.8258455325593</v>
      </c>
      <c r="ER200" s="76">
        <v>359.24093597325782</v>
      </c>
      <c r="ES200" s="76">
        <v>9068.4859552337166</v>
      </c>
      <c r="ET200" s="76">
        <v>4801.2793205026055</v>
      </c>
      <c r="EU200" s="76">
        <v>505.92008447839811</v>
      </c>
      <c r="EV200" s="76">
        <v>5934.0722315087505</v>
      </c>
      <c r="EW200" s="76">
        <v>2479.7981778023191</v>
      </c>
      <c r="EX200" s="76">
        <v>1439.3857424765665</v>
      </c>
      <c r="EY200" s="76">
        <v>10664.234894010435</v>
      </c>
      <c r="EZ200" s="76"/>
      <c r="FA200" s="76">
        <v>30.72763936617029</v>
      </c>
      <c r="FB200" s="76"/>
      <c r="FC200" s="76"/>
      <c r="FD200" s="76"/>
      <c r="FE200" s="76"/>
      <c r="FF200" s="76"/>
      <c r="FG200" s="76"/>
      <c r="FH200" s="76"/>
      <c r="FI200" s="76"/>
      <c r="FJ200" s="76"/>
      <c r="FK200" s="76"/>
      <c r="FL200" s="76"/>
      <c r="FM200" s="76"/>
      <c r="FN200" s="76"/>
      <c r="FO200" s="76"/>
      <c r="FP200" s="76">
        <v>1179.5214529870923</v>
      </c>
      <c r="FQ200" s="76"/>
      <c r="FR200" s="76"/>
      <c r="FS200" s="76">
        <v>20.841929104844258</v>
      </c>
      <c r="FT200" s="76"/>
      <c r="FU200" s="76"/>
      <c r="FV200" s="76"/>
      <c r="FW200" s="76"/>
      <c r="FX200" s="76"/>
      <c r="FY200" s="76"/>
      <c r="FZ200" s="76"/>
      <c r="GA200" s="76"/>
      <c r="GB200" s="76"/>
      <c r="GC200" s="76"/>
      <c r="GD200" s="76"/>
      <c r="GE200" s="76"/>
      <c r="GF200" s="76"/>
      <c r="GG200" s="76"/>
      <c r="GH200" s="76"/>
      <c r="GI200" s="76"/>
      <c r="GJ200" s="76"/>
      <c r="GK200" s="76"/>
      <c r="GL200" s="76"/>
      <c r="GM200" s="76"/>
      <c r="GN200" s="76"/>
      <c r="GO200" s="76"/>
      <c r="GP200" s="76"/>
      <c r="GQ200" s="76"/>
      <c r="GR200" s="76"/>
      <c r="GS200" s="76"/>
      <c r="GT200" s="76"/>
      <c r="GU200" s="76"/>
      <c r="GV200" s="76"/>
      <c r="GW200" s="76"/>
      <c r="GX200" s="76"/>
      <c r="GY200" s="76"/>
      <c r="GZ200" s="76"/>
      <c r="HA200" s="76"/>
      <c r="HB200" s="76"/>
      <c r="HC200" s="76"/>
      <c r="HD200" s="76"/>
      <c r="HE200" s="76"/>
      <c r="HF200" s="76"/>
      <c r="HG200" s="76"/>
      <c r="HH200" s="76"/>
      <c r="HI200" s="76"/>
      <c r="HJ200" s="76"/>
      <c r="HK200" s="76"/>
      <c r="HL200" s="76"/>
      <c r="HM200" s="76"/>
      <c r="HN200" s="76"/>
      <c r="HO200" s="76"/>
      <c r="HP200" s="76"/>
      <c r="HQ200" s="76"/>
      <c r="HR200" s="76"/>
      <c r="HS200" s="76"/>
      <c r="HT200" s="76"/>
      <c r="HU200" s="76"/>
      <c r="HV200" s="76">
        <v>140412.27297932611</v>
      </c>
    </row>
    <row r="201" spans="1:230" x14ac:dyDescent="0.2">
      <c r="A201" s="74" t="s">
        <v>293</v>
      </c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7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>
        <v>72.223773006134977</v>
      </c>
      <c r="BS201" s="76">
        <v>2858.2982593084071</v>
      </c>
      <c r="BT201" s="76">
        <v>496.13018279090517</v>
      </c>
      <c r="BU201" s="76"/>
      <c r="BV201" s="76">
        <v>4196.5617439850903</v>
      </c>
      <c r="BW201" s="76">
        <v>386.73821807027321</v>
      </c>
      <c r="BX201" s="76">
        <v>16.894406432954781</v>
      </c>
      <c r="BY201" s="76">
        <v>1160.8660012536768</v>
      </c>
      <c r="BZ201" s="76">
        <v>588.76677254788729</v>
      </c>
      <c r="CA201" s="76">
        <v>118.91157856978141</v>
      </c>
      <c r="CB201" s="76"/>
      <c r="CC201" s="76">
        <v>0.8099021412653814</v>
      </c>
      <c r="CD201" s="76">
        <v>81.948582486101316</v>
      </c>
      <c r="CE201" s="76">
        <v>325.35386032547507</v>
      </c>
      <c r="CF201" s="76">
        <v>104.33514143769644</v>
      </c>
      <c r="CG201" s="76"/>
      <c r="CH201" s="76">
        <v>457.8747437236471</v>
      </c>
      <c r="CI201" s="76">
        <v>292.20822363074922</v>
      </c>
      <c r="CJ201" s="76">
        <v>7127.1296410661707</v>
      </c>
      <c r="CK201" s="76">
        <v>1570.8777792057579</v>
      </c>
      <c r="CL201" s="76">
        <v>5956.9153138712682</v>
      </c>
      <c r="CM201" s="76">
        <v>622.85329226030046</v>
      </c>
      <c r="CN201" s="76">
        <v>4108.7867034002757</v>
      </c>
      <c r="CO201" s="76">
        <v>157.04232748660854</v>
      </c>
      <c r="CP201" s="76"/>
      <c r="CQ201" s="76">
        <v>84.966454694398948</v>
      </c>
      <c r="CR201" s="76">
        <v>6409.4423699689405</v>
      </c>
      <c r="CS201" s="76">
        <v>2573.9772737944313</v>
      </c>
      <c r="CT201" s="76">
        <v>2148.0089942654909</v>
      </c>
      <c r="CU201" s="76">
        <v>720.31296296296307</v>
      </c>
      <c r="CV201" s="76">
        <v>247.62662632375188</v>
      </c>
      <c r="CW201" s="76">
        <v>200.19857814838579</v>
      </c>
      <c r="CX201" s="76">
        <v>190.79750707697931</v>
      </c>
      <c r="CY201" s="76">
        <v>1283.4805228570162</v>
      </c>
      <c r="CZ201" s="76">
        <v>823.5138176750545</v>
      </c>
      <c r="DA201" s="76">
        <v>875.18348658712671</v>
      </c>
      <c r="DB201" s="76">
        <v>41.721045547920951</v>
      </c>
      <c r="DC201" s="76">
        <v>150.85981609359905</v>
      </c>
      <c r="DD201" s="76">
        <v>482.36362031684394</v>
      </c>
      <c r="DE201" s="76">
        <v>855.02014866065178</v>
      </c>
      <c r="DF201" s="76">
        <v>3260.3093235346196</v>
      </c>
      <c r="DG201" s="76">
        <v>1938.8083188531712</v>
      </c>
      <c r="DH201" s="76">
        <v>1198.7889230769272</v>
      </c>
      <c r="DI201" s="76">
        <v>1452.3901750357343</v>
      </c>
      <c r="DJ201" s="76">
        <v>29.524400175405624</v>
      </c>
      <c r="DK201" s="76">
        <v>402.74937133277456</v>
      </c>
      <c r="DL201" s="76"/>
      <c r="DM201" s="76"/>
      <c r="DN201" s="76">
        <v>606.96161081716627</v>
      </c>
      <c r="DO201" s="76"/>
      <c r="DP201" s="76">
        <v>358.52905357021518</v>
      </c>
      <c r="DQ201" s="68">
        <v>390.22917115041338</v>
      </c>
      <c r="DR201" s="76">
        <v>303.4336443638615</v>
      </c>
      <c r="DS201" s="76">
        <v>90.962179074261527</v>
      </c>
      <c r="DT201" s="76">
        <v>839.86261414747173</v>
      </c>
      <c r="DU201" s="76">
        <v>1002.7755426475082</v>
      </c>
      <c r="DV201" s="76">
        <v>114.24767451265873</v>
      </c>
      <c r="DW201" s="76">
        <v>574.61404702502455</v>
      </c>
      <c r="DX201" s="76">
        <v>140.44599623484086</v>
      </c>
      <c r="DY201" s="76">
        <v>1635.967497408431</v>
      </c>
      <c r="DZ201" s="76">
        <v>1212.8797785775193</v>
      </c>
      <c r="EA201" s="76">
        <v>768.35999902650349</v>
      </c>
      <c r="EB201" s="76">
        <v>491.92785372062463</v>
      </c>
      <c r="EC201" s="76">
        <v>8.4989445910290264</v>
      </c>
      <c r="ED201" s="76">
        <v>10.398184982595723</v>
      </c>
      <c r="EE201" s="76">
        <v>1832.0739994284597</v>
      </c>
      <c r="EF201" s="76">
        <v>302.04670514024821</v>
      </c>
      <c r="EG201" s="76">
        <v>3049.682981855558</v>
      </c>
      <c r="EH201" s="76">
        <v>3463.79333712984</v>
      </c>
      <c r="EI201" s="76">
        <v>19.607750098853302</v>
      </c>
      <c r="EJ201" s="76">
        <v>1332.3669898321118</v>
      </c>
      <c r="EK201" s="76">
        <v>47.317972504004274</v>
      </c>
      <c r="EL201" s="76">
        <v>189.50230493792748</v>
      </c>
      <c r="EM201" s="76">
        <v>276.74762025761817</v>
      </c>
      <c r="EN201" s="76">
        <v>491.77860120426118</v>
      </c>
      <c r="EO201" s="76">
        <v>1250.6063057871647</v>
      </c>
      <c r="EP201" s="76">
        <v>326.28618993567915</v>
      </c>
      <c r="EQ201" s="76">
        <v>579.31578229808588</v>
      </c>
      <c r="ER201" s="76">
        <v>1299.9830243466606</v>
      </c>
      <c r="ES201" s="76">
        <v>3072.0523090740517</v>
      </c>
      <c r="ET201" s="76">
        <v>5596.7562130649594</v>
      </c>
      <c r="EU201" s="76">
        <v>2322.473904737094</v>
      </c>
      <c r="EV201" s="76">
        <v>2748.1839013945951</v>
      </c>
      <c r="EW201" s="76">
        <v>3385.7492224537255</v>
      </c>
      <c r="EX201" s="76">
        <v>898.95087028991452</v>
      </c>
      <c r="EY201" s="76">
        <v>1327.5791233283805</v>
      </c>
      <c r="EZ201" s="76"/>
      <c r="FA201" s="76">
        <v>0.22267561860928564</v>
      </c>
      <c r="FB201" s="76">
        <v>7.1764265261987897E-2</v>
      </c>
      <c r="FC201" s="76"/>
      <c r="FD201" s="76"/>
      <c r="FE201" s="76"/>
      <c r="FF201" s="76"/>
      <c r="FG201" s="76"/>
      <c r="FH201" s="76"/>
      <c r="FI201" s="76"/>
      <c r="FJ201" s="76"/>
      <c r="FK201" s="76"/>
      <c r="FL201" s="76"/>
      <c r="FM201" s="76"/>
      <c r="FN201" s="76"/>
      <c r="FO201" s="76"/>
      <c r="FP201" s="76">
        <v>363.50776038349358</v>
      </c>
      <c r="FQ201" s="76"/>
      <c r="FR201" s="76"/>
      <c r="FS201" s="76">
        <v>9.4358105001134263</v>
      </c>
      <c r="FT201" s="76"/>
      <c r="FU201" s="76"/>
      <c r="FV201" s="76"/>
      <c r="FW201" s="76"/>
      <c r="FX201" s="76"/>
      <c r="FY201" s="76"/>
      <c r="FZ201" s="76"/>
      <c r="GA201" s="76"/>
      <c r="GB201" s="76"/>
      <c r="GC201" s="76"/>
      <c r="GD201" s="76"/>
      <c r="GE201" s="76"/>
      <c r="GF201" s="76"/>
      <c r="GG201" s="76"/>
      <c r="GH201" s="76"/>
      <c r="GI201" s="76"/>
      <c r="GJ201" s="76"/>
      <c r="GK201" s="76"/>
      <c r="GL201" s="76"/>
      <c r="GM201" s="76"/>
      <c r="GN201" s="76"/>
      <c r="GO201" s="76"/>
      <c r="GP201" s="76"/>
      <c r="GQ201" s="76"/>
      <c r="GR201" s="76"/>
      <c r="GS201" s="76"/>
      <c r="GT201" s="76"/>
      <c r="GU201" s="76"/>
      <c r="GV201" s="76"/>
      <c r="GW201" s="76"/>
      <c r="GX201" s="76"/>
      <c r="GY201" s="76"/>
      <c r="GZ201" s="76"/>
      <c r="HA201" s="76"/>
      <c r="HB201" s="76"/>
      <c r="HC201" s="76"/>
      <c r="HD201" s="76"/>
      <c r="HE201" s="76"/>
      <c r="HF201" s="76"/>
      <c r="HG201" s="76"/>
      <c r="HH201" s="76"/>
      <c r="HI201" s="76"/>
      <c r="HJ201" s="76"/>
      <c r="HK201" s="76"/>
      <c r="HL201" s="76"/>
      <c r="HM201" s="76"/>
      <c r="HN201" s="76"/>
      <c r="HO201" s="76"/>
      <c r="HP201" s="76"/>
      <c r="HQ201" s="76"/>
      <c r="HR201" s="76"/>
      <c r="HS201" s="76"/>
      <c r="HT201" s="76"/>
      <c r="HU201" s="76"/>
      <c r="HV201" s="76">
        <v>98807.757095699446</v>
      </c>
    </row>
    <row r="202" spans="1:230" x14ac:dyDescent="0.2">
      <c r="A202" s="74" t="s">
        <v>294</v>
      </c>
      <c r="B202" s="76">
        <v>51533.862758537645</v>
      </c>
      <c r="C202" s="76">
        <v>46082.754923076922</v>
      </c>
      <c r="D202" s="76">
        <v>3764.8849222447598</v>
      </c>
      <c r="E202" s="76">
        <v>3469.8081818181818</v>
      </c>
      <c r="F202" s="76">
        <v>12851</v>
      </c>
      <c r="G202" s="76">
        <v>2393</v>
      </c>
      <c r="H202" s="76">
        <v>1886</v>
      </c>
      <c r="I202" s="76">
        <v>22333.616239782015</v>
      </c>
      <c r="J202" s="76">
        <v>6725</v>
      </c>
      <c r="K202" s="76">
        <v>29141.752927932375</v>
      </c>
      <c r="L202" s="76">
        <v>7176.7414634146344</v>
      </c>
      <c r="M202" s="76">
        <v>1257</v>
      </c>
      <c r="N202" s="76">
        <v>9886.5546402151977</v>
      </c>
      <c r="O202" s="76">
        <v>19773.549429657796</v>
      </c>
      <c r="P202" s="76">
        <v>9379.5187408729507</v>
      </c>
      <c r="Q202" s="76">
        <v>6323.1209125475289</v>
      </c>
      <c r="R202" s="76">
        <v>10950.332254217074</v>
      </c>
      <c r="S202" s="76">
        <v>5003.129165344335</v>
      </c>
      <c r="T202" s="76">
        <v>5367</v>
      </c>
      <c r="U202" s="77">
        <v>5354</v>
      </c>
      <c r="V202" s="76">
        <v>9475</v>
      </c>
      <c r="W202" s="76">
        <v>7112</v>
      </c>
      <c r="X202" s="76">
        <v>5021.1515350158415</v>
      </c>
      <c r="Y202" s="76">
        <v>8719</v>
      </c>
      <c r="Z202" s="76">
        <v>16667.889889374841</v>
      </c>
      <c r="AA202" s="76">
        <v>16632.772183078421</v>
      </c>
      <c r="AB202" s="76">
        <v>9757</v>
      </c>
      <c r="AC202" s="76">
        <v>4760.5197489848651</v>
      </c>
      <c r="AD202" s="76">
        <v>19078.889740420273</v>
      </c>
      <c r="AE202" s="76">
        <v>7415</v>
      </c>
      <c r="AF202" s="76">
        <v>11394</v>
      </c>
      <c r="AG202" s="76">
        <v>21155</v>
      </c>
      <c r="AH202" s="76">
        <v>15215</v>
      </c>
      <c r="AI202" s="76">
        <v>16985.072900398005</v>
      </c>
      <c r="AJ202" s="76">
        <v>6844</v>
      </c>
      <c r="AK202" s="76">
        <v>13729.297846709833</v>
      </c>
      <c r="AL202" s="76">
        <v>12445.684806201551</v>
      </c>
      <c r="AM202" s="76">
        <v>13471</v>
      </c>
      <c r="AN202" s="76">
        <v>17043.007054720321</v>
      </c>
      <c r="AO202" s="76">
        <v>125482.92213716236</v>
      </c>
      <c r="AP202" s="76">
        <v>50901.557133295086</v>
      </c>
      <c r="AQ202" s="76">
        <v>297606.9259865238</v>
      </c>
      <c r="AR202" s="76">
        <v>85716.780982356591</v>
      </c>
      <c r="AS202" s="76">
        <v>4645.0963507482275</v>
      </c>
      <c r="AT202" s="76">
        <v>5281</v>
      </c>
      <c r="AU202" s="76">
        <v>34778.257819247119</v>
      </c>
      <c r="AV202" s="76">
        <v>10148.126167295848</v>
      </c>
      <c r="AW202" s="76">
        <v>73375.413632723037</v>
      </c>
      <c r="AX202" s="76">
        <v>5479.1915310427967</v>
      </c>
      <c r="AY202" s="76">
        <v>9823.4566490501347</v>
      </c>
      <c r="AZ202" s="76">
        <v>13851.73085978593</v>
      </c>
      <c r="BA202" s="76">
        <v>46632.020976076557</v>
      </c>
      <c r="BB202" s="76">
        <v>125907.86862471985</v>
      </c>
      <c r="BC202" s="76">
        <v>6489.2030736271263</v>
      </c>
      <c r="BD202" s="76">
        <v>64883.947992830814</v>
      </c>
      <c r="BE202" s="76">
        <v>22541.775790601278</v>
      </c>
      <c r="BF202" s="76">
        <v>13590.660617130421</v>
      </c>
      <c r="BG202" s="76">
        <v>8966.6853704155492</v>
      </c>
      <c r="BH202" s="76">
        <v>92799.764997129198</v>
      </c>
      <c r="BI202" s="76">
        <v>24967.151036563861</v>
      </c>
      <c r="BJ202" s="76">
        <v>359725</v>
      </c>
      <c r="BK202" s="76">
        <v>223078</v>
      </c>
      <c r="BL202" s="76">
        <v>71933.758402365216</v>
      </c>
      <c r="BM202" s="76">
        <v>99114</v>
      </c>
      <c r="BN202" s="76">
        <v>94560.807886290699</v>
      </c>
      <c r="BO202" s="76">
        <v>15690.462729912875</v>
      </c>
      <c r="BP202" s="76">
        <v>57756.369732390034</v>
      </c>
      <c r="BQ202" s="76">
        <v>67484</v>
      </c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68"/>
      <c r="DR202" s="76"/>
      <c r="DS202" s="76"/>
      <c r="DT202" s="76"/>
      <c r="DU202" s="76"/>
      <c r="DV202" s="76"/>
      <c r="DW202" s="76"/>
      <c r="DX202" s="76"/>
      <c r="DY202" s="76"/>
      <c r="DZ202" s="76"/>
      <c r="EA202" s="76"/>
      <c r="EB202" s="76"/>
      <c r="EC202" s="76"/>
      <c r="ED202" s="76"/>
      <c r="EE202" s="76"/>
      <c r="EF202" s="76"/>
      <c r="EG202" s="76"/>
      <c r="EH202" s="76"/>
      <c r="EI202" s="76"/>
      <c r="EJ202" s="76"/>
      <c r="EK202" s="76"/>
      <c r="EL202" s="76"/>
      <c r="EM202" s="76"/>
      <c r="EN202" s="76"/>
      <c r="EO202" s="76"/>
      <c r="EP202" s="76"/>
      <c r="EQ202" s="76"/>
      <c r="ER202" s="76"/>
      <c r="ES202" s="76"/>
      <c r="ET202" s="76"/>
      <c r="EU202" s="76"/>
      <c r="EV202" s="76"/>
      <c r="EW202" s="76"/>
      <c r="EX202" s="76"/>
      <c r="EY202" s="76"/>
      <c r="EZ202" s="76"/>
      <c r="FA202" s="76"/>
      <c r="FB202" s="76"/>
      <c r="FC202" s="76"/>
      <c r="FD202" s="76"/>
      <c r="FE202" s="76"/>
      <c r="FF202" s="76"/>
      <c r="FG202" s="76"/>
      <c r="FH202" s="76"/>
      <c r="FI202" s="76"/>
      <c r="FJ202" s="76"/>
      <c r="FK202" s="76"/>
      <c r="FL202" s="76"/>
      <c r="FM202" s="76"/>
      <c r="FN202" s="76"/>
      <c r="FO202" s="76"/>
      <c r="FP202" s="76"/>
      <c r="FQ202" s="76"/>
      <c r="FR202" s="76"/>
      <c r="FS202" s="76"/>
      <c r="FT202" s="76"/>
      <c r="FU202" s="76"/>
      <c r="FV202" s="76"/>
      <c r="FW202" s="76"/>
      <c r="FX202" s="76"/>
      <c r="FY202" s="76"/>
      <c r="FZ202" s="76"/>
      <c r="GA202" s="76"/>
      <c r="GB202" s="76"/>
      <c r="GC202" s="76"/>
      <c r="GD202" s="76"/>
      <c r="GE202" s="76"/>
      <c r="GF202" s="76"/>
      <c r="GG202" s="76"/>
      <c r="GH202" s="76"/>
      <c r="GI202" s="76"/>
      <c r="GJ202" s="76"/>
      <c r="GK202" s="76"/>
      <c r="GL202" s="76"/>
      <c r="GM202" s="76"/>
      <c r="GN202" s="76"/>
      <c r="GO202" s="76"/>
      <c r="GP202" s="76"/>
      <c r="GQ202" s="76"/>
      <c r="GR202" s="76"/>
      <c r="GS202" s="76"/>
      <c r="GT202" s="76"/>
      <c r="GU202" s="76"/>
      <c r="GV202" s="76"/>
      <c r="GW202" s="76"/>
      <c r="GX202" s="76"/>
      <c r="GY202" s="76"/>
      <c r="GZ202" s="76"/>
      <c r="HA202" s="76"/>
      <c r="HB202" s="76"/>
      <c r="HC202" s="76"/>
      <c r="HD202" s="76"/>
      <c r="HE202" s="76">
        <v>1273</v>
      </c>
      <c r="HF202" s="76"/>
      <c r="HG202" s="76"/>
      <c r="HH202" s="76"/>
      <c r="HI202" s="76"/>
      <c r="HJ202" s="76"/>
      <c r="HK202" s="76"/>
      <c r="HL202" s="76"/>
      <c r="HM202" s="76"/>
      <c r="HN202" s="76"/>
      <c r="HO202" s="76"/>
      <c r="HP202" s="76"/>
      <c r="HQ202" s="76"/>
      <c r="HR202" s="76"/>
      <c r="HS202" s="76"/>
      <c r="HT202" s="76"/>
      <c r="HU202" s="76"/>
      <c r="HV202" s="76">
        <v>2608058.8487438494</v>
      </c>
    </row>
    <row r="203" spans="1:230" x14ac:dyDescent="0.2">
      <c r="A203" s="74" t="s">
        <v>295</v>
      </c>
      <c r="B203" s="76">
        <v>120619.37270540177</v>
      </c>
      <c r="C203" s="76">
        <v>20569.058036786486</v>
      </c>
      <c r="D203" s="76">
        <v>10073.817335915599</v>
      </c>
      <c r="E203" s="76">
        <v>1115.096717720136</v>
      </c>
      <c r="F203" s="76">
        <v>10716.935676263356</v>
      </c>
      <c r="G203" s="76">
        <v>26885.504803223801</v>
      </c>
      <c r="H203" s="76">
        <v>1919.1769917437418</v>
      </c>
      <c r="I203" s="76">
        <v>14702.383760217983</v>
      </c>
      <c r="J203" s="76">
        <v>2579</v>
      </c>
      <c r="K203" s="76">
        <v>25350.247072067625</v>
      </c>
      <c r="L203" s="76">
        <v>10064.258536585367</v>
      </c>
      <c r="M203" s="76">
        <v>1394</v>
      </c>
      <c r="N203" s="76">
        <v>3191.4453597848014</v>
      </c>
      <c r="O203" s="76">
        <v>3060.4505703422055</v>
      </c>
      <c r="P203" s="76">
        <v>3526.4812591270484</v>
      </c>
      <c r="Q203" s="76">
        <v>3082.8790874524716</v>
      </c>
      <c r="R203" s="76">
        <v>12799.667745782926</v>
      </c>
      <c r="S203" s="76">
        <v>1736.8708346556648</v>
      </c>
      <c r="T203" s="76">
        <v>47753</v>
      </c>
      <c r="U203" s="77">
        <v>3081</v>
      </c>
      <c r="V203" s="76">
        <v>13279</v>
      </c>
      <c r="W203" s="76">
        <v>8878</v>
      </c>
      <c r="X203" s="76">
        <v>4678.8484649841585</v>
      </c>
      <c r="Y203" s="76">
        <v>18391</v>
      </c>
      <c r="Z203" s="76">
        <v>6996.1101106251608</v>
      </c>
      <c r="AA203" s="76">
        <v>1569.2278169215788</v>
      </c>
      <c r="AB203" s="76">
        <v>5914</v>
      </c>
      <c r="AC203" s="76">
        <v>6058.4802510151349</v>
      </c>
      <c r="AD203" s="76">
        <v>7414.1102595797283</v>
      </c>
      <c r="AE203" s="76">
        <v>6693</v>
      </c>
      <c r="AF203" s="76">
        <v>1281</v>
      </c>
      <c r="AG203" s="76">
        <v>9916</v>
      </c>
      <c r="AH203" s="76">
        <v>15215</v>
      </c>
      <c r="AI203" s="76">
        <v>2890.927099601995</v>
      </c>
      <c r="AJ203" s="76">
        <v>4016</v>
      </c>
      <c r="AK203" s="76">
        <v>14074.702153290167</v>
      </c>
      <c r="AL203" s="76">
        <v>11325.315193798449</v>
      </c>
      <c r="AM203" s="76">
        <v>89108</v>
      </c>
      <c r="AN203" s="76">
        <v>22412.992945279679</v>
      </c>
      <c r="AO203" s="76">
        <v>97564.077862837643</v>
      </c>
      <c r="AP203" s="76">
        <v>33947.442866704914</v>
      </c>
      <c r="AQ203" s="76">
        <v>273323.0740134762</v>
      </c>
      <c r="AR203" s="76">
        <v>51082.219017643409</v>
      </c>
      <c r="AS203" s="76">
        <v>3411.9036492517721</v>
      </c>
      <c r="AT203" s="76">
        <v>3092</v>
      </c>
      <c r="AU203" s="76">
        <v>25514.742180752884</v>
      </c>
      <c r="AV203" s="76">
        <v>1053.8738327041526</v>
      </c>
      <c r="AW203" s="76">
        <v>40535.58636727697</v>
      </c>
      <c r="AX203" s="76">
        <v>1361.8084689572031</v>
      </c>
      <c r="AY203" s="76">
        <v>5030.5433509498644</v>
      </c>
      <c r="AZ203" s="76">
        <v>46290.26914021407</v>
      </c>
      <c r="BA203" s="76">
        <v>39638.979023923443</v>
      </c>
      <c r="BB203" s="76">
        <v>258174.13137528015</v>
      </c>
      <c r="BC203" s="76">
        <v>549365.79692637292</v>
      </c>
      <c r="BD203" s="76">
        <v>67891.052007169186</v>
      </c>
      <c r="BE203" s="76">
        <v>7942.2242093987243</v>
      </c>
      <c r="BF203" s="76">
        <v>18066.339382869577</v>
      </c>
      <c r="BG203" s="76">
        <v>16288.314629584451</v>
      </c>
      <c r="BH203" s="76">
        <v>47866.235002870802</v>
      </c>
      <c r="BI203" s="76">
        <v>1779.8489634361406</v>
      </c>
      <c r="BJ203" s="76">
        <v>84162</v>
      </c>
      <c r="BK203" s="76">
        <v>12697</v>
      </c>
      <c r="BL203" s="76">
        <v>5474.2415976347866</v>
      </c>
      <c r="BM203" s="76">
        <v>6270</v>
      </c>
      <c r="BN203" s="76">
        <v>42044.192113709309</v>
      </c>
      <c r="BO203" s="76">
        <v>3601.5372700871249</v>
      </c>
      <c r="BP203" s="76">
        <v>12541.630267609966</v>
      </c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/>
      <c r="DE203" s="76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68"/>
      <c r="DR203" s="76"/>
      <c r="DS203" s="76"/>
      <c r="DT203" s="76"/>
      <c r="DU203" s="76"/>
      <c r="DV203" s="76"/>
      <c r="DW203" s="76"/>
      <c r="DX203" s="76"/>
      <c r="DY203" s="76"/>
      <c r="DZ203" s="76"/>
      <c r="EA203" s="76"/>
      <c r="EB203" s="76"/>
      <c r="EC203" s="76"/>
      <c r="ED203" s="76"/>
      <c r="EE203" s="76"/>
      <c r="EF203" s="76"/>
      <c r="EG203" s="76"/>
      <c r="EH203" s="76"/>
      <c r="EI203" s="76"/>
      <c r="EJ203" s="76"/>
      <c r="EK203" s="76"/>
      <c r="EL203" s="76"/>
      <c r="EM203" s="76"/>
      <c r="EN203" s="76"/>
      <c r="EO203" s="76"/>
      <c r="EP203" s="76"/>
      <c r="EQ203" s="76"/>
      <c r="ER203" s="76"/>
      <c r="ES203" s="76"/>
      <c r="ET203" s="76"/>
      <c r="EU203" s="76"/>
      <c r="EV203" s="76"/>
      <c r="EW203" s="76"/>
      <c r="EX203" s="76"/>
      <c r="EY203" s="76"/>
      <c r="EZ203" s="76"/>
      <c r="FA203" s="76"/>
      <c r="FB203" s="76"/>
      <c r="FC203" s="76"/>
      <c r="FD203" s="76"/>
      <c r="FE203" s="76"/>
      <c r="FF203" s="76"/>
      <c r="FG203" s="76"/>
      <c r="FH203" s="76"/>
      <c r="FI203" s="76"/>
      <c r="FJ203" s="76"/>
      <c r="FK203" s="76"/>
      <c r="FL203" s="76"/>
      <c r="FM203" s="76"/>
      <c r="FN203" s="76"/>
      <c r="FO203" s="76"/>
      <c r="FP203" s="76"/>
      <c r="FQ203" s="76"/>
      <c r="FR203" s="76"/>
      <c r="FS203" s="76"/>
      <c r="FT203" s="76"/>
      <c r="FU203" s="76"/>
      <c r="FV203" s="76"/>
      <c r="FW203" s="76"/>
      <c r="FX203" s="76"/>
      <c r="FY203" s="76"/>
      <c r="FZ203" s="76"/>
      <c r="GA203" s="76"/>
      <c r="GB203" s="76"/>
      <c r="GC203" s="76"/>
      <c r="GD203" s="76"/>
      <c r="GE203" s="76"/>
      <c r="GF203" s="76"/>
      <c r="GG203" s="76"/>
      <c r="GH203" s="76"/>
      <c r="GI203" s="76"/>
      <c r="GJ203" s="76"/>
      <c r="GK203" s="76"/>
      <c r="GL203" s="76"/>
      <c r="GM203" s="76"/>
      <c r="GN203" s="76"/>
      <c r="GO203" s="76"/>
      <c r="GP203" s="76"/>
      <c r="GQ203" s="76"/>
      <c r="GR203" s="76"/>
      <c r="GS203" s="76"/>
      <c r="GT203" s="76"/>
      <c r="GU203" s="76"/>
      <c r="GV203" s="76"/>
      <c r="GW203" s="76"/>
      <c r="GX203" s="76"/>
      <c r="GY203" s="76"/>
      <c r="GZ203" s="76"/>
      <c r="HA203" s="76"/>
      <c r="HB203" s="76"/>
      <c r="HC203" s="76"/>
      <c r="HD203" s="76"/>
      <c r="HE203" s="76"/>
      <c r="HF203" s="76"/>
      <c r="HG203" s="76"/>
      <c r="HH203" s="76"/>
      <c r="HI203" s="76"/>
      <c r="HJ203" s="76"/>
      <c r="HK203" s="76"/>
      <c r="HL203" s="76"/>
      <c r="HM203" s="76"/>
      <c r="HN203" s="76"/>
      <c r="HO203" s="76"/>
      <c r="HP203" s="76"/>
      <c r="HQ203" s="76"/>
      <c r="HR203" s="76"/>
      <c r="HS203" s="76"/>
      <c r="HT203" s="76"/>
      <c r="HU203" s="76"/>
      <c r="HV203" s="76">
        <v>2330343.4243088826</v>
      </c>
    </row>
    <row r="204" spans="1:230" x14ac:dyDescent="0.2">
      <c r="A204" s="74" t="s">
        <v>296</v>
      </c>
      <c r="B204" s="76">
        <v>31311.7645360606</v>
      </c>
      <c r="C204" s="76">
        <v>5335.1870401365932</v>
      </c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7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68"/>
      <c r="DR204" s="76"/>
      <c r="DS204" s="76"/>
      <c r="DT204" s="76"/>
      <c r="DU204" s="76"/>
      <c r="DV204" s="76"/>
      <c r="DW204" s="76"/>
      <c r="DX204" s="76"/>
      <c r="DY204" s="76"/>
      <c r="DZ204" s="76"/>
      <c r="EA204" s="76"/>
      <c r="EB204" s="76"/>
      <c r="EC204" s="76"/>
      <c r="ED204" s="76"/>
      <c r="EE204" s="76"/>
      <c r="EF204" s="76"/>
      <c r="EG204" s="76"/>
      <c r="EH204" s="76"/>
      <c r="EI204" s="76"/>
      <c r="EJ204" s="76"/>
      <c r="EK204" s="76"/>
      <c r="EL204" s="76"/>
      <c r="EM204" s="76"/>
      <c r="EN204" s="76"/>
      <c r="EO204" s="76"/>
      <c r="EP204" s="76"/>
      <c r="EQ204" s="76"/>
      <c r="ER204" s="76"/>
      <c r="ES204" s="76"/>
      <c r="ET204" s="76"/>
      <c r="EU204" s="76"/>
      <c r="EV204" s="76"/>
      <c r="EW204" s="76"/>
      <c r="EX204" s="76"/>
      <c r="EY204" s="76"/>
      <c r="EZ204" s="76"/>
      <c r="FA204" s="76"/>
      <c r="FB204" s="76"/>
      <c r="FC204" s="76"/>
      <c r="FD204" s="76"/>
      <c r="FE204" s="76"/>
      <c r="FF204" s="76"/>
      <c r="FG204" s="76"/>
      <c r="FH204" s="76"/>
      <c r="FI204" s="76"/>
      <c r="FJ204" s="76"/>
      <c r="FK204" s="76"/>
      <c r="FL204" s="76"/>
      <c r="FM204" s="76"/>
      <c r="FN204" s="76"/>
      <c r="FO204" s="76"/>
      <c r="FP204" s="76"/>
      <c r="FQ204" s="76"/>
      <c r="FR204" s="76"/>
      <c r="FS204" s="76"/>
      <c r="FT204" s="76"/>
      <c r="FU204" s="76"/>
      <c r="FV204" s="76"/>
      <c r="FW204" s="76"/>
      <c r="FX204" s="76"/>
      <c r="FY204" s="76"/>
      <c r="FZ204" s="76"/>
      <c r="GA204" s="76"/>
      <c r="GB204" s="76"/>
      <c r="GC204" s="76"/>
      <c r="GD204" s="76"/>
      <c r="GE204" s="76"/>
      <c r="GF204" s="76"/>
      <c r="GG204" s="76"/>
      <c r="GH204" s="76"/>
      <c r="GI204" s="76"/>
      <c r="GJ204" s="76"/>
      <c r="GK204" s="76"/>
      <c r="GL204" s="76"/>
      <c r="GM204" s="76"/>
      <c r="GN204" s="76"/>
      <c r="GO204" s="76"/>
      <c r="GP204" s="76"/>
      <c r="GQ204" s="76"/>
      <c r="GR204" s="76"/>
      <c r="GS204" s="76"/>
      <c r="GT204" s="76"/>
      <c r="GU204" s="76"/>
      <c r="GV204" s="76"/>
      <c r="GW204" s="76"/>
      <c r="GX204" s="76"/>
      <c r="GY204" s="76"/>
      <c r="GZ204" s="76"/>
      <c r="HA204" s="76"/>
      <c r="HB204" s="76"/>
      <c r="HC204" s="76"/>
      <c r="HD204" s="76"/>
      <c r="HE204" s="76"/>
      <c r="HF204" s="76"/>
      <c r="HG204" s="76"/>
      <c r="HH204" s="76"/>
      <c r="HI204" s="76"/>
      <c r="HJ204" s="76"/>
      <c r="HK204" s="76"/>
      <c r="HL204" s="76"/>
      <c r="HM204" s="76"/>
      <c r="HN204" s="76"/>
      <c r="HO204" s="76"/>
      <c r="HP204" s="76"/>
      <c r="HQ204" s="76"/>
      <c r="HR204" s="76"/>
      <c r="HS204" s="76"/>
      <c r="HT204" s="76"/>
      <c r="HU204" s="76"/>
      <c r="HV204" s="76">
        <v>36646.951576197192</v>
      </c>
    </row>
    <row r="205" spans="1:230" x14ac:dyDescent="0.2">
      <c r="A205" s="74" t="s">
        <v>297</v>
      </c>
      <c r="B205" s="76"/>
      <c r="C205" s="76"/>
      <c r="D205" s="76">
        <v>13244.29774183964</v>
      </c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7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68"/>
      <c r="DR205" s="76"/>
      <c r="DS205" s="76"/>
      <c r="DT205" s="76"/>
      <c r="DU205" s="76"/>
      <c r="DV205" s="76"/>
      <c r="DW205" s="76"/>
      <c r="DX205" s="76"/>
      <c r="DY205" s="76"/>
      <c r="DZ205" s="76"/>
      <c r="EA205" s="76"/>
      <c r="EB205" s="76"/>
      <c r="EC205" s="76"/>
      <c r="ED205" s="76"/>
      <c r="EE205" s="76"/>
      <c r="EF205" s="76"/>
      <c r="EG205" s="76"/>
      <c r="EH205" s="76"/>
      <c r="EI205" s="76"/>
      <c r="EJ205" s="76"/>
      <c r="EK205" s="76"/>
      <c r="EL205" s="76"/>
      <c r="EM205" s="76"/>
      <c r="EN205" s="76"/>
      <c r="EO205" s="76"/>
      <c r="EP205" s="76"/>
      <c r="EQ205" s="76"/>
      <c r="ER205" s="76"/>
      <c r="ES205" s="76"/>
      <c r="ET205" s="76"/>
      <c r="EU205" s="76"/>
      <c r="EV205" s="76"/>
      <c r="EW205" s="76"/>
      <c r="EX205" s="76"/>
      <c r="EY205" s="76"/>
      <c r="EZ205" s="76"/>
      <c r="FA205" s="76"/>
      <c r="FB205" s="76"/>
      <c r="FC205" s="76"/>
      <c r="FD205" s="76"/>
      <c r="FE205" s="76"/>
      <c r="FF205" s="76"/>
      <c r="FG205" s="76"/>
      <c r="FH205" s="76"/>
      <c r="FI205" s="76"/>
      <c r="FJ205" s="76"/>
      <c r="FK205" s="76"/>
      <c r="FL205" s="76"/>
      <c r="FM205" s="76"/>
      <c r="FN205" s="76"/>
      <c r="FO205" s="76"/>
      <c r="FP205" s="76"/>
      <c r="FQ205" s="76"/>
      <c r="FR205" s="76"/>
      <c r="FS205" s="76"/>
      <c r="FT205" s="76"/>
      <c r="FU205" s="76"/>
      <c r="FV205" s="76"/>
      <c r="FW205" s="76"/>
      <c r="FX205" s="76"/>
      <c r="FY205" s="76"/>
      <c r="FZ205" s="76"/>
      <c r="GA205" s="76"/>
      <c r="GB205" s="76"/>
      <c r="GC205" s="76"/>
      <c r="GD205" s="76"/>
      <c r="GE205" s="76"/>
      <c r="GF205" s="76"/>
      <c r="GG205" s="76"/>
      <c r="GH205" s="76"/>
      <c r="GI205" s="76"/>
      <c r="GJ205" s="76"/>
      <c r="GK205" s="76"/>
      <c r="GL205" s="76"/>
      <c r="GM205" s="76"/>
      <c r="GN205" s="76"/>
      <c r="GO205" s="76"/>
      <c r="GP205" s="76"/>
      <c r="GQ205" s="76"/>
      <c r="GR205" s="76"/>
      <c r="GS205" s="76"/>
      <c r="GT205" s="76"/>
      <c r="GU205" s="76"/>
      <c r="GV205" s="76"/>
      <c r="GW205" s="76"/>
      <c r="GX205" s="76"/>
      <c r="GY205" s="76"/>
      <c r="GZ205" s="76"/>
      <c r="HA205" s="76"/>
      <c r="HB205" s="76"/>
      <c r="HC205" s="76"/>
      <c r="HD205" s="76"/>
      <c r="HE205" s="76"/>
      <c r="HF205" s="76"/>
      <c r="HG205" s="76"/>
      <c r="HH205" s="76"/>
      <c r="HI205" s="76"/>
      <c r="HJ205" s="76"/>
      <c r="HK205" s="76"/>
      <c r="HL205" s="76"/>
      <c r="HM205" s="76"/>
      <c r="HN205" s="76"/>
      <c r="HO205" s="76"/>
      <c r="HP205" s="76"/>
      <c r="HQ205" s="76"/>
      <c r="HR205" s="76"/>
      <c r="HS205" s="76"/>
      <c r="HT205" s="76"/>
      <c r="HU205" s="76"/>
      <c r="HV205" s="76">
        <v>13244.29774183964</v>
      </c>
    </row>
    <row r="206" spans="1:230" x14ac:dyDescent="0.2">
      <c r="A206" s="74" t="s">
        <v>298</v>
      </c>
      <c r="B206" s="76"/>
      <c r="C206" s="76"/>
      <c r="D206" s="76"/>
      <c r="E206" s="76">
        <v>2249.0951004616823</v>
      </c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7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68"/>
      <c r="DR206" s="76"/>
      <c r="DS206" s="76"/>
      <c r="DT206" s="76"/>
      <c r="DU206" s="76"/>
      <c r="DV206" s="76"/>
      <c r="DW206" s="76"/>
      <c r="DX206" s="76"/>
      <c r="DY206" s="76"/>
      <c r="DZ206" s="76"/>
      <c r="EA206" s="76"/>
      <c r="EB206" s="76"/>
      <c r="EC206" s="76"/>
      <c r="ED206" s="76"/>
      <c r="EE206" s="76"/>
      <c r="EF206" s="76"/>
      <c r="EG206" s="76"/>
      <c r="EH206" s="76"/>
      <c r="EI206" s="76"/>
      <c r="EJ206" s="76"/>
      <c r="EK206" s="76"/>
      <c r="EL206" s="76"/>
      <c r="EM206" s="76"/>
      <c r="EN206" s="76"/>
      <c r="EO206" s="76"/>
      <c r="EP206" s="76"/>
      <c r="EQ206" s="76"/>
      <c r="ER206" s="76"/>
      <c r="ES206" s="76"/>
      <c r="ET206" s="76"/>
      <c r="EU206" s="76"/>
      <c r="EV206" s="76"/>
      <c r="EW206" s="76"/>
      <c r="EX206" s="76"/>
      <c r="EY206" s="76"/>
      <c r="EZ206" s="76"/>
      <c r="FA206" s="76"/>
      <c r="FB206" s="76"/>
      <c r="FC206" s="76"/>
      <c r="FD206" s="76"/>
      <c r="FE206" s="76"/>
      <c r="FF206" s="76"/>
      <c r="FG206" s="76"/>
      <c r="FH206" s="76"/>
      <c r="FI206" s="76"/>
      <c r="FJ206" s="76"/>
      <c r="FK206" s="76"/>
      <c r="FL206" s="76"/>
      <c r="FM206" s="76"/>
      <c r="FN206" s="76"/>
      <c r="FO206" s="76"/>
      <c r="FP206" s="76"/>
      <c r="FQ206" s="76"/>
      <c r="FR206" s="76"/>
      <c r="FS206" s="76"/>
      <c r="FT206" s="76"/>
      <c r="FU206" s="76"/>
      <c r="FV206" s="76"/>
      <c r="FW206" s="76"/>
      <c r="FX206" s="76"/>
      <c r="FY206" s="76"/>
      <c r="FZ206" s="76"/>
      <c r="GA206" s="76"/>
      <c r="GB206" s="76"/>
      <c r="GC206" s="76"/>
      <c r="GD206" s="76"/>
      <c r="GE206" s="76"/>
      <c r="GF206" s="76"/>
      <c r="GG206" s="76"/>
      <c r="GH206" s="76"/>
      <c r="GI206" s="76"/>
      <c r="GJ206" s="76"/>
      <c r="GK206" s="76"/>
      <c r="GL206" s="76"/>
      <c r="GM206" s="76"/>
      <c r="GN206" s="76"/>
      <c r="GO206" s="76"/>
      <c r="GP206" s="76"/>
      <c r="GQ206" s="76"/>
      <c r="GR206" s="76"/>
      <c r="GS206" s="76"/>
      <c r="GT206" s="76"/>
      <c r="GU206" s="76"/>
      <c r="GV206" s="76"/>
      <c r="GW206" s="76"/>
      <c r="GX206" s="76"/>
      <c r="GY206" s="76"/>
      <c r="GZ206" s="76"/>
      <c r="HA206" s="76"/>
      <c r="HB206" s="76"/>
      <c r="HC206" s="76"/>
      <c r="HD206" s="76"/>
      <c r="HE206" s="76"/>
      <c r="HF206" s="76"/>
      <c r="HG206" s="76"/>
      <c r="HH206" s="76"/>
      <c r="HI206" s="76"/>
      <c r="HJ206" s="76"/>
      <c r="HK206" s="76"/>
      <c r="HL206" s="76"/>
      <c r="HM206" s="76"/>
      <c r="HN206" s="76"/>
      <c r="HO206" s="76"/>
      <c r="HP206" s="76"/>
      <c r="HQ206" s="76"/>
      <c r="HR206" s="76"/>
      <c r="HS206" s="76"/>
      <c r="HT206" s="76"/>
      <c r="HU206" s="76"/>
      <c r="HV206" s="76">
        <v>2249.0951004616823</v>
      </c>
    </row>
    <row r="207" spans="1:230" x14ac:dyDescent="0.2">
      <c r="A207" s="74" t="s">
        <v>299</v>
      </c>
      <c r="B207" s="76"/>
      <c r="C207" s="76"/>
      <c r="D207" s="76"/>
      <c r="E207" s="76"/>
      <c r="F207" s="76">
        <v>11682.064323736644</v>
      </c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7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68"/>
      <c r="DR207" s="76"/>
      <c r="DS207" s="76"/>
      <c r="DT207" s="76"/>
      <c r="DU207" s="76"/>
      <c r="DV207" s="76"/>
      <c r="DW207" s="76"/>
      <c r="DX207" s="76"/>
      <c r="DY207" s="76"/>
      <c r="DZ207" s="76"/>
      <c r="EA207" s="76"/>
      <c r="EB207" s="76"/>
      <c r="EC207" s="76"/>
      <c r="ED207" s="76"/>
      <c r="EE207" s="76"/>
      <c r="EF207" s="76"/>
      <c r="EG207" s="76"/>
      <c r="EH207" s="76"/>
      <c r="EI207" s="76"/>
      <c r="EJ207" s="76"/>
      <c r="EK207" s="76"/>
      <c r="EL207" s="76"/>
      <c r="EM207" s="76"/>
      <c r="EN207" s="76"/>
      <c r="EO207" s="76"/>
      <c r="EP207" s="76"/>
      <c r="EQ207" s="76"/>
      <c r="ER207" s="76"/>
      <c r="ES207" s="76"/>
      <c r="ET207" s="76"/>
      <c r="EU207" s="76"/>
      <c r="EV207" s="76"/>
      <c r="EW207" s="76"/>
      <c r="EX207" s="76"/>
      <c r="EY207" s="76"/>
      <c r="EZ207" s="76"/>
      <c r="FA207" s="76"/>
      <c r="FB207" s="76"/>
      <c r="FC207" s="76"/>
      <c r="FD207" s="76"/>
      <c r="FE207" s="76"/>
      <c r="FF207" s="76"/>
      <c r="FG207" s="76"/>
      <c r="FH207" s="76"/>
      <c r="FI207" s="76"/>
      <c r="FJ207" s="76"/>
      <c r="FK207" s="76"/>
      <c r="FL207" s="76"/>
      <c r="FM207" s="76"/>
      <c r="FN207" s="76"/>
      <c r="FO207" s="76"/>
      <c r="FP207" s="76"/>
      <c r="FQ207" s="76"/>
      <c r="FR207" s="76"/>
      <c r="FS207" s="76"/>
      <c r="FT207" s="76"/>
      <c r="FU207" s="76"/>
      <c r="FV207" s="76"/>
      <c r="FW207" s="76"/>
      <c r="FX207" s="76"/>
      <c r="FY207" s="76"/>
      <c r="FZ207" s="76"/>
      <c r="GA207" s="76"/>
      <c r="GB207" s="76"/>
      <c r="GC207" s="76"/>
      <c r="GD207" s="76"/>
      <c r="GE207" s="76"/>
      <c r="GF207" s="76"/>
      <c r="GG207" s="76"/>
      <c r="GH207" s="76"/>
      <c r="GI207" s="76"/>
      <c r="GJ207" s="76"/>
      <c r="GK207" s="76"/>
      <c r="GL207" s="76"/>
      <c r="GM207" s="76"/>
      <c r="GN207" s="76"/>
      <c r="GO207" s="76"/>
      <c r="GP207" s="76"/>
      <c r="GQ207" s="76"/>
      <c r="GR207" s="76"/>
      <c r="GS207" s="76"/>
      <c r="GT207" s="76"/>
      <c r="GU207" s="76"/>
      <c r="GV207" s="76"/>
      <c r="GW207" s="76"/>
      <c r="GX207" s="76"/>
      <c r="GY207" s="76"/>
      <c r="GZ207" s="76"/>
      <c r="HA207" s="76"/>
      <c r="HB207" s="76"/>
      <c r="HC207" s="76"/>
      <c r="HD207" s="76"/>
      <c r="HE207" s="76"/>
      <c r="HF207" s="76"/>
      <c r="HG207" s="76"/>
      <c r="HH207" s="76"/>
      <c r="HI207" s="76"/>
      <c r="HJ207" s="76"/>
      <c r="HK207" s="76"/>
      <c r="HL207" s="76"/>
      <c r="HM207" s="76"/>
      <c r="HN207" s="76"/>
      <c r="HO207" s="76"/>
      <c r="HP207" s="76"/>
      <c r="HQ207" s="76"/>
      <c r="HR207" s="76"/>
      <c r="HS207" s="76"/>
      <c r="HT207" s="76"/>
      <c r="HU207" s="76"/>
      <c r="HV207" s="76">
        <v>11682.064323736644</v>
      </c>
    </row>
    <row r="208" spans="1:230" x14ac:dyDescent="0.2">
      <c r="A208" s="74" t="s">
        <v>300</v>
      </c>
      <c r="B208" s="76"/>
      <c r="C208" s="76"/>
      <c r="D208" s="76"/>
      <c r="E208" s="76"/>
      <c r="F208" s="76"/>
      <c r="G208" s="76">
        <v>6273.4951967761981</v>
      </c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7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  <c r="CT208" s="76"/>
      <c r="CU208" s="76"/>
      <c r="CV208" s="76"/>
      <c r="CW208" s="76"/>
      <c r="CX208" s="76"/>
      <c r="CY208" s="76"/>
      <c r="CZ208" s="76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6"/>
      <c r="DL208" s="76"/>
      <c r="DM208" s="76"/>
      <c r="DN208" s="76"/>
      <c r="DO208" s="76"/>
      <c r="DP208" s="76"/>
      <c r="DQ208" s="68"/>
      <c r="DR208" s="76"/>
      <c r="DS208" s="76"/>
      <c r="DT208" s="76"/>
      <c r="DU208" s="76"/>
      <c r="DV208" s="76"/>
      <c r="DW208" s="76"/>
      <c r="DX208" s="76"/>
      <c r="DY208" s="76"/>
      <c r="DZ208" s="76"/>
      <c r="EA208" s="76"/>
      <c r="EB208" s="76"/>
      <c r="EC208" s="76"/>
      <c r="ED208" s="76"/>
      <c r="EE208" s="76"/>
      <c r="EF208" s="76"/>
      <c r="EG208" s="76"/>
      <c r="EH208" s="76"/>
      <c r="EI208" s="76"/>
      <c r="EJ208" s="76"/>
      <c r="EK208" s="76"/>
      <c r="EL208" s="76"/>
      <c r="EM208" s="76"/>
      <c r="EN208" s="76"/>
      <c r="EO208" s="76"/>
      <c r="EP208" s="76"/>
      <c r="EQ208" s="76"/>
      <c r="ER208" s="76"/>
      <c r="ES208" s="76"/>
      <c r="ET208" s="76"/>
      <c r="EU208" s="76"/>
      <c r="EV208" s="76"/>
      <c r="EW208" s="76"/>
      <c r="EX208" s="76"/>
      <c r="EY208" s="76"/>
      <c r="EZ208" s="76"/>
      <c r="FA208" s="76"/>
      <c r="FB208" s="76"/>
      <c r="FC208" s="76"/>
      <c r="FD208" s="76"/>
      <c r="FE208" s="76"/>
      <c r="FF208" s="76"/>
      <c r="FG208" s="76"/>
      <c r="FH208" s="76"/>
      <c r="FI208" s="76"/>
      <c r="FJ208" s="76"/>
      <c r="FK208" s="76"/>
      <c r="FL208" s="76"/>
      <c r="FM208" s="76"/>
      <c r="FN208" s="76"/>
      <c r="FO208" s="76"/>
      <c r="FP208" s="76"/>
      <c r="FQ208" s="76"/>
      <c r="FR208" s="76"/>
      <c r="FS208" s="76"/>
      <c r="FT208" s="76"/>
      <c r="FU208" s="76"/>
      <c r="FV208" s="76"/>
      <c r="FW208" s="76"/>
      <c r="FX208" s="76"/>
      <c r="FY208" s="76"/>
      <c r="FZ208" s="76"/>
      <c r="GA208" s="76"/>
      <c r="GB208" s="76"/>
      <c r="GC208" s="76"/>
      <c r="GD208" s="76"/>
      <c r="GE208" s="76"/>
      <c r="GF208" s="76"/>
      <c r="GG208" s="76"/>
      <c r="GH208" s="76"/>
      <c r="GI208" s="76"/>
      <c r="GJ208" s="76"/>
      <c r="GK208" s="76"/>
      <c r="GL208" s="76"/>
      <c r="GM208" s="76"/>
      <c r="GN208" s="76"/>
      <c r="GO208" s="76"/>
      <c r="GP208" s="76"/>
      <c r="GQ208" s="76"/>
      <c r="GR208" s="76"/>
      <c r="GS208" s="76"/>
      <c r="GT208" s="76"/>
      <c r="GU208" s="76"/>
      <c r="GV208" s="76"/>
      <c r="GW208" s="76"/>
      <c r="GX208" s="76"/>
      <c r="GY208" s="76"/>
      <c r="GZ208" s="76"/>
      <c r="HA208" s="76"/>
      <c r="HB208" s="76"/>
      <c r="HC208" s="76"/>
      <c r="HD208" s="76"/>
      <c r="HE208" s="76"/>
      <c r="HF208" s="76"/>
      <c r="HG208" s="76"/>
      <c r="HH208" s="76"/>
      <c r="HI208" s="76"/>
      <c r="HJ208" s="76"/>
      <c r="HK208" s="76"/>
      <c r="HL208" s="76"/>
      <c r="HM208" s="76"/>
      <c r="HN208" s="76"/>
      <c r="HO208" s="76"/>
      <c r="HP208" s="76"/>
      <c r="HQ208" s="76"/>
      <c r="HR208" s="76"/>
      <c r="HS208" s="76"/>
      <c r="HT208" s="76"/>
      <c r="HU208" s="76"/>
      <c r="HV208" s="76">
        <v>6273.4951967761981</v>
      </c>
    </row>
    <row r="209" spans="1:230" x14ac:dyDescent="0.2">
      <c r="A209" s="74" t="s">
        <v>301</v>
      </c>
      <c r="B209" s="76"/>
      <c r="C209" s="76"/>
      <c r="D209" s="76"/>
      <c r="E209" s="76"/>
      <c r="F209" s="76"/>
      <c r="G209" s="76"/>
      <c r="H209" s="76">
        <v>447.82300825625805</v>
      </c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7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  <c r="CT209" s="76"/>
      <c r="CU209" s="76"/>
      <c r="CV209" s="76"/>
      <c r="CW209" s="76"/>
      <c r="CX209" s="76"/>
      <c r="CY209" s="76"/>
      <c r="CZ209" s="76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6"/>
      <c r="DL209" s="76"/>
      <c r="DM209" s="76"/>
      <c r="DN209" s="76"/>
      <c r="DO209" s="76"/>
      <c r="DP209" s="76"/>
      <c r="DQ209" s="68"/>
      <c r="DR209" s="76"/>
      <c r="DS209" s="76"/>
      <c r="DT209" s="76"/>
      <c r="DU209" s="76"/>
      <c r="DV209" s="76"/>
      <c r="DW209" s="76"/>
      <c r="DX209" s="76"/>
      <c r="DY209" s="76"/>
      <c r="DZ209" s="76"/>
      <c r="EA209" s="76"/>
      <c r="EB209" s="76"/>
      <c r="EC209" s="76"/>
      <c r="ED209" s="76"/>
      <c r="EE209" s="76"/>
      <c r="EF209" s="76"/>
      <c r="EG209" s="76"/>
      <c r="EH209" s="76"/>
      <c r="EI209" s="76"/>
      <c r="EJ209" s="76"/>
      <c r="EK209" s="76"/>
      <c r="EL209" s="76"/>
      <c r="EM209" s="76"/>
      <c r="EN209" s="76"/>
      <c r="EO209" s="76"/>
      <c r="EP209" s="76"/>
      <c r="EQ209" s="76"/>
      <c r="ER209" s="76"/>
      <c r="ES209" s="76"/>
      <c r="ET209" s="76"/>
      <c r="EU209" s="76"/>
      <c r="EV209" s="76"/>
      <c r="EW209" s="76"/>
      <c r="EX209" s="76"/>
      <c r="EY209" s="76"/>
      <c r="EZ209" s="76"/>
      <c r="FA209" s="76"/>
      <c r="FB209" s="76"/>
      <c r="FC209" s="76"/>
      <c r="FD209" s="76"/>
      <c r="FE209" s="76"/>
      <c r="FF209" s="76"/>
      <c r="FG209" s="76"/>
      <c r="FH209" s="76"/>
      <c r="FI209" s="76"/>
      <c r="FJ209" s="76"/>
      <c r="FK209" s="76"/>
      <c r="FL209" s="76"/>
      <c r="FM209" s="76"/>
      <c r="FN209" s="76"/>
      <c r="FO209" s="76"/>
      <c r="FP209" s="76"/>
      <c r="FQ209" s="76"/>
      <c r="FR209" s="76"/>
      <c r="FS209" s="76"/>
      <c r="FT209" s="76"/>
      <c r="FU209" s="76"/>
      <c r="FV209" s="76"/>
      <c r="FW209" s="76"/>
      <c r="FX209" s="76"/>
      <c r="FY209" s="76"/>
      <c r="FZ209" s="76"/>
      <c r="GA209" s="76"/>
      <c r="GB209" s="76"/>
      <c r="GC209" s="76"/>
      <c r="GD209" s="76"/>
      <c r="GE209" s="76"/>
      <c r="GF209" s="76"/>
      <c r="GG209" s="76"/>
      <c r="GH209" s="76"/>
      <c r="GI209" s="76"/>
      <c r="GJ209" s="76"/>
      <c r="GK209" s="76"/>
      <c r="GL209" s="76"/>
      <c r="GM209" s="76"/>
      <c r="GN209" s="76"/>
      <c r="GO209" s="76"/>
      <c r="GP209" s="76"/>
      <c r="GQ209" s="76"/>
      <c r="GR209" s="76"/>
      <c r="GS209" s="76"/>
      <c r="GT209" s="76"/>
      <c r="GU209" s="76"/>
      <c r="GV209" s="76"/>
      <c r="GW209" s="76"/>
      <c r="GX209" s="76"/>
      <c r="GY209" s="76"/>
      <c r="GZ209" s="76"/>
      <c r="HA209" s="76"/>
      <c r="HB209" s="76"/>
      <c r="HC209" s="76"/>
      <c r="HD209" s="76"/>
      <c r="HE209" s="76"/>
      <c r="HF209" s="76"/>
      <c r="HG209" s="76"/>
      <c r="HH209" s="76"/>
      <c r="HI209" s="76"/>
      <c r="HJ209" s="76"/>
      <c r="HK209" s="76"/>
      <c r="HL209" s="76"/>
      <c r="HM209" s="76"/>
      <c r="HN209" s="76"/>
      <c r="HO209" s="76"/>
      <c r="HP209" s="76"/>
      <c r="HQ209" s="76"/>
      <c r="HR209" s="76"/>
      <c r="HS209" s="76"/>
      <c r="HT209" s="76"/>
      <c r="HU209" s="76"/>
      <c r="HV209" s="76">
        <v>447.82300825625805</v>
      </c>
    </row>
    <row r="210" spans="1:230" x14ac:dyDescent="0.2">
      <c r="A210" s="74" t="s">
        <v>27</v>
      </c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7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  <c r="CT210" s="76"/>
      <c r="CU210" s="76"/>
      <c r="CV210" s="76"/>
      <c r="CW210" s="76"/>
      <c r="CX210" s="76"/>
      <c r="CY210" s="76"/>
      <c r="CZ210" s="76"/>
      <c r="DA210" s="76"/>
      <c r="DB210" s="76"/>
      <c r="DC210" s="76"/>
      <c r="DD210" s="76"/>
      <c r="DE210" s="76"/>
      <c r="DF210" s="76"/>
      <c r="DG210" s="76"/>
      <c r="DH210" s="76"/>
      <c r="DI210" s="76"/>
      <c r="DJ210" s="76"/>
      <c r="DK210" s="76"/>
      <c r="DL210" s="76"/>
      <c r="DM210" s="76"/>
      <c r="DN210" s="76"/>
      <c r="DO210" s="76"/>
      <c r="DP210" s="76"/>
      <c r="DQ210" s="68"/>
      <c r="DR210" s="76"/>
      <c r="DS210" s="76"/>
      <c r="DT210" s="76"/>
      <c r="DU210" s="76"/>
      <c r="DV210" s="76"/>
      <c r="DW210" s="76"/>
      <c r="DX210" s="76"/>
      <c r="DY210" s="76"/>
      <c r="DZ210" s="76"/>
      <c r="EA210" s="76"/>
      <c r="EB210" s="76"/>
      <c r="EC210" s="76"/>
      <c r="ED210" s="76"/>
      <c r="EE210" s="76"/>
      <c r="EF210" s="76"/>
      <c r="EG210" s="76"/>
      <c r="EH210" s="76"/>
      <c r="EI210" s="76"/>
      <c r="EJ210" s="76"/>
      <c r="EK210" s="76"/>
      <c r="EL210" s="76"/>
      <c r="EM210" s="76"/>
      <c r="EN210" s="76"/>
      <c r="EO210" s="76"/>
      <c r="EP210" s="76"/>
      <c r="EQ210" s="76"/>
      <c r="ER210" s="76"/>
      <c r="ES210" s="76"/>
      <c r="ET210" s="76"/>
      <c r="EU210" s="76"/>
      <c r="EV210" s="76"/>
      <c r="EW210" s="76"/>
      <c r="EX210" s="76"/>
      <c r="EY210" s="76"/>
      <c r="EZ210" s="76"/>
      <c r="FA210" s="76"/>
      <c r="FB210" s="76"/>
      <c r="FC210" s="76"/>
      <c r="FD210" s="76"/>
      <c r="FE210" s="76"/>
      <c r="FF210" s="76"/>
      <c r="FG210" s="76"/>
      <c r="FH210" s="76"/>
      <c r="FI210" s="76"/>
      <c r="FJ210" s="76"/>
      <c r="FK210" s="76"/>
      <c r="FL210" s="76"/>
      <c r="FM210" s="76"/>
      <c r="FN210" s="76"/>
      <c r="FO210" s="76"/>
      <c r="FP210" s="76"/>
      <c r="FQ210" s="76"/>
      <c r="FR210" s="76"/>
      <c r="FS210" s="76"/>
      <c r="FT210" s="76"/>
      <c r="FU210" s="76"/>
      <c r="FV210" s="76"/>
      <c r="FW210" s="76"/>
      <c r="FX210" s="76"/>
      <c r="FY210" s="76"/>
      <c r="FZ210" s="76"/>
      <c r="GA210" s="76"/>
      <c r="GB210" s="76"/>
      <c r="GC210" s="76"/>
      <c r="GD210" s="76"/>
      <c r="GE210" s="76"/>
      <c r="GF210" s="76"/>
      <c r="GG210" s="76"/>
      <c r="GH210" s="76"/>
      <c r="GI210" s="76"/>
      <c r="GJ210" s="76"/>
      <c r="GK210" s="76"/>
      <c r="GL210" s="76"/>
      <c r="GM210" s="76"/>
      <c r="GN210" s="76"/>
      <c r="GO210" s="76"/>
      <c r="GP210" s="76"/>
      <c r="GQ210" s="76"/>
      <c r="GR210" s="76"/>
      <c r="GS210" s="76">
        <v>2607693.8487438499</v>
      </c>
      <c r="GT210" s="76">
        <v>738480.19409396965</v>
      </c>
      <c r="GU210" s="76">
        <v>11693.239056815672</v>
      </c>
      <c r="GV210" s="76">
        <v>4225.9651341795297</v>
      </c>
      <c r="GW210" s="76">
        <v>717.63695314545851</v>
      </c>
      <c r="GX210" s="76">
        <v>3727.4906899289003</v>
      </c>
      <c r="GY210" s="76">
        <v>2001.7348211122658</v>
      </c>
      <c r="GZ210" s="76">
        <v>142.89050699878564</v>
      </c>
      <c r="HA210" s="76"/>
      <c r="HB210" s="76"/>
      <c r="HC210" s="76">
        <v>427559.28247523692</v>
      </c>
      <c r="HD210" s="76">
        <v>1395333.717524763</v>
      </c>
      <c r="HE210" s="76"/>
      <c r="HF210" s="76">
        <v>608182</v>
      </c>
      <c r="HG210" s="76"/>
      <c r="HH210" s="76"/>
      <c r="HI210" s="76"/>
      <c r="HJ210" s="76"/>
      <c r="HK210" s="76"/>
      <c r="HL210" s="76"/>
      <c r="HM210" s="76"/>
      <c r="HN210" s="76"/>
      <c r="HO210" s="76"/>
      <c r="HP210" s="76"/>
      <c r="HQ210" s="76"/>
      <c r="HR210" s="76"/>
      <c r="HS210" s="76"/>
      <c r="HT210" s="76"/>
      <c r="HU210" s="76"/>
      <c r="HV210" s="76">
        <v>5799758</v>
      </c>
    </row>
    <row r="211" spans="1:230" x14ac:dyDescent="0.2">
      <c r="A211" s="74" t="s">
        <v>303</v>
      </c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7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  <c r="CT211" s="76"/>
      <c r="CU211" s="76"/>
      <c r="CV211" s="76"/>
      <c r="CW211" s="76"/>
      <c r="CX211" s="76"/>
      <c r="CY211" s="76"/>
      <c r="CZ211" s="76"/>
      <c r="DA211" s="76"/>
      <c r="DB211" s="76"/>
      <c r="DC211" s="76"/>
      <c r="DD211" s="76"/>
      <c r="DE211" s="76"/>
      <c r="DF211" s="76"/>
      <c r="DG211" s="76"/>
      <c r="DH211" s="76"/>
      <c r="DI211" s="76"/>
      <c r="DJ211" s="76"/>
      <c r="DK211" s="76"/>
      <c r="DL211" s="76"/>
      <c r="DM211" s="76"/>
      <c r="DN211" s="76"/>
      <c r="DO211" s="76"/>
      <c r="DP211" s="76"/>
      <c r="DQ211" s="68"/>
      <c r="DR211" s="76"/>
      <c r="DS211" s="76"/>
      <c r="DT211" s="76"/>
      <c r="DU211" s="76"/>
      <c r="DV211" s="76"/>
      <c r="DW211" s="76"/>
      <c r="DX211" s="76"/>
      <c r="DY211" s="76"/>
      <c r="DZ211" s="76"/>
      <c r="EA211" s="76"/>
      <c r="EB211" s="76"/>
      <c r="EC211" s="76"/>
      <c r="ED211" s="76"/>
      <c r="EE211" s="76"/>
      <c r="EF211" s="76"/>
      <c r="EG211" s="76"/>
      <c r="EH211" s="76"/>
      <c r="EI211" s="76"/>
      <c r="EJ211" s="76"/>
      <c r="EK211" s="76"/>
      <c r="EL211" s="76"/>
      <c r="EM211" s="76"/>
      <c r="EN211" s="76"/>
      <c r="EO211" s="76"/>
      <c r="EP211" s="76"/>
      <c r="EQ211" s="76"/>
      <c r="ER211" s="76"/>
      <c r="ES211" s="76"/>
      <c r="ET211" s="76"/>
      <c r="EU211" s="76"/>
      <c r="EV211" s="76"/>
      <c r="EW211" s="76"/>
      <c r="EX211" s="76"/>
      <c r="EY211" s="76"/>
      <c r="EZ211" s="76"/>
      <c r="FA211" s="76"/>
      <c r="FB211" s="76"/>
      <c r="FC211" s="76"/>
      <c r="FD211" s="76"/>
      <c r="FE211" s="76"/>
      <c r="FF211" s="76"/>
      <c r="FG211" s="76"/>
      <c r="FH211" s="76"/>
      <c r="FI211" s="76"/>
      <c r="FJ211" s="76"/>
      <c r="FK211" s="76"/>
      <c r="FL211" s="76"/>
      <c r="FM211" s="76"/>
      <c r="FN211" s="76"/>
      <c r="FO211" s="76"/>
      <c r="FP211" s="76"/>
      <c r="FQ211" s="76"/>
      <c r="FR211" s="76"/>
      <c r="FS211" s="76"/>
      <c r="FT211" s="76"/>
      <c r="FU211" s="76"/>
      <c r="FV211" s="76"/>
      <c r="FW211" s="76"/>
      <c r="FX211" s="76"/>
      <c r="FY211" s="76"/>
      <c r="FZ211" s="76"/>
      <c r="GA211" s="76"/>
      <c r="GB211" s="76"/>
      <c r="GC211" s="76"/>
      <c r="GD211" s="76"/>
      <c r="GE211" s="76"/>
      <c r="GF211" s="76"/>
      <c r="GG211" s="76"/>
      <c r="GH211" s="76"/>
      <c r="GI211" s="76"/>
      <c r="GJ211" s="76"/>
      <c r="GK211" s="76"/>
      <c r="GL211" s="76"/>
      <c r="GM211" s="76"/>
      <c r="GN211" s="76"/>
      <c r="GO211" s="76"/>
      <c r="GP211" s="76"/>
      <c r="GQ211" s="76"/>
      <c r="GR211" s="76"/>
      <c r="GS211" s="76"/>
      <c r="GT211" s="76">
        <v>4137.8770543823011</v>
      </c>
      <c r="GU211" s="76">
        <v>65.519950259421066</v>
      </c>
      <c r="GV211" s="76">
        <v>23.679069934698862</v>
      </c>
      <c r="GW211" s="76">
        <v>4.0210875058614759</v>
      </c>
      <c r="GX211" s="76">
        <v>20.886001167849603</v>
      </c>
      <c r="GY211" s="76">
        <v>11.216187856467446</v>
      </c>
      <c r="GZ211" s="76">
        <v>0.80064889340023659</v>
      </c>
      <c r="HA211" s="76">
        <v>37841.171987866532</v>
      </c>
      <c r="HB211" s="76"/>
      <c r="HC211" s="76">
        <v>46813.654176982513</v>
      </c>
      <c r="HD211" s="76">
        <v>2492.29631037846</v>
      </c>
      <c r="HE211" s="76">
        <v>4982.8775247724971</v>
      </c>
      <c r="HF211" s="76"/>
      <c r="HG211" s="76"/>
      <c r="HH211" s="76"/>
      <c r="HI211" s="76"/>
      <c r="HJ211" s="76"/>
      <c r="HK211" s="76"/>
      <c r="HL211" s="76"/>
      <c r="HM211" s="76"/>
      <c r="HN211" s="76"/>
      <c r="HO211" s="76"/>
      <c r="HP211" s="76"/>
      <c r="HQ211" s="76"/>
      <c r="HR211" s="76"/>
      <c r="HS211" s="76"/>
      <c r="HT211" s="76"/>
      <c r="HU211" s="76"/>
      <c r="HV211" s="76">
        <v>96394</v>
      </c>
    </row>
    <row r="212" spans="1:230" x14ac:dyDescent="0.2">
      <c r="A212" s="74" t="s">
        <v>304</v>
      </c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7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  <c r="CT212" s="76"/>
      <c r="CU212" s="76"/>
      <c r="CV212" s="76"/>
      <c r="CW212" s="76"/>
      <c r="CX212" s="76"/>
      <c r="CY212" s="76"/>
      <c r="CZ212" s="76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6"/>
      <c r="DL212" s="76"/>
      <c r="DM212" s="76"/>
      <c r="DN212" s="76"/>
      <c r="DO212" s="76"/>
      <c r="DP212" s="76"/>
      <c r="DQ212" s="68"/>
      <c r="DR212" s="76"/>
      <c r="DS212" s="76"/>
      <c r="DT212" s="76"/>
      <c r="DU212" s="76"/>
      <c r="DV212" s="76"/>
      <c r="DW212" s="76"/>
      <c r="DX212" s="76"/>
      <c r="DY212" s="76"/>
      <c r="DZ212" s="76"/>
      <c r="EA212" s="76"/>
      <c r="EB212" s="76"/>
      <c r="EC212" s="76"/>
      <c r="ED212" s="76"/>
      <c r="EE212" s="76"/>
      <c r="EF212" s="76"/>
      <c r="EG212" s="76"/>
      <c r="EH212" s="76"/>
      <c r="EI212" s="76"/>
      <c r="EJ212" s="76"/>
      <c r="EK212" s="76"/>
      <c r="EL212" s="76"/>
      <c r="EM212" s="76"/>
      <c r="EN212" s="76"/>
      <c r="EO212" s="76"/>
      <c r="EP212" s="76"/>
      <c r="EQ212" s="76"/>
      <c r="ER212" s="76"/>
      <c r="ES212" s="76"/>
      <c r="ET212" s="76"/>
      <c r="EU212" s="76"/>
      <c r="EV212" s="76"/>
      <c r="EW212" s="76"/>
      <c r="EX212" s="76"/>
      <c r="EY212" s="76"/>
      <c r="EZ212" s="76"/>
      <c r="FA212" s="76"/>
      <c r="FB212" s="76"/>
      <c r="FC212" s="76"/>
      <c r="FD212" s="76"/>
      <c r="FE212" s="76"/>
      <c r="FF212" s="76"/>
      <c r="FG212" s="76"/>
      <c r="FH212" s="76"/>
      <c r="FI212" s="76"/>
      <c r="FJ212" s="76"/>
      <c r="FK212" s="76"/>
      <c r="FL212" s="76"/>
      <c r="FM212" s="76"/>
      <c r="FN212" s="76"/>
      <c r="FO212" s="76"/>
      <c r="FP212" s="76"/>
      <c r="FQ212" s="76"/>
      <c r="FR212" s="76"/>
      <c r="FS212" s="76"/>
      <c r="FT212" s="76"/>
      <c r="FU212" s="76"/>
      <c r="FV212" s="76"/>
      <c r="FW212" s="76"/>
      <c r="FX212" s="76"/>
      <c r="FY212" s="76"/>
      <c r="FZ212" s="76"/>
      <c r="GA212" s="76"/>
      <c r="GB212" s="76"/>
      <c r="GC212" s="76"/>
      <c r="GD212" s="76"/>
      <c r="GE212" s="76"/>
      <c r="GF212" s="76"/>
      <c r="GG212" s="76"/>
      <c r="GH212" s="76"/>
      <c r="GI212" s="76"/>
      <c r="GJ212" s="76"/>
      <c r="GK212" s="76"/>
      <c r="GL212" s="76"/>
      <c r="GM212" s="76"/>
      <c r="GN212" s="76"/>
      <c r="GO212" s="76"/>
      <c r="GP212" s="76"/>
      <c r="GQ212" s="76"/>
      <c r="GR212" s="76"/>
      <c r="GS212" s="76"/>
      <c r="GT212" s="76">
        <v>1471721.7596470709</v>
      </c>
      <c r="GU212" s="76">
        <v>23303.528650195312</v>
      </c>
      <c r="GV212" s="76">
        <v>8421.9521298230775</v>
      </c>
      <c r="GW212" s="76">
        <v>1430.1831354689018</v>
      </c>
      <c r="GX212" s="76">
        <v>7428.5393178089462</v>
      </c>
      <c r="GY212" s="76">
        <v>3989.269741876501</v>
      </c>
      <c r="GZ212" s="76">
        <v>284.76737775631585</v>
      </c>
      <c r="HA212" s="76">
        <v>77320</v>
      </c>
      <c r="HB212" s="76"/>
      <c r="HC212" s="76"/>
      <c r="HD212" s="76"/>
      <c r="HE212" s="76"/>
      <c r="HF212" s="76"/>
      <c r="HG212" s="76"/>
      <c r="HH212" s="76"/>
      <c r="HI212" s="76"/>
      <c r="HJ212" s="76"/>
      <c r="HK212" s="76"/>
      <c r="HL212" s="76"/>
      <c r="HM212" s="76"/>
      <c r="HN212" s="76"/>
      <c r="HO212" s="76"/>
      <c r="HP212" s="76"/>
      <c r="HQ212" s="76"/>
      <c r="HR212" s="76"/>
      <c r="HS212" s="76"/>
      <c r="HT212" s="76"/>
      <c r="HU212" s="76"/>
      <c r="HV212" s="76">
        <v>1593900.0000000002</v>
      </c>
    </row>
    <row r="213" spans="1:230" x14ac:dyDescent="0.2">
      <c r="A213" s="74" t="s">
        <v>15</v>
      </c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7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68"/>
      <c r="DR213" s="76"/>
      <c r="DS213" s="76"/>
      <c r="DT213" s="76"/>
      <c r="DU213" s="76"/>
      <c r="DV213" s="76"/>
      <c r="DW213" s="76"/>
      <c r="DX213" s="76"/>
      <c r="DY213" s="76"/>
      <c r="DZ213" s="76"/>
      <c r="EA213" s="76"/>
      <c r="EB213" s="76"/>
      <c r="EC213" s="76"/>
      <c r="ED213" s="76"/>
      <c r="EE213" s="76"/>
      <c r="EF213" s="76"/>
      <c r="EG213" s="76"/>
      <c r="EH213" s="76"/>
      <c r="EI213" s="76"/>
      <c r="EJ213" s="76"/>
      <c r="EK213" s="76"/>
      <c r="EL213" s="76"/>
      <c r="EM213" s="76"/>
      <c r="EN213" s="76"/>
      <c r="EO213" s="76"/>
      <c r="EP213" s="76"/>
      <c r="EQ213" s="76"/>
      <c r="ER213" s="76"/>
      <c r="ES213" s="76"/>
      <c r="ET213" s="76"/>
      <c r="EU213" s="76"/>
      <c r="EV213" s="76"/>
      <c r="EW213" s="76"/>
      <c r="EX213" s="76"/>
      <c r="EY213" s="76"/>
      <c r="EZ213" s="76"/>
      <c r="FA213" s="76"/>
      <c r="FB213" s="76"/>
      <c r="FC213" s="76"/>
      <c r="FD213" s="76"/>
      <c r="FE213" s="76"/>
      <c r="FF213" s="76"/>
      <c r="FG213" s="76"/>
      <c r="FH213" s="76"/>
      <c r="FI213" s="76"/>
      <c r="FJ213" s="76"/>
      <c r="FK213" s="76"/>
      <c r="FL213" s="76"/>
      <c r="FM213" s="76"/>
      <c r="FN213" s="76"/>
      <c r="FO213" s="76"/>
      <c r="FP213" s="76"/>
      <c r="FQ213" s="76"/>
      <c r="FR213" s="76"/>
      <c r="FS213" s="76"/>
      <c r="FT213" s="76"/>
      <c r="FU213" s="76"/>
      <c r="FV213" s="76"/>
      <c r="FW213" s="76"/>
      <c r="FX213" s="76"/>
      <c r="FY213" s="76"/>
      <c r="FZ213" s="76"/>
      <c r="GA213" s="76"/>
      <c r="GB213" s="76"/>
      <c r="GC213" s="76"/>
      <c r="GD213" s="76"/>
      <c r="GE213" s="76"/>
      <c r="GF213" s="76"/>
      <c r="GG213" s="76"/>
      <c r="GH213" s="76"/>
      <c r="GI213" s="76"/>
      <c r="GJ213" s="76"/>
      <c r="GK213" s="76"/>
      <c r="GL213" s="76"/>
      <c r="GM213" s="76"/>
      <c r="GN213" s="76"/>
      <c r="GO213" s="76"/>
      <c r="GP213" s="76"/>
      <c r="GQ213" s="76"/>
      <c r="GR213" s="76"/>
      <c r="GS213" s="76"/>
      <c r="GT213" s="76">
        <v>116003.59351345974</v>
      </c>
      <c r="GU213" s="76">
        <v>1584.6639189267908</v>
      </c>
      <c r="GV213" s="76">
        <v>572.70140790233563</v>
      </c>
      <c r="GW213" s="76">
        <v>97.253924341460632</v>
      </c>
      <c r="GX213" s="76">
        <v>505.14831483094781</v>
      </c>
      <c r="GY213" s="76">
        <v>271.27444593096419</v>
      </c>
      <c r="GZ213" s="76">
        <v>19.364474607756332</v>
      </c>
      <c r="HA213" s="76">
        <v>747837.82801213348</v>
      </c>
      <c r="HB213" s="76"/>
      <c r="HC213" s="76">
        <v>19199.049512639031</v>
      </c>
      <c r="HD213" s="76"/>
      <c r="HE213" s="76">
        <v>2275.1224752275025</v>
      </c>
      <c r="HF213" s="76"/>
      <c r="HG213" s="76">
        <v>88424</v>
      </c>
      <c r="HH213" s="76">
        <v>-18588</v>
      </c>
      <c r="HI213" s="76">
        <v>32284</v>
      </c>
      <c r="HJ213" s="76">
        <v>47041</v>
      </c>
      <c r="HK213" s="76">
        <v>445654</v>
      </c>
      <c r="HL213" s="76">
        <v>388574</v>
      </c>
      <c r="HM213" s="76">
        <v>539719</v>
      </c>
      <c r="HN213" s="76"/>
      <c r="HO213" s="76"/>
      <c r="HP213" s="76"/>
      <c r="HQ213" s="76"/>
      <c r="HR213" s="76"/>
      <c r="HS213" s="76"/>
      <c r="HT213" s="76"/>
      <c r="HU213" s="76"/>
      <c r="HV213" s="76">
        <v>2411474</v>
      </c>
    </row>
    <row r="214" spans="1:230" x14ac:dyDescent="0.2">
      <c r="A214" s="74" t="s">
        <v>21</v>
      </c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7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>
        <v>4715</v>
      </c>
      <c r="BS214" s="76">
        <v>741</v>
      </c>
      <c r="BT214" s="76">
        <v>195</v>
      </c>
      <c r="BU214" s="76"/>
      <c r="BV214" s="76">
        <v>414</v>
      </c>
      <c r="BW214" s="76">
        <v>2285</v>
      </c>
      <c r="BX214" s="76">
        <v>51</v>
      </c>
      <c r="BY214" s="76">
        <v>3</v>
      </c>
      <c r="BZ214" s="76">
        <v>2237</v>
      </c>
      <c r="CA214" s="76">
        <v>100</v>
      </c>
      <c r="CB214" s="76"/>
      <c r="CC214" s="76">
        <v>7</v>
      </c>
      <c r="CD214" s="76">
        <v>83</v>
      </c>
      <c r="CE214" s="76">
        <v>1450</v>
      </c>
      <c r="CF214" s="76">
        <v>1732</v>
      </c>
      <c r="CG214" s="76">
        <v>11610</v>
      </c>
      <c r="CH214" s="76">
        <v>1587</v>
      </c>
      <c r="CI214" s="76">
        <v>15716</v>
      </c>
      <c r="CJ214" s="76"/>
      <c r="CK214" s="76">
        <v>3898</v>
      </c>
      <c r="CL214" s="76">
        <v>1756</v>
      </c>
      <c r="CM214" s="76">
        <v>1</v>
      </c>
      <c r="CN214" s="76">
        <v>29</v>
      </c>
      <c r="CO214" s="76">
        <v>2795</v>
      </c>
      <c r="CP214" s="76">
        <v>2</v>
      </c>
      <c r="CQ214" s="76">
        <v>1960</v>
      </c>
      <c r="CR214" s="76">
        <v>30</v>
      </c>
      <c r="CS214" s="76">
        <v>3006</v>
      </c>
      <c r="CT214" s="76">
        <v>3288</v>
      </c>
      <c r="CU214" s="76">
        <v>266</v>
      </c>
      <c r="CV214" s="76">
        <v>1000</v>
      </c>
      <c r="CW214" s="76">
        <v>822</v>
      </c>
      <c r="CX214" s="76">
        <v>840</v>
      </c>
      <c r="CY214" s="76">
        <v>3073</v>
      </c>
      <c r="CZ214" s="76">
        <v>8041</v>
      </c>
      <c r="DA214" s="76">
        <v>7833</v>
      </c>
      <c r="DB214" s="76">
        <v>1822</v>
      </c>
      <c r="DC214" s="76">
        <v>3788</v>
      </c>
      <c r="DD214" s="76">
        <v>4327</v>
      </c>
      <c r="DE214" s="76">
        <v>8750</v>
      </c>
      <c r="DF214" s="76">
        <v>2994</v>
      </c>
      <c r="DG214" s="76">
        <v>357</v>
      </c>
      <c r="DH214" s="76">
        <v>595</v>
      </c>
      <c r="DI214" s="76">
        <v>3091</v>
      </c>
      <c r="DJ214" s="76">
        <v>317</v>
      </c>
      <c r="DK214" s="76">
        <v>3052</v>
      </c>
      <c r="DL214" s="76"/>
      <c r="DM214" s="76">
        <v>11449</v>
      </c>
      <c r="DN214" s="76">
        <v>82</v>
      </c>
      <c r="DO214" s="76"/>
      <c r="DP214" s="76">
        <v>32427</v>
      </c>
      <c r="DQ214" s="68">
        <v>3235</v>
      </c>
      <c r="DR214" s="76">
        <v>28536</v>
      </c>
      <c r="DS214" s="76">
        <v>4499</v>
      </c>
      <c r="DT214" s="76">
        <v>23686</v>
      </c>
      <c r="DU214" s="76">
        <v>18090</v>
      </c>
      <c r="DV214" s="76">
        <v>12332</v>
      </c>
      <c r="DW214" s="76">
        <v>7446</v>
      </c>
      <c r="DX214" s="76">
        <v>1379</v>
      </c>
      <c r="DY214" s="76">
        <v>11450</v>
      </c>
      <c r="DZ214" s="76">
        <v>27287</v>
      </c>
      <c r="EA214" s="76">
        <v>6837</v>
      </c>
      <c r="EB214" s="76">
        <v>8203</v>
      </c>
      <c r="EC214" s="76">
        <v>202</v>
      </c>
      <c r="ED214" s="76">
        <v>212</v>
      </c>
      <c r="EE214" s="76">
        <v>4552</v>
      </c>
      <c r="EF214" s="76">
        <v>530</v>
      </c>
      <c r="EG214" s="76">
        <v>7831</v>
      </c>
      <c r="EH214" s="76">
        <v>11152</v>
      </c>
      <c r="EI214" s="76">
        <v>282</v>
      </c>
      <c r="EJ214" s="76">
        <v>10923</v>
      </c>
      <c r="EK214" s="76">
        <v>21054</v>
      </c>
      <c r="EL214" s="76">
        <v>10285</v>
      </c>
      <c r="EM214" s="76">
        <v>25725</v>
      </c>
      <c r="EN214" s="76">
        <v>10881</v>
      </c>
      <c r="EO214" s="76">
        <v>19181</v>
      </c>
      <c r="EP214" s="76">
        <v>2869</v>
      </c>
      <c r="EQ214" s="76">
        <v>1545</v>
      </c>
      <c r="ER214" s="76">
        <v>2376</v>
      </c>
      <c r="ES214" s="76">
        <v>36775</v>
      </c>
      <c r="ET214" s="76">
        <v>16986</v>
      </c>
      <c r="EU214" s="76">
        <v>2517</v>
      </c>
      <c r="EV214" s="76">
        <v>26645</v>
      </c>
      <c r="EW214" s="76">
        <v>17352</v>
      </c>
      <c r="EX214" s="76">
        <v>1787</v>
      </c>
      <c r="EY214" s="76">
        <v>11161</v>
      </c>
      <c r="EZ214" s="76">
        <v>12667</v>
      </c>
      <c r="FA214" s="76">
        <v>5213</v>
      </c>
      <c r="FB214" s="76"/>
      <c r="FC214" s="76">
        <v>588</v>
      </c>
      <c r="FD214" s="76"/>
      <c r="FE214" s="76">
        <v>1454</v>
      </c>
      <c r="FF214" s="76"/>
      <c r="FG214" s="76">
        <v>1885</v>
      </c>
      <c r="FH214" s="76">
        <v>108</v>
      </c>
      <c r="FI214" s="76">
        <v>3196</v>
      </c>
      <c r="FJ214" s="76">
        <v>3809</v>
      </c>
      <c r="FK214" s="76">
        <v>6938</v>
      </c>
      <c r="FL214" s="76">
        <v>2188</v>
      </c>
      <c r="FM214" s="76">
        <v>22</v>
      </c>
      <c r="FN214" s="76">
        <v>20123</v>
      </c>
      <c r="FO214" s="76">
        <v>14576</v>
      </c>
      <c r="FP214" s="76">
        <v>2260</v>
      </c>
      <c r="FQ214" s="76">
        <v>671</v>
      </c>
      <c r="FR214" s="76">
        <v>1098</v>
      </c>
      <c r="FS214" s="76">
        <v>12523</v>
      </c>
      <c r="FT214" s="76">
        <v>25774</v>
      </c>
      <c r="FU214" s="76">
        <v>4720</v>
      </c>
      <c r="FV214" s="76"/>
      <c r="FW214" s="76">
        <v>7283</v>
      </c>
      <c r="FX214" s="76"/>
      <c r="FY214" s="76">
        <v>11356</v>
      </c>
      <c r="FZ214" s="76">
        <v>3938</v>
      </c>
      <c r="GA214" s="76">
        <v>70873</v>
      </c>
      <c r="GB214" s="76">
        <v>1449</v>
      </c>
      <c r="GC214" s="76">
        <v>4817</v>
      </c>
      <c r="GD214" s="76"/>
      <c r="GE214" s="76"/>
      <c r="GF214" s="76"/>
      <c r="GG214" s="76"/>
      <c r="GH214" s="76">
        <v>1132</v>
      </c>
      <c r="GI214" s="76"/>
      <c r="GJ214" s="76">
        <v>920</v>
      </c>
      <c r="GK214" s="76">
        <v>5136</v>
      </c>
      <c r="GL214" s="76"/>
      <c r="GM214" s="76"/>
      <c r="GN214" s="76"/>
      <c r="GO214" s="76"/>
      <c r="GP214" s="76"/>
      <c r="GQ214" s="76"/>
      <c r="GR214" s="76"/>
      <c r="GS214" s="76">
        <v>365</v>
      </c>
      <c r="GT214" s="76"/>
      <c r="GU214" s="76"/>
      <c r="GV214" s="76"/>
      <c r="GW214" s="76"/>
      <c r="GX214" s="76"/>
      <c r="GY214" s="76"/>
      <c r="GZ214" s="76"/>
      <c r="HA214" s="76"/>
      <c r="HB214" s="76"/>
      <c r="HC214" s="76">
        <v>81430.013835141493</v>
      </c>
      <c r="HD214" s="76">
        <v>42593.986164858499</v>
      </c>
      <c r="HE214" s="76"/>
      <c r="HF214" s="76"/>
      <c r="HG214" s="76"/>
      <c r="HH214" s="76"/>
      <c r="HI214" s="76"/>
      <c r="HJ214" s="76"/>
      <c r="HK214" s="76"/>
      <c r="HL214" s="76"/>
      <c r="HM214" s="76"/>
      <c r="HN214" s="76"/>
      <c r="HO214" s="76"/>
      <c r="HP214" s="76"/>
      <c r="HQ214" s="76"/>
      <c r="HR214" s="76"/>
      <c r="HS214" s="76"/>
      <c r="HT214" s="76"/>
      <c r="HU214" s="76"/>
      <c r="HV214" s="76">
        <v>901525.99999999988</v>
      </c>
    </row>
    <row r="215" spans="1:230" x14ac:dyDescent="0.2">
      <c r="A215" s="74" t="s">
        <v>305</v>
      </c>
      <c r="B215" s="76">
        <v>5210</v>
      </c>
      <c r="C215" s="76">
        <v>2923</v>
      </c>
      <c r="D215" s="76">
        <v>294</v>
      </c>
      <c r="E215" s="76">
        <v>851</v>
      </c>
      <c r="F215" s="76">
        <v>4813</v>
      </c>
      <c r="G215" s="76">
        <v>616</v>
      </c>
      <c r="H215" s="76">
        <v>566</v>
      </c>
      <c r="I215" s="76">
        <v>6322</v>
      </c>
      <c r="J215" s="76">
        <v>2789</v>
      </c>
      <c r="K215" s="76">
        <v>7298</v>
      </c>
      <c r="L215" s="76">
        <v>2080</v>
      </c>
      <c r="M215" s="76">
        <v>387</v>
      </c>
      <c r="N215" s="76">
        <v>1999</v>
      </c>
      <c r="O215" s="76">
        <v>3849</v>
      </c>
      <c r="P215" s="76">
        <v>1908</v>
      </c>
      <c r="Q215" s="76">
        <v>1291</v>
      </c>
      <c r="R215" s="76">
        <v>2914</v>
      </c>
      <c r="S215" s="76">
        <v>1095</v>
      </c>
      <c r="T215" s="76">
        <v>2297</v>
      </c>
      <c r="U215" s="77">
        <v>1292</v>
      </c>
      <c r="V215" s="76">
        <v>2999</v>
      </c>
      <c r="W215" s="76">
        <v>2126</v>
      </c>
      <c r="X215" s="76">
        <v>1277</v>
      </c>
      <c r="Y215" s="76">
        <v>2696</v>
      </c>
      <c r="Z215" s="76">
        <v>4666</v>
      </c>
      <c r="AA215" s="76">
        <v>3763</v>
      </c>
      <c r="AB215" s="76">
        <v>2800</v>
      </c>
      <c r="AC215" s="76">
        <v>1174</v>
      </c>
      <c r="AD215" s="76">
        <v>4676</v>
      </c>
      <c r="AE215" s="76">
        <v>1965</v>
      </c>
      <c r="AF215" s="76">
        <v>3143</v>
      </c>
      <c r="AG215" s="76">
        <v>5519</v>
      </c>
      <c r="AH215" s="76">
        <v>4496</v>
      </c>
      <c r="AI215" s="76">
        <v>3291</v>
      </c>
      <c r="AJ215" s="76">
        <v>1635</v>
      </c>
      <c r="AK215" s="76">
        <v>2910</v>
      </c>
      <c r="AL215" s="76">
        <v>2345</v>
      </c>
      <c r="AM215" s="76">
        <v>5338</v>
      </c>
      <c r="AN215" s="76">
        <v>5462</v>
      </c>
      <c r="AO215" s="76">
        <v>18828</v>
      </c>
      <c r="AP215" s="76">
        <v>8619</v>
      </c>
      <c r="AQ215" s="76">
        <v>69273</v>
      </c>
      <c r="AR215" s="76">
        <v>16266</v>
      </c>
      <c r="AS215" s="76">
        <v>974</v>
      </c>
      <c r="AT215" s="76">
        <v>1088</v>
      </c>
      <c r="AU215" s="76">
        <v>10006</v>
      </c>
      <c r="AV215" s="76">
        <v>1753</v>
      </c>
      <c r="AW215" s="76">
        <v>8688</v>
      </c>
      <c r="AX215" s="76">
        <v>1237</v>
      </c>
      <c r="AY215" s="76">
        <v>1763</v>
      </c>
      <c r="AZ215" s="76">
        <v>4713</v>
      </c>
      <c r="BA215" s="76">
        <v>11086</v>
      </c>
      <c r="BB215" s="76">
        <v>37540</v>
      </c>
      <c r="BC215" s="76">
        <v>1733</v>
      </c>
      <c r="BD215" s="76">
        <v>10874</v>
      </c>
      <c r="BE215" s="76">
        <v>3866</v>
      </c>
      <c r="BF215" s="76">
        <v>2847</v>
      </c>
      <c r="BG215" s="76">
        <v>2279</v>
      </c>
      <c r="BH215" s="76">
        <v>21759</v>
      </c>
      <c r="BI215" s="76">
        <v>6597</v>
      </c>
      <c r="BJ215" s="76">
        <v>143544</v>
      </c>
      <c r="BK215" s="76">
        <v>47769</v>
      </c>
      <c r="BL215" s="76">
        <v>13826</v>
      </c>
      <c r="BM215" s="76">
        <v>24447</v>
      </c>
      <c r="BN215" s="76">
        <v>11487</v>
      </c>
      <c r="BO215" s="76">
        <v>1846</v>
      </c>
      <c r="BP215" s="76">
        <v>6425</v>
      </c>
      <c r="BQ215" s="76">
        <v>3974</v>
      </c>
      <c r="BR215" s="76"/>
      <c r="BS215" s="76"/>
      <c r="BT215" s="76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6"/>
      <c r="CT215" s="76"/>
      <c r="CU215" s="76"/>
      <c r="CV215" s="76"/>
      <c r="CW215" s="76"/>
      <c r="CX215" s="76"/>
      <c r="CY215" s="76"/>
      <c r="CZ215" s="76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6"/>
      <c r="DL215" s="76"/>
      <c r="DM215" s="76"/>
      <c r="DN215" s="76"/>
      <c r="DO215" s="76"/>
      <c r="DP215" s="76"/>
      <c r="DQ215" s="68"/>
      <c r="DR215" s="76"/>
      <c r="DS215" s="76"/>
      <c r="DT215" s="76"/>
      <c r="DU215" s="76"/>
      <c r="DV215" s="76"/>
      <c r="DW215" s="76"/>
      <c r="DX215" s="76"/>
      <c r="DY215" s="76"/>
      <c r="DZ215" s="76"/>
      <c r="EA215" s="76"/>
      <c r="EB215" s="76"/>
      <c r="EC215" s="76"/>
      <c r="ED215" s="76"/>
      <c r="EE215" s="76"/>
      <c r="EF215" s="76"/>
      <c r="EG215" s="76"/>
      <c r="EH215" s="76"/>
      <c r="EI215" s="76"/>
      <c r="EJ215" s="76"/>
      <c r="EK215" s="76"/>
      <c r="EL215" s="76"/>
      <c r="EM215" s="76"/>
      <c r="EN215" s="76"/>
      <c r="EO215" s="76"/>
      <c r="EP215" s="76"/>
      <c r="EQ215" s="76"/>
      <c r="ER215" s="76"/>
      <c r="ES215" s="76"/>
      <c r="ET215" s="76"/>
      <c r="EU215" s="76"/>
      <c r="EV215" s="76"/>
      <c r="EW215" s="76"/>
      <c r="EX215" s="76"/>
      <c r="EY215" s="76"/>
      <c r="EZ215" s="76"/>
      <c r="FA215" s="76"/>
      <c r="FB215" s="76"/>
      <c r="FC215" s="76"/>
      <c r="FD215" s="76"/>
      <c r="FE215" s="76"/>
      <c r="FF215" s="76"/>
      <c r="FG215" s="76"/>
      <c r="FH215" s="76"/>
      <c r="FI215" s="76"/>
      <c r="FJ215" s="76"/>
      <c r="FK215" s="76"/>
      <c r="FL215" s="76"/>
      <c r="FM215" s="76"/>
      <c r="FN215" s="76"/>
      <c r="FO215" s="76"/>
      <c r="FP215" s="76"/>
      <c r="FQ215" s="76"/>
      <c r="FR215" s="76"/>
      <c r="FS215" s="76"/>
      <c r="FT215" s="76"/>
      <c r="FU215" s="76"/>
      <c r="FV215" s="76"/>
      <c r="FW215" s="76"/>
      <c r="FX215" s="76"/>
      <c r="FY215" s="76"/>
      <c r="FZ215" s="76"/>
      <c r="GA215" s="76"/>
      <c r="GB215" s="76"/>
      <c r="GC215" s="76"/>
      <c r="GD215" s="76"/>
      <c r="GE215" s="76"/>
      <c r="GF215" s="76"/>
      <c r="GG215" s="76"/>
      <c r="GH215" s="76"/>
      <c r="GI215" s="76"/>
      <c r="GJ215" s="76"/>
      <c r="GK215" s="76"/>
      <c r="GL215" s="76"/>
      <c r="GM215" s="76"/>
      <c r="GN215" s="76"/>
      <c r="GO215" s="76"/>
      <c r="GP215" s="76"/>
      <c r="GQ215" s="76"/>
      <c r="GR215" s="76"/>
      <c r="GS215" s="76"/>
      <c r="GT215" s="76"/>
      <c r="GU215" s="76"/>
      <c r="GV215" s="76"/>
      <c r="GW215" s="76"/>
      <c r="GX215" s="76"/>
      <c r="GY215" s="76"/>
      <c r="GZ215" s="76"/>
      <c r="HA215" s="76"/>
      <c r="HB215" s="76"/>
      <c r="HC215" s="76"/>
      <c r="HD215" s="76"/>
      <c r="HE215" s="76"/>
      <c r="HF215" s="76"/>
      <c r="HG215" s="76"/>
      <c r="HH215" s="76"/>
      <c r="HI215" s="76"/>
      <c r="HJ215" s="76"/>
      <c r="HK215" s="76"/>
      <c r="HL215" s="76"/>
      <c r="HM215" s="76"/>
      <c r="HN215" s="76"/>
      <c r="HO215" s="76"/>
      <c r="HP215" s="76"/>
      <c r="HQ215" s="76"/>
      <c r="HR215" s="76"/>
      <c r="HS215" s="76"/>
      <c r="HT215" s="76"/>
      <c r="HU215" s="76"/>
      <c r="HV215" s="76">
        <v>608182</v>
      </c>
    </row>
    <row r="216" spans="1:230" x14ac:dyDescent="0.2">
      <c r="A216" s="74" t="s">
        <v>28</v>
      </c>
      <c r="B216" s="76">
        <v>1686</v>
      </c>
      <c r="C216" s="76">
        <v>638</v>
      </c>
      <c r="D216" s="76">
        <v>145</v>
      </c>
      <c r="E216" s="76">
        <v>195</v>
      </c>
      <c r="F216" s="76">
        <v>1140</v>
      </c>
      <c r="G216" s="76">
        <v>473</v>
      </c>
      <c r="H216" s="76">
        <v>156</v>
      </c>
      <c r="I216" s="76">
        <v>2278</v>
      </c>
      <c r="J216" s="76">
        <v>797</v>
      </c>
      <c r="K216" s="76">
        <v>2710</v>
      </c>
      <c r="L216" s="76">
        <v>857</v>
      </c>
      <c r="M216" s="76">
        <v>121</v>
      </c>
      <c r="N216" s="76">
        <v>501</v>
      </c>
      <c r="O216" s="76">
        <v>635</v>
      </c>
      <c r="P216" s="76">
        <v>482</v>
      </c>
      <c r="Q216" s="76">
        <v>326</v>
      </c>
      <c r="R216" s="76">
        <v>820</v>
      </c>
      <c r="S216" s="76">
        <v>260</v>
      </c>
      <c r="T216" s="76">
        <v>1075</v>
      </c>
      <c r="U216" s="77">
        <v>446</v>
      </c>
      <c r="V216" s="76">
        <v>1154</v>
      </c>
      <c r="W216" s="76">
        <v>641</v>
      </c>
      <c r="X216" s="76">
        <v>421</v>
      </c>
      <c r="Y216" s="76">
        <v>623</v>
      </c>
      <c r="Z216" s="76">
        <v>1075</v>
      </c>
      <c r="AA216" s="76">
        <v>839</v>
      </c>
      <c r="AB216" s="76">
        <v>899</v>
      </c>
      <c r="AC216" s="76">
        <v>460</v>
      </c>
      <c r="AD216" s="76">
        <v>985</v>
      </c>
      <c r="AE216" s="76">
        <v>926</v>
      </c>
      <c r="AF216" s="76">
        <v>722</v>
      </c>
      <c r="AG216" s="76">
        <v>1250</v>
      </c>
      <c r="AH216" s="76">
        <v>1344</v>
      </c>
      <c r="AI216" s="76">
        <v>990</v>
      </c>
      <c r="AJ216" s="76">
        <v>426</v>
      </c>
      <c r="AK216" s="76">
        <v>686</v>
      </c>
      <c r="AL216" s="76">
        <v>440</v>
      </c>
      <c r="AM216" s="76">
        <v>2624</v>
      </c>
      <c r="AN216" s="76">
        <v>865</v>
      </c>
      <c r="AO216" s="76">
        <v>3357</v>
      </c>
      <c r="AP216" s="76">
        <v>1367</v>
      </c>
      <c r="AQ216" s="76">
        <v>11684</v>
      </c>
      <c r="AR216" s="76">
        <v>3428</v>
      </c>
      <c r="AS216" s="76">
        <v>400</v>
      </c>
      <c r="AT216" s="76">
        <v>617</v>
      </c>
      <c r="AU216" s="76">
        <v>1669</v>
      </c>
      <c r="AV216" s="76">
        <v>371</v>
      </c>
      <c r="AW216" s="76">
        <v>1602</v>
      </c>
      <c r="AX216" s="76">
        <v>223</v>
      </c>
      <c r="AY216" s="76">
        <v>1018</v>
      </c>
      <c r="AZ216" s="76">
        <v>4427</v>
      </c>
      <c r="BA216" s="76">
        <v>1890</v>
      </c>
      <c r="BB216" s="76">
        <v>7841</v>
      </c>
      <c r="BC216" s="76">
        <v>454</v>
      </c>
      <c r="BD216" s="76">
        <v>2458</v>
      </c>
      <c r="BE216" s="76">
        <v>617</v>
      </c>
      <c r="BF216" s="76">
        <v>462</v>
      </c>
      <c r="BG216" s="76">
        <v>484</v>
      </c>
      <c r="BH216" s="76">
        <v>3145</v>
      </c>
      <c r="BI216" s="76">
        <v>984</v>
      </c>
      <c r="BJ216" s="76">
        <v>169</v>
      </c>
      <c r="BK216" s="76"/>
      <c r="BL216" s="76">
        <v>2544</v>
      </c>
      <c r="BM216" s="76"/>
      <c r="BN216" s="76">
        <v>2716</v>
      </c>
      <c r="BO216" s="76">
        <v>288</v>
      </c>
      <c r="BP216" s="76">
        <v>1098</v>
      </c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68"/>
      <c r="DR216" s="76"/>
      <c r="DS216" s="76"/>
      <c r="DT216" s="76"/>
      <c r="DU216" s="76"/>
      <c r="DV216" s="76"/>
      <c r="DW216" s="76"/>
      <c r="DX216" s="76"/>
      <c r="DY216" s="76"/>
      <c r="DZ216" s="76"/>
      <c r="EA216" s="76"/>
      <c r="EB216" s="76"/>
      <c r="EC216" s="76"/>
      <c r="ED216" s="76"/>
      <c r="EE216" s="76"/>
      <c r="EF216" s="76"/>
      <c r="EG216" s="76"/>
      <c r="EH216" s="76"/>
      <c r="EI216" s="76"/>
      <c r="EJ216" s="76"/>
      <c r="EK216" s="76"/>
      <c r="EL216" s="76"/>
      <c r="EM216" s="76"/>
      <c r="EN216" s="76"/>
      <c r="EO216" s="76"/>
      <c r="EP216" s="76"/>
      <c r="EQ216" s="76"/>
      <c r="ER216" s="76"/>
      <c r="ES216" s="76"/>
      <c r="ET216" s="76"/>
      <c r="EU216" s="76"/>
      <c r="EV216" s="76"/>
      <c r="EW216" s="76"/>
      <c r="EX216" s="76"/>
      <c r="EY216" s="76"/>
      <c r="EZ216" s="76"/>
      <c r="FA216" s="76"/>
      <c r="FB216" s="76"/>
      <c r="FC216" s="76"/>
      <c r="FD216" s="76"/>
      <c r="FE216" s="76"/>
      <c r="FF216" s="76"/>
      <c r="FG216" s="76"/>
      <c r="FH216" s="76"/>
      <c r="FI216" s="76"/>
      <c r="FJ216" s="76"/>
      <c r="FK216" s="76"/>
      <c r="FL216" s="76"/>
      <c r="FM216" s="76"/>
      <c r="FN216" s="76"/>
      <c r="FO216" s="76"/>
      <c r="FP216" s="76"/>
      <c r="FQ216" s="76"/>
      <c r="FR216" s="76"/>
      <c r="FS216" s="76"/>
      <c r="FT216" s="76"/>
      <c r="FU216" s="76"/>
      <c r="FV216" s="76"/>
      <c r="FW216" s="76"/>
      <c r="FX216" s="76"/>
      <c r="FY216" s="76"/>
      <c r="FZ216" s="76"/>
      <c r="GA216" s="76"/>
      <c r="GB216" s="76"/>
      <c r="GC216" s="76"/>
      <c r="GD216" s="76"/>
      <c r="GE216" s="76"/>
      <c r="GF216" s="76"/>
      <c r="GG216" s="76"/>
      <c r="GH216" s="76"/>
      <c r="GI216" s="76"/>
      <c r="GJ216" s="76"/>
      <c r="GK216" s="76"/>
      <c r="GL216" s="76"/>
      <c r="GM216" s="76"/>
      <c r="GN216" s="76"/>
      <c r="GO216" s="76"/>
      <c r="GP216" s="76"/>
      <c r="GQ216" s="76"/>
      <c r="GR216" s="76"/>
      <c r="GS216" s="76"/>
      <c r="GT216" s="76"/>
      <c r="GU216" s="76"/>
      <c r="GV216" s="76"/>
      <c r="GW216" s="76"/>
      <c r="GX216" s="76"/>
      <c r="GY216" s="76"/>
      <c r="GZ216" s="76"/>
      <c r="HA216" s="76"/>
      <c r="HB216" s="76"/>
      <c r="HC216" s="76"/>
      <c r="HD216" s="76"/>
      <c r="HE216" s="76"/>
      <c r="HF216" s="76"/>
      <c r="HG216" s="76"/>
      <c r="HH216" s="76"/>
      <c r="HI216" s="76"/>
      <c r="HJ216" s="76"/>
      <c r="HK216" s="76"/>
      <c r="HL216" s="76"/>
      <c r="HM216" s="76"/>
      <c r="HN216" s="76"/>
      <c r="HO216" s="76"/>
      <c r="HP216" s="76"/>
      <c r="HQ216" s="76"/>
      <c r="HR216" s="76"/>
      <c r="HS216" s="76"/>
      <c r="HT216" s="76"/>
      <c r="HU216" s="76"/>
      <c r="HV216" s="76">
        <v>88424</v>
      </c>
    </row>
    <row r="217" spans="1:230" x14ac:dyDescent="0.2">
      <c r="A217" s="74" t="s">
        <v>306</v>
      </c>
      <c r="B217" s="76">
        <v>-10258</v>
      </c>
      <c r="C217" s="76">
        <v>-162</v>
      </c>
      <c r="D217" s="76">
        <v>-40</v>
      </c>
      <c r="E217" s="76">
        <v>-87</v>
      </c>
      <c r="F217" s="76"/>
      <c r="G217" s="76">
        <v>-35</v>
      </c>
      <c r="H217" s="76"/>
      <c r="I217" s="76">
        <v>-117</v>
      </c>
      <c r="J217" s="76">
        <v>-164</v>
      </c>
      <c r="K217" s="76">
        <v>-150</v>
      </c>
      <c r="L217" s="76">
        <v>-45</v>
      </c>
      <c r="M217" s="76"/>
      <c r="N217" s="76">
        <v>-30</v>
      </c>
      <c r="O217" s="76"/>
      <c r="P217" s="76"/>
      <c r="Q217" s="76">
        <v>-45</v>
      </c>
      <c r="R217" s="76">
        <v>-114</v>
      </c>
      <c r="S217" s="76"/>
      <c r="T217" s="76">
        <v>-215</v>
      </c>
      <c r="U217" s="77">
        <v>-183</v>
      </c>
      <c r="V217" s="76">
        <v>-43</v>
      </c>
      <c r="W217" s="76"/>
      <c r="X217" s="76"/>
      <c r="Y217" s="76">
        <v>-30</v>
      </c>
      <c r="Z217" s="76">
        <v>-171</v>
      </c>
      <c r="AA217" s="76">
        <v>-140</v>
      </c>
      <c r="AB217" s="76">
        <v>-76</v>
      </c>
      <c r="AC217" s="76">
        <v>-39</v>
      </c>
      <c r="AD217" s="76">
        <v>-95</v>
      </c>
      <c r="AE217" s="76"/>
      <c r="AF217" s="76">
        <v>-106</v>
      </c>
      <c r="AG217" s="76">
        <v>-279</v>
      </c>
      <c r="AH217" s="76">
        <v>-313</v>
      </c>
      <c r="AI217" s="76">
        <v>-257</v>
      </c>
      <c r="AJ217" s="76">
        <v>-72</v>
      </c>
      <c r="AK217" s="76">
        <v>-40</v>
      </c>
      <c r="AL217" s="76"/>
      <c r="AM217" s="76">
        <v>-170</v>
      </c>
      <c r="AN217" s="76">
        <v>-44</v>
      </c>
      <c r="AO217" s="76">
        <v>-521</v>
      </c>
      <c r="AP217" s="76">
        <v>-41</v>
      </c>
      <c r="AQ217" s="76">
        <v>-884</v>
      </c>
      <c r="AR217" s="76">
        <v>-2333</v>
      </c>
      <c r="AS217" s="76"/>
      <c r="AT217" s="76">
        <v>-36</v>
      </c>
      <c r="AU217" s="76">
        <v>-70</v>
      </c>
      <c r="AV217" s="76"/>
      <c r="AW217" s="76"/>
      <c r="AX217" s="76"/>
      <c r="AY217" s="76"/>
      <c r="AZ217" s="76">
        <v>-91</v>
      </c>
      <c r="BA217" s="76"/>
      <c r="BB217" s="76"/>
      <c r="BC217" s="76"/>
      <c r="BD217" s="76"/>
      <c r="BE217" s="76">
        <v>-651</v>
      </c>
      <c r="BF217" s="76"/>
      <c r="BG217" s="76">
        <v>-221</v>
      </c>
      <c r="BH217" s="76">
        <v>-70</v>
      </c>
      <c r="BI217" s="76"/>
      <c r="BJ217" s="76"/>
      <c r="BK217" s="76"/>
      <c r="BL217" s="76"/>
      <c r="BM217" s="76"/>
      <c r="BN217" s="76">
        <v>-150</v>
      </c>
      <c r="BO217" s="76"/>
      <c r="BP217" s="76"/>
      <c r="BQ217" s="76"/>
      <c r="BR217" s="76"/>
      <c r="BS217" s="76"/>
      <c r="BT217" s="76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6"/>
      <c r="CT217" s="76"/>
      <c r="CU217" s="76"/>
      <c r="CV217" s="76"/>
      <c r="CW217" s="76"/>
      <c r="CX217" s="76"/>
      <c r="CY217" s="76"/>
      <c r="CZ217" s="76"/>
      <c r="DA217" s="76"/>
      <c r="DB217" s="76"/>
      <c r="DC217" s="76"/>
      <c r="DD217" s="76"/>
      <c r="DE217" s="76"/>
      <c r="DF217" s="76"/>
      <c r="DG217" s="76"/>
      <c r="DH217" s="76"/>
      <c r="DI217" s="76"/>
      <c r="DJ217" s="76"/>
      <c r="DK217" s="76"/>
      <c r="DL217" s="76"/>
      <c r="DM217" s="76"/>
      <c r="DN217" s="76"/>
      <c r="DO217" s="76"/>
      <c r="DP217" s="76"/>
      <c r="DQ217" s="68"/>
      <c r="DR217" s="76"/>
      <c r="DS217" s="76"/>
      <c r="DT217" s="76"/>
      <c r="DU217" s="76"/>
      <c r="DV217" s="76"/>
      <c r="DW217" s="76"/>
      <c r="DX217" s="76"/>
      <c r="DY217" s="76"/>
      <c r="DZ217" s="76"/>
      <c r="EA217" s="76"/>
      <c r="EB217" s="76"/>
      <c r="EC217" s="76"/>
      <c r="ED217" s="76"/>
      <c r="EE217" s="76"/>
      <c r="EF217" s="76"/>
      <c r="EG217" s="76"/>
      <c r="EH217" s="76"/>
      <c r="EI217" s="76"/>
      <c r="EJ217" s="76"/>
      <c r="EK217" s="76"/>
      <c r="EL217" s="76"/>
      <c r="EM217" s="76"/>
      <c r="EN217" s="76"/>
      <c r="EO217" s="76"/>
      <c r="EP217" s="76"/>
      <c r="EQ217" s="76"/>
      <c r="ER217" s="76"/>
      <c r="ES217" s="76"/>
      <c r="ET217" s="76"/>
      <c r="EU217" s="76"/>
      <c r="EV217" s="76"/>
      <c r="EW217" s="76"/>
      <c r="EX217" s="76"/>
      <c r="EY217" s="76"/>
      <c r="EZ217" s="76"/>
      <c r="FA217" s="76"/>
      <c r="FB217" s="76"/>
      <c r="FC217" s="76"/>
      <c r="FD217" s="76"/>
      <c r="FE217" s="76"/>
      <c r="FF217" s="76"/>
      <c r="FG217" s="76"/>
      <c r="FH217" s="76"/>
      <c r="FI217" s="76"/>
      <c r="FJ217" s="76"/>
      <c r="FK217" s="76"/>
      <c r="FL217" s="76"/>
      <c r="FM217" s="76"/>
      <c r="FN217" s="76"/>
      <c r="FO217" s="76"/>
      <c r="FP217" s="76"/>
      <c r="FQ217" s="76"/>
      <c r="FR217" s="76"/>
      <c r="FS217" s="76"/>
      <c r="FT217" s="76"/>
      <c r="FU217" s="76"/>
      <c r="FV217" s="76"/>
      <c r="FW217" s="76"/>
      <c r="FX217" s="76"/>
      <c r="FY217" s="76"/>
      <c r="FZ217" s="76"/>
      <c r="GA217" s="76"/>
      <c r="GB217" s="76"/>
      <c r="GC217" s="76"/>
      <c r="GD217" s="76"/>
      <c r="GE217" s="76"/>
      <c r="GF217" s="76"/>
      <c r="GG217" s="76"/>
      <c r="GH217" s="76"/>
      <c r="GI217" s="76"/>
      <c r="GJ217" s="76"/>
      <c r="GK217" s="76"/>
      <c r="GL217" s="76"/>
      <c r="GM217" s="76"/>
      <c r="GN217" s="76"/>
      <c r="GO217" s="76"/>
      <c r="GP217" s="76"/>
      <c r="GQ217" s="76"/>
      <c r="GR217" s="76"/>
      <c r="GS217" s="76"/>
      <c r="GT217" s="76"/>
      <c r="GU217" s="76"/>
      <c r="GV217" s="76"/>
      <c r="GW217" s="76"/>
      <c r="GX217" s="76"/>
      <c r="GY217" s="76"/>
      <c r="GZ217" s="76"/>
      <c r="HA217" s="76"/>
      <c r="HB217" s="76"/>
      <c r="HC217" s="76"/>
      <c r="HD217" s="76"/>
      <c r="HE217" s="76"/>
      <c r="HF217" s="76"/>
      <c r="HG217" s="76"/>
      <c r="HH217" s="76"/>
      <c r="HI217" s="76"/>
      <c r="HJ217" s="76"/>
      <c r="HK217" s="76"/>
      <c r="HL217" s="76"/>
      <c r="HM217" s="76"/>
      <c r="HN217" s="76"/>
      <c r="HO217" s="76"/>
      <c r="HP217" s="76"/>
      <c r="HQ217" s="76"/>
      <c r="HR217" s="76"/>
      <c r="HS217" s="76"/>
      <c r="HT217" s="76"/>
      <c r="HU217" s="76"/>
      <c r="HV217" s="76">
        <v>-18588</v>
      </c>
    </row>
    <row r="218" spans="1:230" x14ac:dyDescent="0.2">
      <c r="A218" s="74" t="s">
        <v>20</v>
      </c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7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>
        <v>42</v>
      </c>
      <c r="BS218" s="76"/>
      <c r="BT218" s="76">
        <v>1</v>
      </c>
      <c r="BU218" s="76"/>
      <c r="BV218" s="76"/>
      <c r="BW218" s="76">
        <v>190</v>
      </c>
      <c r="BX218" s="76">
        <v>4</v>
      </c>
      <c r="BY218" s="76"/>
      <c r="BZ218" s="76">
        <v>124</v>
      </c>
      <c r="CA218" s="76"/>
      <c r="CB218" s="76"/>
      <c r="CC218" s="76"/>
      <c r="CD218" s="76"/>
      <c r="CE218" s="76">
        <v>123</v>
      </c>
      <c r="CF218" s="76">
        <v>4</v>
      </c>
      <c r="CG218" s="76"/>
      <c r="CH218" s="76">
        <v>19</v>
      </c>
      <c r="CI218" s="76"/>
      <c r="CJ218" s="76"/>
      <c r="CK218" s="76">
        <v>5</v>
      </c>
      <c r="CL218" s="76">
        <v>46</v>
      </c>
      <c r="CM218" s="76"/>
      <c r="CN218" s="76"/>
      <c r="CO218" s="76">
        <v>138</v>
      </c>
      <c r="CP218" s="76"/>
      <c r="CQ218" s="76">
        <v>65</v>
      </c>
      <c r="CR218" s="76">
        <v>1</v>
      </c>
      <c r="CS218" s="76">
        <v>190</v>
      </c>
      <c r="CT218" s="76">
        <v>209</v>
      </c>
      <c r="CU218" s="76">
        <v>8</v>
      </c>
      <c r="CV218" s="76">
        <v>3</v>
      </c>
      <c r="CW218" s="76">
        <v>32</v>
      </c>
      <c r="CX218" s="76">
        <v>61</v>
      </c>
      <c r="CY218" s="76">
        <v>353</v>
      </c>
      <c r="CZ218" s="76">
        <v>264</v>
      </c>
      <c r="DA218" s="76">
        <v>15</v>
      </c>
      <c r="DB218" s="76">
        <v>315</v>
      </c>
      <c r="DC218" s="76">
        <v>972</v>
      </c>
      <c r="DD218" s="76">
        <v>650</v>
      </c>
      <c r="DE218" s="76">
        <v>1780</v>
      </c>
      <c r="DF218" s="76">
        <v>853</v>
      </c>
      <c r="DG218" s="76">
        <v>33</v>
      </c>
      <c r="DH218" s="76">
        <v>24</v>
      </c>
      <c r="DI218" s="76">
        <v>231</v>
      </c>
      <c r="DJ218" s="76">
        <v>18</v>
      </c>
      <c r="DK218" s="76"/>
      <c r="DL218" s="76"/>
      <c r="DM218" s="76"/>
      <c r="DN218" s="76"/>
      <c r="DO218" s="76"/>
      <c r="DP218" s="76">
        <v>23</v>
      </c>
      <c r="DQ218" s="68">
        <v>76</v>
      </c>
      <c r="DR218" s="76">
        <v>309</v>
      </c>
      <c r="DS218" s="76">
        <v>36</v>
      </c>
      <c r="DT218" s="76">
        <v>912</v>
      </c>
      <c r="DU218" s="76">
        <v>1497</v>
      </c>
      <c r="DV218" s="76">
        <v>492</v>
      </c>
      <c r="DW218" s="76">
        <v>520</v>
      </c>
      <c r="DX218" s="76">
        <v>164</v>
      </c>
      <c r="DY218" s="76">
        <v>329</v>
      </c>
      <c r="DZ218" s="76">
        <v>905</v>
      </c>
      <c r="EA218" s="76">
        <v>744</v>
      </c>
      <c r="EB218" s="76">
        <v>957</v>
      </c>
      <c r="EC218" s="76">
        <v>5</v>
      </c>
      <c r="ED218" s="76">
        <v>21</v>
      </c>
      <c r="EE218" s="76">
        <v>390</v>
      </c>
      <c r="EF218" s="76">
        <v>21</v>
      </c>
      <c r="EG218" s="76">
        <v>695</v>
      </c>
      <c r="EH218" s="76">
        <v>193</v>
      </c>
      <c r="EI218" s="76"/>
      <c r="EJ218" s="76">
        <v>1478</v>
      </c>
      <c r="EK218" s="76">
        <v>518</v>
      </c>
      <c r="EL218" s="76">
        <v>560</v>
      </c>
      <c r="EM218" s="76">
        <v>1534</v>
      </c>
      <c r="EN218" s="76">
        <v>775</v>
      </c>
      <c r="EO218" s="76">
        <v>2185</v>
      </c>
      <c r="EP218" s="76">
        <v>449</v>
      </c>
      <c r="EQ218" s="76">
        <v>139</v>
      </c>
      <c r="ER218" s="76">
        <v>110</v>
      </c>
      <c r="ES218" s="76">
        <v>3224</v>
      </c>
      <c r="ET218" s="76">
        <v>1202</v>
      </c>
      <c r="EU218" s="76">
        <v>191</v>
      </c>
      <c r="EV218" s="76">
        <v>2744</v>
      </c>
      <c r="EW218" s="76">
        <v>259</v>
      </c>
      <c r="EX218" s="76">
        <v>273</v>
      </c>
      <c r="EY218" s="76">
        <v>1570</v>
      </c>
      <c r="EZ218" s="76"/>
      <c r="FA218" s="76"/>
      <c r="FB218" s="76"/>
      <c r="FC218" s="76"/>
      <c r="FD218" s="76"/>
      <c r="FE218" s="76"/>
      <c r="FF218" s="76"/>
      <c r="FG218" s="76"/>
      <c r="FH218" s="76"/>
      <c r="FI218" s="76"/>
      <c r="FJ218" s="76"/>
      <c r="FK218" s="76"/>
      <c r="FL218" s="76"/>
      <c r="FM218" s="76"/>
      <c r="FN218" s="76"/>
      <c r="FO218" s="76"/>
      <c r="FP218" s="76">
        <v>3</v>
      </c>
      <c r="FQ218" s="76">
        <v>5</v>
      </c>
      <c r="FR218" s="76"/>
      <c r="FS218" s="76"/>
      <c r="FT218" s="76"/>
      <c r="FU218" s="76"/>
      <c r="FV218" s="76"/>
      <c r="FW218" s="76"/>
      <c r="FX218" s="76"/>
      <c r="FY218" s="76"/>
      <c r="FZ218" s="76"/>
      <c r="GA218" s="76"/>
      <c r="GB218" s="76"/>
      <c r="GC218" s="76"/>
      <c r="GD218" s="76"/>
      <c r="GE218" s="76"/>
      <c r="GF218" s="76"/>
      <c r="GG218" s="76"/>
      <c r="GH218" s="76"/>
      <c r="GI218" s="76"/>
      <c r="GJ218" s="76"/>
      <c r="GK218" s="76">
        <v>3</v>
      </c>
      <c r="GL218" s="76"/>
      <c r="GM218" s="76"/>
      <c r="GN218" s="76"/>
      <c r="GO218" s="76"/>
      <c r="GP218" s="76"/>
      <c r="GQ218" s="76"/>
      <c r="GR218" s="76"/>
      <c r="GS218" s="76"/>
      <c r="GT218" s="76"/>
      <c r="GU218" s="76"/>
      <c r="GV218" s="76"/>
      <c r="GW218" s="76"/>
      <c r="GX218" s="76"/>
      <c r="GY218" s="76"/>
      <c r="GZ218" s="76"/>
      <c r="HA218" s="76"/>
      <c r="HB218" s="76"/>
      <c r="HC218" s="76"/>
      <c r="HD218" s="76"/>
      <c r="HE218" s="76"/>
      <c r="HF218" s="76"/>
      <c r="HG218" s="76"/>
      <c r="HH218" s="76"/>
      <c r="HI218" s="76"/>
      <c r="HJ218" s="76"/>
      <c r="HK218" s="76"/>
      <c r="HL218" s="76"/>
      <c r="HM218" s="76"/>
      <c r="HN218" s="76"/>
      <c r="HO218" s="76"/>
      <c r="HP218" s="76"/>
      <c r="HQ218" s="76"/>
      <c r="HR218" s="76"/>
      <c r="HS218" s="76"/>
      <c r="HT218" s="76"/>
      <c r="HU218" s="76"/>
      <c r="HV218" s="76">
        <v>32284</v>
      </c>
    </row>
    <row r="219" spans="1:230" x14ac:dyDescent="0.2">
      <c r="A219" s="74" t="s">
        <v>307</v>
      </c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7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>
        <v>38</v>
      </c>
      <c r="CP219" s="76"/>
      <c r="CQ219" s="76">
        <v>294</v>
      </c>
      <c r="CR219" s="76">
        <v>87</v>
      </c>
      <c r="CS219" s="76"/>
      <c r="CT219" s="76"/>
      <c r="CU219" s="76"/>
      <c r="CV219" s="76"/>
      <c r="CW219" s="76">
        <v>1</v>
      </c>
      <c r="CX219" s="76">
        <v>159</v>
      </c>
      <c r="CY219" s="76">
        <v>484</v>
      </c>
      <c r="CZ219" s="76">
        <v>4779</v>
      </c>
      <c r="DA219" s="76">
        <v>4962</v>
      </c>
      <c r="DB219" s="76"/>
      <c r="DC219" s="76">
        <v>63</v>
      </c>
      <c r="DD219" s="76">
        <v>289</v>
      </c>
      <c r="DE219" s="76"/>
      <c r="DF219" s="76">
        <v>232</v>
      </c>
      <c r="DG219" s="76">
        <v>246</v>
      </c>
      <c r="DH219" s="76"/>
      <c r="DI219" s="76">
        <v>1459</v>
      </c>
      <c r="DJ219" s="76">
        <v>92</v>
      </c>
      <c r="DK219" s="76"/>
      <c r="DL219" s="76"/>
      <c r="DM219" s="76"/>
      <c r="DN219" s="76"/>
      <c r="DO219" s="76"/>
      <c r="DP219" s="76">
        <v>95</v>
      </c>
      <c r="DQ219" s="68"/>
      <c r="DR219" s="76">
        <v>6</v>
      </c>
      <c r="DS219" s="76"/>
      <c r="DT219" s="76">
        <v>14</v>
      </c>
      <c r="DU219" s="76">
        <v>44</v>
      </c>
      <c r="DV219" s="76"/>
      <c r="DW219" s="76">
        <v>363</v>
      </c>
      <c r="DX219" s="76">
        <v>321</v>
      </c>
      <c r="DY219" s="76">
        <v>3530</v>
      </c>
      <c r="DZ219" s="76"/>
      <c r="EA219" s="76">
        <v>900</v>
      </c>
      <c r="EB219" s="76">
        <v>1511</v>
      </c>
      <c r="EC219" s="76"/>
      <c r="ED219" s="76"/>
      <c r="EE219" s="76">
        <v>399</v>
      </c>
      <c r="EF219" s="76"/>
      <c r="EG219" s="76">
        <v>205</v>
      </c>
      <c r="EH219" s="76">
        <v>110</v>
      </c>
      <c r="EI219" s="76">
        <v>31</v>
      </c>
      <c r="EJ219" s="76">
        <v>1896</v>
      </c>
      <c r="EK219" s="76">
        <v>65</v>
      </c>
      <c r="EL219" s="76">
        <v>1717</v>
      </c>
      <c r="EM219" s="76">
        <v>4504</v>
      </c>
      <c r="EN219" s="76">
        <v>421</v>
      </c>
      <c r="EO219" s="76">
        <v>1271</v>
      </c>
      <c r="EP219" s="76">
        <v>1731</v>
      </c>
      <c r="EQ219" s="76">
        <v>55</v>
      </c>
      <c r="ER219" s="76">
        <v>57</v>
      </c>
      <c r="ES219" s="76">
        <v>934</v>
      </c>
      <c r="ET219" s="76">
        <v>8298</v>
      </c>
      <c r="EU219" s="76">
        <v>119</v>
      </c>
      <c r="EV219" s="76">
        <v>1306</v>
      </c>
      <c r="EW219" s="76">
        <v>1793</v>
      </c>
      <c r="EX219" s="76">
        <v>787</v>
      </c>
      <c r="EY219" s="76">
        <v>1373</v>
      </c>
      <c r="EZ219" s="76"/>
      <c r="FA219" s="76"/>
      <c r="FB219" s="76"/>
      <c r="FC219" s="76"/>
      <c r="FD219" s="76"/>
      <c r="FE219" s="76"/>
      <c r="FF219" s="76"/>
      <c r="FG219" s="76"/>
      <c r="FH219" s="76"/>
      <c r="FI219" s="76"/>
      <c r="FJ219" s="76"/>
      <c r="FK219" s="76"/>
      <c r="FL219" s="76"/>
      <c r="FM219" s="76"/>
      <c r="FN219" s="76"/>
      <c r="FO219" s="76"/>
      <c r="FP219" s="76"/>
      <c r="FQ219" s="76"/>
      <c r="FR219" s="76"/>
      <c r="FS219" s="76"/>
      <c r="FT219" s="76"/>
      <c r="FU219" s="76"/>
      <c r="FV219" s="76"/>
      <c r="FW219" s="76"/>
      <c r="FX219" s="76"/>
      <c r="FY219" s="76"/>
      <c r="FZ219" s="76"/>
      <c r="GA219" s="76"/>
      <c r="GB219" s="76"/>
      <c r="GC219" s="76"/>
      <c r="GD219" s="76"/>
      <c r="GE219" s="76"/>
      <c r="GF219" s="76"/>
      <c r="GG219" s="76"/>
      <c r="GH219" s="76"/>
      <c r="GI219" s="76"/>
      <c r="GJ219" s="76"/>
      <c r="GK219" s="76"/>
      <c r="GL219" s="76"/>
      <c r="GM219" s="76"/>
      <c r="GN219" s="76"/>
      <c r="GO219" s="76"/>
      <c r="GP219" s="76"/>
      <c r="GQ219" s="76"/>
      <c r="GR219" s="76"/>
      <c r="GS219" s="76"/>
      <c r="GT219" s="76"/>
      <c r="GU219" s="76"/>
      <c r="GV219" s="76"/>
      <c r="GW219" s="76"/>
      <c r="GX219" s="76"/>
      <c r="GY219" s="76"/>
      <c r="GZ219" s="76"/>
      <c r="HA219" s="76"/>
      <c r="HB219" s="76"/>
      <c r="HC219" s="76"/>
      <c r="HD219" s="76"/>
      <c r="HE219" s="76"/>
      <c r="HF219" s="76"/>
      <c r="HG219" s="76"/>
      <c r="HH219" s="76"/>
      <c r="HI219" s="76"/>
      <c r="HJ219" s="76"/>
      <c r="HK219" s="76"/>
      <c r="HL219" s="76"/>
      <c r="HM219" s="76"/>
      <c r="HN219" s="76"/>
      <c r="HO219" s="76"/>
      <c r="HP219" s="76"/>
      <c r="HQ219" s="76"/>
      <c r="HR219" s="76"/>
      <c r="HS219" s="76"/>
      <c r="HT219" s="76"/>
      <c r="HU219" s="76"/>
      <c r="HV219" s="76">
        <v>47041</v>
      </c>
    </row>
    <row r="220" spans="1:230" x14ac:dyDescent="0.2">
      <c r="A220" s="74" t="s">
        <v>308</v>
      </c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7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>
        <v>27</v>
      </c>
      <c r="BS220" s="76">
        <v>142</v>
      </c>
      <c r="BT220" s="76">
        <v>34</v>
      </c>
      <c r="BU220" s="76">
        <v>58</v>
      </c>
      <c r="BV220" s="76">
        <v>102</v>
      </c>
      <c r="BW220" s="76">
        <v>2044</v>
      </c>
      <c r="BX220" s="76">
        <v>143</v>
      </c>
      <c r="BY220" s="76">
        <v>53</v>
      </c>
      <c r="BZ220" s="76">
        <v>1276</v>
      </c>
      <c r="CA220" s="76">
        <v>1263</v>
      </c>
      <c r="CB220" s="76">
        <v>280</v>
      </c>
      <c r="CC220" s="76">
        <v>36</v>
      </c>
      <c r="CD220" s="76">
        <v>713</v>
      </c>
      <c r="CE220" s="76">
        <v>1730</v>
      </c>
      <c r="CF220" s="76">
        <v>1208</v>
      </c>
      <c r="CG220" s="76"/>
      <c r="CH220" s="76">
        <v>1217</v>
      </c>
      <c r="CI220" s="76"/>
      <c r="CJ220" s="76"/>
      <c r="CK220" s="76"/>
      <c r="CL220" s="76">
        <v>11648</v>
      </c>
      <c r="CM220" s="76">
        <v>826</v>
      </c>
      <c r="CN220" s="76">
        <v>3929</v>
      </c>
      <c r="CO220" s="76">
        <v>1018</v>
      </c>
      <c r="CP220" s="76">
        <v>2302</v>
      </c>
      <c r="CQ220" s="76">
        <v>8775</v>
      </c>
      <c r="CR220" s="76">
        <v>1509</v>
      </c>
      <c r="CS220" s="76">
        <v>4596</v>
      </c>
      <c r="CT220" s="76">
        <v>2991</v>
      </c>
      <c r="CU220" s="76">
        <v>2319</v>
      </c>
      <c r="CV220" s="76">
        <v>1422</v>
      </c>
      <c r="CW220" s="76">
        <v>2810</v>
      </c>
      <c r="CX220" s="76">
        <v>1963</v>
      </c>
      <c r="CY220" s="76">
        <v>17725</v>
      </c>
      <c r="CZ220" s="76">
        <v>13965</v>
      </c>
      <c r="DA220" s="76">
        <v>4883</v>
      </c>
      <c r="DB220" s="76">
        <v>402</v>
      </c>
      <c r="DC220" s="76">
        <v>1060</v>
      </c>
      <c r="DD220" s="76">
        <v>5088</v>
      </c>
      <c r="DE220" s="76">
        <v>18305</v>
      </c>
      <c r="DF220" s="76">
        <v>8709</v>
      </c>
      <c r="DG220" s="76">
        <v>2009</v>
      </c>
      <c r="DH220" s="76"/>
      <c r="DI220" s="76">
        <v>5773</v>
      </c>
      <c r="DJ220" s="76">
        <v>2324</v>
      </c>
      <c r="DK220" s="76">
        <v>2168</v>
      </c>
      <c r="DL220" s="76">
        <v>37815</v>
      </c>
      <c r="DM220" s="76"/>
      <c r="DN220" s="76"/>
      <c r="DO220" s="76">
        <v>8479</v>
      </c>
      <c r="DP220" s="76">
        <v>5891</v>
      </c>
      <c r="DQ220" s="68">
        <v>8767</v>
      </c>
      <c r="DR220" s="76">
        <v>885</v>
      </c>
      <c r="DS220" s="76">
        <v>2567</v>
      </c>
      <c r="DT220" s="76">
        <v>18</v>
      </c>
      <c r="DU220" s="76">
        <v>168</v>
      </c>
      <c r="DV220" s="76">
        <v>2081</v>
      </c>
      <c r="DW220" s="76">
        <v>427</v>
      </c>
      <c r="DX220" s="76">
        <v>1920</v>
      </c>
      <c r="DY220" s="76">
        <v>17470</v>
      </c>
      <c r="DZ220" s="76">
        <v>20827</v>
      </c>
      <c r="EA220" s="76">
        <v>1928</v>
      </c>
      <c r="EB220" s="76">
        <v>3113</v>
      </c>
      <c r="EC220" s="76">
        <v>946</v>
      </c>
      <c r="ED220" s="76">
        <v>2367</v>
      </c>
      <c r="EE220" s="76">
        <v>4403</v>
      </c>
      <c r="EF220" s="76"/>
      <c r="EG220" s="76">
        <v>1460</v>
      </c>
      <c r="EH220" s="76">
        <v>987</v>
      </c>
      <c r="EI220" s="76">
        <v>50</v>
      </c>
      <c r="EJ220" s="76">
        <v>5211</v>
      </c>
      <c r="EK220" s="76">
        <v>121</v>
      </c>
      <c r="EL220" s="76">
        <v>3138</v>
      </c>
      <c r="EM220" s="76">
        <v>8215</v>
      </c>
      <c r="EN220" s="76">
        <v>928</v>
      </c>
      <c r="EO220" s="76">
        <v>2828</v>
      </c>
      <c r="EP220" s="76">
        <v>6273</v>
      </c>
      <c r="EQ220" s="76">
        <v>1317</v>
      </c>
      <c r="ER220" s="76">
        <v>1</v>
      </c>
      <c r="ES220" s="76">
        <v>2502</v>
      </c>
      <c r="ET220" s="76">
        <v>13427</v>
      </c>
      <c r="EU220" s="76">
        <v>540</v>
      </c>
      <c r="EV220" s="76">
        <v>1180</v>
      </c>
      <c r="EW220" s="76">
        <v>2224</v>
      </c>
      <c r="EX220" s="76">
        <v>6358</v>
      </c>
      <c r="EY220" s="76">
        <v>10693</v>
      </c>
      <c r="EZ220" s="76"/>
      <c r="FA220" s="76">
        <v>46116</v>
      </c>
      <c r="FB220" s="76">
        <v>245</v>
      </c>
      <c r="FC220" s="76"/>
      <c r="FD220" s="76"/>
      <c r="FE220" s="76"/>
      <c r="FF220" s="76"/>
      <c r="FG220" s="76"/>
      <c r="FH220" s="76">
        <v>2422</v>
      </c>
      <c r="FI220" s="76">
        <v>9235</v>
      </c>
      <c r="FJ220" s="76">
        <v>236</v>
      </c>
      <c r="FK220" s="76">
        <v>336</v>
      </c>
      <c r="FL220" s="76"/>
      <c r="FM220" s="76"/>
      <c r="FN220" s="76"/>
      <c r="FO220" s="76">
        <v>24457</v>
      </c>
      <c r="FP220" s="76"/>
      <c r="FQ220" s="76"/>
      <c r="FR220" s="76">
        <v>36237</v>
      </c>
      <c r="FS220" s="76"/>
      <c r="FT220" s="76"/>
      <c r="FU220" s="76"/>
      <c r="FV220" s="76"/>
      <c r="FW220" s="76"/>
      <c r="FX220" s="76"/>
      <c r="FY220" s="76"/>
      <c r="FZ220" s="76"/>
      <c r="GA220" s="76"/>
      <c r="GB220" s="76"/>
      <c r="GC220" s="76"/>
      <c r="GD220" s="76"/>
      <c r="GE220" s="76"/>
      <c r="GF220" s="76"/>
      <c r="GG220" s="76"/>
      <c r="GH220" s="76"/>
      <c r="GI220" s="76"/>
      <c r="GJ220" s="76"/>
      <c r="GK220" s="76"/>
      <c r="GL220" s="76"/>
      <c r="GM220" s="76"/>
      <c r="GN220" s="76"/>
      <c r="GO220" s="76"/>
      <c r="GP220" s="76"/>
      <c r="GQ220" s="76"/>
      <c r="GR220" s="76"/>
      <c r="GS220" s="76"/>
      <c r="GT220" s="76"/>
      <c r="GU220" s="76"/>
      <c r="GV220" s="76"/>
      <c r="GW220" s="76"/>
      <c r="GX220" s="76"/>
      <c r="GY220" s="76"/>
      <c r="GZ220" s="76"/>
      <c r="HA220" s="76"/>
      <c r="HB220" s="76"/>
      <c r="HC220" s="76"/>
      <c r="HD220" s="76"/>
      <c r="HE220" s="76"/>
      <c r="HF220" s="76"/>
      <c r="HG220" s="76"/>
      <c r="HH220" s="76"/>
      <c r="HI220" s="76"/>
      <c r="HJ220" s="76"/>
      <c r="HK220" s="76"/>
      <c r="HL220" s="76"/>
      <c r="HM220" s="76"/>
      <c r="HN220" s="76"/>
      <c r="HO220" s="76"/>
      <c r="HP220" s="76"/>
      <c r="HQ220" s="76"/>
      <c r="HR220" s="76"/>
      <c r="HS220" s="76"/>
      <c r="HT220" s="76"/>
      <c r="HU220" s="76"/>
      <c r="HV220" s="76">
        <v>445654</v>
      </c>
    </row>
    <row r="221" spans="1:230" x14ac:dyDescent="0.2">
      <c r="A221" s="74" t="s">
        <v>17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7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>
        <v>246</v>
      </c>
      <c r="BS221" s="76">
        <v>96</v>
      </c>
      <c r="BT221" s="76">
        <v>161</v>
      </c>
      <c r="BU221" s="76">
        <v>1447</v>
      </c>
      <c r="BV221" s="76">
        <v>290</v>
      </c>
      <c r="BW221" s="76">
        <v>-1</v>
      </c>
      <c r="BX221" s="76"/>
      <c r="BY221" s="76">
        <v>-81</v>
      </c>
      <c r="BZ221" s="76">
        <v>556</v>
      </c>
      <c r="CA221" s="76">
        <v>1055</v>
      </c>
      <c r="CB221" s="76">
        <v>264</v>
      </c>
      <c r="CC221" s="76">
        <v>169</v>
      </c>
      <c r="CD221" s="76">
        <v>614</v>
      </c>
      <c r="CE221" s="76">
        <v>479</v>
      </c>
      <c r="CF221" s="76">
        <v>252</v>
      </c>
      <c r="CG221" s="76"/>
      <c r="CH221" s="76">
        <v>531</v>
      </c>
      <c r="CI221" s="76">
        <v>1621</v>
      </c>
      <c r="CJ221" s="76">
        <v>229</v>
      </c>
      <c r="CK221" s="76">
        <v>499</v>
      </c>
      <c r="CL221" s="76">
        <v>1245</v>
      </c>
      <c r="CM221" s="76">
        <v>58</v>
      </c>
      <c r="CN221" s="76">
        <v>146</v>
      </c>
      <c r="CO221" s="76">
        <v>186</v>
      </c>
      <c r="CP221" s="76">
        <v>695</v>
      </c>
      <c r="CQ221" s="76">
        <v>1799</v>
      </c>
      <c r="CR221" s="76">
        <v>62</v>
      </c>
      <c r="CS221" s="76">
        <v>783</v>
      </c>
      <c r="CT221" s="76">
        <v>1214</v>
      </c>
      <c r="CU221" s="76">
        <v>102</v>
      </c>
      <c r="CV221" s="76">
        <v>612</v>
      </c>
      <c r="CW221" s="76">
        <v>1159</v>
      </c>
      <c r="CX221" s="76">
        <v>966</v>
      </c>
      <c r="CY221" s="76">
        <v>3047</v>
      </c>
      <c r="CZ221" s="76">
        <v>7647</v>
      </c>
      <c r="DA221" s="76">
        <v>851</v>
      </c>
      <c r="DB221" s="76">
        <v>386</v>
      </c>
      <c r="DC221" s="76">
        <v>860</v>
      </c>
      <c r="DD221" s="76">
        <v>894</v>
      </c>
      <c r="DE221" s="76">
        <v>2012</v>
      </c>
      <c r="DF221" s="76">
        <v>1197</v>
      </c>
      <c r="DG221" s="76">
        <v>579</v>
      </c>
      <c r="DH221" s="76">
        <v>186</v>
      </c>
      <c r="DI221" s="76">
        <v>1871</v>
      </c>
      <c r="DJ221" s="76">
        <v>730</v>
      </c>
      <c r="DK221" s="76">
        <v>2395</v>
      </c>
      <c r="DL221" s="76"/>
      <c r="DM221" s="76">
        <v>1440</v>
      </c>
      <c r="DN221" s="76">
        <v>2166</v>
      </c>
      <c r="DO221" s="76"/>
      <c r="DP221" s="76">
        <v>49993</v>
      </c>
      <c r="DQ221" s="68">
        <v>4560</v>
      </c>
      <c r="DR221" s="76">
        <v>2639</v>
      </c>
      <c r="DS221" s="76">
        <v>1704</v>
      </c>
      <c r="DT221" s="76">
        <v>2879</v>
      </c>
      <c r="DU221" s="76">
        <v>1920</v>
      </c>
      <c r="DV221" s="76">
        <v>1843</v>
      </c>
      <c r="DW221" s="76">
        <v>1158</v>
      </c>
      <c r="DX221" s="76">
        <v>673</v>
      </c>
      <c r="DY221" s="76">
        <v>1772</v>
      </c>
      <c r="DZ221" s="76">
        <v>277</v>
      </c>
      <c r="EA221" s="76">
        <v>1253</v>
      </c>
      <c r="EB221" s="76">
        <v>2611</v>
      </c>
      <c r="EC221" s="76">
        <v>396</v>
      </c>
      <c r="ED221" s="76">
        <v>714</v>
      </c>
      <c r="EE221" s="76">
        <v>1629</v>
      </c>
      <c r="EF221" s="76">
        <v>130</v>
      </c>
      <c r="EG221" s="76">
        <v>2616</v>
      </c>
      <c r="EH221" s="76">
        <v>1564</v>
      </c>
      <c r="EI221" s="76">
        <v>162</v>
      </c>
      <c r="EJ221" s="76">
        <v>3430</v>
      </c>
      <c r="EK221" s="76">
        <v>1407</v>
      </c>
      <c r="EL221" s="76">
        <v>2589</v>
      </c>
      <c r="EM221" s="76">
        <v>2430</v>
      </c>
      <c r="EN221" s="76">
        <v>1004</v>
      </c>
      <c r="EO221" s="76">
        <v>2802</v>
      </c>
      <c r="EP221" s="76">
        <v>829</v>
      </c>
      <c r="EQ221" s="76">
        <v>788</v>
      </c>
      <c r="ER221" s="76">
        <v>425</v>
      </c>
      <c r="ES221" s="76">
        <v>4513</v>
      </c>
      <c r="ET221" s="76">
        <v>4447</v>
      </c>
      <c r="EU221" s="76">
        <v>900</v>
      </c>
      <c r="EV221" s="76">
        <v>4265</v>
      </c>
      <c r="EW221" s="76">
        <v>991</v>
      </c>
      <c r="EX221" s="76">
        <v>1113</v>
      </c>
      <c r="EY221" s="76">
        <v>1488</v>
      </c>
      <c r="EZ221" s="76">
        <v>4445</v>
      </c>
      <c r="FA221" s="76">
        <v>9790</v>
      </c>
      <c r="FB221" s="76">
        <v>3521</v>
      </c>
      <c r="FC221" s="76">
        <v>16915</v>
      </c>
      <c r="FD221" s="76">
        <v>5655</v>
      </c>
      <c r="FE221" s="76">
        <v>5016</v>
      </c>
      <c r="FF221" s="76">
        <v>1650</v>
      </c>
      <c r="FG221" s="76">
        <v>702</v>
      </c>
      <c r="FH221" s="76">
        <v>6137</v>
      </c>
      <c r="FI221" s="76">
        <v>255</v>
      </c>
      <c r="FJ221" s="76">
        <v>3098</v>
      </c>
      <c r="FK221" s="76">
        <v>1540</v>
      </c>
      <c r="FL221" s="76">
        <v>6031</v>
      </c>
      <c r="FM221" s="76">
        <v>1575</v>
      </c>
      <c r="FN221" s="76">
        <v>3377</v>
      </c>
      <c r="FO221" s="76">
        <v>4164</v>
      </c>
      <c r="FP221" s="76">
        <v>705</v>
      </c>
      <c r="FQ221" s="76">
        <v>1709</v>
      </c>
      <c r="FR221" s="76">
        <v>6803</v>
      </c>
      <c r="FS221" s="76">
        <v>6804</v>
      </c>
      <c r="FT221" s="76">
        <v>77564</v>
      </c>
      <c r="FU221" s="76">
        <v>1144</v>
      </c>
      <c r="FV221" s="76"/>
      <c r="FW221" s="76">
        <v>11761</v>
      </c>
      <c r="FX221" s="76">
        <v>58</v>
      </c>
      <c r="FY221" s="76">
        <v>2826</v>
      </c>
      <c r="FZ221" s="76">
        <v>6350</v>
      </c>
      <c r="GA221" s="76">
        <v>10051</v>
      </c>
      <c r="GB221" s="76">
        <v>2196</v>
      </c>
      <c r="GC221" s="76">
        <v>9130</v>
      </c>
      <c r="GD221" s="76">
        <v>1845</v>
      </c>
      <c r="GE221" s="76"/>
      <c r="GF221" s="76"/>
      <c r="GG221" s="76"/>
      <c r="GH221" s="76">
        <v>2386</v>
      </c>
      <c r="GI221" s="76"/>
      <c r="GJ221" s="76">
        <v>7101</v>
      </c>
      <c r="GK221" s="76">
        <v>6762</v>
      </c>
      <c r="GL221" s="76"/>
      <c r="GM221" s="76">
        <v>1195</v>
      </c>
      <c r="GN221" s="76">
        <v>684</v>
      </c>
      <c r="GO221" s="76"/>
      <c r="GP221" s="76"/>
      <c r="GQ221" s="76"/>
      <c r="GR221" s="76"/>
      <c r="GS221" s="76"/>
      <c r="GT221" s="76"/>
      <c r="GU221" s="76"/>
      <c r="GV221" s="76"/>
      <c r="GW221" s="76"/>
      <c r="GX221" s="76"/>
      <c r="GY221" s="76"/>
      <c r="GZ221" s="76"/>
      <c r="HA221" s="76"/>
      <c r="HB221" s="76"/>
      <c r="HC221" s="76"/>
      <c r="HD221" s="76"/>
      <c r="HE221" s="76"/>
      <c r="HF221" s="76"/>
      <c r="HG221" s="76"/>
      <c r="HH221" s="76"/>
      <c r="HI221" s="76"/>
      <c r="HJ221" s="76"/>
      <c r="HK221" s="76"/>
      <c r="HL221" s="76"/>
      <c r="HM221" s="76"/>
      <c r="HN221" s="76"/>
      <c r="HO221" s="76"/>
      <c r="HP221" s="76"/>
      <c r="HQ221" s="76"/>
      <c r="HR221" s="76"/>
      <c r="HS221" s="76"/>
      <c r="HT221" s="76"/>
      <c r="HU221" s="76"/>
      <c r="HV221" s="76">
        <v>388574</v>
      </c>
    </row>
    <row r="222" spans="1:230" x14ac:dyDescent="0.2">
      <c r="A222" s="74" t="s">
        <v>16</v>
      </c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7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6"/>
      <c r="CT222" s="76"/>
      <c r="CU222" s="76"/>
      <c r="CV222" s="76"/>
      <c r="CW222" s="76"/>
      <c r="CX222" s="76"/>
      <c r="CY222" s="76"/>
      <c r="CZ222" s="76"/>
      <c r="DA222" s="76"/>
      <c r="DB222" s="76"/>
      <c r="DC222" s="76"/>
      <c r="DD222" s="76"/>
      <c r="DE222" s="76"/>
      <c r="DF222" s="76"/>
      <c r="DG222" s="76"/>
      <c r="DH222" s="76"/>
      <c r="DI222" s="76"/>
      <c r="DJ222" s="76"/>
      <c r="DK222" s="76"/>
      <c r="DL222" s="76"/>
      <c r="DM222" s="76"/>
      <c r="DN222" s="76"/>
      <c r="DO222" s="76"/>
      <c r="DP222" s="76"/>
      <c r="DQ222" s="68"/>
      <c r="DR222" s="76"/>
      <c r="DS222" s="76"/>
      <c r="DT222" s="76"/>
      <c r="DU222" s="76"/>
      <c r="DV222" s="76"/>
      <c r="DW222" s="76"/>
      <c r="DX222" s="76"/>
      <c r="DY222" s="76"/>
      <c r="DZ222" s="76"/>
      <c r="EA222" s="76"/>
      <c r="EB222" s="76"/>
      <c r="EC222" s="76"/>
      <c r="ED222" s="76"/>
      <c r="EE222" s="76"/>
      <c r="EF222" s="76"/>
      <c r="EG222" s="76"/>
      <c r="EH222" s="76"/>
      <c r="EI222" s="76"/>
      <c r="EJ222" s="76"/>
      <c r="EK222" s="76"/>
      <c r="EL222" s="76"/>
      <c r="EM222" s="76"/>
      <c r="EN222" s="76"/>
      <c r="EO222" s="76"/>
      <c r="EP222" s="76"/>
      <c r="EQ222" s="76"/>
      <c r="ER222" s="76"/>
      <c r="ES222" s="76"/>
      <c r="ET222" s="76"/>
      <c r="EU222" s="76"/>
      <c r="EV222" s="76"/>
      <c r="EW222" s="76"/>
      <c r="EX222" s="76"/>
      <c r="EY222" s="76"/>
      <c r="EZ222" s="76"/>
      <c r="FA222" s="76"/>
      <c r="FB222" s="76"/>
      <c r="FC222" s="76"/>
      <c r="FD222" s="76"/>
      <c r="FE222" s="76"/>
      <c r="FF222" s="76"/>
      <c r="FG222" s="76"/>
      <c r="FH222" s="76"/>
      <c r="FI222" s="76"/>
      <c r="FJ222" s="76"/>
      <c r="FK222" s="76"/>
      <c r="FL222" s="76"/>
      <c r="FM222" s="76"/>
      <c r="FN222" s="76"/>
      <c r="FO222" s="76"/>
      <c r="FP222" s="76"/>
      <c r="FQ222" s="76"/>
      <c r="FR222" s="76"/>
      <c r="FS222" s="76"/>
      <c r="FT222" s="76"/>
      <c r="FU222" s="76"/>
      <c r="FV222" s="76"/>
      <c r="FW222" s="76"/>
      <c r="FX222" s="76"/>
      <c r="FY222" s="76"/>
      <c r="FZ222" s="76"/>
      <c r="GA222" s="76"/>
      <c r="GB222" s="76"/>
      <c r="GC222" s="76"/>
      <c r="GD222" s="76"/>
      <c r="GE222" s="76"/>
      <c r="GF222" s="76"/>
      <c r="GG222" s="76"/>
      <c r="GH222" s="76"/>
      <c r="GI222" s="76"/>
      <c r="GJ222" s="76"/>
      <c r="GK222" s="76"/>
      <c r="GL222" s="76"/>
      <c r="GM222" s="76"/>
      <c r="GN222" s="76"/>
      <c r="GO222" s="76"/>
      <c r="GP222" s="76"/>
      <c r="GQ222" s="76"/>
      <c r="GR222" s="76"/>
      <c r="GS222" s="76"/>
      <c r="GT222" s="76"/>
      <c r="GU222" s="76"/>
      <c r="GV222" s="76"/>
      <c r="GW222" s="76"/>
      <c r="GX222" s="76"/>
      <c r="GY222" s="76"/>
      <c r="GZ222" s="76"/>
      <c r="HA222" s="76">
        <v>217613</v>
      </c>
      <c r="HB222" s="76">
        <v>509</v>
      </c>
      <c r="HC222" s="76">
        <v>321597</v>
      </c>
      <c r="HD222" s="76"/>
      <c r="HE222" s="76"/>
      <c r="HF222" s="76"/>
      <c r="HG222" s="76"/>
      <c r="HH222" s="76"/>
      <c r="HI222" s="76"/>
      <c r="HJ222" s="76"/>
      <c r="HK222" s="76"/>
      <c r="HL222" s="76"/>
      <c r="HM222" s="76"/>
      <c r="HN222" s="76"/>
      <c r="HO222" s="76"/>
      <c r="HP222" s="76"/>
      <c r="HQ222" s="76"/>
      <c r="HR222" s="76"/>
      <c r="HS222" s="76"/>
      <c r="HT222" s="76"/>
      <c r="HU222" s="76"/>
      <c r="HV222" s="76">
        <v>539719</v>
      </c>
    </row>
    <row r="223" spans="1:230" x14ac:dyDescent="0.2">
      <c r="A223" s="74" t="s">
        <v>309</v>
      </c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7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  <c r="DG223" s="76"/>
      <c r="DH223" s="76"/>
      <c r="DI223" s="76"/>
      <c r="DJ223" s="76"/>
      <c r="DK223" s="76"/>
      <c r="DL223" s="76"/>
      <c r="DM223" s="76"/>
      <c r="DN223" s="76"/>
      <c r="DO223" s="76"/>
      <c r="DP223" s="76"/>
      <c r="DQ223" s="68"/>
      <c r="DR223" s="76"/>
      <c r="DS223" s="76"/>
      <c r="DT223" s="76"/>
      <c r="DU223" s="76"/>
      <c r="DV223" s="76"/>
      <c r="DW223" s="76"/>
      <c r="DX223" s="76"/>
      <c r="DY223" s="76"/>
      <c r="DZ223" s="76"/>
      <c r="EA223" s="76"/>
      <c r="EB223" s="76"/>
      <c r="EC223" s="76"/>
      <c r="ED223" s="76"/>
      <c r="EE223" s="76"/>
      <c r="EF223" s="76"/>
      <c r="EG223" s="76"/>
      <c r="EH223" s="76"/>
      <c r="EI223" s="76"/>
      <c r="EJ223" s="76"/>
      <c r="EK223" s="76"/>
      <c r="EL223" s="76"/>
      <c r="EM223" s="76"/>
      <c r="EN223" s="76"/>
      <c r="EO223" s="76"/>
      <c r="EP223" s="76"/>
      <c r="EQ223" s="76"/>
      <c r="ER223" s="76"/>
      <c r="ES223" s="76"/>
      <c r="ET223" s="76"/>
      <c r="EU223" s="76"/>
      <c r="EV223" s="76"/>
      <c r="EW223" s="76"/>
      <c r="EX223" s="76"/>
      <c r="EY223" s="76"/>
      <c r="EZ223" s="76"/>
      <c r="FA223" s="76"/>
      <c r="FB223" s="76"/>
      <c r="FC223" s="76"/>
      <c r="FD223" s="76"/>
      <c r="FE223" s="76"/>
      <c r="FF223" s="76"/>
      <c r="FG223" s="76"/>
      <c r="FH223" s="76"/>
      <c r="FI223" s="76"/>
      <c r="FJ223" s="76"/>
      <c r="FK223" s="76"/>
      <c r="FL223" s="76"/>
      <c r="FM223" s="76"/>
      <c r="FN223" s="76"/>
      <c r="FO223" s="76"/>
      <c r="FP223" s="76"/>
      <c r="FQ223" s="76"/>
      <c r="FR223" s="76"/>
      <c r="FS223" s="76"/>
      <c r="FT223" s="76"/>
      <c r="FU223" s="76"/>
      <c r="FV223" s="76"/>
      <c r="FW223" s="76"/>
      <c r="FX223" s="76"/>
      <c r="FY223" s="76"/>
      <c r="FZ223" s="76"/>
      <c r="GA223" s="76"/>
      <c r="GB223" s="76"/>
      <c r="GC223" s="76"/>
      <c r="GD223" s="76"/>
      <c r="GE223" s="76"/>
      <c r="GF223" s="76"/>
      <c r="GG223" s="76"/>
      <c r="GH223" s="76"/>
      <c r="GI223" s="76"/>
      <c r="GJ223" s="76"/>
      <c r="GK223" s="76"/>
      <c r="GL223" s="76"/>
      <c r="GM223" s="76"/>
      <c r="GN223" s="76"/>
      <c r="GO223" s="76"/>
      <c r="GP223" s="76"/>
      <c r="GQ223" s="76"/>
      <c r="GR223" s="76"/>
      <c r="GS223" s="76"/>
      <c r="GT223" s="76"/>
      <c r="GU223" s="76"/>
      <c r="GV223" s="76"/>
      <c r="GW223" s="76"/>
      <c r="GX223" s="76"/>
      <c r="GY223" s="76"/>
      <c r="GZ223" s="76"/>
      <c r="HA223" s="76">
        <v>565154</v>
      </c>
      <c r="HB223" s="76"/>
      <c r="HC223" s="76"/>
      <c r="HD223" s="76"/>
      <c r="HE223" s="76"/>
      <c r="HF223" s="76"/>
      <c r="HG223" s="76"/>
      <c r="HH223" s="76"/>
      <c r="HI223" s="76"/>
      <c r="HJ223" s="76"/>
      <c r="HK223" s="76"/>
      <c r="HL223" s="76"/>
      <c r="HM223" s="76"/>
      <c r="HN223" s="76"/>
      <c r="HO223" s="76"/>
      <c r="HP223" s="76"/>
      <c r="HQ223" s="76"/>
      <c r="HR223" s="76">
        <v>49294.542526031139</v>
      </c>
      <c r="HS223" s="76"/>
      <c r="HT223" s="76"/>
      <c r="HU223" s="76"/>
      <c r="HV223" s="76">
        <v>614448.54252603115</v>
      </c>
    </row>
    <row r="224" spans="1:230" x14ac:dyDescent="0.2">
      <c r="A224" s="74" t="s">
        <v>310</v>
      </c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7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  <c r="CT224" s="76"/>
      <c r="CU224" s="76"/>
      <c r="CV224" s="76"/>
      <c r="CW224" s="76"/>
      <c r="CX224" s="76"/>
      <c r="CY224" s="76"/>
      <c r="CZ224" s="76"/>
      <c r="DA224" s="76"/>
      <c r="DB224" s="76"/>
      <c r="DC224" s="76"/>
      <c r="DD224" s="76"/>
      <c r="DE224" s="76"/>
      <c r="DF224" s="76"/>
      <c r="DG224" s="76"/>
      <c r="DH224" s="76"/>
      <c r="DI224" s="76"/>
      <c r="DJ224" s="76"/>
      <c r="DK224" s="76"/>
      <c r="DL224" s="76"/>
      <c r="DM224" s="76"/>
      <c r="DN224" s="76"/>
      <c r="DO224" s="76"/>
      <c r="DP224" s="76"/>
      <c r="DQ224" s="68"/>
      <c r="DR224" s="76"/>
      <c r="DS224" s="76"/>
      <c r="DT224" s="76"/>
      <c r="DU224" s="76"/>
      <c r="DV224" s="76"/>
      <c r="DW224" s="76"/>
      <c r="DX224" s="76"/>
      <c r="DY224" s="76"/>
      <c r="DZ224" s="76"/>
      <c r="EA224" s="76"/>
      <c r="EB224" s="76"/>
      <c r="EC224" s="76"/>
      <c r="ED224" s="76"/>
      <c r="EE224" s="76"/>
      <c r="EF224" s="76"/>
      <c r="EG224" s="76"/>
      <c r="EH224" s="76"/>
      <c r="EI224" s="76"/>
      <c r="EJ224" s="76"/>
      <c r="EK224" s="76"/>
      <c r="EL224" s="76"/>
      <c r="EM224" s="76"/>
      <c r="EN224" s="76"/>
      <c r="EO224" s="76"/>
      <c r="EP224" s="76"/>
      <c r="EQ224" s="76"/>
      <c r="ER224" s="76"/>
      <c r="ES224" s="76"/>
      <c r="ET224" s="76"/>
      <c r="EU224" s="76"/>
      <c r="EV224" s="76"/>
      <c r="EW224" s="76"/>
      <c r="EX224" s="76"/>
      <c r="EY224" s="76"/>
      <c r="EZ224" s="76"/>
      <c r="FA224" s="76"/>
      <c r="FB224" s="76"/>
      <c r="FC224" s="76"/>
      <c r="FD224" s="76"/>
      <c r="FE224" s="76"/>
      <c r="FF224" s="76"/>
      <c r="FG224" s="76"/>
      <c r="FH224" s="76"/>
      <c r="FI224" s="76"/>
      <c r="FJ224" s="76"/>
      <c r="FK224" s="76"/>
      <c r="FL224" s="76"/>
      <c r="FM224" s="76"/>
      <c r="FN224" s="76"/>
      <c r="FO224" s="76"/>
      <c r="FP224" s="76"/>
      <c r="FQ224" s="76"/>
      <c r="FR224" s="76"/>
      <c r="FS224" s="76"/>
      <c r="FT224" s="76"/>
      <c r="FU224" s="76"/>
      <c r="FV224" s="76"/>
      <c r="FW224" s="76"/>
      <c r="FX224" s="76"/>
      <c r="FY224" s="76"/>
      <c r="FZ224" s="76"/>
      <c r="GA224" s="76"/>
      <c r="GB224" s="76"/>
      <c r="GC224" s="76"/>
      <c r="GD224" s="76"/>
      <c r="GE224" s="76"/>
      <c r="GF224" s="76"/>
      <c r="GG224" s="76"/>
      <c r="GH224" s="76"/>
      <c r="GI224" s="76"/>
      <c r="GJ224" s="76"/>
      <c r="GK224" s="76"/>
      <c r="GL224" s="76"/>
      <c r="GM224" s="76"/>
      <c r="GN224" s="76"/>
      <c r="GO224" s="76"/>
      <c r="GP224" s="76"/>
      <c r="GQ224" s="76"/>
      <c r="GR224" s="76"/>
      <c r="GS224" s="76"/>
      <c r="GT224" s="76"/>
      <c r="GU224" s="76"/>
      <c r="GV224" s="76"/>
      <c r="GW224" s="76"/>
      <c r="GX224" s="76"/>
      <c r="GY224" s="76"/>
      <c r="GZ224" s="76"/>
      <c r="HA224" s="76"/>
      <c r="HB224" s="76">
        <v>4778</v>
      </c>
      <c r="HC224" s="76"/>
      <c r="HD224" s="76"/>
      <c r="HE224" s="76"/>
      <c r="HF224" s="76"/>
      <c r="HG224" s="76"/>
      <c r="HH224" s="76"/>
      <c r="HI224" s="76"/>
      <c r="HJ224" s="76"/>
      <c r="HK224" s="76"/>
      <c r="HL224" s="76"/>
      <c r="HM224" s="76"/>
      <c r="HN224" s="76"/>
      <c r="HO224" s="76"/>
      <c r="HP224" s="76"/>
      <c r="HQ224" s="76"/>
      <c r="HR224" s="76">
        <v>2510.0934332754914</v>
      </c>
      <c r="HS224" s="76"/>
      <c r="HT224" s="76"/>
      <c r="HU224" s="76"/>
      <c r="HV224" s="76">
        <v>7288.0934332754914</v>
      </c>
    </row>
    <row r="225" spans="1:230" x14ac:dyDescent="0.2">
      <c r="A225" s="74" t="s">
        <v>311</v>
      </c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7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  <c r="CT225" s="76"/>
      <c r="CU225" s="76"/>
      <c r="CV225" s="76"/>
      <c r="CW225" s="76"/>
      <c r="CX225" s="76"/>
      <c r="CY225" s="76"/>
      <c r="CZ225" s="76"/>
      <c r="DA225" s="76"/>
      <c r="DB225" s="76"/>
      <c r="DC225" s="76"/>
      <c r="DD225" s="76"/>
      <c r="DE225" s="76"/>
      <c r="DF225" s="76"/>
      <c r="DG225" s="76"/>
      <c r="DH225" s="76"/>
      <c r="DI225" s="76"/>
      <c r="DJ225" s="76"/>
      <c r="DK225" s="76"/>
      <c r="DL225" s="76"/>
      <c r="DM225" s="76"/>
      <c r="DN225" s="76"/>
      <c r="DO225" s="76"/>
      <c r="DP225" s="76"/>
      <c r="DQ225" s="68"/>
      <c r="DR225" s="76"/>
      <c r="DS225" s="76"/>
      <c r="DT225" s="76"/>
      <c r="DU225" s="76"/>
      <c r="DV225" s="76"/>
      <c r="DW225" s="76"/>
      <c r="DX225" s="76"/>
      <c r="DY225" s="76"/>
      <c r="DZ225" s="76"/>
      <c r="EA225" s="76"/>
      <c r="EB225" s="76"/>
      <c r="EC225" s="76"/>
      <c r="ED225" s="76"/>
      <c r="EE225" s="76"/>
      <c r="EF225" s="76"/>
      <c r="EG225" s="76"/>
      <c r="EH225" s="76"/>
      <c r="EI225" s="76"/>
      <c r="EJ225" s="76"/>
      <c r="EK225" s="76"/>
      <c r="EL225" s="76"/>
      <c r="EM225" s="76"/>
      <c r="EN225" s="76"/>
      <c r="EO225" s="76"/>
      <c r="EP225" s="76"/>
      <c r="EQ225" s="76"/>
      <c r="ER225" s="76"/>
      <c r="ES225" s="76"/>
      <c r="ET225" s="76"/>
      <c r="EU225" s="76"/>
      <c r="EV225" s="76"/>
      <c r="EW225" s="76"/>
      <c r="EX225" s="76"/>
      <c r="EY225" s="76"/>
      <c r="EZ225" s="76"/>
      <c r="FA225" s="76"/>
      <c r="FB225" s="76"/>
      <c r="FC225" s="76"/>
      <c r="FD225" s="76"/>
      <c r="FE225" s="76"/>
      <c r="FF225" s="76"/>
      <c r="FG225" s="76"/>
      <c r="FH225" s="76"/>
      <c r="FI225" s="76"/>
      <c r="FJ225" s="76"/>
      <c r="FK225" s="76"/>
      <c r="FL225" s="76"/>
      <c r="FM225" s="76"/>
      <c r="FN225" s="76"/>
      <c r="FO225" s="76"/>
      <c r="FP225" s="76"/>
      <c r="FQ225" s="76"/>
      <c r="FR225" s="76"/>
      <c r="FS225" s="76"/>
      <c r="FT225" s="76"/>
      <c r="FU225" s="76"/>
      <c r="FV225" s="76"/>
      <c r="FW225" s="76"/>
      <c r="FX225" s="76"/>
      <c r="FY225" s="76"/>
      <c r="FZ225" s="76"/>
      <c r="GA225" s="76"/>
      <c r="GB225" s="76"/>
      <c r="GC225" s="76"/>
      <c r="GD225" s="76"/>
      <c r="GE225" s="76"/>
      <c r="GF225" s="76"/>
      <c r="GG225" s="76"/>
      <c r="GH225" s="76"/>
      <c r="GI225" s="76"/>
      <c r="GJ225" s="76"/>
      <c r="GK225" s="76"/>
      <c r="GL225" s="76"/>
      <c r="GM225" s="76"/>
      <c r="GN225" s="76"/>
      <c r="GO225" s="76"/>
      <c r="GP225" s="76"/>
      <c r="GQ225" s="76"/>
      <c r="GR225" s="76"/>
      <c r="GS225" s="76"/>
      <c r="GT225" s="76"/>
      <c r="GU225" s="76"/>
      <c r="GV225" s="76"/>
      <c r="GW225" s="76"/>
      <c r="GX225" s="76"/>
      <c r="GY225" s="76"/>
      <c r="GZ225" s="76"/>
      <c r="HA225" s="76"/>
      <c r="HB225" s="76"/>
      <c r="HC225" s="76">
        <v>697301</v>
      </c>
      <c r="HD225" s="76"/>
      <c r="HE225" s="76"/>
      <c r="HF225" s="76"/>
      <c r="HG225" s="76"/>
      <c r="HH225" s="76"/>
      <c r="HI225" s="76"/>
      <c r="HJ225" s="76"/>
      <c r="HK225" s="76"/>
      <c r="HL225" s="76"/>
      <c r="HM225" s="76"/>
      <c r="HN225" s="76"/>
      <c r="HO225" s="76"/>
      <c r="HP225" s="76"/>
      <c r="HQ225" s="76"/>
      <c r="HR225" s="76">
        <v>115506.14904069334</v>
      </c>
      <c r="HS225" s="76"/>
      <c r="HT225" s="76"/>
      <c r="HU225" s="76"/>
      <c r="HV225" s="76">
        <v>812807.1490406933</v>
      </c>
    </row>
    <row r="226" spans="1:230" x14ac:dyDescent="0.2">
      <c r="A226" s="74" t="s">
        <v>312</v>
      </c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7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  <c r="CT226" s="76"/>
      <c r="CU226" s="76"/>
      <c r="CV226" s="76"/>
      <c r="CW226" s="76"/>
      <c r="CX226" s="76"/>
      <c r="CY226" s="76"/>
      <c r="CZ226" s="76"/>
      <c r="DA226" s="76"/>
      <c r="DB226" s="76"/>
      <c r="DC226" s="76"/>
      <c r="DD226" s="76"/>
      <c r="DE226" s="76"/>
      <c r="DF226" s="76"/>
      <c r="DG226" s="76"/>
      <c r="DH226" s="76"/>
      <c r="DI226" s="76"/>
      <c r="DJ226" s="76"/>
      <c r="DK226" s="76"/>
      <c r="DL226" s="76"/>
      <c r="DM226" s="76"/>
      <c r="DN226" s="76"/>
      <c r="DO226" s="76"/>
      <c r="DP226" s="76"/>
      <c r="DQ226" s="68"/>
      <c r="DR226" s="76"/>
      <c r="DS226" s="76"/>
      <c r="DT226" s="76"/>
      <c r="DU226" s="76"/>
      <c r="DV226" s="76"/>
      <c r="DW226" s="76"/>
      <c r="DX226" s="76"/>
      <c r="DY226" s="76"/>
      <c r="DZ226" s="76"/>
      <c r="EA226" s="76"/>
      <c r="EB226" s="76"/>
      <c r="EC226" s="76"/>
      <c r="ED226" s="76"/>
      <c r="EE226" s="76"/>
      <c r="EF226" s="76"/>
      <c r="EG226" s="76"/>
      <c r="EH226" s="76"/>
      <c r="EI226" s="76"/>
      <c r="EJ226" s="76"/>
      <c r="EK226" s="76"/>
      <c r="EL226" s="76"/>
      <c r="EM226" s="76"/>
      <c r="EN226" s="76"/>
      <c r="EO226" s="76"/>
      <c r="EP226" s="76"/>
      <c r="EQ226" s="76"/>
      <c r="ER226" s="76"/>
      <c r="ES226" s="76"/>
      <c r="ET226" s="76"/>
      <c r="EU226" s="76"/>
      <c r="EV226" s="76"/>
      <c r="EW226" s="76"/>
      <c r="EX226" s="76"/>
      <c r="EY226" s="76"/>
      <c r="EZ226" s="76"/>
      <c r="FA226" s="76"/>
      <c r="FB226" s="76"/>
      <c r="FC226" s="76"/>
      <c r="FD226" s="76"/>
      <c r="FE226" s="76"/>
      <c r="FF226" s="76"/>
      <c r="FG226" s="76"/>
      <c r="FH226" s="76"/>
      <c r="FI226" s="76"/>
      <c r="FJ226" s="76"/>
      <c r="FK226" s="76"/>
      <c r="FL226" s="76"/>
      <c r="FM226" s="76"/>
      <c r="FN226" s="76"/>
      <c r="FO226" s="76"/>
      <c r="FP226" s="76"/>
      <c r="FQ226" s="76"/>
      <c r="FR226" s="76"/>
      <c r="FS226" s="76"/>
      <c r="FT226" s="76"/>
      <c r="FU226" s="76"/>
      <c r="FV226" s="76"/>
      <c r="FW226" s="76"/>
      <c r="FX226" s="76"/>
      <c r="FY226" s="76"/>
      <c r="FZ226" s="76"/>
      <c r="GA226" s="76"/>
      <c r="GB226" s="76"/>
      <c r="GC226" s="76"/>
      <c r="GD226" s="76"/>
      <c r="GE226" s="76"/>
      <c r="GF226" s="76"/>
      <c r="GG226" s="76"/>
      <c r="GH226" s="76"/>
      <c r="GI226" s="76"/>
      <c r="GJ226" s="76"/>
      <c r="GK226" s="76"/>
      <c r="GL226" s="76"/>
      <c r="GM226" s="76"/>
      <c r="GN226" s="76"/>
      <c r="GO226" s="76"/>
      <c r="GP226" s="76"/>
      <c r="GQ226" s="76"/>
      <c r="GR226" s="76"/>
      <c r="GS226" s="76"/>
      <c r="GT226" s="76"/>
      <c r="GU226" s="76"/>
      <c r="GV226" s="76"/>
      <c r="GW226" s="76"/>
      <c r="GX226" s="76"/>
      <c r="GY226" s="76"/>
      <c r="GZ226" s="76"/>
      <c r="HA226" s="76"/>
      <c r="HB226" s="76"/>
      <c r="HC226" s="76"/>
      <c r="HD226" s="76">
        <v>-372629</v>
      </c>
      <c r="HE226" s="76"/>
      <c r="HF226" s="76"/>
      <c r="HG226" s="76"/>
      <c r="HH226" s="76"/>
      <c r="HI226" s="76"/>
      <c r="HJ226" s="76"/>
      <c r="HK226" s="76"/>
      <c r="HL226" s="76"/>
      <c r="HM226" s="76"/>
      <c r="HN226" s="76">
        <v>258931.54252603109</v>
      </c>
      <c r="HO226" s="76">
        <v>2189.093433275491</v>
      </c>
      <c r="HP226" s="76">
        <v>319476.14904069342</v>
      </c>
      <c r="HQ226" s="76"/>
      <c r="HR226" s="76">
        <v>-98749.785000000018</v>
      </c>
      <c r="HS226" s="76"/>
      <c r="HT226" s="76"/>
      <c r="HU226" s="76"/>
      <c r="HV226" s="76">
        <v>109217.99999999996</v>
      </c>
    </row>
    <row r="227" spans="1:230" x14ac:dyDescent="0.2">
      <c r="A227" s="74" t="s">
        <v>313</v>
      </c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7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  <c r="CT227" s="76"/>
      <c r="CU227" s="76"/>
      <c r="CV227" s="76"/>
      <c r="CW227" s="76"/>
      <c r="CX227" s="76"/>
      <c r="CY227" s="76"/>
      <c r="CZ227" s="76"/>
      <c r="DA227" s="76"/>
      <c r="DB227" s="76"/>
      <c r="DC227" s="76"/>
      <c r="DD227" s="76"/>
      <c r="DE227" s="76"/>
      <c r="DF227" s="76"/>
      <c r="DG227" s="76"/>
      <c r="DH227" s="76"/>
      <c r="DI227" s="76"/>
      <c r="DJ227" s="76"/>
      <c r="DK227" s="76"/>
      <c r="DL227" s="76"/>
      <c r="DM227" s="76"/>
      <c r="DN227" s="76"/>
      <c r="DO227" s="76"/>
      <c r="DP227" s="76"/>
      <c r="DQ227" s="68"/>
      <c r="DR227" s="76"/>
      <c r="DS227" s="76"/>
      <c r="DT227" s="76"/>
      <c r="DU227" s="76"/>
      <c r="DV227" s="76"/>
      <c r="DW227" s="76"/>
      <c r="DX227" s="76"/>
      <c r="DY227" s="76"/>
      <c r="DZ227" s="76"/>
      <c r="EA227" s="76"/>
      <c r="EB227" s="76"/>
      <c r="EC227" s="76"/>
      <c r="ED227" s="76"/>
      <c r="EE227" s="76"/>
      <c r="EF227" s="76"/>
      <c r="EG227" s="76"/>
      <c r="EH227" s="76"/>
      <c r="EI227" s="76"/>
      <c r="EJ227" s="76"/>
      <c r="EK227" s="76"/>
      <c r="EL227" s="76"/>
      <c r="EM227" s="76"/>
      <c r="EN227" s="76"/>
      <c r="EO227" s="76"/>
      <c r="EP227" s="76"/>
      <c r="EQ227" s="76"/>
      <c r="ER227" s="76"/>
      <c r="ES227" s="76"/>
      <c r="ET227" s="76"/>
      <c r="EU227" s="76"/>
      <c r="EV227" s="76"/>
      <c r="EW227" s="76"/>
      <c r="EX227" s="76"/>
      <c r="EY227" s="76"/>
      <c r="EZ227" s="76"/>
      <c r="FA227" s="76"/>
      <c r="FB227" s="76"/>
      <c r="FC227" s="76"/>
      <c r="FD227" s="76"/>
      <c r="FE227" s="76"/>
      <c r="FF227" s="76"/>
      <c r="FG227" s="76"/>
      <c r="FH227" s="76"/>
      <c r="FI227" s="76"/>
      <c r="FJ227" s="76"/>
      <c r="FK227" s="76"/>
      <c r="FL227" s="76"/>
      <c r="FM227" s="76"/>
      <c r="FN227" s="76"/>
      <c r="FO227" s="76"/>
      <c r="FP227" s="76"/>
      <c r="FQ227" s="76"/>
      <c r="FR227" s="76"/>
      <c r="FS227" s="76"/>
      <c r="FT227" s="76"/>
      <c r="FU227" s="76"/>
      <c r="FV227" s="76"/>
      <c r="FW227" s="76"/>
      <c r="FX227" s="76"/>
      <c r="FY227" s="76"/>
      <c r="FZ227" s="76"/>
      <c r="GA227" s="76"/>
      <c r="GB227" s="76"/>
      <c r="GC227" s="76"/>
      <c r="GD227" s="76"/>
      <c r="GE227" s="76"/>
      <c r="GF227" s="76"/>
      <c r="GG227" s="76"/>
      <c r="GH227" s="76"/>
      <c r="GI227" s="76"/>
      <c r="GJ227" s="76"/>
      <c r="GK227" s="76"/>
      <c r="GL227" s="76"/>
      <c r="GM227" s="76"/>
      <c r="GN227" s="76"/>
      <c r="GO227" s="76"/>
      <c r="GP227" s="76"/>
      <c r="GQ227" s="76"/>
      <c r="GR227" s="76"/>
      <c r="GS227" s="76"/>
      <c r="GT227" s="76"/>
      <c r="GU227" s="76"/>
      <c r="GV227" s="76"/>
      <c r="GW227" s="76"/>
      <c r="GX227" s="76"/>
      <c r="GY227" s="76"/>
      <c r="GZ227" s="76"/>
      <c r="HA227" s="76"/>
      <c r="HB227" s="76"/>
      <c r="HC227" s="76"/>
      <c r="HD227" s="76"/>
      <c r="HE227" s="76">
        <v>68561</v>
      </c>
      <c r="HF227" s="76"/>
      <c r="HG227" s="76"/>
      <c r="HH227" s="76"/>
      <c r="HI227" s="76"/>
      <c r="HJ227" s="76"/>
      <c r="HK227" s="76"/>
      <c r="HL227" s="76"/>
      <c r="HM227" s="76"/>
      <c r="HN227" s="76"/>
      <c r="HO227" s="76"/>
      <c r="HP227" s="76"/>
      <c r="HQ227" s="76"/>
      <c r="HR227" s="76"/>
      <c r="HS227" s="76"/>
      <c r="HT227" s="76"/>
      <c r="HU227" s="76"/>
      <c r="HV227" s="76">
        <v>68561</v>
      </c>
    </row>
    <row r="228" spans="1:230" x14ac:dyDescent="0.2">
      <c r="A228" s="74" t="s">
        <v>314</v>
      </c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7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6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6"/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6"/>
      <c r="CT228" s="76"/>
      <c r="CU228" s="76"/>
      <c r="CV228" s="76"/>
      <c r="CW228" s="76"/>
      <c r="CX228" s="76"/>
      <c r="CY228" s="76"/>
      <c r="CZ228" s="76"/>
      <c r="DA228" s="76"/>
      <c r="DB228" s="76"/>
      <c r="DC228" s="76"/>
      <c r="DD228" s="76"/>
      <c r="DE228" s="76"/>
      <c r="DF228" s="76"/>
      <c r="DG228" s="76"/>
      <c r="DH228" s="76"/>
      <c r="DI228" s="76"/>
      <c r="DJ228" s="76"/>
      <c r="DK228" s="76"/>
      <c r="DL228" s="76"/>
      <c r="DM228" s="76"/>
      <c r="DN228" s="76"/>
      <c r="DO228" s="76"/>
      <c r="DP228" s="76"/>
      <c r="DQ228" s="68"/>
      <c r="DR228" s="76"/>
      <c r="DS228" s="76"/>
      <c r="DT228" s="76"/>
      <c r="DU228" s="76"/>
      <c r="DV228" s="76"/>
      <c r="DW228" s="76"/>
      <c r="DX228" s="76"/>
      <c r="DY228" s="76"/>
      <c r="DZ228" s="76"/>
      <c r="EA228" s="76"/>
      <c r="EB228" s="76"/>
      <c r="EC228" s="76"/>
      <c r="ED228" s="76"/>
      <c r="EE228" s="76"/>
      <c r="EF228" s="76"/>
      <c r="EG228" s="76"/>
      <c r="EH228" s="76"/>
      <c r="EI228" s="76"/>
      <c r="EJ228" s="76"/>
      <c r="EK228" s="76"/>
      <c r="EL228" s="76"/>
      <c r="EM228" s="76"/>
      <c r="EN228" s="76"/>
      <c r="EO228" s="76"/>
      <c r="EP228" s="76"/>
      <c r="EQ228" s="76"/>
      <c r="ER228" s="76"/>
      <c r="ES228" s="76"/>
      <c r="ET228" s="76"/>
      <c r="EU228" s="76"/>
      <c r="EV228" s="76"/>
      <c r="EW228" s="76"/>
      <c r="EX228" s="76"/>
      <c r="EY228" s="76"/>
      <c r="EZ228" s="76"/>
      <c r="FA228" s="76"/>
      <c r="FB228" s="76"/>
      <c r="FC228" s="76"/>
      <c r="FD228" s="76"/>
      <c r="FE228" s="76"/>
      <c r="FF228" s="76"/>
      <c r="FG228" s="76"/>
      <c r="FH228" s="76"/>
      <c r="FI228" s="76"/>
      <c r="FJ228" s="76"/>
      <c r="FK228" s="76"/>
      <c r="FL228" s="76"/>
      <c r="FM228" s="76"/>
      <c r="FN228" s="76"/>
      <c r="FO228" s="76"/>
      <c r="FP228" s="76"/>
      <c r="FQ228" s="76"/>
      <c r="FR228" s="76"/>
      <c r="FS228" s="76"/>
      <c r="FT228" s="76"/>
      <c r="FU228" s="76"/>
      <c r="FV228" s="76"/>
      <c r="FW228" s="76"/>
      <c r="FX228" s="76"/>
      <c r="FY228" s="76"/>
      <c r="FZ228" s="76"/>
      <c r="GA228" s="76"/>
      <c r="GB228" s="76"/>
      <c r="GC228" s="76"/>
      <c r="GD228" s="76"/>
      <c r="GE228" s="76"/>
      <c r="GF228" s="76"/>
      <c r="GG228" s="76"/>
      <c r="GH228" s="76"/>
      <c r="GI228" s="76"/>
      <c r="GJ228" s="76"/>
      <c r="GK228" s="76"/>
      <c r="GL228" s="76"/>
      <c r="GM228" s="76"/>
      <c r="GN228" s="76"/>
      <c r="GO228" s="76"/>
      <c r="GP228" s="76"/>
      <c r="GQ228" s="76"/>
      <c r="GR228" s="76"/>
      <c r="GS228" s="76"/>
      <c r="GT228" s="76"/>
      <c r="GU228" s="76"/>
      <c r="GV228" s="76"/>
      <c r="GW228" s="76"/>
      <c r="GX228" s="76"/>
      <c r="GY228" s="76"/>
      <c r="GZ228" s="76"/>
      <c r="HA228" s="76"/>
      <c r="HB228" s="76"/>
      <c r="HC228" s="76"/>
      <c r="HD228" s="76"/>
      <c r="HE228" s="76"/>
      <c r="HF228" s="76"/>
      <c r="HG228" s="76"/>
      <c r="HH228" s="76"/>
      <c r="HI228" s="76"/>
      <c r="HJ228" s="76"/>
      <c r="HK228" s="76"/>
      <c r="HL228" s="76"/>
      <c r="HM228" s="76"/>
      <c r="HN228" s="76">
        <v>355517</v>
      </c>
      <c r="HO228" s="76">
        <v>5099</v>
      </c>
      <c r="HP228" s="76">
        <v>488945</v>
      </c>
      <c r="HQ228" s="76"/>
      <c r="HR228" s="76"/>
      <c r="HS228" s="76"/>
      <c r="HT228" s="76"/>
      <c r="HU228" s="76"/>
      <c r="HV228" s="76">
        <v>849561</v>
      </c>
    </row>
    <row r="229" spans="1:230" x14ac:dyDescent="0.2">
      <c r="A229" s="74" t="s">
        <v>315</v>
      </c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7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  <c r="CT229" s="76"/>
      <c r="CU229" s="76"/>
      <c r="CV229" s="76"/>
      <c r="CW229" s="76"/>
      <c r="CX229" s="76"/>
      <c r="CY229" s="76"/>
      <c r="CZ229" s="76"/>
      <c r="DA229" s="76"/>
      <c r="DB229" s="76"/>
      <c r="DC229" s="76"/>
      <c r="DD229" s="76"/>
      <c r="DE229" s="76"/>
      <c r="DF229" s="76"/>
      <c r="DG229" s="76"/>
      <c r="DH229" s="76"/>
      <c r="DI229" s="76"/>
      <c r="DJ229" s="76"/>
      <c r="DK229" s="76"/>
      <c r="DL229" s="76"/>
      <c r="DM229" s="76"/>
      <c r="DN229" s="76"/>
      <c r="DO229" s="76"/>
      <c r="DP229" s="76"/>
      <c r="DQ229" s="68"/>
      <c r="DR229" s="76"/>
      <c r="DS229" s="76"/>
      <c r="DT229" s="76"/>
      <c r="DU229" s="76"/>
      <c r="DV229" s="76"/>
      <c r="DW229" s="76"/>
      <c r="DX229" s="76"/>
      <c r="DY229" s="76"/>
      <c r="DZ229" s="76"/>
      <c r="EA229" s="76"/>
      <c r="EB229" s="76"/>
      <c r="EC229" s="76"/>
      <c r="ED229" s="76"/>
      <c r="EE229" s="76"/>
      <c r="EF229" s="76"/>
      <c r="EG229" s="76"/>
      <c r="EH229" s="76"/>
      <c r="EI229" s="76"/>
      <c r="EJ229" s="76"/>
      <c r="EK229" s="76"/>
      <c r="EL229" s="76"/>
      <c r="EM229" s="76"/>
      <c r="EN229" s="76"/>
      <c r="EO229" s="76"/>
      <c r="EP229" s="76"/>
      <c r="EQ229" s="76"/>
      <c r="ER229" s="76"/>
      <c r="ES229" s="76"/>
      <c r="ET229" s="76"/>
      <c r="EU229" s="76"/>
      <c r="EV229" s="76"/>
      <c r="EW229" s="76"/>
      <c r="EX229" s="76"/>
      <c r="EY229" s="76"/>
      <c r="EZ229" s="76"/>
      <c r="FA229" s="76"/>
      <c r="FB229" s="76"/>
      <c r="FC229" s="76"/>
      <c r="FD229" s="76"/>
      <c r="FE229" s="76"/>
      <c r="FF229" s="76"/>
      <c r="FG229" s="76"/>
      <c r="FH229" s="76"/>
      <c r="FI229" s="76"/>
      <c r="FJ229" s="76"/>
      <c r="FK229" s="76"/>
      <c r="FL229" s="76"/>
      <c r="FM229" s="76"/>
      <c r="FN229" s="76"/>
      <c r="FO229" s="76"/>
      <c r="FP229" s="76"/>
      <c r="FQ229" s="76"/>
      <c r="FR229" s="76"/>
      <c r="FS229" s="76"/>
      <c r="FT229" s="76"/>
      <c r="FU229" s="76"/>
      <c r="FV229" s="76"/>
      <c r="FW229" s="76"/>
      <c r="FX229" s="76"/>
      <c r="FY229" s="76"/>
      <c r="FZ229" s="76"/>
      <c r="GA229" s="76"/>
      <c r="GB229" s="76"/>
      <c r="GC229" s="76"/>
      <c r="GD229" s="76"/>
      <c r="GE229" s="76"/>
      <c r="GF229" s="76"/>
      <c r="GG229" s="76"/>
      <c r="GH229" s="76"/>
      <c r="GI229" s="76"/>
      <c r="GJ229" s="76"/>
      <c r="GK229" s="76"/>
      <c r="GL229" s="76"/>
      <c r="GM229" s="76"/>
      <c r="GN229" s="76"/>
      <c r="GO229" s="76"/>
      <c r="GP229" s="76"/>
      <c r="GQ229" s="76"/>
      <c r="GR229" s="76"/>
      <c r="GS229" s="76"/>
      <c r="GT229" s="76"/>
      <c r="GU229" s="76"/>
      <c r="GV229" s="76"/>
      <c r="GW229" s="76"/>
      <c r="GX229" s="76"/>
      <c r="GY229" s="76"/>
      <c r="GZ229" s="76"/>
      <c r="HA229" s="76"/>
      <c r="HB229" s="76"/>
      <c r="HC229" s="76"/>
      <c r="HD229" s="76"/>
      <c r="HE229" s="76"/>
      <c r="HF229" s="76"/>
      <c r="HG229" s="76"/>
      <c r="HH229" s="76"/>
      <c r="HI229" s="76"/>
      <c r="HJ229" s="76"/>
      <c r="HK229" s="76"/>
      <c r="HL229" s="76"/>
      <c r="HM229" s="76"/>
      <c r="HN229" s="76"/>
      <c r="HO229" s="76"/>
      <c r="HP229" s="76"/>
      <c r="HQ229" s="76">
        <v>109218</v>
      </c>
      <c r="HR229" s="76"/>
      <c r="HS229" s="76"/>
      <c r="HT229" s="76"/>
      <c r="HU229" s="76"/>
      <c r="HV229" s="76">
        <v>109218</v>
      </c>
    </row>
    <row r="230" spans="1:230" x14ac:dyDescent="0.2">
      <c r="A230" s="74" t="s">
        <v>29</v>
      </c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7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  <c r="CT230" s="76"/>
      <c r="CU230" s="76"/>
      <c r="CV230" s="76"/>
      <c r="CW230" s="76"/>
      <c r="CX230" s="76"/>
      <c r="CY230" s="76"/>
      <c r="CZ230" s="76"/>
      <c r="DA230" s="76"/>
      <c r="DB230" s="76"/>
      <c r="DC230" s="76"/>
      <c r="DD230" s="76"/>
      <c r="DE230" s="76"/>
      <c r="DF230" s="76"/>
      <c r="DG230" s="76"/>
      <c r="DH230" s="76"/>
      <c r="DI230" s="76"/>
      <c r="DJ230" s="76"/>
      <c r="DK230" s="76"/>
      <c r="DL230" s="76"/>
      <c r="DM230" s="76"/>
      <c r="DN230" s="76"/>
      <c r="DO230" s="76"/>
      <c r="DP230" s="76"/>
      <c r="DQ230" s="68"/>
      <c r="DR230" s="76"/>
      <c r="DS230" s="76"/>
      <c r="DT230" s="76"/>
      <c r="DU230" s="76"/>
      <c r="DV230" s="76"/>
      <c r="DW230" s="76"/>
      <c r="DX230" s="76"/>
      <c r="DY230" s="76"/>
      <c r="DZ230" s="76"/>
      <c r="EA230" s="76"/>
      <c r="EB230" s="76"/>
      <c r="EC230" s="76"/>
      <c r="ED230" s="76"/>
      <c r="EE230" s="76"/>
      <c r="EF230" s="76"/>
      <c r="EG230" s="76"/>
      <c r="EH230" s="76"/>
      <c r="EI230" s="76"/>
      <c r="EJ230" s="76"/>
      <c r="EK230" s="76"/>
      <c r="EL230" s="76"/>
      <c r="EM230" s="76"/>
      <c r="EN230" s="76"/>
      <c r="EO230" s="76"/>
      <c r="EP230" s="76"/>
      <c r="EQ230" s="76"/>
      <c r="ER230" s="76"/>
      <c r="ES230" s="76"/>
      <c r="ET230" s="76"/>
      <c r="EU230" s="76"/>
      <c r="EV230" s="76"/>
      <c r="EW230" s="76"/>
      <c r="EX230" s="76"/>
      <c r="EY230" s="76"/>
      <c r="EZ230" s="76"/>
      <c r="FA230" s="76"/>
      <c r="FB230" s="76"/>
      <c r="FC230" s="76"/>
      <c r="FD230" s="76"/>
      <c r="FE230" s="76"/>
      <c r="FF230" s="76"/>
      <c r="FG230" s="76"/>
      <c r="FH230" s="76"/>
      <c r="FI230" s="76"/>
      <c r="FJ230" s="76"/>
      <c r="FK230" s="76"/>
      <c r="FL230" s="76"/>
      <c r="FM230" s="76"/>
      <c r="FN230" s="76"/>
      <c r="FO230" s="76"/>
      <c r="FP230" s="76"/>
      <c r="FQ230" s="76"/>
      <c r="FR230" s="76"/>
      <c r="FS230" s="76"/>
      <c r="FT230" s="76"/>
      <c r="FU230" s="76"/>
      <c r="FV230" s="76"/>
      <c r="FW230" s="76"/>
      <c r="FX230" s="76"/>
      <c r="FY230" s="76"/>
      <c r="FZ230" s="76"/>
      <c r="GA230" s="76"/>
      <c r="GB230" s="76"/>
      <c r="GC230" s="76"/>
      <c r="GD230" s="76"/>
      <c r="GE230" s="76"/>
      <c r="GF230" s="76"/>
      <c r="GG230" s="76"/>
      <c r="GH230" s="76"/>
      <c r="GI230" s="76"/>
      <c r="GJ230" s="76"/>
      <c r="GK230" s="76"/>
      <c r="GL230" s="76"/>
      <c r="GM230" s="76"/>
      <c r="GN230" s="76"/>
      <c r="GO230" s="76"/>
      <c r="GP230" s="76"/>
      <c r="GQ230" s="76"/>
      <c r="GR230" s="76"/>
      <c r="GS230" s="76"/>
      <c r="GT230" s="76"/>
      <c r="GU230" s="76"/>
      <c r="GV230" s="76"/>
      <c r="GW230" s="76"/>
      <c r="GX230" s="76"/>
      <c r="GY230" s="76"/>
      <c r="GZ230" s="76"/>
      <c r="HA230" s="76"/>
      <c r="HB230" s="76"/>
      <c r="HC230" s="76"/>
      <c r="HD230" s="76"/>
      <c r="HE230" s="76"/>
      <c r="HF230" s="76"/>
      <c r="HG230" s="76"/>
      <c r="HH230" s="76"/>
      <c r="HI230" s="76"/>
      <c r="HJ230" s="76"/>
      <c r="HK230" s="76"/>
      <c r="HL230" s="76"/>
      <c r="HM230" s="76"/>
      <c r="HN230" s="76"/>
      <c r="HO230" s="76"/>
      <c r="HP230" s="76">
        <v>4386</v>
      </c>
      <c r="HQ230" s="76"/>
      <c r="HR230" s="76"/>
      <c r="HS230" s="76"/>
      <c r="HT230" s="76"/>
      <c r="HU230" s="76"/>
      <c r="HV230" s="76">
        <v>4386</v>
      </c>
    </row>
    <row r="231" spans="1:230" x14ac:dyDescent="0.2">
      <c r="A231" s="74" t="s">
        <v>0</v>
      </c>
      <c r="B231" s="76">
        <v>356847</v>
      </c>
      <c r="C231" s="76">
        <v>147583</v>
      </c>
      <c r="D231" s="76">
        <v>36146</v>
      </c>
      <c r="E231" s="76">
        <v>18832</v>
      </c>
      <c r="F231" s="76">
        <v>146194</v>
      </c>
      <c r="G231" s="76">
        <v>71590</v>
      </c>
      <c r="H231" s="76">
        <v>16673</v>
      </c>
      <c r="I231" s="76">
        <v>272342</v>
      </c>
      <c r="J231" s="76">
        <v>62659</v>
      </c>
      <c r="K231" s="76">
        <v>290387</v>
      </c>
      <c r="L231" s="76">
        <v>74872</v>
      </c>
      <c r="M231" s="76">
        <v>14953</v>
      </c>
      <c r="N231" s="76">
        <v>50830</v>
      </c>
      <c r="O231" s="76">
        <v>64164</v>
      </c>
      <c r="P231" s="76">
        <v>43823</v>
      </c>
      <c r="Q231" s="76">
        <v>28782</v>
      </c>
      <c r="R231" s="76">
        <v>91125</v>
      </c>
      <c r="S231" s="76">
        <v>18878</v>
      </c>
      <c r="T231" s="76">
        <v>373762</v>
      </c>
      <c r="U231" s="77">
        <v>48234</v>
      </c>
      <c r="V231" s="76">
        <v>153653</v>
      </c>
      <c r="W231" s="76">
        <v>78228</v>
      </c>
      <c r="X231" s="76">
        <v>45560</v>
      </c>
      <c r="Y231" s="76">
        <v>64543</v>
      </c>
      <c r="Z231" s="76">
        <v>107136</v>
      </c>
      <c r="AA231" s="76">
        <v>76997</v>
      </c>
      <c r="AB231" s="76">
        <v>111188</v>
      </c>
      <c r="AC231" s="76">
        <v>58123</v>
      </c>
      <c r="AD231" s="76">
        <v>91128</v>
      </c>
      <c r="AE231" s="76">
        <v>90442</v>
      </c>
      <c r="AF231" s="76">
        <v>70805</v>
      </c>
      <c r="AG231" s="76">
        <v>115357</v>
      </c>
      <c r="AH231" s="76">
        <v>176296</v>
      </c>
      <c r="AI231" s="76">
        <v>89075</v>
      </c>
      <c r="AJ231" s="76">
        <v>42196</v>
      </c>
      <c r="AK231" s="76">
        <v>71038</v>
      </c>
      <c r="AL231" s="76">
        <v>72228</v>
      </c>
      <c r="AM231" s="76">
        <v>292501</v>
      </c>
      <c r="AN231" s="76">
        <v>75152</v>
      </c>
      <c r="AO231" s="76">
        <v>545839</v>
      </c>
      <c r="AP231" s="76">
        <v>164008</v>
      </c>
      <c r="AQ231" s="76">
        <v>1048649</v>
      </c>
      <c r="AR231" s="76">
        <v>364931</v>
      </c>
      <c r="AS231" s="76">
        <v>22058</v>
      </c>
      <c r="AT231" s="76">
        <v>40508</v>
      </c>
      <c r="AU231" s="76">
        <v>124316</v>
      </c>
      <c r="AV231" s="76">
        <v>25389.000000000004</v>
      </c>
      <c r="AW231" s="76">
        <v>258532</v>
      </c>
      <c r="AX231" s="76">
        <v>17858</v>
      </c>
      <c r="AY231" s="76">
        <v>42977.999999999993</v>
      </c>
      <c r="AZ231" s="76">
        <v>164602</v>
      </c>
      <c r="BA231" s="76">
        <v>148747</v>
      </c>
      <c r="BB231" s="76">
        <v>647163</v>
      </c>
      <c r="BC231" s="76">
        <v>609858</v>
      </c>
      <c r="BD231" s="76">
        <v>214447</v>
      </c>
      <c r="BE231" s="76">
        <v>57402</v>
      </c>
      <c r="BF231" s="76">
        <v>97139</v>
      </c>
      <c r="BG231" s="76">
        <v>43511</v>
      </c>
      <c r="BH231" s="76">
        <v>241402</v>
      </c>
      <c r="BI231" s="76">
        <v>41802</v>
      </c>
      <c r="BJ231" s="76">
        <v>812212</v>
      </c>
      <c r="BK231" s="76">
        <v>336651</v>
      </c>
      <c r="BL231" s="76">
        <v>133534</v>
      </c>
      <c r="BM231" s="76">
        <v>193090</v>
      </c>
      <c r="BN231" s="76">
        <v>264751</v>
      </c>
      <c r="BO231" s="76">
        <v>39310</v>
      </c>
      <c r="BP231" s="76">
        <v>152325</v>
      </c>
      <c r="BQ231" s="76">
        <v>71458</v>
      </c>
      <c r="BR231" s="76">
        <v>19875</v>
      </c>
      <c r="BS231" s="76">
        <v>38671</v>
      </c>
      <c r="BT231" s="76">
        <v>11411</v>
      </c>
      <c r="BU231" s="76">
        <v>59640</v>
      </c>
      <c r="BV231" s="76">
        <v>135805.99999999997</v>
      </c>
      <c r="BW231" s="76">
        <v>88296.999999999985</v>
      </c>
      <c r="BX231" s="76">
        <v>14324</v>
      </c>
      <c r="BY231" s="76">
        <v>20711</v>
      </c>
      <c r="BZ231" s="76">
        <v>43512</v>
      </c>
      <c r="CA231" s="76">
        <v>80376</v>
      </c>
      <c r="CB231" s="76">
        <v>33774</v>
      </c>
      <c r="CC231" s="76">
        <v>10526</v>
      </c>
      <c r="CD231" s="76">
        <v>33884</v>
      </c>
      <c r="CE231" s="76">
        <v>31642.999999999996</v>
      </c>
      <c r="CF231" s="76">
        <v>21190</v>
      </c>
      <c r="CG231" s="76">
        <v>13607</v>
      </c>
      <c r="CH231" s="76">
        <v>27618</v>
      </c>
      <c r="CI231" s="76">
        <v>155446</v>
      </c>
      <c r="CJ231" s="76">
        <v>81190.999999999985</v>
      </c>
      <c r="CK231" s="76">
        <v>23847.000000000004</v>
      </c>
      <c r="CL231" s="76">
        <v>188870.99999999997</v>
      </c>
      <c r="CM231" s="76">
        <v>19063</v>
      </c>
      <c r="CN231" s="76">
        <v>73040</v>
      </c>
      <c r="CO231" s="76">
        <v>10901</v>
      </c>
      <c r="CP231" s="76">
        <v>29664</v>
      </c>
      <c r="CQ231" s="76">
        <v>82955</v>
      </c>
      <c r="CR231" s="76">
        <v>62183.000000000007</v>
      </c>
      <c r="CS231" s="76">
        <v>48162.999999999993</v>
      </c>
      <c r="CT231" s="76">
        <v>79573</v>
      </c>
      <c r="CU231" s="76">
        <v>23489</v>
      </c>
      <c r="CV231" s="76">
        <v>28477</v>
      </c>
      <c r="CW231" s="76">
        <v>60126.000000000007</v>
      </c>
      <c r="CX231" s="76">
        <v>46953.000000000007</v>
      </c>
      <c r="CY231" s="76">
        <v>202385</v>
      </c>
      <c r="CZ231" s="76">
        <v>140748</v>
      </c>
      <c r="DA231" s="76">
        <v>37029</v>
      </c>
      <c r="DB231" s="76">
        <v>15220.000000000002</v>
      </c>
      <c r="DC231" s="76">
        <v>30903.999999999996</v>
      </c>
      <c r="DD231" s="76">
        <v>52242.999999999993</v>
      </c>
      <c r="DE231" s="76">
        <v>150443</v>
      </c>
      <c r="DF231" s="76">
        <v>78755</v>
      </c>
      <c r="DG231" s="76">
        <v>39699</v>
      </c>
      <c r="DH231" s="76">
        <v>29460.000000000007</v>
      </c>
      <c r="DI231" s="76">
        <v>94688</v>
      </c>
      <c r="DJ231" s="76">
        <v>35090</v>
      </c>
      <c r="DK231" s="76">
        <v>20072</v>
      </c>
      <c r="DL231" s="76">
        <v>171977</v>
      </c>
      <c r="DM231" s="76">
        <v>18812</v>
      </c>
      <c r="DN231" s="76">
        <v>19176</v>
      </c>
      <c r="DO231" s="76">
        <v>141210</v>
      </c>
      <c r="DP231" s="76">
        <v>247320.99999999997</v>
      </c>
      <c r="DQ231" s="68">
        <v>92391.999999999985</v>
      </c>
      <c r="DR231" s="76">
        <v>71678</v>
      </c>
      <c r="DS231" s="76">
        <v>58641.999999999993</v>
      </c>
      <c r="DT231" s="76">
        <v>77193</v>
      </c>
      <c r="DU231" s="76">
        <v>69049</v>
      </c>
      <c r="DV231" s="76">
        <v>53868.000000000007</v>
      </c>
      <c r="DW231" s="76">
        <v>42149</v>
      </c>
      <c r="DX231" s="76">
        <v>25919</v>
      </c>
      <c r="DY231" s="76">
        <v>115709</v>
      </c>
      <c r="DZ231" s="76">
        <v>160387</v>
      </c>
      <c r="EA231" s="76">
        <v>45914.000000000007</v>
      </c>
      <c r="EB231" s="76">
        <v>104829</v>
      </c>
      <c r="EC231" s="76">
        <v>16507</v>
      </c>
      <c r="ED231" s="76">
        <v>27234</v>
      </c>
      <c r="EE231" s="76">
        <v>73308</v>
      </c>
      <c r="EF231" s="76">
        <v>15052.999999999998</v>
      </c>
      <c r="EG231" s="76">
        <v>119777</v>
      </c>
      <c r="EH231" s="76">
        <v>73094</v>
      </c>
      <c r="EI231" s="76">
        <v>7830</v>
      </c>
      <c r="EJ231" s="76">
        <v>138885</v>
      </c>
      <c r="EK231" s="76">
        <v>32079</v>
      </c>
      <c r="EL231" s="76">
        <v>54643</v>
      </c>
      <c r="EM231" s="76">
        <v>119005.00000000001</v>
      </c>
      <c r="EN231" s="76">
        <v>31194.999999999996</v>
      </c>
      <c r="EO231" s="76">
        <v>94119</v>
      </c>
      <c r="EP231" s="76">
        <v>48927</v>
      </c>
      <c r="EQ231" s="76">
        <v>38973</v>
      </c>
      <c r="ER231" s="76">
        <v>22978</v>
      </c>
      <c r="ES231" s="76">
        <v>149237</v>
      </c>
      <c r="ET231" s="76">
        <v>218775.99999999997</v>
      </c>
      <c r="EU231" s="76">
        <v>47812.000000000007</v>
      </c>
      <c r="EV231" s="76">
        <v>147743</v>
      </c>
      <c r="EW231" s="76">
        <v>71501</v>
      </c>
      <c r="EX231" s="76">
        <v>81725.000000000015</v>
      </c>
      <c r="EY231" s="76">
        <v>103960</v>
      </c>
      <c r="EZ231" s="76">
        <v>96792</v>
      </c>
      <c r="FA231" s="76">
        <v>350963</v>
      </c>
      <c r="FB231" s="76">
        <v>86537</v>
      </c>
      <c r="FC231" s="76">
        <v>333427</v>
      </c>
      <c r="FD231" s="76">
        <v>106268</v>
      </c>
      <c r="FE231" s="76">
        <v>145974</v>
      </c>
      <c r="FF231" s="76">
        <v>164522</v>
      </c>
      <c r="FG231" s="76">
        <v>983468</v>
      </c>
      <c r="FH231" s="76">
        <v>260959</v>
      </c>
      <c r="FI231" s="76">
        <v>111123</v>
      </c>
      <c r="FJ231" s="76">
        <v>32254</v>
      </c>
      <c r="FK231" s="76">
        <v>48860</v>
      </c>
      <c r="FL231" s="76">
        <v>113571</v>
      </c>
      <c r="FM231" s="76">
        <v>24316</v>
      </c>
      <c r="FN231" s="76">
        <v>49442</v>
      </c>
      <c r="FO231" s="76">
        <v>303112</v>
      </c>
      <c r="FP231" s="76">
        <v>30539</v>
      </c>
      <c r="FQ231" s="76">
        <v>45218</v>
      </c>
      <c r="FR231" s="76">
        <v>208200</v>
      </c>
      <c r="FS231" s="76">
        <v>169907</v>
      </c>
      <c r="FT231" s="76">
        <v>737181</v>
      </c>
      <c r="FU231" s="76">
        <v>230603</v>
      </c>
      <c r="FV231" s="76">
        <v>441426</v>
      </c>
      <c r="FW231" s="76">
        <v>239167</v>
      </c>
      <c r="FX231" s="76">
        <v>46796</v>
      </c>
      <c r="FY231" s="76">
        <v>67340</v>
      </c>
      <c r="FZ231" s="76">
        <v>129653</v>
      </c>
      <c r="GA231" s="76">
        <v>125111</v>
      </c>
      <c r="GB231" s="76">
        <v>106922</v>
      </c>
      <c r="GC231" s="76">
        <v>151814</v>
      </c>
      <c r="GD231" s="76">
        <v>43523</v>
      </c>
      <c r="GE231" s="76">
        <v>749171</v>
      </c>
      <c r="GF231" s="76">
        <v>13756</v>
      </c>
      <c r="GG231" s="76">
        <v>321103</v>
      </c>
      <c r="GH231" s="76">
        <v>140520</v>
      </c>
      <c r="GI231" s="76">
        <v>189202</v>
      </c>
      <c r="GJ231" s="76">
        <v>275121</v>
      </c>
      <c r="GK231" s="76">
        <v>50063</v>
      </c>
      <c r="GL231" s="76">
        <v>79432</v>
      </c>
      <c r="GM231" s="76">
        <v>29474</v>
      </c>
      <c r="GN231" s="76">
        <v>51145</v>
      </c>
      <c r="GO231" s="76">
        <v>71458</v>
      </c>
      <c r="GP231" s="76">
        <v>866859.96992497437</v>
      </c>
      <c r="GQ231" s="76">
        <v>140412.27297932611</v>
      </c>
      <c r="GR231" s="76">
        <v>98807.75709569946</v>
      </c>
      <c r="GS231" s="76">
        <v>2608058.8487438499</v>
      </c>
      <c r="GT231" s="76">
        <v>2330343.424308883</v>
      </c>
      <c r="GU231" s="76">
        <v>36646.951576197192</v>
      </c>
      <c r="GV231" s="76">
        <v>13244.29774183964</v>
      </c>
      <c r="GW231" s="76">
        <v>2249.0951004616827</v>
      </c>
      <c r="GX231" s="76">
        <v>11682.064323736644</v>
      </c>
      <c r="GY231" s="76">
        <v>6273.4951967761981</v>
      </c>
      <c r="GZ231" s="76">
        <v>447.82300825625811</v>
      </c>
      <c r="HA231" s="76">
        <v>5799758</v>
      </c>
      <c r="HB231" s="76">
        <v>96394</v>
      </c>
      <c r="HC231" s="76">
        <v>1593900</v>
      </c>
      <c r="HD231" s="76">
        <v>2411474</v>
      </c>
      <c r="HE231" s="76">
        <v>901526</v>
      </c>
      <c r="HF231" s="76">
        <v>608182</v>
      </c>
      <c r="HG231" s="76">
        <v>88424</v>
      </c>
      <c r="HH231" s="76">
        <v>-18588</v>
      </c>
      <c r="HI231" s="76">
        <v>32284</v>
      </c>
      <c r="HJ231" s="76">
        <v>47041</v>
      </c>
      <c r="HK231" s="76">
        <v>445654</v>
      </c>
      <c r="HL231" s="76">
        <v>388574</v>
      </c>
      <c r="HM231" s="76">
        <v>539719</v>
      </c>
      <c r="HN231" s="76">
        <v>614448.54252603115</v>
      </c>
      <c r="HO231" s="76">
        <v>7288.0934332754914</v>
      </c>
      <c r="HP231" s="76">
        <v>812807.14904069342</v>
      </c>
      <c r="HQ231" s="76">
        <v>109218</v>
      </c>
      <c r="HR231" s="76">
        <v>68560.999999999956</v>
      </c>
      <c r="HS231" s="76">
        <v>849561</v>
      </c>
      <c r="HT231" s="76">
        <v>109217.99999999999</v>
      </c>
      <c r="HU231" s="76">
        <v>4386</v>
      </c>
      <c r="HV231" s="76">
        <v>46491209.784999996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="80" zoomScaleNormal="80" workbookViewId="0"/>
  </sheetViews>
  <sheetFormatPr baseColWidth="10" defaultRowHeight="15" x14ac:dyDescent="0.2"/>
  <cols>
    <col min="1" max="1" width="17.85546875" style="53" customWidth="1"/>
    <col min="2" max="16384" width="11.42578125" style="53"/>
  </cols>
  <sheetData>
    <row r="1" spans="1:3" s="56" customFormat="1" x14ac:dyDescent="0.2">
      <c r="A1" s="56" t="s">
        <v>31</v>
      </c>
    </row>
    <row r="2" spans="1:3" x14ac:dyDescent="0.2">
      <c r="A2" s="57"/>
      <c r="B2" s="58" t="s">
        <v>23</v>
      </c>
      <c r="C2" s="58" t="s">
        <v>24</v>
      </c>
    </row>
    <row r="3" spans="1:3" x14ac:dyDescent="0.2">
      <c r="A3" s="59" t="s">
        <v>34</v>
      </c>
      <c r="B3" s="57">
        <v>2</v>
      </c>
      <c r="C3" s="57">
        <v>2</v>
      </c>
    </row>
    <row r="4" spans="1:3" x14ac:dyDescent="0.2">
      <c r="A4" s="59" t="s">
        <v>35</v>
      </c>
      <c r="B4" s="57">
        <v>2</v>
      </c>
      <c r="C4" s="57">
        <v>2</v>
      </c>
    </row>
    <row r="5" spans="1:3" x14ac:dyDescent="0.2">
      <c r="A5" s="59" t="s">
        <v>49</v>
      </c>
      <c r="B5" s="57">
        <v>2</v>
      </c>
      <c r="C5" s="57">
        <v>2</v>
      </c>
    </row>
    <row r="6" spans="1:3" x14ac:dyDescent="0.2">
      <c r="A6" s="59" t="s">
        <v>50</v>
      </c>
      <c r="B6" s="57">
        <v>2</v>
      </c>
      <c r="C6" s="57">
        <v>2</v>
      </c>
    </row>
    <row r="7" spans="1:3" x14ac:dyDescent="0.2">
      <c r="A7" s="59" t="s">
        <v>447</v>
      </c>
      <c r="B7" s="57">
        <v>2</v>
      </c>
      <c r="C7" s="57">
        <v>2</v>
      </c>
    </row>
    <row r="8" spans="1:3" x14ac:dyDescent="0.2">
      <c r="A8" s="59" t="s">
        <v>46</v>
      </c>
      <c r="B8" s="57">
        <v>2</v>
      </c>
      <c r="C8" s="57">
        <v>2</v>
      </c>
    </row>
    <row r="9" spans="1:3" x14ac:dyDescent="0.2">
      <c r="A9" s="59" t="s">
        <v>47</v>
      </c>
      <c r="B9" s="57">
        <v>2</v>
      </c>
      <c r="C9" s="57">
        <v>2</v>
      </c>
    </row>
    <row r="10" spans="1:3" x14ac:dyDescent="0.2">
      <c r="A10" s="59" t="s">
        <v>40</v>
      </c>
      <c r="B10" s="57">
        <v>2</v>
      </c>
      <c r="C10" s="57">
        <v>2</v>
      </c>
    </row>
    <row r="11" spans="1:3" x14ac:dyDescent="0.2">
      <c r="A11" s="59" t="s">
        <v>54</v>
      </c>
      <c r="B11" s="57">
        <v>2</v>
      </c>
      <c r="C11" s="57">
        <v>2</v>
      </c>
    </row>
    <row r="12" spans="1:3" x14ac:dyDescent="0.2">
      <c r="A12" s="59" t="s">
        <v>52</v>
      </c>
      <c r="B12" s="57">
        <v>2</v>
      </c>
      <c r="C12" s="57">
        <v>2</v>
      </c>
    </row>
    <row r="13" spans="1:3" x14ac:dyDescent="0.2">
      <c r="A13" s="59" t="s">
        <v>48</v>
      </c>
      <c r="B13" s="57">
        <v>2</v>
      </c>
      <c r="C13" s="57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="80" zoomScaleNormal="80" workbookViewId="0"/>
  </sheetViews>
  <sheetFormatPr baseColWidth="10" defaultRowHeight="15" x14ac:dyDescent="0.2"/>
  <cols>
    <col min="1" max="1" width="5.7109375" style="53" customWidth="1"/>
    <col min="2" max="3" width="11.42578125" style="53" customWidth="1"/>
    <col min="4" max="5" width="5.7109375" style="53" customWidth="1"/>
    <col min="6" max="16384" width="11.42578125" style="53"/>
  </cols>
  <sheetData>
    <row r="1" spans="1:5" x14ac:dyDescent="0.2">
      <c r="D1" s="54" t="s">
        <v>6</v>
      </c>
      <c r="E1" s="54" t="s">
        <v>7</v>
      </c>
    </row>
    <row r="2" spans="1:5" x14ac:dyDescent="0.2">
      <c r="A2" s="53" t="s">
        <v>8</v>
      </c>
      <c r="B2" s="53" t="s">
        <v>2</v>
      </c>
      <c r="C2" s="53" t="s">
        <v>9</v>
      </c>
      <c r="D2" s="55">
        <v>1</v>
      </c>
      <c r="E2" s="55">
        <v>0</v>
      </c>
    </row>
    <row r="3" spans="1:5" x14ac:dyDescent="0.2">
      <c r="A3" s="70" t="s">
        <v>8</v>
      </c>
      <c r="B3" s="53" t="s">
        <v>3</v>
      </c>
      <c r="C3" s="53" t="s">
        <v>10</v>
      </c>
      <c r="D3" s="53">
        <v>1</v>
      </c>
      <c r="E3" s="53">
        <v>0</v>
      </c>
    </row>
    <row r="4" spans="1:5" x14ac:dyDescent="0.2">
      <c r="A4" s="70" t="s">
        <v>8</v>
      </c>
      <c r="B4" s="53" t="s">
        <v>1</v>
      </c>
      <c r="C4" s="53" t="s">
        <v>11</v>
      </c>
      <c r="D4" s="53">
        <v>1</v>
      </c>
      <c r="E4" s="53">
        <v>0</v>
      </c>
    </row>
    <row r="5" spans="1:5" x14ac:dyDescent="0.2">
      <c r="A5" s="70" t="s">
        <v>8</v>
      </c>
      <c r="B5" s="53" t="s">
        <v>19</v>
      </c>
      <c r="C5" s="53" t="s">
        <v>12</v>
      </c>
      <c r="D5" s="53">
        <v>1</v>
      </c>
      <c r="E5" s="53">
        <v>0</v>
      </c>
    </row>
    <row r="6" spans="1:5" x14ac:dyDescent="0.2">
      <c r="A6" s="70" t="s">
        <v>13</v>
      </c>
      <c r="B6" s="53" t="s">
        <v>14</v>
      </c>
      <c r="C6" s="53" t="s">
        <v>36</v>
      </c>
      <c r="D6" s="53">
        <v>1</v>
      </c>
      <c r="E6" s="53">
        <v>1</v>
      </c>
    </row>
    <row r="7" spans="1:5" x14ac:dyDescent="0.2">
      <c r="A7" s="70" t="s">
        <v>13</v>
      </c>
      <c r="B7" s="53" t="s">
        <v>25</v>
      </c>
      <c r="C7" s="53" t="s">
        <v>26</v>
      </c>
      <c r="D7" s="53">
        <v>1</v>
      </c>
      <c r="E7" s="5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EA3B-7D72-4221-866B-2D08541435EC}">
  <dimension ref="A1:K382"/>
  <sheetViews>
    <sheetView zoomScale="80" zoomScaleNormal="80" workbookViewId="0"/>
  </sheetViews>
  <sheetFormatPr baseColWidth="10" defaultColWidth="11.42578125" defaultRowHeight="15" x14ac:dyDescent="0.2"/>
  <cols>
    <col min="1" max="1" width="28.5703125" style="6" customWidth="1"/>
    <col min="2" max="2" width="14.28515625" style="6" customWidth="1"/>
    <col min="3" max="3" width="11.42578125" style="6" customWidth="1"/>
    <col min="4" max="4" width="28.5703125" style="6" customWidth="1"/>
    <col min="5" max="5" width="14.28515625" style="6" customWidth="1"/>
    <col min="6" max="6" width="11.42578125" style="6" customWidth="1"/>
    <col min="7" max="7" width="28.5703125" style="6" customWidth="1"/>
    <col min="8" max="16384" width="11.42578125" style="6"/>
  </cols>
  <sheetData>
    <row r="1" spans="1:11" ht="15" customHeight="1" x14ac:dyDescent="0.2">
      <c r="A1" s="15" t="s">
        <v>32</v>
      </c>
      <c r="B1" s="15" t="s">
        <v>32</v>
      </c>
      <c r="D1" s="45" t="s">
        <v>166</v>
      </c>
      <c r="E1" s="15" t="s">
        <v>34</v>
      </c>
      <c r="G1" s="6" t="s">
        <v>291</v>
      </c>
      <c r="H1" s="6" t="s">
        <v>291</v>
      </c>
      <c r="J1" s="15" t="s">
        <v>32</v>
      </c>
      <c r="K1" s="15" t="s">
        <v>34</v>
      </c>
    </row>
    <row r="2" spans="1:11" ht="15" customHeight="1" x14ac:dyDescent="0.2">
      <c r="A2" s="15" t="s">
        <v>101</v>
      </c>
      <c r="B2" s="15" t="s">
        <v>32</v>
      </c>
      <c r="D2" s="45" t="s">
        <v>167</v>
      </c>
      <c r="E2" s="15" t="s">
        <v>34</v>
      </c>
      <c r="G2" s="6" t="s">
        <v>292</v>
      </c>
      <c r="H2" s="6" t="s">
        <v>292</v>
      </c>
      <c r="J2" s="18" t="s">
        <v>33</v>
      </c>
      <c r="K2" s="18" t="s">
        <v>35</v>
      </c>
    </row>
    <row r="3" spans="1:11" ht="15" customHeight="1" x14ac:dyDescent="0.2">
      <c r="A3" s="16" t="s">
        <v>102</v>
      </c>
      <c r="B3" s="15" t="s">
        <v>32</v>
      </c>
      <c r="D3" s="45" t="s">
        <v>168</v>
      </c>
      <c r="E3" s="15" t="s">
        <v>34</v>
      </c>
      <c r="G3" s="6" t="s">
        <v>293</v>
      </c>
      <c r="H3" s="6" t="s">
        <v>293</v>
      </c>
      <c r="J3" s="20" t="s">
        <v>41</v>
      </c>
      <c r="K3" s="20" t="s">
        <v>49</v>
      </c>
    </row>
    <row r="4" spans="1:11" ht="15" customHeight="1" x14ac:dyDescent="0.2">
      <c r="A4" s="17" t="s">
        <v>103</v>
      </c>
      <c r="B4" s="18" t="s">
        <v>33</v>
      </c>
      <c r="D4" s="45" t="s">
        <v>169</v>
      </c>
      <c r="E4" s="15" t="s">
        <v>34</v>
      </c>
      <c r="G4" s="33" t="s">
        <v>294</v>
      </c>
      <c r="H4" s="15" t="s">
        <v>37</v>
      </c>
      <c r="J4" s="8" t="s">
        <v>42</v>
      </c>
      <c r="K4" s="8" t="s">
        <v>50</v>
      </c>
    </row>
    <row r="5" spans="1:11" ht="15" customHeight="1" x14ac:dyDescent="0.2">
      <c r="A5" s="17" t="s">
        <v>104</v>
      </c>
      <c r="B5" s="18" t="s">
        <v>33</v>
      </c>
      <c r="D5" s="45" t="s">
        <v>170</v>
      </c>
      <c r="E5" s="15" t="s">
        <v>34</v>
      </c>
      <c r="G5" s="32" t="s">
        <v>295</v>
      </c>
      <c r="H5" s="18" t="s">
        <v>38</v>
      </c>
      <c r="J5" s="29" t="s">
        <v>107</v>
      </c>
      <c r="K5" s="29" t="s">
        <v>447</v>
      </c>
    </row>
    <row r="6" spans="1:11" ht="15" customHeight="1" x14ac:dyDescent="0.2">
      <c r="A6" s="17" t="s">
        <v>105</v>
      </c>
      <c r="B6" s="18" t="s">
        <v>33</v>
      </c>
      <c r="D6" s="45" t="s">
        <v>171</v>
      </c>
      <c r="E6" s="15" t="s">
        <v>34</v>
      </c>
      <c r="G6" s="32" t="s">
        <v>296</v>
      </c>
      <c r="H6" s="18" t="s">
        <v>38</v>
      </c>
      <c r="J6" s="21" t="s">
        <v>51</v>
      </c>
      <c r="K6" s="21" t="s">
        <v>46</v>
      </c>
    </row>
    <row r="7" spans="1:11" ht="15" customHeight="1" x14ac:dyDescent="0.2">
      <c r="A7" s="17" t="s">
        <v>106</v>
      </c>
      <c r="B7" s="18" t="s">
        <v>33</v>
      </c>
      <c r="D7" s="45" t="s">
        <v>172</v>
      </c>
      <c r="E7" s="15" t="s">
        <v>34</v>
      </c>
      <c r="G7" s="32" t="s">
        <v>297</v>
      </c>
      <c r="H7" s="18" t="s">
        <v>38</v>
      </c>
      <c r="J7" s="22" t="s">
        <v>43</v>
      </c>
      <c r="K7" s="22" t="s">
        <v>47</v>
      </c>
    </row>
    <row r="8" spans="1:11" ht="15" customHeight="1" x14ac:dyDescent="0.2">
      <c r="A8" s="28" t="s">
        <v>108</v>
      </c>
      <c r="B8" s="20" t="s">
        <v>41</v>
      </c>
      <c r="D8" s="45" t="s">
        <v>173</v>
      </c>
      <c r="E8" s="15" t="s">
        <v>34</v>
      </c>
      <c r="G8" s="32" t="s">
        <v>298</v>
      </c>
      <c r="H8" s="18" t="s">
        <v>38</v>
      </c>
      <c r="J8" s="24" t="s">
        <v>39</v>
      </c>
      <c r="K8" s="24" t="s">
        <v>40</v>
      </c>
    </row>
    <row r="9" spans="1:11" ht="15" customHeight="1" x14ac:dyDescent="0.2">
      <c r="A9" s="19" t="s">
        <v>109</v>
      </c>
      <c r="B9" s="20" t="s">
        <v>41</v>
      </c>
      <c r="D9" s="45" t="s">
        <v>174</v>
      </c>
      <c r="E9" s="15" t="s">
        <v>34</v>
      </c>
      <c r="G9" s="32" t="s">
        <v>299</v>
      </c>
      <c r="H9" s="18" t="s">
        <v>38</v>
      </c>
      <c r="J9" s="25" t="s">
        <v>53</v>
      </c>
      <c r="K9" s="25" t="s">
        <v>54</v>
      </c>
    </row>
    <row r="10" spans="1:11" ht="15" customHeight="1" x14ac:dyDescent="0.2">
      <c r="A10" s="28" t="s">
        <v>110</v>
      </c>
      <c r="B10" s="20" t="s">
        <v>41</v>
      </c>
      <c r="D10" s="45" t="s">
        <v>175</v>
      </c>
      <c r="E10" s="15" t="s">
        <v>34</v>
      </c>
      <c r="G10" s="32" t="s">
        <v>300</v>
      </c>
      <c r="H10" s="18" t="s">
        <v>38</v>
      </c>
      <c r="J10" s="26" t="s">
        <v>44</v>
      </c>
      <c r="K10" s="26" t="s">
        <v>52</v>
      </c>
    </row>
    <row r="11" spans="1:11" ht="15" customHeight="1" x14ac:dyDescent="0.2">
      <c r="A11" s="28" t="s">
        <v>111</v>
      </c>
      <c r="B11" s="20" t="s">
        <v>41</v>
      </c>
      <c r="D11" s="45" t="s">
        <v>176</v>
      </c>
      <c r="E11" s="15" t="s">
        <v>34</v>
      </c>
      <c r="G11" s="32" t="s">
        <v>301</v>
      </c>
      <c r="H11" s="18" t="s">
        <v>38</v>
      </c>
      <c r="J11" s="41" t="s">
        <v>45</v>
      </c>
      <c r="K11" s="41" t="s">
        <v>48</v>
      </c>
    </row>
    <row r="12" spans="1:11" ht="15" customHeight="1" x14ac:dyDescent="0.2">
      <c r="A12" s="28" t="s">
        <v>112</v>
      </c>
      <c r="B12" s="20" t="s">
        <v>41</v>
      </c>
      <c r="D12" s="45" t="s">
        <v>177</v>
      </c>
      <c r="E12" s="15" t="s">
        <v>34</v>
      </c>
      <c r="G12" s="18" t="s">
        <v>302</v>
      </c>
      <c r="H12" s="18" t="s">
        <v>38</v>
      </c>
    </row>
    <row r="13" spans="1:11" ht="15" customHeight="1" x14ac:dyDescent="0.2">
      <c r="A13" s="8" t="s">
        <v>42</v>
      </c>
      <c r="B13" s="8" t="s">
        <v>42</v>
      </c>
      <c r="D13" s="45" t="s">
        <v>178</v>
      </c>
      <c r="E13" s="15" t="s">
        <v>34</v>
      </c>
      <c r="G13" s="19" t="s">
        <v>27</v>
      </c>
      <c r="H13" s="20" t="s">
        <v>27</v>
      </c>
    </row>
    <row r="14" spans="1:11" ht="15" customHeight="1" x14ac:dyDescent="0.2">
      <c r="A14" s="29" t="s">
        <v>107</v>
      </c>
      <c r="B14" s="29" t="s">
        <v>107</v>
      </c>
      <c r="D14" s="45" t="s">
        <v>196</v>
      </c>
      <c r="E14" s="15" t="s">
        <v>34</v>
      </c>
      <c r="G14" s="14" t="s">
        <v>303</v>
      </c>
      <c r="H14" s="6" t="s">
        <v>303</v>
      </c>
    </row>
    <row r="15" spans="1:11" ht="15" customHeight="1" x14ac:dyDescent="0.2">
      <c r="A15" s="21" t="s">
        <v>122</v>
      </c>
      <c r="B15" s="21" t="s">
        <v>51</v>
      </c>
      <c r="D15" s="45" t="s">
        <v>179</v>
      </c>
      <c r="E15" s="15" t="s">
        <v>34</v>
      </c>
      <c r="G15" s="14" t="s">
        <v>304</v>
      </c>
      <c r="H15" s="6" t="s">
        <v>304</v>
      </c>
    </row>
    <row r="16" spans="1:11" ht="15" customHeight="1" x14ac:dyDescent="0.2">
      <c r="A16" s="21" t="s">
        <v>123</v>
      </c>
      <c r="B16" s="21" t="s">
        <v>51</v>
      </c>
      <c r="D16" s="46" t="s">
        <v>197</v>
      </c>
      <c r="E16" s="18" t="s">
        <v>35</v>
      </c>
      <c r="G16" s="9" t="s">
        <v>15</v>
      </c>
      <c r="H16" s="5" t="s">
        <v>15</v>
      </c>
    </row>
    <row r="17" spans="1:8" ht="15" customHeight="1" x14ac:dyDescent="0.2">
      <c r="A17" s="21" t="s">
        <v>124</v>
      </c>
      <c r="B17" s="21" t="s">
        <v>51</v>
      </c>
      <c r="D17" s="46" t="s">
        <v>198</v>
      </c>
      <c r="E17" s="18" t="s">
        <v>35</v>
      </c>
      <c r="G17" s="29" t="s">
        <v>21</v>
      </c>
      <c r="H17" s="30" t="s">
        <v>21</v>
      </c>
    </row>
    <row r="18" spans="1:8" ht="15" customHeight="1" x14ac:dyDescent="0.2">
      <c r="A18" s="21" t="s">
        <v>126</v>
      </c>
      <c r="B18" s="21" t="s">
        <v>51</v>
      </c>
      <c r="D18" s="46" t="s">
        <v>200</v>
      </c>
      <c r="E18" s="18" t="s">
        <v>35</v>
      </c>
      <c r="G18" s="14" t="s">
        <v>305</v>
      </c>
      <c r="H18" s="6" t="s">
        <v>305</v>
      </c>
    </row>
    <row r="19" spans="1:8" ht="15" customHeight="1" x14ac:dyDescent="0.2">
      <c r="A19" s="21" t="s">
        <v>127</v>
      </c>
      <c r="B19" s="21" t="s">
        <v>51</v>
      </c>
      <c r="D19" s="46" t="s">
        <v>201</v>
      </c>
      <c r="E19" s="18" t="s">
        <v>35</v>
      </c>
      <c r="G19" s="34" t="s">
        <v>28</v>
      </c>
      <c r="H19" s="35" t="s">
        <v>28</v>
      </c>
    </row>
    <row r="20" spans="1:8" ht="15" customHeight="1" x14ac:dyDescent="0.2">
      <c r="A20" s="21" t="s">
        <v>135</v>
      </c>
      <c r="B20" s="21" t="s">
        <v>51</v>
      </c>
      <c r="D20" s="47" t="s">
        <v>180</v>
      </c>
      <c r="E20" s="20" t="s">
        <v>49</v>
      </c>
      <c r="G20" s="34" t="s">
        <v>306</v>
      </c>
      <c r="H20" s="34" t="s">
        <v>306</v>
      </c>
    </row>
    <row r="21" spans="1:8" ht="15" customHeight="1" x14ac:dyDescent="0.2">
      <c r="A21" s="21" t="s">
        <v>125</v>
      </c>
      <c r="B21" s="21" t="s">
        <v>51</v>
      </c>
      <c r="D21" s="47" t="s">
        <v>181</v>
      </c>
      <c r="E21" s="20" t="s">
        <v>49</v>
      </c>
      <c r="G21" s="36" t="s">
        <v>307</v>
      </c>
      <c r="H21" s="37" t="s">
        <v>17</v>
      </c>
    </row>
    <row r="22" spans="1:8" ht="15" customHeight="1" x14ac:dyDescent="0.2">
      <c r="A22" s="31" t="s">
        <v>128</v>
      </c>
      <c r="B22" s="22" t="s">
        <v>43</v>
      </c>
      <c r="D22" s="47" t="s">
        <v>182</v>
      </c>
      <c r="E22" s="20" t="s">
        <v>49</v>
      </c>
      <c r="G22" s="36" t="s">
        <v>308</v>
      </c>
      <c r="H22" s="37" t="s">
        <v>17</v>
      </c>
    </row>
    <row r="23" spans="1:8" ht="15" customHeight="1" x14ac:dyDescent="0.2">
      <c r="A23" s="31" t="s">
        <v>129</v>
      </c>
      <c r="B23" s="22" t="s">
        <v>43</v>
      </c>
      <c r="D23" s="47" t="s">
        <v>183</v>
      </c>
      <c r="E23" s="20" t="s">
        <v>49</v>
      </c>
      <c r="G23" s="36" t="s">
        <v>17</v>
      </c>
      <c r="H23" s="37" t="s">
        <v>17</v>
      </c>
    </row>
    <row r="24" spans="1:8" ht="15" customHeight="1" x14ac:dyDescent="0.2">
      <c r="A24" s="31" t="s">
        <v>130</v>
      </c>
      <c r="B24" s="22" t="s">
        <v>43</v>
      </c>
      <c r="D24" s="47" t="s">
        <v>184</v>
      </c>
      <c r="E24" s="20" t="s">
        <v>49</v>
      </c>
      <c r="G24" s="38" t="s">
        <v>20</v>
      </c>
      <c r="H24" s="24" t="s">
        <v>20</v>
      </c>
    </row>
    <row r="25" spans="1:8" ht="15" customHeight="1" x14ac:dyDescent="0.2">
      <c r="A25" s="31" t="s">
        <v>113</v>
      </c>
      <c r="B25" s="22" t="s">
        <v>43</v>
      </c>
      <c r="D25" s="47" t="s">
        <v>185</v>
      </c>
      <c r="E25" s="20" t="s">
        <v>49</v>
      </c>
      <c r="G25" s="39" t="s">
        <v>16</v>
      </c>
      <c r="H25" s="25" t="s">
        <v>16</v>
      </c>
    </row>
    <row r="26" spans="1:8" ht="15" customHeight="1" x14ac:dyDescent="0.2">
      <c r="A26" s="31" t="s">
        <v>114</v>
      </c>
      <c r="B26" s="22" t="s">
        <v>43</v>
      </c>
      <c r="D26" s="47" t="s">
        <v>186</v>
      </c>
      <c r="E26" s="20" t="s">
        <v>49</v>
      </c>
      <c r="G26" s="40" t="s">
        <v>309</v>
      </c>
      <c r="H26" s="26" t="s">
        <v>30</v>
      </c>
    </row>
    <row r="27" spans="1:8" ht="15" customHeight="1" x14ac:dyDescent="0.2">
      <c r="A27" s="31" t="s">
        <v>131</v>
      </c>
      <c r="B27" s="22" t="s">
        <v>43</v>
      </c>
      <c r="D27" s="47" t="s">
        <v>187</v>
      </c>
      <c r="E27" s="20" t="s">
        <v>49</v>
      </c>
      <c r="G27" s="40" t="s">
        <v>310</v>
      </c>
      <c r="H27" s="26" t="s">
        <v>30</v>
      </c>
    </row>
    <row r="28" spans="1:8" ht="15" customHeight="1" x14ac:dyDescent="0.2">
      <c r="A28" s="31" t="s">
        <v>115</v>
      </c>
      <c r="B28" s="22" t="s">
        <v>43</v>
      </c>
      <c r="D28" s="47" t="s">
        <v>188</v>
      </c>
      <c r="E28" s="20" t="s">
        <v>49</v>
      </c>
      <c r="G28" s="40" t="s">
        <v>311</v>
      </c>
      <c r="H28" s="26" t="s">
        <v>30</v>
      </c>
    </row>
    <row r="29" spans="1:8" ht="15" customHeight="1" x14ac:dyDescent="0.2">
      <c r="A29" s="31" t="s">
        <v>117</v>
      </c>
      <c r="B29" s="22" t="s">
        <v>43</v>
      </c>
      <c r="D29" s="47" t="s">
        <v>189</v>
      </c>
      <c r="E29" s="20" t="s">
        <v>49</v>
      </c>
      <c r="G29" s="40" t="s">
        <v>312</v>
      </c>
      <c r="H29" s="26" t="s">
        <v>30</v>
      </c>
    </row>
    <row r="30" spans="1:8" ht="15" customHeight="1" x14ac:dyDescent="0.2">
      <c r="A30" s="31" t="s">
        <v>132</v>
      </c>
      <c r="B30" s="22" t="s">
        <v>43</v>
      </c>
      <c r="D30" s="47" t="s">
        <v>190</v>
      </c>
      <c r="E30" s="20" t="s">
        <v>49</v>
      </c>
      <c r="G30" s="40" t="s">
        <v>313</v>
      </c>
      <c r="H30" s="26" t="s">
        <v>30</v>
      </c>
    </row>
    <row r="31" spans="1:8" ht="15" customHeight="1" x14ac:dyDescent="0.2">
      <c r="A31" s="31" t="s">
        <v>133</v>
      </c>
      <c r="B31" s="22" t="s">
        <v>43</v>
      </c>
      <c r="D31" s="47" t="s">
        <v>191</v>
      </c>
      <c r="E31" s="20" t="s">
        <v>49</v>
      </c>
      <c r="G31" s="40" t="s">
        <v>314</v>
      </c>
      <c r="H31" s="26" t="s">
        <v>30</v>
      </c>
    </row>
    <row r="32" spans="1:8" ht="15" customHeight="1" x14ac:dyDescent="0.2">
      <c r="A32" s="31" t="s">
        <v>118</v>
      </c>
      <c r="B32" s="22" t="s">
        <v>43</v>
      </c>
      <c r="D32" s="47" t="s">
        <v>192</v>
      </c>
      <c r="E32" s="20" t="s">
        <v>49</v>
      </c>
      <c r="G32" s="40" t="s">
        <v>315</v>
      </c>
      <c r="H32" s="26" t="s">
        <v>30</v>
      </c>
    </row>
    <row r="33" spans="1:10" ht="15" customHeight="1" x14ac:dyDescent="0.2">
      <c r="A33" s="31" t="s">
        <v>119</v>
      </c>
      <c r="B33" s="22" t="s">
        <v>43</v>
      </c>
      <c r="D33" s="47" t="s">
        <v>193</v>
      </c>
      <c r="E33" s="20" t="s">
        <v>49</v>
      </c>
      <c r="G33" s="40" t="s">
        <v>30</v>
      </c>
      <c r="H33" s="26" t="s">
        <v>30</v>
      </c>
    </row>
    <row r="34" spans="1:10" ht="15" customHeight="1" x14ac:dyDescent="0.2">
      <c r="A34" s="31" t="s">
        <v>120</v>
      </c>
      <c r="B34" s="22" t="s">
        <v>43</v>
      </c>
      <c r="C34" s="7"/>
      <c r="D34" s="47" t="s">
        <v>194</v>
      </c>
      <c r="E34" s="20" t="s">
        <v>49</v>
      </c>
      <c r="G34" s="42" t="s">
        <v>29</v>
      </c>
      <c r="H34" s="42" t="s">
        <v>29</v>
      </c>
    </row>
    <row r="35" spans="1:10" ht="15" customHeight="1" x14ac:dyDescent="0.2">
      <c r="A35" s="31" t="s">
        <v>121</v>
      </c>
      <c r="B35" s="22" t="s">
        <v>43</v>
      </c>
      <c r="C35" s="7"/>
      <c r="D35" s="47" t="s">
        <v>195</v>
      </c>
      <c r="E35" s="20" t="s">
        <v>49</v>
      </c>
      <c r="G35" s="63" t="s">
        <v>0</v>
      </c>
      <c r="H35" s="63" t="s">
        <v>0</v>
      </c>
    </row>
    <row r="36" spans="1:10" ht="15" customHeight="1" x14ac:dyDescent="0.2">
      <c r="A36" s="31" t="s">
        <v>134</v>
      </c>
      <c r="B36" s="22" t="s">
        <v>43</v>
      </c>
      <c r="C36" s="7"/>
      <c r="D36" s="48" t="s">
        <v>199</v>
      </c>
      <c r="E36" s="8" t="s">
        <v>50</v>
      </c>
    </row>
    <row r="37" spans="1:10" ht="15" customHeight="1" x14ac:dyDescent="0.2">
      <c r="A37" s="22" t="s">
        <v>43</v>
      </c>
      <c r="B37" s="22" t="s">
        <v>43</v>
      </c>
      <c r="C37" s="7"/>
      <c r="D37" s="48" t="s">
        <v>203</v>
      </c>
      <c r="E37" s="8" t="s">
        <v>50</v>
      </c>
    </row>
    <row r="38" spans="1:10" ht="15" customHeight="1" x14ac:dyDescent="0.2">
      <c r="A38" s="23" t="s">
        <v>136</v>
      </c>
      <c r="B38" s="24" t="s">
        <v>39</v>
      </c>
      <c r="C38" s="7"/>
      <c r="D38" s="48" t="s">
        <v>204</v>
      </c>
      <c r="E38" s="8" t="s">
        <v>50</v>
      </c>
    </row>
    <row r="39" spans="1:10" ht="15" customHeight="1" x14ac:dyDescent="0.2">
      <c r="A39" s="23" t="s">
        <v>137</v>
      </c>
      <c r="B39" s="24" t="s">
        <v>39</v>
      </c>
      <c r="C39" s="7"/>
      <c r="D39" s="48" t="s">
        <v>205</v>
      </c>
      <c r="E39" s="8" t="s">
        <v>50</v>
      </c>
    </row>
    <row r="40" spans="1:10" ht="15" customHeight="1" x14ac:dyDescent="0.2">
      <c r="A40" s="23" t="s">
        <v>138</v>
      </c>
      <c r="B40" s="24" t="s">
        <v>39</v>
      </c>
      <c r="C40" s="7"/>
      <c r="D40" s="48" t="s">
        <v>206</v>
      </c>
      <c r="E40" s="8" t="s">
        <v>50</v>
      </c>
    </row>
    <row r="41" spans="1:10" ht="15" customHeight="1" x14ac:dyDescent="0.2">
      <c r="A41" s="43" t="s">
        <v>141</v>
      </c>
      <c r="B41" s="25" t="s">
        <v>53</v>
      </c>
      <c r="C41" s="7"/>
      <c r="D41" s="48" t="s">
        <v>207</v>
      </c>
      <c r="E41" s="8" t="s">
        <v>50</v>
      </c>
    </row>
    <row r="42" spans="1:10" ht="15" customHeight="1" x14ac:dyDescent="0.2">
      <c r="A42" s="43" t="s">
        <v>142</v>
      </c>
      <c r="B42" s="25" t="s">
        <v>53</v>
      </c>
      <c r="C42" s="7"/>
      <c r="D42" s="48" t="s">
        <v>208</v>
      </c>
      <c r="E42" s="8" t="s">
        <v>50</v>
      </c>
    </row>
    <row r="43" spans="1:10" ht="15" customHeight="1" x14ac:dyDescent="0.2">
      <c r="A43" s="43" t="s">
        <v>143</v>
      </c>
      <c r="B43" s="25" t="s">
        <v>53</v>
      </c>
      <c r="C43" s="7"/>
      <c r="D43" s="49" t="s">
        <v>213</v>
      </c>
      <c r="E43" s="29" t="s">
        <v>447</v>
      </c>
    </row>
    <row r="44" spans="1:10" ht="15" customHeight="1" x14ac:dyDescent="0.2">
      <c r="A44" s="43" t="s">
        <v>144</v>
      </c>
      <c r="B44" s="25" t="s">
        <v>53</v>
      </c>
      <c r="C44" s="7"/>
      <c r="D44" s="50" t="s">
        <v>241</v>
      </c>
      <c r="E44" s="21" t="s">
        <v>46</v>
      </c>
    </row>
    <row r="45" spans="1:10" ht="15" customHeight="1" x14ac:dyDescent="0.2">
      <c r="A45" s="43" t="s">
        <v>145</v>
      </c>
      <c r="B45" s="25" t="s">
        <v>53</v>
      </c>
      <c r="C45" s="7"/>
      <c r="D45" s="50" t="s">
        <v>242</v>
      </c>
      <c r="E45" s="21" t="s">
        <v>46</v>
      </c>
    </row>
    <row r="46" spans="1:10" ht="15" customHeight="1" x14ac:dyDescent="0.2">
      <c r="A46" s="43" t="s">
        <v>146</v>
      </c>
      <c r="B46" s="25" t="s">
        <v>53</v>
      </c>
      <c r="C46" s="7"/>
      <c r="D46" s="50" t="s">
        <v>243</v>
      </c>
      <c r="E46" s="21" t="s">
        <v>46</v>
      </c>
      <c r="J46" s="7"/>
    </row>
    <row r="47" spans="1:10" ht="15" customHeight="1" x14ac:dyDescent="0.2">
      <c r="A47" s="27" t="s">
        <v>44</v>
      </c>
      <c r="B47" s="26" t="s">
        <v>44</v>
      </c>
      <c r="C47" s="7"/>
      <c r="D47" s="50" t="s">
        <v>244</v>
      </c>
      <c r="E47" s="21" t="s">
        <v>46</v>
      </c>
      <c r="J47" s="7"/>
    </row>
    <row r="48" spans="1:10" ht="15" customHeight="1" x14ac:dyDescent="0.2">
      <c r="A48" s="27" t="s">
        <v>139</v>
      </c>
      <c r="B48" s="26" t="s">
        <v>44</v>
      </c>
      <c r="C48" s="7"/>
      <c r="D48" s="50" t="s">
        <v>237</v>
      </c>
      <c r="E48" s="21" t="s">
        <v>46</v>
      </c>
      <c r="J48" s="7"/>
    </row>
    <row r="49" spans="1:10" ht="15" customHeight="1" x14ac:dyDescent="0.2">
      <c r="A49" s="27" t="s">
        <v>140</v>
      </c>
      <c r="B49" s="26" t="s">
        <v>44</v>
      </c>
      <c r="C49" s="7"/>
      <c r="D49" s="50" t="s">
        <v>245</v>
      </c>
      <c r="E49" s="21" t="s">
        <v>46</v>
      </c>
      <c r="J49" s="7"/>
    </row>
    <row r="50" spans="1:10" ht="15" customHeight="1" x14ac:dyDescent="0.2">
      <c r="A50" s="44" t="s">
        <v>147</v>
      </c>
      <c r="B50" s="41" t="s">
        <v>45</v>
      </c>
      <c r="C50" s="7"/>
      <c r="D50" s="50" t="s">
        <v>246</v>
      </c>
      <c r="E50" s="21" t="s">
        <v>46</v>
      </c>
      <c r="J50" s="7"/>
    </row>
    <row r="51" spans="1:10" ht="15" customHeight="1" x14ac:dyDescent="0.2">
      <c r="A51" s="44" t="s">
        <v>148</v>
      </c>
      <c r="B51" s="41" t="s">
        <v>45</v>
      </c>
      <c r="C51" s="7"/>
      <c r="D51" s="50" t="s">
        <v>247</v>
      </c>
      <c r="E51" s="21" t="s">
        <v>46</v>
      </c>
      <c r="J51" s="7"/>
    </row>
    <row r="52" spans="1:10" ht="15" customHeight="1" x14ac:dyDescent="0.2">
      <c r="A52" s="44" t="s">
        <v>149</v>
      </c>
      <c r="B52" s="41" t="s">
        <v>45</v>
      </c>
      <c r="C52" s="7"/>
      <c r="D52" s="50" t="s">
        <v>249</v>
      </c>
      <c r="E52" s="21" t="s">
        <v>46</v>
      </c>
      <c r="J52" s="7"/>
    </row>
    <row r="53" spans="1:10" ht="15" customHeight="1" x14ac:dyDescent="0.2">
      <c r="A53" s="44" t="s">
        <v>150</v>
      </c>
      <c r="B53" s="41" t="s">
        <v>45</v>
      </c>
      <c r="C53" s="7"/>
      <c r="D53" s="50" t="s">
        <v>250</v>
      </c>
      <c r="E53" s="21" t="s">
        <v>46</v>
      </c>
      <c r="J53" s="7"/>
    </row>
    <row r="54" spans="1:10" ht="15" customHeight="1" x14ac:dyDescent="0.2">
      <c r="A54" s="44" t="s">
        <v>151</v>
      </c>
      <c r="B54" s="41" t="s">
        <v>45</v>
      </c>
      <c r="C54" s="7"/>
      <c r="D54" s="50" t="s">
        <v>116</v>
      </c>
      <c r="E54" s="21" t="s">
        <v>46</v>
      </c>
      <c r="J54" s="7"/>
    </row>
    <row r="55" spans="1:10" ht="15" customHeight="1" x14ac:dyDescent="0.2">
      <c r="A55" s="44" t="s">
        <v>152</v>
      </c>
      <c r="B55" s="41" t="s">
        <v>45</v>
      </c>
      <c r="C55" s="7"/>
      <c r="D55" s="50" t="s">
        <v>238</v>
      </c>
      <c r="E55" s="21" t="s">
        <v>46</v>
      </c>
      <c r="J55" s="7"/>
    </row>
    <row r="56" spans="1:10" ht="15" customHeight="1" x14ac:dyDescent="0.2">
      <c r="A56" s="44" t="s">
        <v>153</v>
      </c>
      <c r="B56" s="41" t="s">
        <v>45</v>
      </c>
      <c r="C56" s="7"/>
      <c r="D56" s="50" t="s">
        <v>248</v>
      </c>
      <c r="E56" s="21" t="s">
        <v>46</v>
      </c>
      <c r="J56" s="7"/>
    </row>
    <row r="57" spans="1:10" ht="15" customHeight="1" x14ac:dyDescent="0.2">
      <c r="A57" s="44" t="s">
        <v>154</v>
      </c>
      <c r="B57" s="41" t="s">
        <v>45</v>
      </c>
      <c r="C57" s="7"/>
      <c r="D57" s="31" t="s">
        <v>202</v>
      </c>
      <c r="E57" s="22" t="s">
        <v>47</v>
      </c>
      <c r="J57" s="7"/>
    </row>
    <row r="58" spans="1:10" ht="15" customHeight="1" x14ac:dyDescent="0.2">
      <c r="A58" s="44" t="s">
        <v>155</v>
      </c>
      <c r="B58" s="41" t="s">
        <v>45</v>
      </c>
      <c r="C58" s="7"/>
      <c r="D58" s="31" t="s">
        <v>227</v>
      </c>
      <c r="E58" s="22" t="s">
        <v>47</v>
      </c>
      <c r="J58" s="7"/>
    </row>
    <row r="59" spans="1:10" ht="15" customHeight="1" x14ac:dyDescent="0.2">
      <c r="A59" s="44" t="s">
        <v>156</v>
      </c>
      <c r="B59" s="41" t="s">
        <v>45</v>
      </c>
      <c r="C59" s="7"/>
      <c r="D59" s="31" t="s">
        <v>231</v>
      </c>
      <c r="E59" s="22" t="s">
        <v>47</v>
      </c>
      <c r="J59" s="7"/>
    </row>
    <row r="60" spans="1:10" ht="15" customHeight="1" x14ac:dyDescent="0.2">
      <c r="A60" s="44" t="s">
        <v>157</v>
      </c>
      <c r="B60" s="41" t="s">
        <v>45</v>
      </c>
      <c r="C60" s="7"/>
      <c r="D60" s="31" t="s">
        <v>232</v>
      </c>
      <c r="E60" s="22" t="s">
        <v>47</v>
      </c>
      <c r="J60" s="7"/>
    </row>
    <row r="61" spans="1:10" ht="15" customHeight="1" x14ac:dyDescent="0.2">
      <c r="A61" s="44" t="s">
        <v>158</v>
      </c>
      <c r="B61" s="41" t="s">
        <v>45</v>
      </c>
      <c r="C61" s="7"/>
      <c r="D61" s="31" t="s">
        <v>233</v>
      </c>
      <c r="E61" s="22" t="s">
        <v>47</v>
      </c>
      <c r="J61" s="7"/>
    </row>
    <row r="62" spans="1:10" ht="15" customHeight="1" x14ac:dyDescent="0.2">
      <c r="A62" s="44" t="s">
        <v>159</v>
      </c>
      <c r="B62" s="41" t="s">
        <v>45</v>
      </c>
      <c r="C62" s="7"/>
      <c r="D62" s="31" t="s">
        <v>210</v>
      </c>
      <c r="E62" s="22" t="s">
        <v>47</v>
      </c>
      <c r="J62" s="7"/>
    </row>
    <row r="63" spans="1:10" ht="15" customHeight="1" x14ac:dyDescent="0.2">
      <c r="A63" s="44" t="s">
        <v>160</v>
      </c>
      <c r="B63" s="41" t="s">
        <v>45</v>
      </c>
      <c r="C63" s="7"/>
      <c r="D63" s="31" t="s">
        <v>211</v>
      </c>
      <c r="E63" s="22" t="s">
        <v>47</v>
      </c>
      <c r="J63" s="7"/>
    </row>
    <row r="64" spans="1:10" ht="15" customHeight="1" x14ac:dyDescent="0.2">
      <c r="A64" s="42" t="s">
        <v>161</v>
      </c>
      <c r="B64" s="41" t="s">
        <v>45</v>
      </c>
      <c r="C64" s="7"/>
      <c r="D64" s="31" t="s">
        <v>212</v>
      </c>
      <c r="E64" s="22" t="s">
        <v>47</v>
      </c>
      <c r="J64" s="7"/>
    </row>
    <row r="65" spans="1:10" ht="15" customHeight="1" x14ac:dyDescent="0.2">
      <c r="A65" s="44" t="s">
        <v>162</v>
      </c>
      <c r="B65" s="41" t="s">
        <v>45</v>
      </c>
      <c r="C65" s="7"/>
      <c r="D65" s="31" t="s">
        <v>234</v>
      </c>
      <c r="E65" s="22" t="s">
        <v>47</v>
      </c>
      <c r="J65" s="7"/>
    </row>
    <row r="66" spans="1:10" ht="15" customHeight="1" x14ac:dyDescent="0.2">
      <c r="A66" s="44" t="s">
        <v>163</v>
      </c>
      <c r="B66" s="41" t="s">
        <v>45</v>
      </c>
      <c r="C66" s="7"/>
      <c r="D66" s="31" t="s">
        <v>214</v>
      </c>
      <c r="E66" s="22" t="s">
        <v>47</v>
      </c>
      <c r="J66" s="7"/>
    </row>
    <row r="67" spans="1:10" ht="15" customHeight="1" x14ac:dyDescent="0.2">
      <c r="A67" s="44" t="s">
        <v>164</v>
      </c>
      <c r="B67" s="41" t="s">
        <v>45</v>
      </c>
      <c r="C67" s="7"/>
      <c r="D67" s="31" t="s">
        <v>215</v>
      </c>
      <c r="E67" s="22" t="s">
        <v>47</v>
      </c>
      <c r="J67" s="7"/>
    </row>
    <row r="68" spans="1:10" ht="15" customHeight="1" x14ac:dyDescent="0.2">
      <c r="A68" s="44" t="s">
        <v>165</v>
      </c>
      <c r="B68" s="41" t="s">
        <v>45</v>
      </c>
      <c r="C68" s="7"/>
      <c r="D68" s="31" t="s">
        <v>216</v>
      </c>
      <c r="E68" s="22" t="s">
        <v>47</v>
      </c>
      <c r="J68" s="7"/>
    </row>
    <row r="69" spans="1:10" ht="15" customHeight="1" x14ac:dyDescent="0.2">
      <c r="C69" s="7"/>
      <c r="D69" s="31" t="s">
        <v>217</v>
      </c>
      <c r="E69" s="22" t="s">
        <v>47</v>
      </c>
      <c r="J69" s="7"/>
    </row>
    <row r="70" spans="1:10" ht="15" customHeight="1" x14ac:dyDescent="0.2">
      <c r="C70" s="7"/>
      <c r="D70" s="31" t="s">
        <v>218</v>
      </c>
      <c r="E70" s="22" t="s">
        <v>47</v>
      </c>
      <c r="J70" s="7"/>
    </row>
    <row r="71" spans="1:10" ht="15" customHeight="1" x14ac:dyDescent="0.2">
      <c r="C71" s="7"/>
      <c r="D71" s="31" t="s">
        <v>219</v>
      </c>
      <c r="E71" s="22" t="s">
        <v>47</v>
      </c>
      <c r="J71" s="7"/>
    </row>
    <row r="72" spans="1:10" ht="15" customHeight="1" x14ac:dyDescent="0.2">
      <c r="A72" s="7"/>
      <c r="C72" s="7"/>
      <c r="D72" s="31" t="s">
        <v>228</v>
      </c>
      <c r="E72" s="22" t="s">
        <v>47</v>
      </c>
      <c r="J72" s="7"/>
    </row>
    <row r="73" spans="1:10" ht="15" customHeight="1" x14ac:dyDescent="0.2">
      <c r="C73" s="7"/>
      <c r="D73" s="31" t="s">
        <v>235</v>
      </c>
      <c r="E73" s="22" t="s">
        <v>47</v>
      </c>
      <c r="J73" s="7"/>
    </row>
    <row r="74" spans="1:10" ht="15" customHeight="1" x14ac:dyDescent="0.2">
      <c r="C74" s="7"/>
      <c r="D74" s="31" t="s">
        <v>236</v>
      </c>
      <c r="E74" s="22" t="s">
        <v>47</v>
      </c>
      <c r="J74" s="7"/>
    </row>
    <row r="75" spans="1:10" ht="15" customHeight="1" x14ac:dyDescent="0.2">
      <c r="C75" s="7"/>
      <c r="D75" s="31" t="s">
        <v>220</v>
      </c>
      <c r="E75" s="22" t="s">
        <v>47</v>
      </c>
      <c r="J75" s="7"/>
    </row>
    <row r="76" spans="1:10" ht="15" customHeight="1" x14ac:dyDescent="0.2">
      <c r="C76" s="7"/>
      <c r="D76" s="31" t="s">
        <v>221</v>
      </c>
      <c r="E76" s="22" t="s">
        <v>47</v>
      </c>
      <c r="J76" s="7"/>
    </row>
    <row r="77" spans="1:10" ht="15" customHeight="1" x14ac:dyDescent="0.2">
      <c r="C77" s="7"/>
      <c r="D77" s="31" t="s">
        <v>222</v>
      </c>
      <c r="E77" s="22" t="s">
        <v>47</v>
      </c>
      <c r="J77" s="7"/>
    </row>
    <row r="78" spans="1:10" ht="15" customHeight="1" x14ac:dyDescent="0.2">
      <c r="D78" s="31" t="s">
        <v>223</v>
      </c>
      <c r="E78" s="22" t="s">
        <v>47</v>
      </c>
      <c r="J78" s="7"/>
    </row>
    <row r="79" spans="1:10" ht="15" customHeight="1" x14ac:dyDescent="0.2">
      <c r="D79" s="31" t="s">
        <v>229</v>
      </c>
      <c r="E79" s="22" t="s">
        <v>47</v>
      </c>
      <c r="J79" s="7"/>
    </row>
    <row r="80" spans="1:10" ht="15" customHeight="1" x14ac:dyDescent="0.2">
      <c r="D80" s="31" t="s">
        <v>209</v>
      </c>
      <c r="E80" s="22" t="s">
        <v>47</v>
      </c>
      <c r="J80" s="7"/>
    </row>
    <row r="81" spans="4:10" ht="15" customHeight="1" x14ac:dyDescent="0.2">
      <c r="D81" s="31" t="s">
        <v>224</v>
      </c>
      <c r="E81" s="22" t="s">
        <v>47</v>
      </c>
      <c r="J81" s="7"/>
    </row>
    <row r="82" spans="4:10" ht="15" customHeight="1" x14ac:dyDescent="0.2">
      <c r="D82" s="31" t="s">
        <v>225</v>
      </c>
      <c r="E82" s="22" t="s">
        <v>47</v>
      </c>
      <c r="J82" s="7"/>
    </row>
    <row r="83" spans="4:10" ht="15" customHeight="1" x14ac:dyDescent="0.2">
      <c r="D83" s="31" t="s">
        <v>226</v>
      </c>
      <c r="E83" s="22" t="s">
        <v>47</v>
      </c>
      <c r="J83" s="7"/>
    </row>
    <row r="84" spans="4:10" ht="15" customHeight="1" x14ac:dyDescent="0.2">
      <c r="D84" s="31" t="s">
        <v>230</v>
      </c>
      <c r="E84" s="22" t="s">
        <v>47</v>
      </c>
      <c r="J84" s="7"/>
    </row>
    <row r="85" spans="4:10" ht="15" customHeight="1" x14ac:dyDescent="0.2">
      <c r="D85" s="31" t="s">
        <v>240</v>
      </c>
      <c r="E85" s="22" t="s">
        <v>47</v>
      </c>
      <c r="J85" s="7"/>
    </row>
    <row r="86" spans="4:10" ht="15" customHeight="1" x14ac:dyDescent="0.2">
      <c r="D86" s="31" t="s">
        <v>239</v>
      </c>
      <c r="E86" s="22" t="s">
        <v>47</v>
      </c>
      <c r="J86" s="7"/>
    </row>
    <row r="87" spans="4:10" ht="15" customHeight="1" x14ac:dyDescent="0.2">
      <c r="D87" s="31" t="s">
        <v>47</v>
      </c>
      <c r="E87" s="22" t="s">
        <v>47</v>
      </c>
      <c r="J87" s="7"/>
    </row>
    <row r="88" spans="4:10" ht="15" customHeight="1" x14ac:dyDescent="0.2">
      <c r="D88" s="51" t="s">
        <v>251</v>
      </c>
      <c r="E88" s="24" t="s">
        <v>40</v>
      </c>
      <c r="J88" s="7"/>
    </row>
    <row r="89" spans="4:10" ht="15" customHeight="1" x14ac:dyDescent="0.2">
      <c r="D89" s="51" t="s">
        <v>252</v>
      </c>
      <c r="E89" s="24" t="s">
        <v>40</v>
      </c>
      <c r="J89" s="7"/>
    </row>
    <row r="90" spans="4:10" ht="15" customHeight="1" x14ac:dyDescent="0.2">
      <c r="D90" s="51" t="s">
        <v>253</v>
      </c>
      <c r="E90" s="24" t="s">
        <v>40</v>
      </c>
      <c r="J90" s="7"/>
    </row>
    <row r="91" spans="4:10" ht="15" customHeight="1" x14ac:dyDescent="0.2">
      <c r="D91" s="51" t="s">
        <v>254</v>
      </c>
      <c r="E91" s="24" t="s">
        <v>40</v>
      </c>
      <c r="J91" s="7"/>
    </row>
    <row r="92" spans="4:10" ht="15" customHeight="1" x14ac:dyDescent="0.2">
      <c r="D92" s="51" t="s">
        <v>255</v>
      </c>
      <c r="E92" s="24" t="s">
        <v>40</v>
      </c>
      <c r="J92" s="7"/>
    </row>
    <row r="93" spans="4:10" ht="15" customHeight="1" x14ac:dyDescent="0.2">
      <c r="D93" s="43" t="s">
        <v>256</v>
      </c>
      <c r="E93" s="25" t="s">
        <v>54</v>
      </c>
      <c r="J93" s="7"/>
    </row>
    <row r="94" spans="4:10" ht="15" customHeight="1" x14ac:dyDescent="0.2">
      <c r="D94" s="43" t="s">
        <v>257</v>
      </c>
      <c r="E94" s="25" t="s">
        <v>54</v>
      </c>
      <c r="J94" s="7"/>
    </row>
    <row r="95" spans="4:10" ht="15" customHeight="1" x14ac:dyDescent="0.2">
      <c r="D95" s="43" t="s">
        <v>258</v>
      </c>
      <c r="E95" s="25" t="s">
        <v>54</v>
      </c>
      <c r="J95" s="7"/>
    </row>
    <row r="96" spans="4:10" ht="15" customHeight="1" x14ac:dyDescent="0.2">
      <c r="D96" s="43" t="s">
        <v>259</v>
      </c>
      <c r="E96" s="25" t="s">
        <v>54</v>
      </c>
      <c r="J96" s="7"/>
    </row>
    <row r="97" spans="4:10" ht="15" customHeight="1" x14ac:dyDescent="0.2">
      <c r="D97" s="43" t="s">
        <v>260</v>
      </c>
      <c r="E97" s="25" t="s">
        <v>54</v>
      </c>
      <c r="J97" s="7"/>
    </row>
    <row r="98" spans="4:10" ht="15" customHeight="1" x14ac:dyDescent="0.2">
      <c r="D98" s="43" t="s">
        <v>261</v>
      </c>
      <c r="E98" s="25" t="s">
        <v>54</v>
      </c>
      <c r="J98" s="7"/>
    </row>
    <row r="99" spans="4:10" ht="15" customHeight="1" x14ac:dyDescent="0.2">
      <c r="D99" s="43" t="s">
        <v>262</v>
      </c>
      <c r="E99" s="25" t="s">
        <v>54</v>
      </c>
      <c r="J99" s="7"/>
    </row>
    <row r="100" spans="4:10" ht="15" customHeight="1" x14ac:dyDescent="0.2">
      <c r="D100" s="43" t="s">
        <v>263</v>
      </c>
      <c r="E100" s="25" t="s">
        <v>54</v>
      </c>
      <c r="J100" s="7"/>
    </row>
    <row r="101" spans="4:10" ht="15" customHeight="1" x14ac:dyDescent="0.2">
      <c r="D101" s="52" t="s">
        <v>52</v>
      </c>
      <c r="E101" s="26" t="s">
        <v>52</v>
      </c>
      <c r="J101" s="7"/>
    </row>
    <row r="102" spans="4:10" ht="15" customHeight="1" x14ac:dyDescent="0.2">
      <c r="D102" s="52" t="s">
        <v>282</v>
      </c>
      <c r="E102" s="26" t="s">
        <v>52</v>
      </c>
      <c r="J102" s="7"/>
    </row>
    <row r="103" spans="4:10" ht="15" customHeight="1" x14ac:dyDescent="0.2">
      <c r="D103" s="52" t="s">
        <v>284</v>
      </c>
      <c r="E103" s="26" t="s">
        <v>52</v>
      </c>
      <c r="J103" s="7"/>
    </row>
    <row r="104" spans="4:10" ht="15" customHeight="1" x14ac:dyDescent="0.2">
      <c r="D104" s="44" t="s">
        <v>264</v>
      </c>
      <c r="E104" s="41" t="s">
        <v>48</v>
      </c>
      <c r="J104" s="7"/>
    </row>
    <row r="105" spans="4:10" ht="15" customHeight="1" x14ac:dyDescent="0.2">
      <c r="D105" s="44" t="s">
        <v>265</v>
      </c>
      <c r="E105" s="41" t="s">
        <v>48</v>
      </c>
      <c r="J105" s="7"/>
    </row>
    <row r="106" spans="4:10" ht="15" customHeight="1" x14ac:dyDescent="0.2">
      <c r="D106" s="44" t="s">
        <v>266</v>
      </c>
      <c r="E106" s="41" t="s">
        <v>48</v>
      </c>
      <c r="J106" s="7"/>
    </row>
    <row r="107" spans="4:10" ht="15" customHeight="1" x14ac:dyDescent="0.2">
      <c r="D107" s="44" t="s">
        <v>267</v>
      </c>
      <c r="E107" s="41" t="s">
        <v>48</v>
      </c>
      <c r="J107" s="7"/>
    </row>
    <row r="108" spans="4:10" ht="15" customHeight="1" x14ac:dyDescent="0.2">
      <c r="D108" s="44" t="s">
        <v>268</v>
      </c>
      <c r="E108" s="41" t="s">
        <v>48</v>
      </c>
      <c r="J108" s="7"/>
    </row>
    <row r="109" spans="4:10" ht="15" customHeight="1" x14ac:dyDescent="0.2">
      <c r="D109" s="44" t="s">
        <v>269</v>
      </c>
      <c r="E109" s="41" t="s">
        <v>48</v>
      </c>
      <c r="J109" s="7"/>
    </row>
    <row r="110" spans="4:10" ht="15" customHeight="1" x14ac:dyDescent="0.2">
      <c r="D110" s="44" t="s">
        <v>270</v>
      </c>
      <c r="E110" s="41" t="s">
        <v>48</v>
      </c>
      <c r="J110" s="7"/>
    </row>
    <row r="111" spans="4:10" ht="15" customHeight="1" x14ac:dyDescent="0.2">
      <c r="D111" s="44" t="s">
        <v>271</v>
      </c>
      <c r="E111" s="41" t="s">
        <v>48</v>
      </c>
      <c r="J111" s="7"/>
    </row>
    <row r="112" spans="4:10" ht="15" customHeight="1" x14ac:dyDescent="0.2">
      <c r="D112" s="44" t="s">
        <v>272</v>
      </c>
      <c r="E112" s="41" t="s">
        <v>48</v>
      </c>
      <c r="J112" s="7"/>
    </row>
    <row r="113" spans="3:10" ht="15" customHeight="1" x14ac:dyDescent="0.2">
      <c r="D113" s="44" t="s">
        <v>273</v>
      </c>
      <c r="E113" s="41" t="s">
        <v>48</v>
      </c>
      <c r="J113" s="7"/>
    </row>
    <row r="114" spans="3:10" ht="15" customHeight="1" x14ac:dyDescent="0.2">
      <c r="D114" s="44" t="s">
        <v>274</v>
      </c>
      <c r="E114" s="41" t="s">
        <v>48</v>
      </c>
      <c r="J114" s="7"/>
    </row>
    <row r="115" spans="3:10" ht="15" customHeight="1" x14ac:dyDescent="0.2">
      <c r="D115" s="44" t="s">
        <v>275</v>
      </c>
      <c r="E115" s="41" t="s">
        <v>48</v>
      </c>
      <c r="J115" s="7"/>
    </row>
    <row r="116" spans="3:10" ht="15" customHeight="1" x14ac:dyDescent="0.2">
      <c r="D116" s="44" t="s">
        <v>276</v>
      </c>
      <c r="E116" s="41" t="s">
        <v>48</v>
      </c>
      <c r="J116" s="7"/>
    </row>
    <row r="117" spans="3:10" ht="15" customHeight="1" x14ac:dyDescent="0.2">
      <c r="D117" s="44" t="s">
        <v>277</v>
      </c>
      <c r="E117" s="41" t="s">
        <v>48</v>
      </c>
      <c r="J117" s="7"/>
    </row>
    <row r="118" spans="3:10" ht="15" customHeight="1" x14ac:dyDescent="0.2">
      <c r="D118" s="44" t="s">
        <v>278</v>
      </c>
      <c r="E118" s="41" t="s">
        <v>48</v>
      </c>
      <c r="J118" s="7"/>
    </row>
    <row r="119" spans="3:10" ht="15" customHeight="1" x14ac:dyDescent="0.2">
      <c r="D119" s="44" t="s">
        <v>279</v>
      </c>
      <c r="E119" s="41" t="s">
        <v>48</v>
      </c>
      <c r="J119" s="7"/>
    </row>
    <row r="120" spans="3:10" ht="15" customHeight="1" x14ac:dyDescent="0.2">
      <c r="D120" s="44" t="s">
        <v>280</v>
      </c>
      <c r="E120" s="41" t="s">
        <v>48</v>
      </c>
      <c r="J120" s="7"/>
    </row>
    <row r="121" spans="3:10" ht="15" customHeight="1" x14ac:dyDescent="0.2">
      <c r="C121" s="7"/>
      <c r="D121" s="44" t="s">
        <v>281</v>
      </c>
      <c r="E121" s="41" t="s">
        <v>48</v>
      </c>
      <c r="J121" s="7"/>
    </row>
    <row r="122" spans="3:10" ht="15" customHeight="1" x14ac:dyDescent="0.2">
      <c r="C122" s="7"/>
      <c r="D122" s="44" t="s">
        <v>283</v>
      </c>
      <c r="E122" s="41" t="s">
        <v>48</v>
      </c>
      <c r="J122" s="7"/>
    </row>
    <row r="123" spans="3:10" ht="15" customHeight="1" x14ac:dyDescent="0.2">
      <c r="C123" s="7"/>
      <c r="D123" s="44" t="s">
        <v>285</v>
      </c>
      <c r="E123" s="41" t="s">
        <v>48</v>
      </c>
      <c r="J123" s="7"/>
    </row>
    <row r="124" spans="3:10" ht="15" customHeight="1" x14ac:dyDescent="0.2">
      <c r="C124" s="7"/>
      <c r="D124" s="44" t="s">
        <v>286</v>
      </c>
      <c r="E124" s="41" t="s">
        <v>48</v>
      </c>
      <c r="J124" s="7"/>
    </row>
    <row r="125" spans="3:10" ht="15" customHeight="1" x14ac:dyDescent="0.2">
      <c r="C125" s="7"/>
      <c r="D125" s="44" t="s">
        <v>287</v>
      </c>
      <c r="E125" s="41" t="s">
        <v>48</v>
      </c>
      <c r="J125" s="7"/>
    </row>
    <row r="126" spans="3:10" ht="15" customHeight="1" x14ac:dyDescent="0.2">
      <c r="C126" s="7"/>
      <c r="D126" s="44" t="s">
        <v>288</v>
      </c>
      <c r="E126" s="41" t="s">
        <v>48</v>
      </c>
      <c r="J126" s="7"/>
    </row>
    <row r="127" spans="3:10" ht="15" customHeight="1" x14ac:dyDescent="0.2">
      <c r="C127" s="7"/>
      <c r="D127" s="44" t="s">
        <v>289</v>
      </c>
      <c r="E127" s="41" t="s">
        <v>48</v>
      </c>
      <c r="J127" s="7"/>
    </row>
    <row r="128" spans="3:10" ht="15" customHeight="1" x14ac:dyDescent="0.2">
      <c r="C128" s="7"/>
      <c r="D128" s="44" t="s">
        <v>290</v>
      </c>
      <c r="E128" s="41" t="s">
        <v>48</v>
      </c>
      <c r="J128" s="7"/>
    </row>
    <row r="129" spans="1:10" ht="15" customHeight="1" x14ac:dyDescent="0.2">
      <c r="C129" s="7"/>
      <c r="J129" s="7"/>
    </row>
    <row r="130" spans="1:10" ht="15" customHeight="1" x14ac:dyDescent="0.2">
      <c r="C130" s="7"/>
      <c r="D130" s="13"/>
      <c r="J130" s="7"/>
    </row>
    <row r="131" spans="1:10" ht="15" customHeight="1" x14ac:dyDescent="0.2">
      <c r="C131" s="7"/>
      <c r="D131" s="13"/>
      <c r="J131" s="7"/>
    </row>
    <row r="132" spans="1:10" ht="15" customHeight="1" x14ac:dyDescent="0.2">
      <c r="C132" s="7"/>
      <c r="D132" s="13"/>
      <c r="J132" s="7"/>
    </row>
    <row r="133" spans="1:10" ht="15" customHeight="1" x14ac:dyDescent="0.2">
      <c r="C133" s="7"/>
      <c r="D133" s="13"/>
      <c r="J133" s="7"/>
    </row>
    <row r="134" spans="1:10" ht="15" customHeight="1" x14ac:dyDescent="0.2">
      <c r="C134" s="7"/>
      <c r="D134" s="13"/>
      <c r="J134" s="7"/>
    </row>
    <row r="135" spans="1:10" ht="15" customHeight="1" x14ac:dyDescent="0.2">
      <c r="C135" s="7"/>
      <c r="D135" s="13"/>
      <c r="J135" s="7"/>
    </row>
    <row r="136" spans="1:10" ht="15" customHeight="1" x14ac:dyDescent="0.2">
      <c r="C136" s="7"/>
      <c r="D136" s="13"/>
      <c r="J136" s="7"/>
    </row>
    <row r="137" spans="1:10" ht="15" customHeight="1" x14ac:dyDescent="0.2">
      <c r="C137" s="7"/>
      <c r="D137" s="13"/>
      <c r="J137" s="7"/>
    </row>
    <row r="138" spans="1:10" ht="15" customHeight="1" x14ac:dyDescent="0.2">
      <c r="C138" s="7"/>
      <c r="D138" s="13"/>
      <c r="J138" s="7"/>
    </row>
    <row r="139" spans="1:10" ht="15" customHeight="1" x14ac:dyDescent="0.2">
      <c r="C139" s="7"/>
      <c r="D139" s="13"/>
      <c r="J139" s="7"/>
    </row>
    <row r="140" spans="1:10" ht="15" customHeight="1" x14ac:dyDescent="0.2">
      <c r="C140" s="7"/>
      <c r="J140" s="7"/>
    </row>
    <row r="141" spans="1:10" ht="15" customHeight="1" x14ac:dyDescent="0.2">
      <c r="C141" s="7"/>
      <c r="D141" s="13"/>
      <c r="J141" s="7"/>
    </row>
    <row r="142" spans="1:10" ht="15" customHeight="1" x14ac:dyDescent="0.2">
      <c r="C142" s="7"/>
      <c r="J142" s="7"/>
    </row>
    <row r="143" spans="1:10" ht="15" customHeight="1" x14ac:dyDescent="0.2">
      <c r="C143" s="7"/>
      <c r="E143" s="7"/>
      <c r="J143" s="7"/>
    </row>
    <row r="144" spans="1:10" ht="15" customHeight="1" x14ac:dyDescent="0.2">
      <c r="A144" s="7"/>
      <c r="B144" s="7"/>
      <c r="C144" s="7"/>
      <c r="E144" s="7"/>
    </row>
    <row r="145" spans="1:5" ht="15" customHeight="1" x14ac:dyDescent="0.2">
      <c r="A145" s="7"/>
      <c r="B145" s="7"/>
      <c r="C145" s="7"/>
      <c r="E145" s="7"/>
    </row>
    <row r="146" spans="1:5" ht="15" customHeight="1" x14ac:dyDescent="0.2">
      <c r="A146" s="7"/>
      <c r="B146" s="7"/>
      <c r="C146" s="7"/>
      <c r="E146" s="7"/>
    </row>
    <row r="147" spans="1:5" ht="15" customHeight="1" x14ac:dyDescent="0.2">
      <c r="A147" s="7"/>
      <c r="B147" s="7"/>
      <c r="C147" s="7"/>
      <c r="E147" s="7"/>
    </row>
    <row r="148" spans="1:5" ht="15" customHeight="1" x14ac:dyDescent="0.2">
      <c r="A148" s="7"/>
      <c r="B148" s="7"/>
      <c r="C148" s="7"/>
      <c r="E148" s="7"/>
    </row>
    <row r="149" spans="1:5" ht="15" customHeight="1" x14ac:dyDescent="0.2">
      <c r="A149" s="7"/>
      <c r="B149" s="7"/>
      <c r="C149" s="7"/>
      <c r="E149" s="7"/>
    </row>
    <row r="150" spans="1:5" ht="15" customHeight="1" x14ac:dyDescent="0.2">
      <c r="A150" s="7"/>
      <c r="B150" s="7"/>
      <c r="C150" s="7"/>
      <c r="E150" s="7"/>
    </row>
    <row r="151" spans="1:5" ht="15" customHeight="1" x14ac:dyDescent="0.2">
      <c r="A151" s="7"/>
      <c r="B151" s="7"/>
      <c r="C151" s="7"/>
      <c r="E151" s="7"/>
    </row>
    <row r="152" spans="1:5" ht="15" customHeight="1" x14ac:dyDescent="0.2">
      <c r="A152" s="7"/>
      <c r="B152" s="7"/>
      <c r="C152" s="7"/>
      <c r="E152" s="7"/>
    </row>
    <row r="153" spans="1:5" ht="15" customHeight="1" x14ac:dyDescent="0.2">
      <c r="A153" s="7"/>
      <c r="B153" s="7"/>
      <c r="C153" s="7"/>
      <c r="E153" s="7"/>
    </row>
    <row r="154" spans="1:5" ht="15" customHeight="1" x14ac:dyDescent="0.2">
      <c r="A154" s="7"/>
      <c r="B154" s="7"/>
      <c r="C154" s="7"/>
      <c r="E154" s="7"/>
    </row>
    <row r="155" spans="1:5" ht="15" customHeight="1" x14ac:dyDescent="0.2">
      <c r="A155" s="7"/>
      <c r="B155" s="7"/>
      <c r="C155" s="7"/>
      <c r="E155" s="7"/>
    </row>
    <row r="156" spans="1:5" ht="15" customHeight="1" x14ac:dyDescent="0.2">
      <c r="A156" s="7"/>
      <c r="B156" s="7"/>
      <c r="C156" s="7"/>
      <c r="E156" s="7"/>
    </row>
    <row r="157" spans="1:5" ht="15" customHeight="1" x14ac:dyDescent="0.2">
      <c r="A157" s="7"/>
      <c r="B157" s="7"/>
      <c r="C157" s="7"/>
      <c r="E157" s="7"/>
    </row>
    <row r="158" spans="1:5" ht="15" customHeight="1" x14ac:dyDescent="0.2">
      <c r="A158" s="7"/>
      <c r="B158" s="7"/>
      <c r="C158" s="7"/>
      <c r="E158" s="7"/>
    </row>
    <row r="159" spans="1:5" ht="15" customHeight="1" x14ac:dyDescent="0.2">
      <c r="A159" s="7"/>
      <c r="B159" s="7"/>
      <c r="C159" s="7"/>
      <c r="E159" s="7"/>
    </row>
    <row r="160" spans="1:5" ht="15" customHeight="1" x14ac:dyDescent="0.2">
      <c r="A160" s="7"/>
      <c r="B160" s="7"/>
      <c r="C160" s="7"/>
      <c r="E160" s="7"/>
    </row>
    <row r="161" spans="1:5" ht="15" customHeight="1" x14ac:dyDescent="0.2">
      <c r="A161" s="7"/>
      <c r="B161" s="7"/>
      <c r="C161" s="7"/>
      <c r="E161" s="7"/>
    </row>
    <row r="162" spans="1:5" ht="15" customHeight="1" x14ac:dyDescent="0.2">
      <c r="A162" s="7"/>
      <c r="B162" s="7"/>
      <c r="C162" s="7"/>
      <c r="E162" s="7"/>
    </row>
    <row r="163" spans="1:5" ht="15" customHeight="1" x14ac:dyDescent="0.2">
      <c r="A163" s="7"/>
      <c r="B163" s="7"/>
      <c r="C163" s="7"/>
      <c r="E163" s="7"/>
    </row>
    <row r="164" spans="1:5" ht="15" customHeight="1" x14ac:dyDescent="0.2">
      <c r="A164" s="7"/>
      <c r="B164" s="7"/>
      <c r="C164" s="7"/>
      <c r="E164" s="7"/>
    </row>
    <row r="165" spans="1:5" ht="15" customHeight="1" x14ac:dyDescent="0.2">
      <c r="A165" s="7"/>
      <c r="B165" s="7"/>
      <c r="C165" s="7"/>
      <c r="E165" s="7"/>
    </row>
    <row r="166" spans="1:5" ht="15" customHeight="1" x14ac:dyDescent="0.2">
      <c r="A166" s="7"/>
      <c r="B166" s="7"/>
      <c r="C166" s="7"/>
      <c r="E166" s="7"/>
    </row>
    <row r="167" spans="1:5" ht="15" customHeight="1" x14ac:dyDescent="0.2">
      <c r="A167" s="7"/>
      <c r="B167" s="7"/>
      <c r="C167" s="7"/>
      <c r="E167" s="7"/>
    </row>
    <row r="168" spans="1:5" ht="15" customHeight="1" x14ac:dyDescent="0.2">
      <c r="A168" s="7"/>
      <c r="B168" s="7"/>
      <c r="C168" s="7"/>
      <c r="E168" s="7"/>
    </row>
    <row r="169" spans="1:5" ht="15" customHeight="1" x14ac:dyDescent="0.2">
      <c r="A169" s="7"/>
      <c r="B169" s="7"/>
      <c r="C169" s="7"/>
      <c r="E169" s="7"/>
    </row>
    <row r="170" spans="1:5" ht="15" customHeight="1" x14ac:dyDescent="0.2">
      <c r="A170" s="7"/>
      <c r="B170" s="7"/>
      <c r="C170" s="7"/>
      <c r="E170" s="7"/>
    </row>
    <row r="171" spans="1:5" ht="15" customHeight="1" x14ac:dyDescent="0.2">
      <c r="A171" s="7"/>
      <c r="B171" s="7"/>
      <c r="C171" s="7"/>
      <c r="E171" s="7"/>
    </row>
    <row r="172" spans="1:5" ht="15" customHeight="1" x14ac:dyDescent="0.2">
      <c r="A172" s="7"/>
      <c r="B172" s="7"/>
      <c r="C172" s="7"/>
      <c r="E172" s="7"/>
    </row>
    <row r="173" spans="1:5" ht="15" customHeight="1" x14ac:dyDescent="0.2">
      <c r="A173" s="7"/>
      <c r="B173" s="7"/>
      <c r="C173" s="7"/>
      <c r="E173" s="7"/>
    </row>
    <row r="174" spans="1:5" ht="15" customHeight="1" x14ac:dyDescent="0.2">
      <c r="A174" s="7"/>
      <c r="B174" s="7"/>
      <c r="C174" s="7"/>
      <c r="E174" s="7"/>
    </row>
    <row r="175" spans="1:5" ht="15" customHeight="1" x14ac:dyDescent="0.2">
      <c r="A175" s="7"/>
      <c r="B175" s="7"/>
      <c r="C175" s="7"/>
      <c r="E175" s="7"/>
    </row>
    <row r="176" spans="1:5" ht="15" customHeight="1" x14ac:dyDescent="0.2">
      <c r="A176" s="7"/>
      <c r="C176" s="7"/>
      <c r="E176" s="7"/>
    </row>
    <row r="177" spans="1:5" ht="15" customHeight="1" x14ac:dyDescent="0.2">
      <c r="A177" s="7"/>
      <c r="C177" s="7"/>
      <c r="E177" s="7"/>
    </row>
    <row r="178" spans="1:5" ht="15" customHeight="1" x14ac:dyDescent="0.2">
      <c r="A178" s="7"/>
      <c r="C178" s="7"/>
      <c r="E178" s="7"/>
    </row>
    <row r="179" spans="1:5" ht="15" customHeight="1" x14ac:dyDescent="0.2">
      <c r="A179" s="7"/>
      <c r="C179" s="7"/>
      <c r="E179" s="7"/>
    </row>
    <row r="180" spans="1:5" ht="15" customHeight="1" x14ac:dyDescent="0.2">
      <c r="A180" s="7"/>
      <c r="C180" s="7"/>
      <c r="E180" s="7"/>
    </row>
    <row r="181" spans="1:5" ht="15" customHeight="1" x14ac:dyDescent="0.2">
      <c r="A181" s="7"/>
      <c r="C181" s="7"/>
      <c r="E181" s="7"/>
    </row>
    <row r="182" spans="1:5" ht="15" customHeight="1" x14ac:dyDescent="0.2">
      <c r="A182" s="7"/>
      <c r="C182" s="7"/>
      <c r="E182" s="7"/>
    </row>
    <row r="183" spans="1:5" ht="15" customHeight="1" x14ac:dyDescent="0.2">
      <c r="A183" s="7"/>
      <c r="C183" s="7"/>
      <c r="E183" s="7"/>
    </row>
    <row r="184" spans="1:5" ht="15" customHeight="1" x14ac:dyDescent="0.2">
      <c r="A184" s="7"/>
      <c r="C184" s="7"/>
      <c r="E184" s="7"/>
    </row>
    <row r="185" spans="1:5" ht="15" customHeight="1" x14ac:dyDescent="0.2">
      <c r="A185" s="7"/>
      <c r="C185" s="7"/>
      <c r="E185" s="7"/>
    </row>
    <row r="186" spans="1:5" ht="15" customHeight="1" x14ac:dyDescent="0.2">
      <c r="A186" s="7"/>
      <c r="C186" s="7"/>
      <c r="E186" s="7"/>
    </row>
    <row r="187" spans="1:5" ht="15" customHeight="1" x14ac:dyDescent="0.2">
      <c r="A187" s="7"/>
      <c r="C187" s="7"/>
      <c r="E187" s="7"/>
    </row>
    <row r="188" spans="1:5" ht="15" customHeight="1" x14ac:dyDescent="0.2">
      <c r="A188" s="7"/>
      <c r="C188" s="7"/>
      <c r="E188" s="7"/>
    </row>
    <row r="189" spans="1:5" ht="15" customHeight="1" x14ac:dyDescent="0.2">
      <c r="A189" s="7"/>
      <c r="C189" s="7"/>
      <c r="E189" s="7"/>
    </row>
    <row r="190" spans="1:5" ht="15" customHeight="1" x14ac:dyDescent="0.2">
      <c r="A190" s="7"/>
      <c r="C190" s="7"/>
      <c r="E190" s="7"/>
    </row>
    <row r="191" spans="1:5" ht="15" customHeight="1" x14ac:dyDescent="0.2">
      <c r="A191" s="7"/>
      <c r="C191" s="7"/>
      <c r="E191" s="7"/>
    </row>
    <row r="192" spans="1:5" ht="15" customHeight="1" x14ac:dyDescent="0.2">
      <c r="A192" s="7"/>
      <c r="C192" s="7"/>
      <c r="E192" s="7"/>
    </row>
    <row r="193" spans="1:5" ht="15" customHeight="1" x14ac:dyDescent="0.2">
      <c r="A193" s="7"/>
      <c r="C193" s="7"/>
      <c r="E193" s="7"/>
    </row>
    <row r="194" spans="1:5" ht="15" customHeight="1" x14ac:dyDescent="0.2">
      <c r="A194" s="7"/>
      <c r="C194" s="7"/>
      <c r="E194" s="7"/>
    </row>
    <row r="195" spans="1:5" ht="15" customHeight="1" x14ac:dyDescent="0.2">
      <c r="A195" s="7"/>
      <c r="C195" s="7"/>
      <c r="E195" s="7"/>
    </row>
    <row r="196" spans="1:5" ht="15" customHeight="1" x14ac:dyDescent="0.2">
      <c r="A196" s="7"/>
      <c r="C196" s="7"/>
      <c r="E196" s="7"/>
    </row>
    <row r="197" spans="1:5" ht="15" customHeight="1" x14ac:dyDescent="0.2">
      <c r="A197" s="7"/>
      <c r="C197" s="7"/>
      <c r="E197" s="7"/>
    </row>
    <row r="198" spans="1:5" ht="15" customHeight="1" x14ac:dyDescent="0.2">
      <c r="E198" s="7"/>
    </row>
    <row r="199" spans="1:5" ht="15" customHeight="1" x14ac:dyDescent="0.2">
      <c r="E199" s="7"/>
    </row>
    <row r="200" spans="1:5" ht="15" customHeight="1" x14ac:dyDescent="0.2">
      <c r="E200" s="7"/>
    </row>
    <row r="201" spans="1:5" ht="15" customHeight="1" x14ac:dyDescent="0.2">
      <c r="E201" s="7"/>
    </row>
    <row r="202" spans="1:5" ht="15" customHeight="1" x14ac:dyDescent="0.2">
      <c r="E202" s="7"/>
    </row>
    <row r="203" spans="1:5" ht="15" customHeight="1" x14ac:dyDescent="0.2">
      <c r="E203" s="7"/>
    </row>
    <row r="204" spans="1:5" ht="15" customHeight="1" x14ac:dyDescent="0.2">
      <c r="E204" s="7"/>
    </row>
    <row r="205" spans="1:5" ht="15" customHeight="1" x14ac:dyDescent="0.2">
      <c r="E205" s="7"/>
    </row>
    <row r="206" spans="1:5" ht="15" customHeight="1" x14ac:dyDescent="0.2">
      <c r="E206" s="7"/>
    </row>
    <row r="207" spans="1:5" ht="15" customHeight="1" x14ac:dyDescent="0.2">
      <c r="E207" s="7"/>
    </row>
    <row r="208" spans="1:5" ht="15" customHeight="1" x14ac:dyDescent="0.2">
      <c r="E208" s="7"/>
    </row>
    <row r="209" spans="5:5" ht="15" customHeight="1" x14ac:dyDescent="0.2">
      <c r="E209" s="7"/>
    </row>
    <row r="210" spans="5:5" ht="15" customHeight="1" x14ac:dyDescent="0.2">
      <c r="E210" s="7"/>
    </row>
    <row r="211" spans="5:5" ht="15" customHeight="1" x14ac:dyDescent="0.2">
      <c r="E211" s="7"/>
    </row>
    <row r="212" spans="5:5" ht="15" customHeight="1" x14ac:dyDescent="0.2">
      <c r="E212" s="7"/>
    </row>
    <row r="213" spans="5:5" ht="15" customHeight="1" x14ac:dyDescent="0.2">
      <c r="E213" s="7"/>
    </row>
    <row r="214" spans="5:5" ht="15" customHeight="1" x14ac:dyDescent="0.2">
      <c r="E214" s="7"/>
    </row>
    <row r="215" spans="5:5" ht="15" customHeight="1" x14ac:dyDescent="0.2">
      <c r="E215" s="7"/>
    </row>
    <row r="216" spans="5:5" ht="15" customHeight="1" x14ac:dyDescent="0.2">
      <c r="E216" s="7"/>
    </row>
    <row r="217" spans="5:5" ht="15" customHeight="1" x14ac:dyDescent="0.2">
      <c r="E217" s="7"/>
    </row>
    <row r="218" spans="5:5" ht="15" customHeight="1" x14ac:dyDescent="0.2">
      <c r="E218" s="7"/>
    </row>
    <row r="219" spans="5:5" ht="15" customHeight="1" x14ac:dyDescent="0.2">
      <c r="E219" s="7"/>
    </row>
    <row r="220" spans="5:5" ht="15" customHeight="1" x14ac:dyDescent="0.2">
      <c r="E220" s="7"/>
    </row>
    <row r="221" spans="5:5" ht="15" customHeight="1" x14ac:dyDescent="0.2">
      <c r="E221" s="7"/>
    </row>
    <row r="222" spans="5:5" ht="15" customHeight="1" x14ac:dyDescent="0.2">
      <c r="E222" s="7"/>
    </row>
    <row r="223" spans="5:5" ht="15" customHeight="1" x14ac:dyDescent="0.2">
      <c r="E223" s="7"/>
    </row>
    <row r="224" spans="5:5" ht="15" customHeight="1" x14ac:dyDescent="0.2">
      <c r="E224" s="7"/>
    </row>
    <row r="225" spans="5:5" ht="15" customHeight="1" x14ac:dyDescent="0.2">
      <c r="E225" s="7"/>
    </row>
    <row r="226" spans="5:5" ht="15" customHeight="1" x14ac:dyDescent="0.2">
      <c r="E226" s="7"/>
    </row>
    <row r="227" spans="5:5" ht="15" customHeight="1" x14ac:dyDescent="0.2">
      <c r="E227" s="7"/>
    </row>
    <row r="228" spans="5:5" ht="15" customHeight="1" x14ac:dyDescent="0.2">
      <c r="E228" s="7"/>
    </row>
    <row r="229" spans="5:5" ht="15" customHeight="1" x14ac:dyDescent="0.2">
      <c r="E229" s="7"/>
    </row>
    <row r="230" spans="5:5" ht="15" customHeight="1" x14ac:dyDescent="0.2">
      <c r="E230" s="7"/>
    </row>
    <row r="231" spans="5:5" ht="15" customHeight="1" x14ac:dyDescent="0.2">
      <c r="E231" s="7"/>
    </row>
    <row r="232" spans="5:5" ht="15" customHeight="1" x14ac:dyDescent="0.2">
      <c r="E232" s="7"/>
    </row>
    <row r="233" spans="5:5" ht="15" customHeight="1" x14ac:dyDescent="0.2">
      <c r="E233" s="7"/>
    </row>
    <row r="234" spans="5:5" ht="15" customHeight="1" x14ac:dyDescent="0.2">
      <c r="E234" s="7"/>
    </row>
    <row r="235" spans="5:5" ht="15" customHeight="1" x14ac:dyDescent="0.2">
      <c r="E235" s="7"/>
    </row>
    <row r="236" spans="5:5" ht="15" customHeight="1" x14ac:dyDescent="0.2">
      <c r="E236" s="7"/>
    </row>
    <row r="237" spans="5:5" ht="15" customHeight="1" x14ac:dyDescent="0.2">
      <c r="E237" s="7"/>
    </row>
    <row r="238" spans="5:5" ht="15" customHeight="1" x14ac:dyDescent="0.2">
      <c r="E238" s="7"/>
    </row>
    <row r="239" spans="5:5" ht="15" customHeight="1" x14ac:dyDescent="0.2">
      <c r="E239" s="7"/>
    </row>
    <row r="240" spans="5:5" ht="15" customHeight="1" x14ac:dyDescent="0.2">
      <c r="E240" s="7"/>
    </row>
    <row r="241" spans="5:5" ht="15" customHeight="1" x14ac:dyDescent="0.2">
      <c r="E241" s="7"/>
    </row>
    <row r="242" spans="5:5" ht="15" customHeight="1" x14ac:dyDescent="0.2">
      <c r="E242" s="7"/>
    </row>
    <row r="243" spans="5:5" ht="15" customHeight="1" x14ac:dyDescent="0.2">
      <c r="E243" s="7"/>
    </row>
    <row r="244" spans="5:5" ht="15" customHeight="1" x14ac:dyDescent="0.2">
      <c r="E244" s="7"/>
    </row>
    <row r="245" spans="5:5" ht="15" customHeight="1" x14ac:dyDescent="0.2">
      <c r="E245" s="7"/>
    </row>
    <row r="246" spans="5:5" ht="15" customHeight="1" x14ac:dyDescent="0.2">
      <c r="E246" s="7"/>
    </row>
    <row r="247" spans="5:5" ht="15" customHeight="1" x14ac:dyDescent="0.2">
      <c r="E247" s="7"/>
    </row>
    <row r="248" spans="5:5" ht="15" customHeight="1" x14ac:dyDescent="0.2">
      <c r="E248" s="7"/>
    </row>
    <row r="249" spans="5:5" ht="15" customHeight="1" x14ac:dyDescent="0.2">
      <c r="E249" s="7"/>
    </row>
    <row r="250" spans="5:5" ht="15" customHeight="1" x14ac:dyDescent="0.2">
      <c r="E250" s="7"/>
    </row>
    <row r="251" spans="5:5" ht="15" customHeight="1" x14ac:dyDescent="0.2">
      <c r="E251" s="7"/>
    </row>
    <row r="252" spans="5:5" ht="15" customHeight="1" x14ac:dyDescent="0.2">
      <c r="E252" s="7"/>
    </row>
    <row r="253" spans="5:5" ht="15" customHeight="1" x14ac:dyDescent="0.2">
      <c r="E253" s="7"/>
    </row>
    <row r="254" spans="5:5" ht="15" customHeight="1" x14ac:dyDescent="0.2">
      <c r="E254" s="7"/>
    </row>
    <row r="255" spans="5:5" ht="15" customHeight="1" x14ac:dyDescent="0.2">
      <c r="E255" s="7"/>
    </row>
    <row r="256" spans="5:5" ht="15" customHeight="1" x14ac:dyDescent="0.2">
      <c r="E256" s="7"/>
    </row>
    <row r="257" spans="5:5" ht="15" customHeight="1" x14ac:dyDescent="0.2">
      <c r="E257" s="7"/>
    </row>
    <row r="258" spans="5:5" ht="15" customHeight="1" x14ac:dyDescent="0.2">
      <c r="E258" s="7"/>
    </row>
    <row r="259" spans="5:5" ht="15" customHeight="1" x14ac:dyDescent="0.2">
      <c r="E259" s="7"/>
    </row>
    <row r="260" spans="5:5" ht="15" customHeight="1" x14ac:dyDescent="0.2">
      <c r="E260" s="7"/>
    </row>
    <row r="261" spans="5:5" ht="15" customHeight="1" x14ac:dyDescent="0.2">
      <c r="E261" s="7"/>
    </row>
    <row r="262" spans="5:5" ht="15" customHeight="1" x14ac:dyDescent="0.2">
      <c r="E262" s="7"/>
    </row>
    <row r="263" spans="5:5" ht="15" customHeight="1" x14ac:dyDescent="0.2">
      <c r="E263" s="7"/>
    </row>
    <row r="264" spans="5:5" ht="15" customHeight="1" x14ac:dyDescent="0.2">
      <c r="E264" s="7"/>
    </row>
    <row r="265" spans="5:5" ht="15" customHeight="1" x14ac:dyDescent="0.2">
      <c r="E265" s="7"/>
    </row>
    <row r="266" spans="5:5" ht="15" customHeight="1" x14ac:dyDescent="0.2">
      <c r="E266" s="7"/>
    </row>
    <row r="267" spans="5:5" ht="15" customHeight="1" x14ac:dyDescent="0.2">
      <c r="E267" s="7"/>
    </row>
    <row r="268" spans="5:5" ht="15" customHeight="1" x14ac:dyDescent="0.2">
      <c r="E268" s="7"/>
    </row>
    <row r="269" spans="5:5" ht="15" customHeight="1" x14ac:dyDescent="0.2">
      <c r="E269" s="7"/>
    </row>
    <row r="270" spans="5:5" ht="15" customHeight="1" x14ac:dyDescent="0.2">
      <c r="E270" s="7"/>
    </row>
    <row r="271" spans="5:5" ht="15" customHeight="1" x14ac:dyDescent="0.2">
      <c r="E271" s="7"/>
    </row>
    <row r="272" spans="5:5" ht="15" customHeight="1" x14ac:dyDescent="0.2">
      <c r="E272" s="7"/>
    </row>
    <row r="273" spans="5:5" ht="15" customHeight="1" x14ac:dyDescent="0.2">
      <c r="E273" s="7"/>
    </row>
    <row r="274" spans="5:5" ht="15" customHeight="1" x14ac:dyDescent="0.2">
      <c r="E274" s="7"/>
    </row>
    <row r="275" spans="5:5" ht="15" customHeight="1" x14ac:dyDescent="0.2">
      <c r="E275" s="7"/>
    </row>
    <row r="276" spans="5:5" ht="15" customHeight="1" x14ac:dyDescent="0.2">
      <c r="E276" s="7"/>
    </row>
    <row r="277" spans="5:5" ht="15" customHeight="1" x14ac:dyDescent="0.2">
      <c r="E277" s="7"/>
    </row>
    <row r="278" spans="5:5" ht="15" customHeight="1" x14ac:dyDescent="0.2">
      <c r="E278" s="7"/>
    </row>
    <row r="279" spans="5:5" ht="15" customHeight="1" x14ac:dyDescent="0.2">
      <c r="E279" s="7"/>
    </row>
    <row r="280" spans="5:5" ht="15" customHeight="1" x14ac:dyDescent="0.2">
      <c r="E280" s="7"/>
    </row>
    <row r="281" spans="5:5" ht="15" customHeight="1" x14ac:dyDescent="0.2">
      <c r="E281" s="7"/>
    </row>
    <row r="282" spans="5:5" ht="15" customHeight="1" x14ac:dyDescent="0.2">
      <c r="E282" s="7"/>
    </row>
    <row r="283" spans="5:5" ht="15" customHeight="1" x14ac:dyDescent="0.2">
      <c r="E283" s="7"/>
    </row>
    <row r="284" spans="5:5" ht="15" customHeight="1" x14ac:dyDescent="0.2">
      <c r="E284" s="7"/>
    </row>
    <row r="285" spans="5:5" ht="15" customHeight="1" x14ac:dyDescent="0.2">
      <c r="E285" s="7"/>
    </row>
    <row r="286" spans="5:5" ht="15" customHeight="1" x14ac:dyDescent="0.2">
      <c r="E286" s="7"/>
    </row>
    <row r="287" spans="5:5" ht="15" customHeight="1" x14ac:dyDescent="0.2">
      <c r="E287" s="7"/>
    </row>
    <row r="288" spans="5:5" ht="15" customHeight="1" x14ac:dyDescent="0.2">
      <c r="E288" s="7"/>
    </row>
    <row r="289" spans="5:5" ht="15" customHeight="1" x14ac:dyDescent="0.2">
      <c r="E289" s="7"/>
    </row>
    <row r="290" spans="5:5" ht="15" customHeight="1" x14ac:dyDescent="0.2">
      <c r="E290" s="7"/>
    </row>
    <row r="291" spans="5:5" ht="15" customHeight="1" x14ac:dyDescent="0.2">
      <c r="E291" s="7"/>
    </row>
    <row r="292" spans="5:5" ht="15" customHeight="1" x14ac:dyDescent="0.2">
      <c r="E292" s="7"/>
    </row>
    <row r="293" spans="5:5" ht="15" customHeight="1" x14ac:dyDescent="0.2">
      <c r="E293" s="7"/>
    </row>
    <row r="294" spans="5:5" ht="15" customHeight="1" x14ac:dyDescent="0.2">
      <c r="E294" s="7"/>
    </row>
    <row r="295" spans="5:5" ht="15" customHeight="1" x14ac:dyDescent="0.2">
      <c r="E295" s="7"/>
    </row>
    <row r="296" spans="5:5" ht="15" customHeight="1" x14ac:dyDescent="0.2">
      <c r="E296" s="7"/>
    </row>
    <row r="297" spans="5:5" ht="15" customHeight="1" x14ac:dyDescent="0.2">
      <c r="E297" s="7"/>
    </row>
    <row r="298" spans="5:5" ht="15" customHeight="1" x14ac:dyDescent="0.2">
      <c r="E298" s="7"/>
    </row>
    <row r="299" spans="5:5" ht="15" customHeight="1" x14ac:dyDescent="0.2">
      <c r="E299" s="7"/>
    </row>
    <row r="300" spans="5:5" ht="15" customHeight="1" x14ac:dyDescent="0.2">
      <c r="E300" s="7"/>
    </row>
    <row r="301" spans="5:5" ht="15" customHeight="1" x14ac:dyDescent="0.2">
      <c r="E301" s="7"/>
    </row>
    <row r="302" spans="5:5" ht="15" customHeight="1" x14ac:dyDescent="0.2">
      <c r="E302" s="7"/>
    </row>
    <row r="303" spans="5:5" ht="15" customHeight="1" x14ac:dyDescent="0.2">
      <c r="E303" s="7"/>
    </row>
    <row r="304" spans="5:5" ht="15" customHeight="1" x14ac:dyDescent="0.2">
      <c r="E304" s="7"/>
    </row>
    <row r="305" spans="5:5" ht="15" customHeight="1" x14ac:dyDescent="0.2">
      <c r="E305" s="7"/>
    </row>
    <row r="306" spans="5:5" ht="15" customHeight="1" x14ac:dyDescent="0.2">
      <c r="E306" s="7"/>
    </row>
    <row r="307" spans="5:5" ht="15" customHeight="1" x14ac:dyDescent="0.2">
      <c r="E307" s="7"/>
    </row>
    <row r="308" spans="5:5" ht="15" customHeight="1" x14ac:dyDescent="0.2">
      <c r="E308" s="7"/>
    </row>
    <row r="309" spans="5:5" ht="15" customHeight="1" x14ac:dyDescent="0.2">
      <c r="E309" s="7"/>
    </row>
    <row r="310" spans="5:5" ht="15" customHeight="1" x14ac:dyDescent="0.2">
      <c r="E310" s="7"/>
    </row>
    <row r="311" spans="5:5" ht="15" customHeight="1" x14ac:dyDescent="0.2">
      <c r="E311" s="7"/>
    </row>
    <row r="312" spans="5:5" ht="15" customHeight="1" x14ac:dyDescent="0.2">
      <c r="E312" s="7"/>
    </row>
    <row r="313" spans="5:5" ht="15" customHeight="1" x14ac:dyDescent="0.2">
      <c r="E313" s="7"/>
    </row>
    <row r="314" spans="5:5" ht="15" customHeight="1" x14ac:dyDescent="0.2">
      <c r="E314" s="7"/>
    </row>
    <row r="315" spans="5:5" ht="15" customHeight="1" x14ac:dyDescent="0.2">
      <c r="E315" s="7"/>
    </row>
    <row r="316" spans="5:5" ht="15" customHeight="1" x14ac:dyDescent="0.2">
      <c r="E316" s="7"/>
    </row>
    <row r="317" spans="5:5" ht="15" customHeight="1" x14ac:dyDescent="0.2">
      <c r="E317" s="7"/>
    </row>
    <row r="318" spans="5:5" ht="15" customHeight="1" x14ac:dyDescent="0.2">
      <c r="E318" s="7"/>
    </row>
    <row r="319" spans="5:5" ht="15" customHeight="1" x14ac:dyDescent="0.2">
      <c r="E319" s="7"/>
    </row>
    <row r="320" spans="5:5" ht="15" customHeight="1" x14ac:dyDescent="0.2">
      <c r="E320" s="7"/>
    </row>
    <row r="321" spans="5:5" ht="15" customHeight="1" x14ac:dyDescent="0.2">
      <c r="E321" s="7"/>
    </row>
    <row r="322" spans="5:5" ht="15" customHeight="1" x14ac:dyDescent="0.2">
      <c r="E322" s="7"/>
    </row>
    <row r="323" spans="5:5" ht="15" customHeight="1" x14ac:dyDescent="0.2">
      <c r="E323" s="7"/>
    </row>
    <row r="324" spans="5:5" ht="15" customHeight="1" x14ac:dyDescent="0.2">
      <c r="E324" s="7"/>
    </row>
    <row r="325" spans="5:5" ht="15" customHeight="1" x14ac:dyDescent="0.2">
      <c r="E325" s="7"/>
    </row>
    <row r="326" spans="5:5" ht="15" customHeight="1" x14ac:dyDescent="0.2">
      <c r="E326" s="7"/>
    </row>
    <row r="327" spans="5:5" ht="15" customHeight="1" x14ac:dyDescent="0.2">
      <c r="E327" s="7"/>
    </row>
    <row r="328" spans="5:5" ht="15" customHeight="1" x14ac:dyDescent="0.2">
      <c r="E328" s="7"/>
    </row>
    <row r="329" spans="5:5" ht="15" customHeight="1" x14ac:dyDescent="0.2">
      <c r="E329" s="7"/>
    </row>
    <row r="330" spans="5:5" ht="15" customHeight="1" x14ac:dyDescent="0.2">
      <c r="E330" s="7"/>
    </row>
    <row r="331" spans="5:5" ht="15" customHeight="1" x14ac:dyDescent="0.2">
      <c r="E331" s="7"/>
    </row>
    <row r="332" spans="5:5" ht="15" customHeight="1" x14ac:dyDescent="0.2">
      <c r="E332" s="7"/>
    </row>
    <row r="333" spans="5:5" ht="15" customHeight="1" x14ac:dyDescent="0.2">
      <c r="E333" s="7"/>
    </row>
    <row r="334" spans="5:5" ht="15" customHeight="1" x14ac:dyDescent="0.2">
      <c r="E334" s="7"/>
    </row>
    <row r="335" spans="5:5" ht="15" customHeight="1" x14ac:dyDescent="0.2">
      <c r="E335" s="7"/>
    </row>
    <row r="336" spans="5:5" ht="15" customHeight="1" x14ac:dyDescent="0.2">
      <c r="E336" s="7"/>
    </row>
    <row r="337" spans="5:5" ht="15" customHeight="1" x14ac:dyDescent="0.2">
      <c r="E337" s="7"/>
    </row>
    <row r="338" spans="5:5" ht="15" customHeight="1" x14ac:dyDescent="0.2">
      <c r="E338" s="7"/>
    </row>
    <row r="339" spans="5:5" ht="15" customHeight="1" x14ac:dyDescent="0.2">
      <c r="E339" s="7"/>
    </row>
    <row r="340" spans="5:5" ht="15" customHeight="1" x14ac:dyDescent="0.2">
      <c r="E340" s="7"/>
    </row>
    <row r="341" spans="5:5" ht="15" customHeight="1" x14ac:dyDescent="0.2">
      <c r="E341" s="7"/>
    </row>
    <row r="342" spans="5:5" ht="15" customHeight="1" x14ac:dyDescent="0.2">
      <c r="E342" s="7"/>
    </row>
    <row r="343" spans="5:5" ht="15" customHeight="1" x14ac:dyDescent="0.2">
      <c r="E343" s="7"/>
    </row>
    <row r="344" spans="5:5" ht="15" customHeight="1" x14ac:dyDescent="0.2">
      <c r="E344" s="7"/>
    </row>
    <row r="345" spans="5:5" ht="15" customHeight="1" x14ac:dyDescent="0.2">
      <c r="E345" s="7"/>
    </row>
    <row r="346" spans="5:5" ht="15" customHeight="1" x14ac:dyDescent="0.2">
      <c r="E346" s="7"/>
    </row>
    <row r="347" spans="5:5" ht="15" customHeight="1" x14ac:dyDescent="0.2">
      <c r="E347" s="7"/>
    </row>
    <row r="348" spans="5:5" ht="15" customHeight="1" x14ac:dyDescent="0.2">
      <c r="E348" s="7"/>
    </row>
    <row r="349" spans="5:5" ht="15" customHeight="1" x14ac:dyDescent="0.2">
      <c r="E349" s="7"/>
    </row>
    <row r="350" spans="5:5" ht="15" customHeight="1" x14ac:dyDescent="0.2">
      <c r="E350" s="7"/>
    </row>
    <row r="351" spans="5:5" ht="15" customHeight="1" x14ac:dyDescent="0.2">
      <c r="E351" s="7"/>
    </row>
    <row r="352" spans="5:5" ht="15" customHeight="1" x14ac:dyDescent="0.2">
      <c r="E352" s="7"/>
    </row>
    <row r="353" spans="5:5" ht="15" customHeight="1" x14ac:dyDescent="0.2">
      <c r="E353" s="7"/>
    </row>
    <row r="354" spans="5:5" ht="15" customHeight="1" x14ac:dyDescent="0.2">
      <c r="E354" s="7"/>
    </row>
    <row r="355" spans="5:5" ht="15" customHeight="1" x14ac:dyDescent="0.2">
      <c r="E355" s="7"/>
    </row>
    <row r="356" spans="5:5" ht="15" customHeight="1" x14ac:dyDescent="0.2">
      <c r="E356" s="7"/>
    </row>
    <row r="357" spans="5:5" ht="15" customHeight="1" x14ac:dyDescent="0.2">
      <c r="E357" s="7"/>
    </row>
    <row r="358" spans="5:5" ht="15" customHeight="1" x14ac:dyDescent="0.2">
      <c r="E358" s="7"/>
    </row>
    <row r="359" spans="5:5" ht="15" customHeight="1" x14ac:dyDescent="0.2">
      <c r="E359" s="7"/>
    </row>
    <row r="360" spans="5:5" ht="15" customHeight="1" x14ac:dyDescent="0.2">
      <c r="E360" s="7"/>
    </row>
    <row r="361" spans="5:5" ht="15" customHeight="1" x14ac:dyDescent="0.2">
      <c r="E361" s="7"/>
    </row>
    <row r="362" spans="5:5" ht="15" customHeight="1" x14ac:dyDescent="0.2">
      <c r="E362" s="7"/>
    </row>
    <row r="363" spans="5:5" ht="15" customHeight="1" x14ac:dyDescent="0.2">
      <c r="E363" s="7"/>
    </row>
    <row r="364" spans="5:5" ht="15" customHeight="1" x14ac:dyDescent="0.2">
      <c r="E364" s="7"/>
    </row>
    <row r="365" spans="5:5" ht="15" customHeight="1" x14ac:dyDescent="0.2">
      <c r="E365" s="7"/>
    </row>
    <row r="366" spans="5:5" ht="15" customHeight="1" x14ac:dyDescent="0.2">
      <c r="E366" s="7"/>
    </row>
    <row r="367" spans="5:5" ht="15" customHeight="1" x14ac:dyDescent="0.2">
      <c r="E367" s="7"/>
    </row>
    <row r="368" spans="5:5" ht="15" customHeight="1" x14ac:dyDescent="0.2">
      <c r="E368" s="7"/>
    </row>
    <row r="369" spans="5:5" ht="15" customHeight="1" x14ac:dyDescent="0.2">
      <c r="E369" s="7"/>
    </row>
    <row r="370" spans="5:5" ht="15" customHeight="1" x14ac:dyDescent="0.2">
      <c r="E370" s="7"/>
    </row>
    <row r="371" spans="5:5" ht="15" customHeight="1" x14ac:dyDescent="0.2">
      <c r="E371" s="7"/>
    </row>
    <row r="372" spans="5:5" ht="15" customHeight="1" x14ac:dyDescent="0.2">
      <c r="E372" s="7"/>
    </row>
    <row r="373" spans="5:5" ht="15" customHeight="1" x14ac:dyDescent="0.2">
      <c r="E373" s="7"/>
    </row>
    <row r="374" spans="5:5" ht="15" customHeight="1" x14ac:dyDescent="0.2">
      <c r="E374" s="7"/>
    </row>
    <row r="375" spans="5:5" ht="15" customHeight="1" x14ac:dyDescent="0.2">
      <c r="E375" s="7"/>
    </row>
    <row r="376" spans="5:5" ht="15" customHeight="1" x14ac:dyDescent="0.2">
      <c r="E376" s="7"/>
    </row>
    <row r="377" spans="5:5" ht="15" customHeight="1" x14ac:dyDescent="0.2">
      <c r="E377" s="7"/>
    </row>
    <row r="378" spans="5:5" ht="15" customHeight="1" x14ac:dyDescent="0.2">
      <c r="E378" s="7"/>
    </row>
    <row r="379" spans="5:5" ht="15" customHeight="1" x14ac:dyDescent="0.2">
      <c r="E379" s="7"/>
    </row>
    <row r="380" spans="5:5" ht="15" customHeight="1" x14ac:dyDescent="0.2">
      <c r="E380" s="7"/>
    </row>
    <row r="381" spans="5:5" ht="15" customHeight="1" x14ac:dyDescent="0.2">
      <c r="E381" s="7"/>
    </row>
    <row r="382" spans="5:5" ht="15" customHeight="1" x14ac:dyDescent="0.2"/>
  </sheetData>
  <conditionalFormatting sqref="A13">
    <cfRule type="duplicateValues" dxfId="19" priority="22"/>
  </conditionalFormatting>
  <conditionalFormatting sqref="A14">
    <cfRule type="duplicateValues" dxfId="18" priority="21"/>
  </conditionalFormatting>
  <conditionalFormatting sqref="A21">
    <cfRule type="duplicateValues" dxfId="17" priority="18"/>
  </conditionalFormatting>
  <conditionalFormatting sqref="A64">
    <cfRule type="duplicateValues" dxfId="16" priority="12"/>
  </conditionalFormatting>
  <conditionalFormatting sqref="A67">
    <cfRule type="duplicateValues" dxfId="15" priority="24"/>
  </conditionalFormatting>
  <conditionalFormatting sqref="B13">
    <cfRule type="duplicateValues" dxfId="14" priority="19"/>
  </conditionalFormatting>
  <conditionalFormatting sqref="B14">
    <cfRule type="duplicateValues" dxfId="13" priority="20"/>
  </conditionalFormatting>
  <conditionalFormatting sqref="D67">
    <cfRule type="duplicateValues" dxfId="12" priority="17"/>
  </conditionalFormatting>
  <conditionalFormatting sqref="E36">
    <cfRule type="duplicateValues" dxfId="11" priority="1"/>
  </conditionalFormatting>
  <conditionalFormatting sqref="E37">
    <cfRule type="duplicateValues" dxfId="10" priority="9"/>
  </conditionalFormatting>
  <conditionalFormatting sqref="E38">
    <cfRule type="duplicateValues" dxfId="9" priority="8"/>
  </conditionalFormatting>
  <conditionalFormatting sqref="E39">
    <cfRule type="duplicateValues" dxfId="8" priority="7"/>
  </conditionalFormatting>
  <conditionalFormatting sqref="E40">
    <cfRule type="duplicateValues" dxfId="7" priority="6"/>
  </conditionalFormatting>
  <conditionalFormatting sqref="E41">
    <cfRule type="duplicateValues" dxfId="6" priority="5"/>
  </conditionalFormatting>
  <conditionalFormatting sqref="E42">
    <cfRule type="duplicateValues" dxfId="5" priority="4"/>
  </conditionalFormatting>
  <conditionalFormatting sqref="E43">
    <cfRule type="duplicateValues" dxfId="4" priority="3"/>
  </conditionalFormatting>
  <conditionalFormatting sqref="J4">
    <cfRule type="duplicateValues" dxfId="3" priority="13"/>
  </conditionalFormatting>
  <conditionalFormatting sqref="J5">
    <cfRule type="duplicateValues" dxfId="2" priority="14"/>
  </conditionalFormatting>
  <conditionalFormatting sqref="K4">
    <cfRule type="duplicateValues" dxfId="1" priority="10"/>
  </conditionalFormatting>
  <conditionalFormatting sqref="K5">
    <cfRule type="duplicateValues" dxfId="0" priority="1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1BFD-E24B-48EE-92E0-C7B509CF6C02}">
  <dimension ref="A1:G129"/>
  <sheetViews>
    <sheetView zoomScale="80" zoomScaleNormal="80" workbookViewId="0">
      <pane ySplit="1" topLeftCell="A2" activePane="bottomLeft" state="frozen"/>
      <selection pane="bottomLeft" sqref="A1:C1"/>
    </sheetView>
  </sheetViews>
  <sheetFormatPr baseColWidth="10" defaultRowHeight="15" x14ac:dyDescent="0.2"/>
  <cols>
    <col min="1" max="1" width="7.140625" style="7" customWidth="1"/>
    <col min="2" max="2" width="85.7109375" style="7" customWidth="1"/>
    <col min="3" max="3" width="28.5703125" style="7" customWidth="1"/>
    <col min="4" max="4" width="11.42578125" style="7" customWidth="1"/>
    <col min="5" max="5" width="7.140625" style="7" customWidth="1"/>
    <col min="6" max="6" width="71.42578125" style="7" customWidth="1"/>
    <col min="7" max="7" width="28.7109375" style="7" customWidth="1"/>
    <col min="8" max="16384" width="11.42578125" style="7"/>
  </cols>
  <sheetData>
    <row r="1" spans="1:7" x14ac:dyDescent="0.2">
      <c r="A1" s="78" t="s">
        <v>317</v>
      </c>
      <c r="B1" s="78"/>
      <c r="C1" s="78"/>
      <c r="E1" s="78" t="s">
        <v>316</v>
      </c>
      <c r="F1" s="78"/>
      <c r="G1" s="78"/>
    </row>
    <row r="2" spans="1:7" x14ac:dyDescent="0.2">
      <c r="A2" s="45">
        <v>191</v>
      </c>
      <c r="B2" s="45" t="s">
        <v>448</v>
      </c>
      <c r="C2" s="45" t="s">
        <v>32</v>
      </c>
      <c r="E2" s="45">
        <v>1911</v>
      </c>
      <c r="F2" s="45" t="s">
        <v>318</v>
      </c>
      <c r="G2" s="45" t="s">
        <v>166</v>
      </c>
    </row>
    <row r="3" spans="1:7" x14ac:dyDescent="0.2">
      <c r="A3" s="45">
        <v>192</v>
      </c>
      <c r="B3" s="45" t="s">
        <v>449</v>
      </c>
      <c r="C3" s="45" t="s">
        <v>101</v>
      </c>
      <c r="E3" s="45">
        <v>1912</v>
      </c>
      <c r="F3" s="45" t="s">
        <v>319</v>
      </c>
      <c r="G3" s="45" t="s">
        <v>167</v>
      </c>
    </row>
    <row r="4" spans="1:7" x14ac:dyDescent="0.2">
      <c r="A4" s="45">
        <v>280</v>
      </c>
      <c r="B4" s="45" t="s">
        <v>450</v>
      </c>
      <c r="C4" s="45" t="s">
        <v>102</v>
      </c>
      <c r="E4" s="45">
        <v>1913</v>
      </c>
      <c r="F4" s="45" t="s">
        <v>320</v>
      </c>
      <c r="G4" s="45" t="s">
        <v>168</v>
      </c>
    </row>
    <row r="5" spans="1:7" x14ac:dyDescent="0.2">
      <c r="A5" s="46">
        <v>580</v>
      </c>
      <c r="B5" s="46" t="s">
        <v>451</v>
      </c>
      <c r="C5" s="46" t="s">
        <v>103</v>
      </c>
      <c r="E5" s="45">
        <v>1914</v>
      </c>
      <c r="F5" s="45" t="s">
        <v>321</v>
      </c>
      <c r="G5" s="45" t="s">
        <v>169</v>
      </c>
    </row>
    <row r="6" spans="1:7" x14ac:dyDescent="0.2">
      <c r="A6" s="46">
        <v>680</v>
      </c>
      <c r="B6" s="46" t="s">
        <v>452</v>
      </c>
      <c r="C6" s="46" t="s">
        <v>104</v>
      </c>
      <c r="E6" s="45">
        <v>1915</v>
      </c>
      <c r="F6" s="45" t="s">
        <v>322</v>
      </c>
      <c r="G6" s="45" t="s">
        <v>170</v>
      </c>
    </row>
    <row r="7" spans="1:7" x14ac:dyDescent="0.2">
      <c r="A7" s="46">
        <v>791</v>
      </c>
      <c r="B7" s="46" t="s">
        <v>453</v>
      </c>
      <c r="C7" s="46" t="s">
        <v>105</v>
      </c>
      <c r="E7" s="45">
        <v>1916</v>
      </c>
      <c r="F7" s="45" t="s">
        <v>323</v>
      </c>
      <c r="G7" s="45" t="s">
        <v>171</v>
      </c>
    </row>
    <row r="8" spans="1:7" x14ac:dyDescent="0.2">
      <c r="A8" s="46">
        <v>792</v>
      </c>
      <c r="B8" s="46" t="s">
        <v>454</v>
      </c>
      <c r="C8" s="46" t="s">
        <v>106</v>
      </c>
      <c r="E8" s="45">
        <v>1917</v>
      </c>
      <c r="F8" s="45" t="s">
        <v>324</v>
      </c>
      <c r="G8" s="45" t="s">
        <v>172</v>
      </c>
    </row>
    <row r="9" spans="1:7" x14ac:dyDescent="0.2">
      <c r="A9" s="47">
        <v>1091</v>
      </c>
      <c r="B9" s="47" t="s">
        <v>455</v>
      </c>
      <c r="C9" s="47" t="s">
        <v>108</v>
      </c>
      <c r="E9" s="45">
        <v>1918</v>
      </c>
      <c r="F9" s="45" t="s">
        <v>325</v>
      </c>
      <c r="G9" s="45" t="s">
        <v>173</v>
      </c>
    </row>
    <row r="10" spans="1:7" x14ac:dyDescent="0.2">
      <c r="A10" s="47">
        <v>1092</v>
      </c>
      <c r="B10" s="47" t="s">
        <v>456</v>
      </c>
      <c r="C10" s="47" t="s">
        <v>109</v>
      </c>
      <c r="E10" s="45">
        <v>1919</v>
      </c>
      <c r="F10" s="45" t="s">
        <v>326</v>
      </c>
      <c r="G10" s="45" t="s">
        <v>174</v>
      </c>
    </row>
    <row r="11" spans="1:7" x14ac:dyDescent="0.2">
      <c r="A11" s="47">
        <v>1093</v>
      </c>
      <c r="B11" s="47" t="s">
        <v>351</v>
      </c>
      <c r="C11" s="47" t="s">
        <v>110</v>
      </c>
      <c r="E11" s="45">
        <v>1920</v>
      </c>
      <c r="F11" s="45" t="s">
        <v>327</v>
      </c>
      <c r="G11" s="45" t="s">
        <v>175</v>
      </c>
    </row>
    <row r="12" spans="1:7" x14ac:dyDescent="0.2">
      <c r="A12" s="47">
        <v>1100</v>
      </c>
      <c r="B12" s="47" t="s">
        <v>457</v>
      </c>
      <c r="C12" s="47" t="s">
        <v>111</v>
      </c>
      <c r="E12" s="45">
        <v>1921</v>
      </c>
      <c r="F12" s="45" t="s">
        <v>328</v>
      </c>
      <c r="G12" s="45" t="s">
        <v>176</v>
      </c>
    </row>
    <row r="13" spans="1:7" x14ac:dyDescent="0.2">
      <c r="A13" s="47">
        <v>1200</v>
      </c>
      <c r="B13" s="47" t="s">
        <v>458</v>
      </c>
      <c r="C13" s="47" t="s">
        <v>112</v>
      </c>
      <c r="E13" s="45">
        <v>1922</v>
      </c>
      <c r="F13" s="45" t="s">
        <v>329</v>
      </c>
      <c r="G13" s="45" t="s">
        <v>177</v>
      </c>
    </row>
    <row r="14" spans="1:7" x14ac:dyDescent="0.2">
      <c r="A14" s="31">
        <v>1300</v>
      </c>
      <c r="B14" s="31" t="s">
        <v>459</v>
      </c>
      <c r="C14" s="31" t="s">
        <v>128</v>
      </c>
      <c r="E14" s="45">
        <v>1923</v>
      </c>
      <c r="F14" s="45" t="s">
        <v>330</v>
      </c>
      <c r="G14" s="45" t="s">
        <v>178</v>
      </c>
    </row>
    <row r="15" spans="1:7" x14ac:dyDescent="0.2">
      <c r="A15" s="31">
        <v>1400</v>
      </c>
      <c r="B15" s="31" t="s">
        <v>460</v>
      </c>
      <c r="C15" s="31" t="s">
        <v>129</v>
      </c>
      <c r="E15" s="45">
        <v>2801</v>
      </c>
      <c r="F15" s="45" t="s">
        <v>331</v>
      </c>
      <c r="G15" s="45" t="s">
        <v>196</v>
      </c>
    </row>
    <row r="16" spans="1:7" x14ac:dyDescent="0.2">
      <c r="A16" s="31">
        <v>1500</v>
      </c>
      <c r="B16" s="31" t="s">
        <v>461</v>
      </c>
      <c r="C16" s="31" t="s">
        <v>130</v>
      </c>
      <c r="E16" s="45">
        <v>2802</v>
      </c>
      <c r="F16" s="45" t="s">
        <v>332</v>
      </c>
      <c r="G16" s="45" t="s">
        <v>179</v>
      </c>
    </row>
    <row r="17" spans="1:7" x14ac:dyDescent="0.2">
      <c r="A17" s="31">
        <v>1600</v>
      </c>
      <c r="B17" s="31" t="s">
        <v>462</v>
      </c>
      <c r="C17" s="31" t="s">
        <v>113</v>
      </c>
      <c r="E17" s="46">
        <v>5801</v>
      </c>
      <c r="F17" s="46" t="s">
        <v>333</v>
      </c>
      <c r="G17" s="46" t="s">
        <v>197</v>
      </c>
    </row>
    <row r="18" spans="1:7" x14ac:dyDescent="0.2">
      <c r="A18" s="31">
        <v>1700</v>
      </c>
      <c r="B18" s="31" t="s">
        <v>463</v>
      </c>
      <c r="C18" s="31" t="s">
        <v>114</v>
      </c>
      <c r="E18" s="46">
        <v>5802</v>
      </c>
      <c r="F18" s="46" t="s">
        <v>334</v>
      </c>
      <c r="G18" s="46" t="s">
        <v>198</v>
      </c>
    </row>
    <row r="19" spans="1:7" x14ac:dyDescent="0.2">
      <c r="A19" s="31">
        <v>1800</v>
      </c>
      <c r="B19" s="31" t="s">
        <v>464</v>
      </c>
      <c r="C19" s="31" t="s">
        <v>131</v>
      </c>
      <c r="E19" s="48">
        <v>6801</v>
      </c>
      <c r="F19" s="48" t="s">
        <v>335</v>
      </c>
      <c r="G19" s="48" t="s">
        <v>199</v>
      </c>
    </row>
    <row r="20" spans="1:7" x14ac:dyDescent="0.2">
      <c r="A20" s="48">
        <v>1991</v>
      </c>
      <c r="B20" s="48" t="s">
        <v>465</v>
      </c>
      <c r="C20" s="48" t="s">
        <v>42</v>
      </c>
      <c r="E20" s="46">
        <v>7911</v>
      </c>
      <c r="F20" s="46" t="s">
        <v>336</v>
      </c>
      <c r="G20" s="46" t="s">
        <v>200</v>
      </c>
    </row>
    <row r="21" spans="1:7" x14ac:dyDescent="0.2">
      <c r="A21" s="49">
        <v>1992</v>
      </c>
      <c r="B21" s="49" t="s">
        <v>466</v>
      </c>
      <c r="C21" s="49" t="s">
        <v>107</v>
      </c>
      <c r="E21" s="46">
        <v>7921</v>
      </c>
      <c r="F21" s="46" t="s">
        <v>337</v>
      </c>
      <c r="G21" s="46" t="s">
        <v>201</v>
      </c>
    </row>
    <row r="22" spans="1:7" x14ac:dyDescent="0.2">
      <c r="A22" s="31">
        <v>2091</v>
      </c>
      <c r="B22" s="31" t="s">
        <v>467</v>
      </c>
      <c r="C22" s="31" t="s">
        <v>115</v>
      </c>
      <c r="E22" s="47">
        <v>10911</v>
      </c>
      <c r="F22" s="47" t="s">
        <v>338</v>
      </c>
      <c r="G22" s="47" t="s">
        <v>180</v>
      </c>
    </row>
    <row r="23" spans="1:7" x14ac:dyDescent="0.2">
      <c r="A23" s="31">
        <v>2092</v>
      </c>
      <c r="B23" s="31" t="s">
        <v>468</v>
      </c>
      <c r="C23" s="31" t="s">
        <v>117</v>
      </c>
      <c r="E23" s="47">
        <v>10912</v>
      </c>
      <c r="F23" s="47" t="s">
        <v>339</v>
      </c>
      <c r="G23" s="47" t="s">
        <v>181</v>
      </c>
    </row>
    <row r="24" spans="1:7" x14ac:dyDescent="0.2">
      <c r="A24" s="31">
        <v>2093</v>
      </c>
      <c r="B24" s="31" t="s">
        <v>469</v>
      </c>
      <c r="C24" s="31" t="s">
        <v>132</v>
      </c>
      <c r="E24" s="47">
        <v>10913</v>
      </c>
      <c r="F24" s="47" t="s">
        <v>340</v>
      </c>
      <c r="G24" s="47" t="s">
        <v>182</v>
      </c>
    </row>
    <row r="25" spans="1:7" x14ac:dyDescent="0.2">
      <c r="A25" s="31">
        <v>2100</v>
      </c>
      <c r="B25" s="31" t="s">
        <v>470</v>
      </c>
      <c r="C25" s="31" t="s">
        <v>133</v>
      </c>
      <c r="E25" s="47">
        <v>10914</v>
      </c>
      <c r="F25" s="47" t="s">
        <v>341</v>
      </c>
      <c r="G25" s="47" t="s">
        <v>183</v>
      </c>
    </row>
    <row r="26" spans="1:7" x14ac:dyDescent="0.2">
      <c r="A26" s="31">
        <v>2200</v>
      </c>
      <c r="B26" s="31" t="s">
        <v>471</v>
      </c>
      <c r="C26" s="31" t="s">
        <v>118</v>
      </c>
      <c r="E26" s="47">
        <v>10915</v>
      </c>
      <c r="F26" s="47" t="s">
        <v>342</v>
      </c>
      <c r="G26" s="47" t="s">
        <v>184</v>
      </c>
    </row>
    <row r="27" spans="1:7" x14ac:dyDescent="0.2">
      <c r="A27" s="31">
        <v>2300</v>
      </c>
      <c r="B27" s="31" t="s">
        <v>472</v>
      </c>
      <c r="C27" s="31" t="s">
        <v>119</v>
      </c>
      <c r="E27" s="47">
        <v>10916</v>
      </c>
      <c r="F27" s="47" t="s">
        <v>343</v>
      </c>
      <c r="G27" s="47" t="s">
        <v>185</v>
      </c>
    </row>
    <row r="28" spans="1:7" x14ac:dyDescent="0.2">
      <c r="A28" s="31">
        <v>2491</v>
      </c>
      <c r="B28" s="31" t="s">
        <v>473</v>
      </c>
      <c r="C28" s="31" t="s">
        <v>120</v>
      </c>
      <c r="E28" s="47">
        <v>10921</v>
      </c>
      <c r="F28" s="47" t="s">
        <v>344</v>
      </c>
      <c r="G28" s="47" t="s">
        <v>186</v>
      </c>
    </row>
    <row r="29" spans="1:7" x14ac:dyDescent="0.2">
      <c r="A29" s="31">
        <v>2492</v>
      </c>
      <c r="B29" s="31" t="s">
        <v>474</v>
      </c>
      <c r="C29" s="31" t="s">
        <v>121</v>
      </c>
      <c r="E29" s="47">
        <v>10931</v>
      </c>
      <c r="F29" s="47" t="s">
        <v>345</v>
      </c>
      <c r="G29" s="47" t="s">
        <v>187</v>
      </c>
    </row>
    <row r="30" spans="1:7" x14ac:dyDescent="0.2">
      <c r="A30" s="31">
        <v>2500</v>
      </c>
      <c r="B30" s="31" t="s">
        <v>475</v>
      </c>
      <c r="C30" s="31" t="s">
        <v>134</v>
      </c>
      <c r="E30" s="47">
        <v>10932</v>
      </c>
      <c r="F30" s="47" t="s">
        <v>346</v>
      </c>
      <c r="G30" s="47" t="s">
        <v>188</v>
      </c>
    </row>
    <row r="31" spans="1:7" x14ac:dyDescent="0.2">
      <c r="A31" s="50">
        <v>2600</v>
      </c>
      <c r="B31" s="50" t="s">
        <v>476</v>
      </c>
      <c r="C31" s="50" t="s">
        <v>122</v>
      </c>
      <c r="E31" s="47">
        <v>10933</v>
      </c>
      <c r="F31" s="47" t="s">
        <v>347</v>
      </c>
      <c r="G31" s="47" t="s">
        <v>189</v>
      </c>
    </row>
    <row r="32" spans="1:7" x14ac:dyDescent="0.2">
      <c r="A32" s="50">
        <v>2700</v>
      </c>
      <c r="B32" s="50" t="s">
        <v>477</v>
      </c>
      <c r="C32" s="50" t="s">
        <v>123</v>
      </c>
      <c r="E32" s="47">
        <v>10934</v>
      </c>
      <c r="F32" s="47" t="s">
        <v>348</v>
      </c>
      <c r="G32" s="47" t="s">
        <v>190</v>
      </c>
    </row>
    <row r="33" spans="1:7" x14ac:dyDescent="0.2">
      <c r="A33" s="50">
        <v>2800</v>
      </c>
      <c r="B33" s="50" t="s">
        <v>478</v>
      </c>
      <c r="C33" s="50" t="s">
        <v>124</v>
      </c>
      <c r="E33" s="47">
        <v>10935</v>
      </c>
      <c r="F33" s="47" t="s">
        <v>349</v>
      </c>
      <c r="G33" s="47" t="s">
        <v>191</v>
      </c>
    </row>
    <row r="34" spans="1:7" x14ac:dyDescent="0.2">
      <c r="A34" s="50">
        <v>2991</v>
      </c>
      <c r="B34" s="50" t="s">
        <v>479</v>
      </c>
      <c r="C34" s="50" t="s">
        <v>126</v>
      </c>
      <c r="E34" s="47">
        <v>10936</v>
      </c>
      <c r="F34" s="47" t="s">
        <v>350</v>
      </c>
      <c r="G34" s="47" t="s">
        <v>192</v>
      </c>
    </row>
    <row r="35" spans="1:7" x14ac:dyDescent="0.2">
      <c r="A35" s="50">
        <v>2992</v>
      </c>
      <c r="B35" s="50" t="s">
        <v>480</v>
      </c>
      <c r="C35" s="50" t="s">
        <v>127</v>
      </c>
      <c r="E35" s="47">
        <v>10937</v>
      </c>
      <c r="F35" s="47" t="s">
        <v>351</v>
      </c>
      <c r="G35" s="47" t="s">
        <v>193</v>
      </c>
    </row>
    <row r="36" spans="1:7" x14ac:dyDescent="0.2">
      <c r="A36" s="50">
        <v>3000</v>
      </c>
      <c r="B36" s="50" t="s">
        <v>481</v>
      </c>
      <c r="C36" s="50" t="s">
        <v>135</v>
      </c>
      <c r="E36" s="47">
        <v>11001</v>
      </c>
      <c r="F36" s="47" t="s">
        <v>352</v>
      </c>
      <c r="G36" s="47" t="s">
        <v>194</v>
      </c>
    </row>
    <row r="37" spans="1:7" x14ac:dyDescent="0.2">
      <c r="A37" s="31">
        <v>3180</v>
      </c>
      <c r="B37" s="31" t="s">
        <v>482</v>
      </c>
      <c r="C37" s="31" t="s">
        <v>43</v>
      </c>
      <c r="E37" s="47">
        <v>12001</v>
      </c>
      <c r="F37" s="47" t="s">
        <v>353</v>
      </c>
      <c r="G37" s="47" t="s">
        <v>195</v>
      </c>
    </row>
    <row r="38" spans="1:7" x14ac:dyDescent="0.2">
      <c r="A38" s="50">
        <v>3300</v>
      </c>
      <c r="B38" s="50" t="s">
        <v>404</v>
      </c>
      <c r="C38" s="50" t="s">
        <v>125</v>
      </c>
      <c r="E38" s="31">
        <v>13001</v>
      </c>
      <c r="F38" s="31" t="s">
        <v>354</v>
      </c>
      <c r="G38" s="31" t="s">
        <v>202</v>
      </c>
    </row>
    <row r="39" spans="1:7" x14ac:dyDescent="0.2">
      <c r="A39" s="51">
        <v>3500</v>
      </c>
      <c r="B39" s="51" t="s">
        <v>483</v>
      </c>
      <c r="C39" s="51" t="s">
        <v>136</v>
      </c>
      <c r="E39" s="31">
        <v>13002</v>
      </c>
      <c r="F39" s="31" t="s">
        <v>355</v>
      </c>
      <c r="G39" s="31" t="s">
        <v>227</v>
      </c>
    </row>
    <row r="40" spans="1:7" x14ac:dyDescent="0.2">
      <c r="A40" s="51">
        <v>3680</v>
      </c>
      <c r="B40" s="51" t="s">
        <v>484</v>
      </c>
      <c r="C40" s="51" t="s">
        <v>137</v>
      </c>
      <c r="E40" s="31">
        <v>13003</v>
      </c>
      <c r="F40" s="31" t="s">
        <v>356</v>
      </c>
      <c r="G40" s="31" t="s">
        <v>231</v>
      </c>
    </row>
    <row r="41" spans="1:7" x14ac:dyDescent="0.2">
      <c r="A41" s="51">
        <v>4180</v>
      </c>
      <c r="B41" s="51" t="s">
        <v>485</v>
      </c>
      <c r="C41" s="51" t="s">
        <v>138</v>
      </c>
      <c r="E41" s="31">
        <v>14001</v>
      </c>
      <c r="F41" s="31" t="s">
        <v>357</v>
      </c>
      <c r="G41" s="31" t="s">
        <v>232</v>
      </c>
    </row>
    <row r="42" spans="1:7" x14ac:dyDescent="0.2">
      <c r="A42" s="43">
        <v>4500</v>
      </c>
      <c r="B42" s="43" t="s">
        <v>486</v>
      </c>
      <c r="C42" s="43" t="s">
        <v>141</v>
      </c>
      <c r="E42" s="31">
        <v>15001</v>
      </c>
      <c r="F42" s="31" t="s">
        <v>358</v>
      </c>
      <c r="G42" s="31" t="s">
        <v>233</v>
      </c>
    </row>
    <row r="43" spans="1:7" x14ac:dyDescent="0.2">
      <c r="A43" s="43">
        <v>4680</v>
      </c>
      <c r="B43" s="43" t="s">
        <v>411</v>
      </c>
      <c r="C43" s="43" t="s">
        <v>142</v>
      </c>
      <c r="E43" s="31">
        <v>16001</v>
      </c>
      <c r="F43" s="31" t="s">
        <v>359</v>
      </c>
      <c r="G43" s="31" t="s">
        <v>210</v>
      </c>
    </row>
    <row r="44" spans="1:7" x14ac:dyDescent="0.2">
      <c r="A44" s="43">
        <v>4900</v>
      </c>
      <c r="B44" s="43" t="s">
        <v>487</v>
      </c>
      <c r="C44" s="43" t="s">
        <v>143</v>
      </c>
      <c r="E44" s="31">
        <v>17001</v>
      </c>
      <c r="F44" s="31" t="s">
        <v>360</v>
      </c>
      <c r="G44" s="31" t="s">
        <v>211</v>
      </c>
    </row>
    <row r="45" spans="1:7" x14ac:dyDescent="0.2">
      <c r="A45" s="43">
        <v>5000</v>
      </c>
      <c r="B45" s="43" t="s">
        <v>414</v>
      </c>
      <c r="C45" s="43" t="s">
        <v>144</v>
      </c>
      <c r="E45" s="31">
        <v>17002</v>
      </c>
      <c r="F45" s="31" t="s">
        <v>361</v>
      </c>
      <c r="G45" s="31" t="s">
        <v>212</v>
      </c>
    </row>
    <row r="46" spans="1:7" x14ac:dyDescent="0.2">
      <c r="A46" s="43">
        <v>5100</v>
      </c>
      <c r="B46" s="43" t="s">
        <v>415</v>
      </c>
      <c r="C46" s="43" t="s">
        <v>145</v>
      </c>
      <c r="E46" s="31">
        <v>18001</v>
      </c>
      <c r="F46" s="31" t="s">
        <v>362</v>
      </c>
      <c r="G46" s="31" t="s">
        <v>234</v>
      </c>
    </row>
    <row r="47" spans="1:7" x14ac:dyDescent="0.2">
      <c r="A47" s="43">
        <v>5280</v>
      </c>
      <c r="B47" s="43" t="s">
        <v>488</v>
      </c>
      <c r="C47" s="43" t="s">
        <v>146</v>
      </c>
      <c r="E47" s="48">
        <v>19911</v>
      </c>
      <c r="F47" s="48" t="s">
        <v>363</v>
      </c>
      <c r="G47" s="48" t="s">
        <v>203</v>
      </c>
    </row>
    <row r="48" spans="1:7" x14ac:dyDescent="0.2">
      <c r="A48" s="44">
        <v>5500</v>
      </c>
      <c r="B48" s="44" t="s">
        <v>489</v>
      </c>
      <c r="C48" s="44" t="s">
        <v>147</v>
      </c>
      <c r="E48" s="48">
        <v>19912</v>
      </c>
      <c r="F48" s="48" t="s">
        <v>364</v>
      </c>
      <c r="G48" s="48" t="s">
        <v>204</v>
      </c>
    </row>
    <row r="49" spans="1:7" x14ac:dyDescent="0.2">
      <c r="A49" s="44">
        <v>5600</v>
      </c>
      <c r="B49" s="44" t="s">
        <v>490</v>
      </c>
      <c r="C49" s="44" t="s">
        <v>148</v>
      </c>
      <c r="E49" s="48">
        <v>19913</v>
      </c>
      <c r="F49" s="48" t="s">
        <v>365</v>
      </c>
      <c r="G49" s="48" t="s">
        <v>205</v>
      </c>
    </row>
    <row r="50" spans="1:7" x14ac:dyDescent="0.2">
      <c r="A50" s="44">
        <v>5800</v>
      </c>
      <c r="B50" s="44" t="s">
        <v>491</v>
      </c>
      <c r="C50" s="44" t="s">
        <v>149</v>
      </c>
      <c r="E50" s="48">
        <v>19914</v>
      </c>
      <c r="F50" s="48" t="s">
        <v>366</v>
      </c>
      <c r="G50" s="48" t="s">
        <v>206</v>
      </c>
    </row>
    <row r="51" spans="1:7" x14ac:dyDescent="0.2">
      <c r="A51" s="44">
        <v>5980</v>
      </c>
      <c r="B51" s="44" t="s">
        <v>492</v>
      </c>
      <c r="C51" s="44" t="s">
        <v>150</v>
      </c>
      <c r="E51" s="48">
        <v>19915</v>
      </c>
      <c r="F51" s="48" t="s">
        <v>367</v>
      </c>
      <c r="G51" s="48" t="s">
        <v>207</v>
      </c>
    </row>
    <row r="52" spans="1:7" x14ac:dyDescent="0.2">
      <c r="A52" s="44">
        <v>6100</v>
      </c>
      <c r="B52" s="44" t="s">
        <v>493</v>
      </c>
      <c r="C52" s="44" t="s">
        <v>151</v>
      </c>
      <c r="E52" s="48">
        <v>19916</v>
      </c>
      <c r="F52" s="48" t="s">
        <v>368</v>
      </c>
      <c r="G52" s="48" t="s">
        <v>208</v>
      </c>
    </row>
    <row r="53" spans="1:7" x14ac:dyDescent="0.2">
      <c r="A53" s="44">
        <v>6280</v>
      </c>
      <c r="B53" s="44" t="s">
        <v>423</v>
      </c>
      <c r="C53" s="44" t="s">
        <v>152</v>
      </c>
      <c r="E53" s="49">
        <v>19921</v>
      </c>
      <c r="F53" s="49" t="s">
        <v>369</v>
      </c>
      <c r="G53" s="49" t="s">
        <v>213</v>
      </c>
    </row>
    <row r="54" spans="1:7" x14ac:dyDescent="0.2">
      <c r="A54" s="44">
        <v>6480</v>
      </c>
      <c r="B54" s="44" t="s">
        <v>424</v>
      </c>
      <c r="C54" s="44" t="s">
        <v>153</v>
      </c>
      <c r="E54" s="31">
        <v>20911</v>
      </c>
      <c r="F54" s="31" t="s">
        <v>370</v>
      </c>
      <c r="G54" s="31" t="s">
        <v>214</v>
      </c>
    </row>
    <row r="55" spans="1:7" x14ac:dyDescent="0.2">
      <c r="A55" s="44">
        <v>6800</v>
      </c>
      <c r="B55" s="44" t="s">
        <v>494</v>
      </c>
      <c r="C55" s="44" t="s">
        <v>154</v>
      </c>
      <c r="E55" s="31">
        <v>20912</v>
      </c>
      <c r="F55" s="31" t="s">
        <v>371</v>
      </c>
      <c r="G55" s="31" t="s">
        <v>215</v>
      </c>
    </row>
    <row r="56" spans="1:7" x14ac:dyDescent="0.2">
      <c r="A56" s="44">
        <v>6980</v>
      </c>
      <c r="B56" s="44" t="s">
        <v>495</v>
      </c>
      <c r="C56" s="44" t="s">
        <v>155</v>
      </c>
      <c r="E56" s="31">
        <v>20913</v>
      </c>
      <c r="F56" s="31" t="s">
        <v>372</v>
      </c>
      <c r="G56" s="31" t="s">
        <v>216</v>
      </c>
    </row>
    <row r="57" spans="1:7" x14ac:dyDescent="0.2">
      <c r="A57" s="44">
        <v>7180</v>
      </c>
      <c r="B57" s="44" t="s">
        <v>496</v>
      </c>
      <c r="C57" s="44" t="s">
        <v>156</v>
      </c>
      <c r="E57" s="31">
        <v>20914</v>
      </c>
      <c r="F57" s="31" t="s">
        <v>373</v>
      </c>
      <c r="G57" s="31" t="s">
        <v>217</v>
      </c>
    </row>
    <row r="58" spans="1:7" x14ac:dyDescent="0.2">
      <c r="A58" s="44">
        <v>7380</v>
      </c>
      <c r="B58" s="44" t="s">
        <v>497</v>
      </c>
      <c r="C58" s="44" t="s">
        <v>157</v>
      </c>
      <c r="E58" s="31">
        <v>20921</v>
      </c>
      <c r="F58" s="31" t="s">
        <v>374</v>
      </c>
      <c r="G58" s="31" t="s">
        <v>218</v>
      </c>
    </row>
    <row r="59" spans="1:7" x14ac:dyDescent="0.2">
      <c r="A59" s="44">
        <v>7700</v>
      </c>
      <c r="B59" s="44" t="s">
        <v>498</v>
      </c>
      <c r="C59" s="44" t="s">
        <v>158</v>
      </c>
      <c r="E59" s="31">
        <v>20922</v>
      </c>
      <c r="F59" s="31" t="s">
        <v>375</v>
      </c>
      <c r="G59" s="31" t="s">
        <v>219</v>
      </c>
    </row>
    <row r="60" spans="1:7" x14ac:dyDescent="0.2">
      <c r="A60" s="44">
        <v>7880</v>
      </c>
      <c r="B60" s="44" t="s">
        <v>499</v>
      </c>
      <c r="C60" s="44" t="s">
        <v>159</v>
      </c>
      <c r="E60" s="31">
        <v>20923</v>
      </c>
      <c r="F60" s="31" t="s">
        <v>376</v>
      </c>
      <c r="G60" s="31" t="s">
        <v>228</v>
      </c>
    </row>
    <row r="61" spans="1:7" x14ac:dyDescent="0.2">
      <c r="A61" s="44">
        <v>8000</v>
      </c>
      <c r="B61" s="44" t="s">
        <v>500</v>
      </c>
      <c r="C61" s="44" t="s">
        <v>160</v>
      </c>
      <c r="E61" s="31">
        <v>20931</v>
      </c>
      <c r="F61" s="31" t="s">
        <v>377</v>
      </c>
      <c r="G61" s="31" t="s">
        <v>235</v>
      </c>
    </row>
    <row r="62" spans="1:7" x14ac:dyDescent="0.2">
      <c r="A62" s="52">
        <v>8400</v>
      </c>
      <c r="B62" s="52" t="s">
        <v>501</v>
      </c>
      <c r="C62" s="52" t="s">
        <v>44</v>
      </c>
      <c r="E62" s="31">
        <v>21001</v>
      </c>
      <c r="F62" s="31" t="s">
        <v>378</v>
      </c>
      <c r="G62" s="31" t="s">
        <v>236</v>
      </c>
    </row>
    <row r="63" spans="1:7" x14ac:dyDescent="0.2">
      <c r="A63" s="52">
        <v>8591</v>
      </c>
      <c r="B63" s="52" t="s">
        <v>437</v>
      </c>
      <c r="C63" s="52" t="s">
        <v>139</v>
      </c>
      <c r="E63" s="31">
        <v>22001</v>
      </c>
      <c r="F63" s="31" t="s">
        <v>379</v>
      </c>
      <c r="G63" s="31" t="s">
        <v>220</v>
      </c>
    </row>
    <row r="64" spans="1:7" x14ac:dyDescent="0.2">
      <c r="A64" s="44">
        <v>8592</v>
      </c>
      <c r="B64" s="44" t="s">
        <v>438</v>
      </c>
      <c r="C64" s="44" t="s">
        <v>161</v>
      </c>
      <c r="E64" s="31">
        <v>22002</v>
      </c>
      <c r="F64" s="31" t="s">
        <v>380</v>
      </c>
      <c r="G64" s="31" t="s">
        <v>221</v>
      </c>
    </row>
    <row r="65" spans="1:7" x14ac:dyDescent="0.2">
      <c r="A65" s="52">
        <v>8691</v>
      </c>
      <c r="B65" s="52" t="s">
        <v>439</v>
      </c>
      <c r="C65" s="52" t="s">
        <v>140</v>
      </c>
      <c r="E65" s="31">
        <v>23001</v>
      </c>
      <c r="F65" s="31" t="s">
        <v>381</v>
      </c>
      <c r="G65" s="31" t="s">
        <v>222</v>
      </c>
    </row>
    <row r="66" spans="1:7" x14ac:dyDescent="0.2">
      <c r="A66" s="44">
        <v>8692</v>
      </c>
      <c r="B66" s="44" t="s">
        <v>440</v>
      </c>
      <c r="C66" s="44" t="s">
        <v>162</v>
      </c>
      <c r="E66" s="31">
        <v>23002</v>
      </c>
      <c r="F66" s="31" t="s">
        <v>382</v>
      </c>
      <c r="G66" s="31" t="s">
        <v>223</v>
      </c>
    </row>
    <row r="67" spans="1:7" x14ac:dyDescent="0.2">
      <c r="A67" s="44">
        <v>9080</v>
      </c>
      <c r="B67" s="44" t="s">
        <v>502</v>
      </c>
      <c r="C67" s="44" t="s">
        <v>163</v>
      </c>
      <c r="E67" s="31">
        <v>23003</v>
      </c>
      <c r="F67" s="31" t="s">
        <v>383</v>
      </c>
      <c r="G67" s="31" t="s">
        <v>229</v>
      </c>
    </row>
    <row r="68" spans="1:7" x14ac:dyDescent="0.2">
      <c r="A68" s="44">
        <v>9480</v>
      </c>
      <c r="B68" s="44" t="s">
        <v>503</v>
      </c>
      <c r="C68" s="44" t="s">
        <v>164</v>
      </c>
      <c r="E68" s="31">
        <v>24911</v>
      </c>
      <c r="F68" s="31" t="s">
        <v>384</v>
      </c>
      <c r="G68" s="31" t="s">
        <v>209</v>
      </c>
    </row>
    <row r="69" spans="1:7" x14ac:dyDescent="0.2">
      <c r="A69" s="44">
        <v>9700</v>
      </c>
      <c r="B69" s="44" t="s">
        <v>445</v>
      </c>
      <c r="C69" s="44" t="s">
        <v>165</v>
      </c>
      <c r="E69" s="31">
        <v>24912</v>
      </c>
      <c r="F69" s="31" t="s">
        <v>385</v>
      </c>
      <c r="G69" s="31" t="s">
        <v>224</v>
      </c>
    </row>
    <row r="70" spans="1:7" x14ac:dyDescent="0.2">
      <c r="E70" s="31">
        <v>24921</v>
      </c>
      <c r="F70" s="31" t="s">
        <v>386</v>
      </c>
      <c r="G70" s="31" t="s">
        <v>225</v>
      </c>
    </row>
    <row r="71" spans="1:7" x14ac:dyDescent="0.2">
      <c r="E71" s="31">
        <v>24922</v>
      </c>
      <c r="F71" s="31" t="s">
        <v>387</v>
      </c>
      <c r="G71" s="31" t="s">
        <v>226</v>
      </c>
    </row>
    <row r="72" spans="1:7" x14ac:dyDescent="0.2">
      <c r="E72" s="31">
        <v>25001</v>
      </c>
      <c r="F72" s="31" t="s">
        <v>388</v>
      </c>
      <c r="G72" s="31" t="s">
        <v>230</v>
      </c>
    </row>
    <row r="73" spans="1:7" x14ac:dyDescent="0.2">
      <c r="E73" s="31">
        <v>26001</v>
      </c>
      <c r="F73" s="31" t="s">
        <v>389</v>
      </c>
      <c r="G73" s="31" t="s">
        <v>240</v>
      </c>
    </row>
    <row r="74" spans="1:7" x14ac:dyDescent="0.2">
      <c r="E74" s="50">
        <v>26002</v>
      </c>
      <c r="F74" s="50" t="s">
        <v>390</v>
      </c>
      <c r="G74" s="50" t="s">
        <v>241</v>
      </c>
    </row>
    <row r="75" spans="1:7" x14ac:dyDescent="0.2">
      <c r="E75" s="50">
        <v>26003</v>
      </c>
      <c r="F75" s="50" t="s">
        <v>391</v>
      </c>
      <c r="G75" s="50" t="s">
        <v>242</v>
      </c>
    </row>
    <row r="76" spans="1:7" x14ac:dyDescent="0.2">
      <c r="E76" s="50">
        <v>26004</v>
      </c>
      <c r="F76" s="50" t="s">
        <v>392</v>
      </c>
      <c r="G76" s="50" t="s">
        <v>243</v>
      </c>
    </row>
    <row r="77" spans="1:7" x14ac:dyDescent="0.2">
      <c r="E77" s="50">
        <v>27001</v>
      </c>
      <c r="F77" s="50" t="s">
        <v>393</v>
      </c>
      <c r="G77" s="50" t="s">
        <v>244</v>
      </c>
    </row>
    <row r="78" spans="1:7" x14ac:dyDescent="0.2">
      <c r="E78" s="50">
        <v>27002</v>
      </c>
      <c r="F78" s="50" t="s">
        <v>394</v>
      </c>
      <c r="G78" s="50" t="s">
        <v>237</v>
      </c>
    </row>
    <row r="79" spans="1:7" x14ac:dyDescent="0.2">
      <c r="E79" s="50">
        <v>28001</v>
      </c>
      <c r="F79" s="50" t="s">
        <v>395</v>
      </c>
      <c r="G79" s="50" t="s">
        <v>245</v>
      </c>
    </row>
    <row r="80" spans="1:7" x14ac:dyDescent="0.2">
      <c r="E80" s="50">
        <v>28002</v>
      </c>
      <c r="F80" s="50" t="s">
        <v>396</v>
      </c>
      <c r="G80" s="50" t="s">
        <v>246</v>
      </c>
    </row>
    <row r="81" spans="5:7" x14ac:dyDescent="0.2">
      <c r="E81" s="50">
        <v>28003</v>
      </c>
      <c r="F81" s="50" t="s">
        <v>397</v>
      </c>
      <c r="G81" s="50" t="s">
        <v>247</v>
      </c>
    </row>
    <row r="82" spans="5:7" x14ac:dyDescent="0.2">
      <c r="E82" s="50">
        <v>29911</v>
      </c>
      <c r="F82" s="50" t="s">
        <v>398</v>
      </c>
      <c r="G82" s="50" t="s">
        <v>249</v>
      </c>
    </row>
    <row r="83" spans="5:7" x14ac:dyDescent="0.2">
      <c r="E83" s="50">
        <v>29912</v>
      </c>
      <c r="F83" s="50" t="s">
        <v>399</v>
      </c>
      <c r="G83" s="50" t="s">
        <v>250</v>
      </c>
    </row>
    <row r="84" spans="5:7" x14ac:dyDescent="0.2">
      <c r="E84" s="50">
        <v>29921</v>
      </c>
      <c r="F84" s="50" t="s">
        <v>400</v>
      </c>
      <c r="G84" s="50" t="s">
        <v>116</v>
      </c>
    </row>
    <row r="85" spans="5:7" x14ac:dyDescent="0.2">
      <c r="E85" s="50">
        <v>30001</v>
      </c>
      <c r="F85" s="50" t="s">
        <v>401</v>
      </c>
      <c r="G85" s="50" t="s">
        <v>238</v>
      </c>
    </row>
    <row r="86" spans="5:7" x14ac:dyDescent="0.2">
      <c r="E86" s="31">
        <v>31801</v>
      </c>
      <c r="F86" s="31" t="s">
        <v>402</v>
      </c>
      <c r="G86" s="31" t="s">
        <v>239</v>
      </c>
    </row>
    <row r="87" spans="5:7" x14ac:dyDescent="0.2">
      <c r="E87" s="31">
        <v>31802</v>
      </c>
      <c r="F87" s="31" t="s">
        <v>403</v>
      </c>
      <c r="G87" s="31" t="s">
        <v>47</v>
      </c>
    </row>
    <row r="88" spans="5:7" x14ac:dyDescent="0.2">
      <c r="E88" s="50">
        <v>33001</v>
      </c>
      <c r="F88" s="50" t="s">
        <v>404</v>
      </c>
      <c r="G88" s="50" t="s">
        <v>248</v>
      </c>
    </row>
    <row r="89" spans="5:7" x14ac:dyDescent="0.2">
      <c r="E89" s="51">
        <v>35001</v>
      </c>
      <c r="F89" s="51" t="s">
        <v>405</v>
      </c>
      <c r="G89" s="51" t="s">
        <v>251</v>
      </c>
    </row>
    <row r="90" spans="5:7" x14ac:dyDescent="0.2">
      <c r="E90" s="51">
        <v>36801</v>
      </c>
      <c r="F90" s="51" t="s">
        <v>406</v>
      </c>
      <c r="G90" s="51" t="s">
        <v>252</v>
      </c>
    </row>
    <row r="91" spans="5:7" x14ac:dyDescent="0.2">
      <c r="E91" s="51">
        <v>41801</v>
      </c>
      <c r="F91" s="51" t="s">
        <v>407</v>
      </c>
      <c r="G91" s="51" t="s">
        <v>253</v>
      </c>
    </row>
    <row r="92" spans="5:7" x14ac:dyDescent="0.2">
      <c r="E92" s="51">
        <v>41802</v>
      </c>
      <c r="F92" s="51" t="s">
        <v>408</v>
      </c>
      <c r="G92" s="51" t="s">
        <v>254</v>
      </c>
    </row>
    <row r="93" spans="5:7" x14ac:dyDescent="0.2">
      <c r="E93" s="51">
        <v>41803</v>
      </c>
      <c r="F93" s="51" t="s">
        <v>409</v>
      </c>
      <c r="G93" s="51" t="s">
        <v>255</v>
      </c>
    </row>
    <row r="94" spans="5:7" x14ac:dyDescent="0.2">
      <c r="E94" s="43">
        <v>45001</v>
      </c>
      <c r="F94" s="43" t="s">
        <v>410</v>
      </c>
      <c r="G94" s="43" t="s">
        <v>256</v>
      </c>
    </row>
    <row r="95" spans="5:7" x14ac:dyDescent="0.2">
      <c r="E95" s="43">
        <v>46801</v>
      </c>
      <c r="F95" s="43" t="s">
        <v>411</v>
      </c>
      <c r="G95" s="43" t="s">
        <v>257</v>
      </c>
    </row>
    <row r="96" spans="5:7" x14ac:dyDescent="0.2">
      <c r="E96" s="43">
        <v>49001</v>
      </c>
      <c r="F96" s="43" t="s">
        <v>412</v>
      </c>
      <c r="G96" s="43" t="s">
        <v>258</v>
      </c>
    </row>
    <row r="97" spans="5:7" x14ac:dyDescent="0.2">
      <c r="E97" s="43">
        <v>49002</v>
      </c>
      <c r="F97" s="43" t="s">
        <v>413</v>
      </c>
      <c r="G97" s="43" t="s">
        <v>259</v>
      </c>
    </row>
    <row r="98" spans="5:7" x14ac:dyDescent="0.2">
      <c r="E98" s="43">
        <v>50001</v>
      </c>
      <c r="F98" s="43" t="s">
        <v>414</v>
      </c>
      <c r="G98" s="43" t="s">
        <v>260</v>
      </c>
    </row>
    <row r="99" spans="5:7" x14ac:dyDescent="0.2">
      <c r="E99" s="43">
        <v>51001</v>
      </c>
      <c r="F99" s="43" t="s">
        <v>415</v>
      </c>
      <c r="G99" s="43" t="s">
        <v>261</v>
      </c>
    </row>
    <row r="100" spans="5:7" x14ac:dyDescent="0.2">
      <c r="E100" s="43">
        <v>52801</v>
      </c>
      <c r="F100" s="43" t="s">
        <v>416</v>
      </c>
      <c r="G100" s="43" t="s">
        <v>262</v>
      </c>
    </row>
    <row r="101" spans="5:7" x14ac:dyDescent="0.2">
      <c r="E101" s="43">
        <v>52802</v>
      </c>
      <c r="F101" s="43" t="s">
        <v>417</v>
      </c>
      <c r="G101" s="43" t="s">
        <v>263</v>
      </c>
    </row>
    <row r="102" spans="5:7" x14ac:dyDescent="0.2">
      <c r="E102" s="44">
        <v>55001</v>
      </c>
      <c r="F102" s="44" t="s">
        <v>418</v>
      </c>
      <c r="G102" s="44" t="s">
        <v>264</v>
      </c>
    </row>
    <row r="103" spans="5:7" x14ac:dyDescent="0.2">
      <c r="E103" s="44">
        <v>56001</v>
      </c>
      <c r="F103" s="44" t="s">
        <v>419</v>
      </c>
      <c r="G103" s="44" t="s">
        <v>265</v>
      </c>
    </row>
    <row r="104" spans="5:7" x14ac:dyDescent="0.2">
      <c r="E104" s="44">
        <v>58001</v>
      </c>
      <c r="F104" s="44" t="s">
        <v>420</v>
      </c>
      <c r="G104" s="44" t="s">
        <v>266</v>
      </c>
    </row>
    <row r="105" spans="5:7" x14ac:dyDescent="0.2">
      <c r="E105" s="44">
        <v>59801</v>
      </c>
      <c r="F105" s="44" t="s">
        <v>421</v>
      </c>
      <c r="G105" s="44" t="s">
        <v>267</v>
      </c>
    </row>
    <row r="106" spans="5:7" x14ac:dyDescent="0.2">
      <c r="E106" s="44">
        <v>61001</v>
      </c>
      <c r="F106" s="44" t="s">
        <v>422</v>
      </c>
      <c r="G106" s="44" t="s">
        <v>268</v>
      </c>
    </row>
    <row r="107" spans="5:7" x14ac:dyDescent="0.2">
      <c r="E107" s="44">
        <v>62801</v>
      </c>
      <c r="F107" s="44" t="s">
        <v>423</v>
      </c>
      <c r="G107" s="44" t="s">
        <v>269</v>
      </c>
    </row>
    <row r="108" spans="5:7" x14ac:dyDescent="0.2">
      <c r="E108" s="44">
        <v>64801</v>
      </c>
      <c r="F108" s="44" t="s">
        <v>424</v>
      </c>
      <c r="G108" s="44" t="s">
        <v>270</v>
      </c>
    </row>
    <row r="109" spans="5:7" x14ac:dyDescent="0.2">
      <c r="E109" s="44">
        <v>68001</v>
      </c>
      <c r="F109" s="44" t="s">
        <v>425</v>
      </c>
      <c r="G109" s="44" t="s">
        <v>271</v>
      </c>
    </row>
    <row r="110" spans="5:7" x14ac:dyDescent="0.2">
      <c r="E110" s="44">
        <v>68002</v>
      </c>
      <c r="F110" s="44" t="s">
        <v>426</v>
      </c>
      <c r="G110" s="44" t="s">
        <v>272</v>
      </c>
    </row>
    <row r="111" spans="5:7" x14ac:dyDescent="0.2">
      <c r="E111" s="44">
        <v>69801</v>
      </c>
      <c r="F111" s="44" t="s">
        <v>427</v>
      </c>
      <c r="G111" s="44" t="s">
        <v>273</v>
      </c>
    </row>
    <row r="112" spans="5:7" x14ac:dyDescent="0.2">
      <c r="E112" s="44">
        <v>71801</v>
      </c>
      <c r="F112" s="44" t="s">
        <v>428</v>
      </c>
      <c r="G112" s="44" t="s">
        <v>274</v>
      </c>
    </row>
    <row r="113" spans="5:7" x14ac:dyDescent="0.2">
      <c r="E113" s="44">
        <v>71802</v>
      </c>
      <c r="F113" s="44" t="s">
        <v>429</v>
      </c>
      <c r="G113" s="44" t="s">
        <v>275</v>
      </c>
    </row>
    <row r="114" spans="5:7" x14ac:dyDescent="0.2">
      <c r="E114" s="44">
        <v>73801</v>
      </c>
      <c r="F114" s="44" t="s">
        <v>430</v>
      </c>
      <c r="G114" s="44" t="s">
        <v>276</v>
      </c>
    </row>
    <row r="115" spans="5:7" x14ac:dyDescent="0.2">
      <c r="E115" s="44">
        <v>77001</v>
      </c>
      <c r="F115" s="44" t="s">
        <v>431</v>
      </c>
      <c r="G115" s="44" t="s">
        <v>277</v>
      </c>
    </row>
    <row r="116" spans="5:7" x14ac:dyDescent="0.2">
      <c r="E116" s="44">
        <v>78801</v>
      </c>
      <c r="F116" s="44" t="s">
        <v>432</v>
      </c>
      <c r="G116" s="44" t="s">
        <v>278</v>
      </c>
    </row>
    <row r="117" spans="5:7" x14ac:dyDescent="0.2">
      <c r="E117" s="44">
        <v>78802</v>
      </c>
      <c r="F117" s="44" t="s">
        <v>433</v>
      </c>
      <c r="G117" s="44" t="s">
        <v>279</v>
      </c>
    </row>
    <row r="118" spans="5:7" x14ac:dyDescent="0.2">
      <c r="E118" s="44">
        <v>80001</v>
      </c>
      <c r="F118" s="44" t="s">
        <v>434</v>
      </c>
      <c r="G118" s="44" t="s">
        <v>280</v>
      </c>
    </row>
    <row r="119" spans="5:7" x14ac:dyDescent="0.2">
      <c r="E119" s="52">
        <v>84001</v>
      </c>
      <c r="F119" s="52" t="s">
        <v>435</v>
      </c>
      <c r="G119" s="52" t="s">
        <v>52</v>
      </c>
    </row>
    <row r="120" spans="5:7" x14ac:dyDescent="0.2">
      <c r="E120" s="44">
        <v>84002</v>
      </c>
      <c r="F120" s="44" t="s">
        <v>436</v>
      </c>
      <c r="G120" s="44" t="s">
        <v>281</v>
      </c>
    </row>
    <row r="121" spans="5:7" x14ac:dyDescent="0.2">
      <c r="E121" s="52">
        <v>85911</v>
      </c>
      <c r="F121" s="52" t="s">
        <v>437</v>
      </c>
      <c r="G121" s="52" t="s">
        <v>282</v>
      </c>
    </row>
    <row r="122" spans="5:7" x14ac:dyDescent="0.2">
      <c r="E122" s="44">
        <v>85921</v>
      </c>
      <c r="F122" s="44" t="s">
        <v>438</v>
      </c>
      <c r="G122" s="44" t="s">
        <v>283</v>
      </c>
    </row>
    <row r="123" spans="5:7" x14ac:dyDescent="0.2">
      <c r="E123" s="52">
        <v>86911</v>
      </c>
      <c r="F123" s="52" t="s">
        <v>439</v>
      </c>
      <c r="G123" s="52" t="s">
        <v>284</v>
      </c>
    </row>
    <row r="124" spans="5:7" x14ac:dyDescent="0.2">
      <c r="E124" s="44">
        <v>86921</v>
      </c>
      <c r="F124" s="44" t="s">
        <v>440</v>
      </c>
      <c r="G124" s="44" t="s">
        <v>285</v>
      </c>
    </row>
    <row r="125" spans="5:7" x14ac:dyDescent="0.2">
      <c r="E125" s="44">
        <v>90801</v>
      </c>
      <c r="F125" s="44" t="s">
        <v>441</v>
      </c>
      <c r="G125" s="44" t="s">
        <v>286</v>
      </c>
    </row>
    <row r="126" spans="5:7" x14ac:dyDescent="0.2">
      <c r="E126" s="44">
        <v>94801</v>
      </c>
      <c r="F126" s="44" t="s">
        <v>442</v>
      </c>
      <c r="G126" s="44" t="s">
        <v>287</v>
      </c>
    </row>
    <row r="127" spans="5:7" x14ac:dyDescent="0.2">
      <c r="E127" s="44">
        <v>94802</v>
      </c>
      <c r="F127" s="44" t="s">
        <v>443</v>
      </c>
      <c r="G127" s="44" t="s">
        <v>288</v>
      </c>
    </row>
    <row r="128" spans="5:7" x14ac:dyDescent="0.2">
      <c r="E128" s="44">
        <v>94803</v>
      </c>
      <c r="F128" s="44" t="s">
        <v>444</v>
      </c>
      <c r="G128" s="44" t="s">
        <v>289</v>
      </c>
    </row>
    <row r="129" spans="5:7" x14ac:dyDescent="0.2">
      <c r="E129" s="44">
        <v>97001</v>
      </c>
      <c r="F129" s="44" t="s">
        <v>445</v>
      </c>
      <c r="G129" s="44" t="s">
        <v>290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F527-F1D8-422C-9E39-EB49A44106E3}">
  <dimension ref="A1:AM19"/>
  <sheetViews>
    <sheetView zoomScale="80" zoomScaleNormal="80" workbookViewId="0">
      <selection sqref="A1:C1"/>
    </sheetView>
  </sheetViews>
  <sheetFormatPr baseColWidth="10" defaultRowHeight="15" customHeight="1" x14ac:dyDescent="0.2"/>
  <cols>
    <col min="1" max="1" width="28.5703125" style="3" customWidth="1"/>
    <col min="2" max="2" width="14.140625" style="3" customWidth="1"/>
    <col min="3" max="3" width="14.28515625" style="3" customWidth="1"/>
    <col min="4" max="4" width="11.42578125" style="3"/>
    <col min="5" max="5" width="60.7109375" style="3" customWidth="1"/>
    <col min="6" max="7" width="14.28515625" style="3" customWidth="1"/>
    <col min="8" max="8" width="11.42578125" style="3"/>
    <col min="9" max="9" width="57" style="3" customWidth="1"/>
    <col min="10" max="11" width="14.28515625" style="3" customWidth="1"/>
    <col min="12" max="15" width="11.42578125" style="3"/>
    <col min="16" max="16" width="14.28515625" style="3" customWidth="1"/>
    <col min="17" max="18" width="11.42578125" style="3" customWidth="1"/>
    <col min="19" max="20" width="11.28515625" style="3" customWidth="1"/>
    <col min="21" max="22" width="11.42578125" style="3"/>
    <col min="23" max="23" width="11.42578125" style="3" customWidth="1"/>
    <col min="24" max="27" width="11.42578125" style="3"/>
    <col min="28" max="28" width="21.42578125" style="3" customWidth="1"/>
    <col min="29" max="30" width="17.85546875" style="3" customWidth="1"/>
    <col min="31" max="31" width="25" style="3" customWidth="1"/>
    <col min="32" max="32" width="25.140625" style="3" customWidth="1"/>
    <col min="33" max="34" width="14.28515625" style="3" customWidth="1"/>
    <col min="35" max="35" width="11.42578125" style="3"/>
    <col min="36" max="36" width="35.5703125" style="3" customWidth="1"/>
    <col min="37" max="37" width="14.140625" style="3" bestFit="1" customWidth="1"/>
    <col min="38" max="38" width="11.42578125" style="3" customWidth="1"/>
    <col min="39" max="39" width="18" style="3" customWidth="1"/>
    <col min="40" max="16384" width="11.42578125" style="3"/>
  </cols>
  <sheetData>
    <row r="1" spans="1:39" s="1" customFormat="1" ht="30" customHeight="1" x14ac:dyDescent="0.2">
      <c r="A1" s="79" t="s">
        <v>504</v>
      </c>
      <c r="B1" s="79"/>
      <c r="C1" s="79"/>
      <c r="E1" s="79" t="s">
        <v>530</v>
      </c>
      <c r="F1" s="79"/>
      <c r="G1" s="79"/>
      <c r="I1" s="79" t="s">
        <v>96</v>
      </c>
      <c r="J1" s="79"/>
      <c r="K1" s="79"/>
      <c r="M1" s="79" t="s">
        <v>97</v>
      </c>
      <c r="N1" s="79"/>
      <c r="O1" s="79"/>
      <c r="P1" s="79"/>
      <c r="Q1" s="79"/>
      <c r="R1" s="79"/>
      <c r="S1" s="79"/>
      <c r="T1" s="79"/>
      <c r="V1" s="79" t="s">
        <v>98</v>
      </c>
      <c r="W1" s="79"/>
      <c r="X1" s="79"/>
      <c r="Y1" s="79"/>
      <c r="AA1" s="79" t="s">
        <v>99</v>
      </c>
      <c r="AB1" s="79"/>
      <c r="AC1" s="79"/>
      <c r="AD1" s="79"/>
      <c r="AE1" s="79"/>
      <c r="AF1" s="79"/>
      <c r="AG1" s="79"/>
      <c r="AH1" s="79"/>
      <c r="AJ1" s="79" t="s">
        <v>100</v>
      </c>
      <c r="AK1" s="79"/>
      <c r="AL1" s="79"/>
      <c r="AM1" s="79"/>
    </row>
    <row r="3" spans="1:39" ht="15" customHeight="1" x14ac:dyDescent="0.2">
      <c r="A3" s="2" t="s">
        <v>55</v>
      </c>
      <c r="B3" s="54" t="s">
        <v>56</v>
      </c>
      <c r="C3" s="54" t="s">
        <v>65</v>
      </c>
      <c r="E3" s="2" t="s">
        <v>55</v>
      </c>
      <c r="F3" s="54" t="s">
        <v>56</v>
      </c>
      <c r="G3" s="54" t="s">
        <v>65</v>
      </c>
      <c r="I3" s="2" t="s">
        <v>55</v>
      </c>
      <c r="J3" s="54" t="s">
        <v>56</v>
      </c>
      <c r="K3" s="54" t="s">
        <v>65</v>
      </c>
      <c r="M3" s="2" t="s">
        <v>524</v>
      </c>
      <c r="N3" s="54" t="s">
        <v>75</v>
      </c>
      <c r="O3" s="54" t="s">
        <v>76</v>
      </c>
      <c r="P3" s="54" t="s">
        <v>77</v>
      </c>
      <c r="Q3" s="54" t="s">
        <v>78</v>
      </c>
      <c r="R3" s="54" t="s">
        <v>79</v>
      </c>
      <c r="S3" s="54" t="s">
        <v>80</v>
      </c>
      <c r="T3" s="54" t="s">
        <v>81</v>
      </c>
      <c r="V3" s="2" t="s">
        <v>525</v>
      </c>
      <c r="W3" s="54" t="s">
        <v>82</v>
      </c>
      <c r="X3" s="54" t="s">
        <v>83</v>
      </c>
      <c r="Y3" s="54" t="s">
        <v>74</v>
      </c>
      <c r="AA3" s="2" t="s">
        <v>524</v>
      </c>
      <c r="AB3" s="54" t="s">
        <v>84</v>
      </c>
      <c r="AC3" s="54" t="s">
        <v>85</v>
      </c>
      <c r="AD3" s="54" t="s">
        <v>86</v>
      </c>
      <c r="AE3" s="54" t="s">
        <v>87</v>
      </c>
      <c r="AF3" s="54" t="s">
        <v>88</v>
      </c>
      <c r="AG3" s="54" t="s">
        <v>67</v>
      </c>
      <c r="AH3" s="54" t="s">
        <v>89</v>
      </c>
      <c r="AJ3" s="2" t="s">
        <v>55</v>
      </c>
      <c r="AK3" s="54" t="s">
        <v>90</v>
      </c>
      <c r="AL3" s="54" t="s">
        <v>91</v>
      </c>
      <c r="AM3" s="54" t="s">
        <v>92</v>
      </c>
    </row>
    <row r="4" spans="1:39" ht="15" customHeight="1" x14ac:dyDescent="0.2">
      <c r="A4" s="2" t="s">
        <v>531</v>
      </c>
      <c r="B4" s="64">
        <f>SUM(B5:B8)</f>
        <v>6460840</v>
      </c>
      <c r="C4" s="65">
        <f t="shared" ref="C4:C14" si="0">B4/$B$12</f>
        <v>0.99273263608310647</v>
      </c>
      <c r="E4" s="4" t="s">
        <v>67</v>
      </c>
      <c r="F4" s="66">
        <f>SUM('SAM-agg'!HE71:HE198)</f>
        <v>824434</v>
      </c>
      <c r="G4" s="67">
        <f t="shared" ref="G4:G14" si="1">F4/$B$12</f>
        <v>0.12667741935979529</v>
      </c>
      <c r="I4" s="4" t="s">
        <v>73</v>
      </c>
      <c r="J4" s="66">
        <f>'SAM-agg'!HM213</f>
        <v>539719</v>
      </c>
      <c r="K4" s="67">
        <f t="shared" ref="K4:K19" si="2">J4/$B$12</f>
        <v>8.2929876860305798E-2</v>
      </c>
      <c r="M4" s="4" t="s">
        <v>34</v>
      </c>
      <c r="N4" s="67">
        <f>SUM('SAM-agg'!B$202:D$209)/SUM('SAM-agg'!B$202:BQ$209)</f>
        <v>6.0414288233277234E-2</v>
      </c>
      <c r="O4" s="67">
        <f>SUM('SAM-agg'!BR$3:CF$70)/SUM('SAM-agg'!HV$3:HV$70)</f>
        <v>4.7647114689610824E-2</v>
      </c>
      <c r="P4" s="67">
        <f>SUM('SAM-agg'!B$202:D$202)/SUM('SAM-agg'!B$202:BQ$202)</f>
        <v>3.8891381374006134E-2</v>
      </c>
      <c r="Q4" s="67">
        <f>SUM('SAM-agg'!$HE71:$HE85)/SUM('SAM-agg'!HE$71:HE$198)</f>
        <v>0.15335248182389372</v>
      </c>
      <c r="R4" s="67">
        <f>SUM('SAM-agg'!$HE71:$HE85)/SUM('SAM-agg'!$BR$3:$CF$70)</f>
        <v>0.24046171753750648</v>
      </c>
      <c r="S4" s="67">
        <f>SUM('SAM-agg'!$BR$214:$CF$214)/SUM('SAM-agg'!BR$214:GO$214)</f>
        <v>1.8031569723227694E-2</v>
      </c>
      <c r="T4" s="67">
        <f>SUM('SAM-agg'!$BR$214:$CF$214,'SAM-agg'!$BR$218:$CF$218)/(SUM('SAM-agg'!$BR$3:$CF$70)-SUM('SAM-agg'!HE71:HE85)+SUM('SAM-agg'!$BR$214:$CF$214,'SAM-agg'!$BR$218:$CF$218)+SUM('SAM-agg'!BR$221:CF$221))</f>
        <v>3.4575996375731707E-2</v>
      </c>
      <c r="V4" s="4" t="s">
        <v>32</v>
      </c>
      <c r="W4" s="67">
        <f>SUM('SAM-agg'!$B$202:$D$202)/SUM('SAM-agg'!$B$202:$D$209)</f>
        <v>0.33510669047832253</v>
      </c>
      <c r="X4" s="67">
        <f>SUM('SAM-agg'!$B$203:$D$209)/SUM('SAM-agg'!$B$202:$D$209)</f>
        <v>0.66489330952167724</v>
      </c>
      <c r="Y4" s="67">
        <f t="shared" ref="Y4:Y10" si="3">SUM(W4:X4)</f>
        <v>0.99999999999999978</v>
      </c>
      <c r="AA4" s="4" t="s">
        <v>34</v>
      </c>
      <c r="AB4" s="67">
        <f>SUM('SAM-agg'!B71:BQ85)/SUM('SAM-agg'!$HV71:$HV85)</f>
        <v>0.51417407246286739</v>
      </c>
      <c r="AC4" s="67">
        <f>SUM('SAM-agg'!HA71:HA85)/SUM('SAM-agg'!$HV71:$HV85)</f>
        <v>0.24747374308619724</v>
      </c>
      <c r="AD4" s="67">
        <f>SUM('SAM-agg'!HD71:HD85)/SUM('SAM-agg'!$HV71:$HV85)</f>
        <v>7.9236840469827861E-5</v>
      </c>
      <c r="AE4" s="67">
        <f>SUM('SAM-agg'!HN71:HT85)/SUM('SAM-agg'!$HV71:$HV85)</f>
        <v>2.7995463302467216E-2</v>
      </c>
      <c r="AF4" s="67">
        <f>SUM('SAM-agg'!HU71:HU85)/SUM('SAM-agg'!$HV71:$HV85)</f>
        <v>1.3849356783295009E-2</v>
      </c>
      <c r="AG4" s="67">
        <f>SUM('SAM-agg'!HE71:HE85)/SUM('SAM-agg'!$HV71:$HV85)</f>
        <v>0.19642812752470326</v>
      </c>
      <c r="AH4" s="67">
        <f t="shared" ref="AH4:AH10" si="4">SUM(AB4:AG4)</f>
        <v>1</v>
      </c>
      <c r="AJ4" s="4" t="s">
        <v>516</v>
      </c>
      <c r="AK4" s="67"/>
      <c r="AL4" s="67">
        <f>SUM('SAM-agg'!HG213:HM213)/'SAM-agg'!HV$213</f>
        <v>0.6316087173239272</v>
      </c>
      <c r="AM4" s="67"/>
    </row>
    <row r="5" spans="1:39" ht="15" customHeight="1" x14ac:dyDescent="0.2">
      <c r="A5" s="4" t="s">
        <v>57</v>
      </c>
      <c r="B5" s="66">
        <f>SUM('SAM-agg'!HA71:HA198)</f>
        <v>4153992</v>
      </c>
      <c r="C5" s="67">
        <f t="shared" si="0"/>
        <v>0.638276668115622</v>
      </c>
      <c r="E5" s="4" t="s">
        <v>511</v>
      </c>
      <c r="F5" s="66">
        <f>'SAM-agg'!HE213</f>
        <v>2275.1224752275025</v>
      </c>
      <c r="G5" s="67">
        <f t="shared" si="1"/>
        <v>3.4958122043643252E-4</v>
      </c>
      <c r="I5" s="4" t="s">
        <v>526</v>
      </c>
      <c r="J5" s="66">
        <f>'SAM-agg'!HG213</f>
        <v>88424</v>
      </c>
      <c r="K5" s="67">
        <f t="shared" si="2"/>
        <v>1.3586683869746442E-2</v>
      </c>
      <c r="M5" s="4" t="s">
        <v>35</v>
      </c>
      <c r="N5" s="67">
        <f>SUM('SAM-agg'!E$202:H$209)/SUM('SAM-agg'!B$202:BQ$209)</f>
        <v>1.6352705138694159E-2</v>
      </c>
      <c r="O5" s="67">
        <f>SUM('SAM-agg'!CG$3:CH$70,'SAM-agg'!CJ$3:CK$70)/SUM('SAM-agg'!HV$3:HV$70)</f>
        <v>9.669144647221262E-3</v>
      </c>
      <c r="P5" s="67">
        <f>SUM('SAM-agg'!E$202:H$202)/SUM('SAM-agg'!B$202:BQ$202)</f>
        <v>7.9023783989562307E-3</v>
      </c>
      <c r="Q5" s="67">
        <f>SUM('SAM-agg'!$HE86:$HE87,'SAM-agg'!$HE89:$HE90)/SUM('SAM-agg'!HE$71:HE$198)</f>
        <v>8.9030777478852158E-2</v>
      </c>
      <c r="R5" s="67">
        <f>SUM('SAM-agg'!$HE86:$HE87,'SAM-agg'!$HE89:$HE90)/SUM('SAM-agg'!$CG$3:$CH$70,'SAM-agg'!$CJ$3:$CK$70)</f>
        <v>0.68792937008538202</v>
      </c>
      <c r="S5" s="67">
        <f>SUM('SAM-agg'!$CG$214:$CH$214,'SAM-agg'!$CJ$214:$CK$214)/SUM('SAM-agg'!BR$214:GO$214)</f>
        <v>2.1997408436350348E-2</v>
      </c>
      <c r="T5" s="67">
        <f>SUM('SAM-agg'!$CG$214:$CH$214,'SAM-agg'!$CJ$214:$CK$214,'SAM-agg'!$CG$218:$CH$218,'SAM-agg'!$CJ$218:$CK$218)/(SUM('SAM-agg'!$CG$3:$CH$70,'SAM-agg'!$CJ$3:$CK$70)-SUM('SAM-agg'!HE86:HE87,'SAM-agg'!HE89:HE90)+SUM('SAM-agg'!$CG$214:$CH$214,'SAM-agg'!$CJ$214:$CK$214,'SAM-agg'!$CG$218:$CH$218,'SAM-agg'!$CJ$218:$CK$218)+SUM('SAM-agg'!CG$221:CH$221,'SAM-agg'!CJ$221:CK$221))</f>
        <v>0.33128205128205129</v>
      </c>
      <c r="V5" s="4" t="s">
        <v>33</v>
      </c>
      <c r="W5" s="67">
        <f>SUM('SAM-agg'!$E$202:$H$202)/SUM('SAM-agg'!$E$202:$H$209)</f>
        <v>0.25155769617186907</v>
      </c>
      <c r="X5" s="67">
        <f>SUM('SAM-agg'!$E$203:$H$209)/SUM('SAM-agg'!$E$202:$H$209)</f>
        <v>0.74844230382813104</v>
      </c>
      <c r="Y5" s="67">
        <f t="shared" si="3"/>
        <v>1</v>
      </c>
      <c r="AA5" s="4" t="s">
        <v>35</v>
      </c>
      <c r="AB5" s="67">
        <f>SUM('SAM-agg'!B86:BQ87,'SAM-agg'!B89:BQ90)/SUM('SAM-agg'!$HV86:$HV87,'SAM-agg'!$HV89:$HV90)</f>
        <v>0.47978641214798001</v>
      </c>
      <c r="AC5" s="67">
        <f>SUM('SAM-agg'!HA86:HA87,'SAM-agg'!HA89:HA90)/SUM('SAM-agg'!$HV86:$HV87,'SAM-agg'!$HV89:$HV90)</f>
        <v>0</v>
      </c>
      <c r="AD5" s="67">
        <f>SUM('SAM-agg'!HD86:HD87,'SAM-agg'!HD89:HD90)/SUM('SAM-agg'!$HV86:$HV87,'SAM-agg'!$HV89:$HV90)</f>
        <v>0</v>
      </c>
      <c r="AE5" s="67">
        <f>SUM('SAM-agg'!HN86:HT87,'SAM-agg'!HN89:HT90)/SUM('SAM-agg'!$HV86:$HV87,'SAM-agg'!$HV89:$HV90)</f>
        <v>0</v>
      </c>
      <c r="AF5" s="67">
        <f>SUM('SAM-agg'!HU86:HU87,'SAM-agg'!HU89:HU90)/SUM('SAM-agg'!$HV86:$HV87,'SAM-agg'!$HV89:$HV90)</f>
        <v>1.837785359250118E-2</v>
      </c>
      <c r="AG5" s="67">
        <f>SUM('SAM-agg'!HE86:HE87,'SAM-agg'!HE89:HE90)/SUM('SAM-agg'!$HV86:$HV87,'SAM-agg'!$HV89:$HV90)</f>
        <v>0.50183573425951877</v>
      </c>
      <c r="AH5" s="67">
        <f t="shared" si="4"/>
        <v>1</v>
      </c>
      <c r="AJ5" s="4" t="s">
        <v>514</v>
      </c>
      <c r="AK5" s="67"/>
      <c r="AL5" s="67">
        <f>'SAM-agg'!HA213/'SAM-agg'!HV$213</f>
        <v>0.31011647980120605</v>
      </c>
      <c r="AM5" s="67"/>
    </row>
    <row r="6" spans="1:39" ht="15" customHeight="1" x14ac:dyDescent="0.2">
      <c r="A6" s="4" t="s">
        <v>519</v>
      </c>
      <c r="B6" s="66">
        <f>SUM('SAM-agg'!HD71:HD198)</f>
        <v>1343683</v>
      </c>
      <c r="C6" s="67">
        <f t="shared" si="0"/>
        <v>0.20646200287424804</v>
      </c>
      <c r="E6" s="4" t="s">
        <v>517</v>
      </c>
      <c r="F6" s="66">
        <f>'SAM-agg'!HE211</f>
        <v>4982.8775247724971</v>
      </c>
      <c r="G6" s="67">
        <f t="shared" si="1"/>
        <v>7.6563808118552165E-4</v>
      </c>
      <c r="I6" s="4" t="s">
        <v>527</v>
      </c>
      <c r="J6" s="66">
        <f>'SAM-agg'!HH213</f>
        <v>-18588</v>
      </c>
      <c r="K6" s="67">
        <f t="shared" si="2"/>
        <v>-2.8561168887501908E-3</v>
      </c>
      <c r="M6" s="4" t="s">
        <v>447</v>
      </c>
      <c r="N6" s="67">
        <f>SUM('SAM-agg'!U$202:U$209)/SUM('SAM-agg'!B$202:BQ$209)</f>
        <v>1.684415096592769E-3</v>
      </c>
      <c r="O6" s="67">
        <f>SUM('SAM-agg'!DQ$3:DQ$70)/SUM('SAM-agg'!HV$3:HV$70)</f>
        <v>5.8308303409796937E-3</v>
      </c>
      <c r="P6" s="67">
        <f>SUM('SAM-agg'!U$202:U$202)/SUM('SAM-agg'!B$202:BQ$202)</f>
        <v>2.0538702872658185E-3</v>
      </c>
      <c r="Q6" s="67">
        <f>'SAM-agg'!$HE122/SUM('SAM-agg'!HE$71:HE$198)</f>
        <v>3.2761870568171619E-3</v>
      </c>
      <c r="R6" s="67">
        <f>'SAM-agg'!$HE122/SUM('SAM-agg'!$DQ$3:$DQ$70)</f>
        <v>4.1978800783314167E-2</v>
      </c>
      <c r="S6" s="67">
        <f>SUM('SAM-agg'!$DQ$214)/SUM('SAM-agg'!BR$214:GO$214)</f>
        <v>4.1627151969343889E-3</v>
      </c>
      <c r="T6" s="67">
        <f>SUM('SAM-agg'!$DQ$214,'SAM-agg'!$DQ$218)/(SUM('SAM-agg'!$DQ$3:$DQ$70)-SUM('SAM-agg'!HE122)+SUM('SAM-agg'!$DQ$214,'SAM-agg'!$DQ$218+SUM('SAM-agg'!DQ$221))+SUM('SAM-agg'!DQ$221))</f>
        <v>4.4699751593044602E-2</v>
      </c>
      <c r="V6" s="4" t="s">
        <v>107</v>
      </c>
      <c r="W6" s="67">
        <f>'SAM-agg'!$U$202/SUM('SAM-agg'!$U$202:$U$209)</f>
        <v>0.63473621813870773</v>
      </c>
      <c r="X6" s="67">
        <f>SUM('SAM-agg'!$U$203:$U$209)/SUM('SAM-agg'!$U$202:$U$209)</f>
        <v>0.36526378186129221</v>
      </c>
      <c r="Y6" s="67">
        <f t="shared" si="3"/>
        <v>1</v>
      </c>
      <c r="AA6" s="4" t="s">
        <v>447</v>
      </c>
      <c r="AB6" s="67">
        <f>SUM('SAM-agg'!B122:BQ122)/'SAM-agg'!$HV122</f>
        <v>0.49482639189540217</v>
      </c>
      <c r="AC6" s="67">
        <f>SUM('SAM-agg'!HA122:HA122)/'SAM-agg'!$HV122</f>
        <v>0.44418347908909861</v>
      </c>
      <c r="AD6" s="67">
        <f>SUM('SAM-agg'!HD122:HD122)/'SAM-agg'!$HV122</f>
        <v>0</v>
      </c>
      <c r="AE6" s="67">
        <f>SUM('SAM-agg'!HN122:HT122)/'SAM-agg'!$HV122</f>
        <v>0</v>
      </c>
      <c r="AF6" s="67">
        <f>SUM('SAM-agg'!HU122:HU122)/'SAM-agg'!$HV122</f>
        <v>3.1755996190146331E-2</v>
      </c>
      <c r="AG6" s="67">
        <f>SUM('SAM-agg'!HE122:HE122)/'SAM-agg'!$HV122</f>
        <v>2.9234132825352845E-2</v>
      </c>
      <c r="AH6" s="67">
        <f t="shared" si="4"/>
        <v>0.99999999999999989</v>
      </c>
      <c r="AJ6" s="4" t="s">
        <v>93</v>
      </c>
      <c r="AK6" s="67">
        <f>'SAM-agg'!HD210/'SAM-agg'!HV$210</f>
        <v>0.24058481707767168</v>
      </c>
      <c r="AL6" s="67"/>
      <c r="AM6" s="67">
        <f>'SAM-agg'!HD214/'SAM-agg'!HV$214</f>
        <v>4.7246542157251707E-2</v>
      </c>
    </row>
    <row r="7" spans="1:39" ht="15" customHeight="1" x14ac:dyDescent="0.2">
      <c r="A7" s="4" t="s">
        <v>58</v>
      </c>
      <c r="B7" s="66">
        <f>SUM('SAM-agg'!HS71:HT198)</f>
        <v>958778.99999999988</v>
      </c>
      <c r="C7" s="67">
        <f t="shared" si="0"/>
        <v>0.14732003951361194</v>
      </c>
      <c r="E7" s="4" t="s">
        <v>68</v>
      </c>
      <c r="F7" s="66">
        <f>'SAM-agg'!HE202</f>
        <v>1273</v>
      </c>
      <c r="G7" s="67">
        <f t="shared" ref="G7" si="5">F7/$B$12</f>
        <v>1.9560129112217522E-4</v>
      </c>
      <c r="I7" s="4" t="s">
        <v>528</v>
      </c>
      <c r="J7" s="66">
        <f>SUM('SAM-agg'!HJ213:HL213)</f>
        <v>881269</v>
      </c>
      <c r="K7" s="67">
        <f t="shared" si="2"/>
        <v>0.13541033324897739</v>
      </c>
      <c r="M7" s="4" t="s">
        <v>507</v>
      </c>
      <c r="N7" s="67">
        <f>SUM('SAM-agg'!I$202:T$209,'SAM-agg'!V$202:AL$209)/SUM('SAM-agg'!B$202:BQ$209)</f>
        <v>0.12052624043143395</v>
      </c>
      <c r="O7" s="67">
        <f>SUM('SAM-agg'!CI$3:CI$70,'SAM-agg'!CL$3:DP$70,'SAM-agg'!DR$3:EZ$70)/SUM('SAM-agg'!HV$3:HV$70)</f>
        <v>0.2767955209305259</v>
      </c>
      <c r="P7" s="67">
        <f>SUM('SAM-agg'!I$202:T$202,'SAM-agg'!V$202:AL$202)/SUM('SAM-agg'!B$202:BQ$202)</f>
        <v>0.12878871296080788</v>
      </c>
      <c r="Q7" s="67">
        <f>SUM('SAM-agg'!$HE88,'SAM-agg'!$HE91:$HE121,'SAM-agg'!HE123:HE157)/SUM('SAM-agg'!HE$71:HE$198)</f>
        <v>0.61626885839254564</v>
      </c>
      <c r="R7" s="67">
        <f>SUM('SAM-agg'!$HE88,'SAM-agg'!$HE91:$HE121,'SAM-agg'!HE123:HE157)/SUM('SAM-agg'!$CI$3:$CI$70,'SAM-agg'!$CL$3:$DP$70,'SAM-agg'!$DR$3:$EZ$70)</f>
        <v>0.16634237837388327</v>
      </c>
      <c r="S7" s="67">
        <f>SUM('SAM-agg'!$CI$214,'SAM-agg'!$CL$214:$DP$214,'SAM-agg'!$DR$214:$EZ$214)/SUM('SAM-agg'!BR$214:GO$214)</f>
        <v>0.6803742454676589</v>
      </c>
      <c r="T7" s="67">
        <f>SUM('SAM-agg'!$CI$214,'SAM-agg'!$CL$214:$DP$214,'SAM-agg'!$DR$214:$EZ$214,'SAM-agg'!$CI$218,'SAM-agg'!$CL$218:$DP$218,'SAM-agg'!$DR$218:$EZ$218)/(SUM('SAM-agg'!$CI$3:$CI$70,'SAM-agg'!$CL$3:$DP$70,'SAM-agg'!$DR$3:$EZ$70)-SUM('SAM-agg'!HE88,'SAM-agg'!HE91:HE121,'SAM-agg'!HE123:HE157)+SUM('SAM-agg'!$CI$214,'SAM-agg'!$CL$214:$DP$214,'SAM-agg'!$DR$214:$EZ$214,'SAM-agg'!$CI$218,'SAM-agg'!$CL$218:$DP$218,'SAM-agg'!$DR$218:$EZ$218)+SUM('SAM-agg'!CI$221,'SAM-agg'!CL$221:DP$221,'SAM-agg'!DR$221:EZ$221))</f>
        <v>0.17204557559682512</v>
      </c>
      <c r="V7" s="4" t="s">
        <v>509</v>
      </c>
      <c r="W7" s="67">
        <f>SUM('SAM-agg'!$I$202:$T$202,'SAM-agg'!$V$202:$AL$202)/SUM('SAM-agg'!$I$202:$T$209,'SAM-agg'!$V$202:$AL$209)</f>
        <v>0.55624431606042779</v>
      </c>
      <c r="X7" s="67">
        <f>SUM('SAM-agg'!$I$203:$T$209,'SAM-agg'!$V$203:$AL$209)/SUM('SAM-agg'!$I$202:$T$209,'SAM-agg'!$V$202:$AL$209)</f>
        <v>0.44375568393957227</v>
      </c>
      <c r="Y7" s="67">
        <f t="shared" si="3"/>
        <v>1</v>
      </c>
      <c r="AA7" s="4" t="s">
        <v>507</v>
      </c>
      <c r="AB7" s="67">
        <f>SUM('SAM-agg'!B88:BQ88,'SAM-agg'!B90:BQ121,'SAM-agg'!B123:BQ157)/SUM('SAM-agg'!$HV88,'SAM-agg'!$HV90:$HV121,'SAM-agg'!$HV123:$HV157)</f>
        <v>0.48184241074300321</v>
      </c>
      <c r="AC7" s="67">
        <f>SUM('SAM-agg'!HA88:HA88,'SAM-agg'!HA90:HA121,'SAM-agg'!HA123:HA157)/SUM('SAM-agg'!$HV88,'SAM-agg'!$HV90:$HV121,'SAM-agg'!$HV123:$HV157)</f>
        <v>0.34652661183273425</v>
      </c>
      <c r="AD7" s="67">
        <f>SUM('SAM-agg'!HD88:HD88,'SAM-agg'!HD90:HD121,'SAM-agg'!HD123:HD157)/SUM('SAM-agg'!$HV88,'SAM-agg'!$HV90:$HV121,'SAM-agg'!$HV123:$HV157)</f>
        <v>4.8149633403089627E-3</v>
      </c>
      <c r="AE7" s="67">
        <f>SUM('SAM-agg'!HN88:HT88,'SAM-agg'!HN90:HT121,'SAM-agg'!HN123:HT157)/SUM('SAM-agg'!$HV88,'SAM-agg'!$HV90:$HV121,'SAM-agg'!$HV123:$HV157)</f>
        <v>6.7663080829637776E-2</v>
      </c>
      <c r="AF7" s="67">
        <f>SUM('SAM-agg'!HU88:HU88,'SAM-agg'!HU90:HU121,'SAM-agg'!HU123:HU157)/SUM('SAM-agg'!$HV88,'SAM-agg'!$HV90:$HV121,'SAM-agg'!$HV123:$HV157)</f>
        <v>-2.1816519512372046E-3</v>
      </c>
      <c r="AG7" s="67">
        <f>SUM('SAM-agg'!HE88:HE88,'SAM-agg'!HE90:HE121,'SAM-agg'!HE123:HE157)/SUM('SAM-agg'!$HV88,'SAM-agg'!$HV90:$HV121,'SAM-agg'!$HV123:$HV157)</f>
        <v>0.10133458520555294</v>
      </c>
      <c r="AH7" s="67">
        <f t="shared" si="4"/>
        <v>0.99999999999999989</v>
      </c>
      <c r="AJ7" s="4" t="s">
        <v>94</v>
      </c>
      <c r="AK7" s="67"/>
      <c r="AL7" s="67">
        <f>'SAM-agg'!HE213/'SAM-agg'!HV$213</f>
        <v>9.4345718644592584E-4</v>
      </c>
      <c r="AM7" s="67"/>
    </row>
    <row r="8" spans="1:39" ht="15" customHeight="1" x14ac:dyDescent="0.2">
      <c r="A8" s="4" t="s">
        <v>59</v>
      </c>
      <c r="B8" s="66">
        <f>SUM('SAM-agg'!HU71:HU198)</f>
        <v>4386</v>
      </c>
      <c r="C8" s="67">
        <f t="shared" si="0"/>
        <v>6.7392557962439939E-4</v>
      </c>
      <c r="E8" s="4" t="s">
        <v>522</v>
      </c>
      <c r="F8" s="66">
        <f>SUM('SAM-agg'!HE223:HE229)</f>
        <v>68561</v>
      </c>
      <c r="G8" s="67">
        <f t="shared" si="1"/>
        <v>1.0534658382268228E-2</v>
      </c>
      <c r="I8" s="4" t="s">
        <v>529</v>
      </c>
      <c r="J8" s="66">
        <f>'SAM-agg'!HI213</f>
        <v>32284</v>
      </c>
      <c r="K8" s="67">
        <f t="shared" si="2"/>
        <v>4.9605593735964687E-3</v>
      </c>
      <c r="M8" s="4" t="s">
        <v>40</v>
      </c>
      <c r="N8" s="67">
        <f>SUM('SAM-agg'!AM$202:AO$209)/SUM('SAM-agg'!B$202:BQ$209)</f>
        <v>7.2904520722499269E-2</v>
      </c>
      <c r="O8" s="67">
        <f>SUM('SAM-agg'!FA$3:FE$70)/SUM('SAM-agg'!HV$3:HV$70)</f>
        <v>8.3731256556535003E-2</v>
      </c>
      <c r="P8" s="67">
        <f>SUM('SAM-agg'!AM$202:AO$202)/SUM('SAM-agg'!B$202:BQ$202)</f>
        <v>5.9842633128860206E-2</v>
      </c>
      <c r="Q8" s="67">
        <f>SUM('SAM-agg'!$HE158:$HE162)/SUM('SAM-agg'!HE$71:HE$198)</f>
        <v>3.4193155546714473E-3</v>
      </c>
      <c r="R8" s="67">
        <f>SUM('SAM-agg'!$HE158:$HE162)/SUM('SAM-agg'!$FA$3:$FE$70)</f>
        <v>3.0510077849943231E-3</v>
      </c>
      <c r="S8" s="67">
        <f>SUM('SAM-agg'!$FA$214:$FE$214)/SUM('SAM-agg'!BR$214:GO$214)</f>
        <v>9.335548301007416E-3</v>
      </c>
      <c r="T8" s="67">
        <f>SUM('SAM-agg'!$FA$214:$FE$214,'SAM-agg'!$FA$218:$FE$218)/(SUM('SAM-agg'!$FA$3:$FE$70)-SUM('SAM-agg'!HE158:HE162)+SUM('SAM-agg'!$FA$214:$FE$214,'SAM-agg'!$FA$218:$FE$218)+SUM('SAM-agg'!FA$221:FE$221))</f>
        <v>7.4848600522031588E-3</v>
      </c>
      <c r="V8" s="4" t="s">
        <v>39</v>
      </c>
      <c r="W8" s="67">
        <f>SUM('SAM-agg'!$AM$202:$AO$202)/SUM('SAM-agg'!$AM$202:$AO$209)</f>
        <v>0.42729285254239502</v>
      </c>
      <c r="X8" s="67">
        <f>SUM('SAM-agg'!$AM$203:$AO$209)/SUM('SAM-agg'!$AM$202:$AO$209)</f>
        <v>0.57270714745760498</v>
      </c>
      <c r="Y8" s="67">
        <f t="shared" si="3"/>
        <v>1</v>
      </c>
      <c r="AA8" s="4" t="s">
        <v>40</v>
      </c>
      <c r="AB8" s="67">
        <f>SUM('SAM-agg'!B158:BQ162)/SUM('SAM-agg'!$HV158:$HV162)</f>
        <v>0.39537652137623402</v>
      </c>
      <c r="AC8" s="67">
        <f>SUM('SAM-agg'!HA158:HA162)/SUM('SAM-agg'!$HV158:$HV162)</f>
        <v>0.14011370555597363</v>
      </c>
      <c r="AD8" s="67">
        <f>SUM('SAM-agg'!HD158:HD162)/SUM('SAM-agg'!$HV158:$HV162)</f>
        <v>0</v>
      </c>
      <c r="AE8" s="67">
        <f>SUM('SAM-agg'!HN158:HT162)/SUM('SAM-agg'!$HV158:$HV162)</f>
        <v>0.46132848043676067</v>
      </c>
      <c r="AF8" s="67">
        <f>SUM('SAM-agg'!HU158:HU162)/SUM('SAM-agg'!$HV158:$HV162)</f>
        <v>4.2612706209824576E-4</v>
      </c>
      <c r="AG8" s="67">
        <f>SUM('SAM-agg'!HE158:HE162)/SUM('SAM-agg'!$HV158:$HV162)</f>
        <v>2.7551655689333826E-3</v>
      </c>
      <c r="AH8" s="67">
        <f t="shared" si="4"/>
        <v>1</v>
      </c>
      <c r="AJ8" s="4" t="s">
        <v>70</v>
      </c>
      <c r="AK8" s="67"/>
      <c r="AL8" s="67"/>
      <c r="AM8" s="67">
        <f>SUM('SAM-agg'!BR214:GO214)/'SAM-agg'!HV$214</f>
        <v>0.86202394606478361</v>
      </c>
    </row>
    <row r="9" spans="1:39" ht="15" customHeight="1" x14ac:dyDescent="0.2">
      <c r="A9" s="2" t="s">
        <v>66</v>
      </c>
      <c r="B9" s="64">
        <f>B10-B11</f>
        <v>47297</v>
      </c>
      <c r="C9" s="65">
        <f t="shared" si="0"/>
        <v>7.2673639168935747E-3</v>
      </c>
      <c r="E9" s="2" t="s">
        <v>71</v>
      </c>
      <c r="F9" s="64">
        <f>SUM(F4:F8)</f>
        <v>901526</v>
      </c>
      <c r="G9" s="65">
        <f t="shared" si="1"/>
        <v>0.13852289833480763</v>
      </c>
      <c r="I9" s="4" t="s">
        <v>514</v>
      </c>
      <c r="J9" s="66">
        <f>'SAM-agg'!HA213</f>
        <v>747837.82801213348</v>
      </c>
      <c r="K9" s="67">
        <f t="shared" si="2"/>
        <v>0.11490812624444345</v>
      </c>
      <c r="M9" s="4" t="s">
        <v>508</v>
      </c>
      <c r="N9" s="67">
        <f>SUM('SAM-agg'!AP$202:BQ$209)/SUM('SAM-agg'!B$202:BQ$209)</f>
        <v>0.72811783037750277</v>
      </c>
      <c r="O9" s="67">
        <f>SUM('SAM-agg'!FF$3:GO$70)/SUM('SAM-agg'!HV$3:HV$70)</f>
        <v>0.57632613283512735</v>
      </c>
      <c r="P9" s="67">
        <f>SUM('SAM-agg'!AP$202:BQ$202)/SUM('SAM-agg'!B$202:BQ$202)</f>
        <v>0.7625210238501039</v>
      </c>
      <c r="Q9" s="67">
        <f>SUM('SAM-agg'!$HE163:$HE198)/SUM('SAM-agg'!HE$71:HE$198)</f>
        <v>0.13465237969321983</v>
      </c>
      <c r="R9" s="67">
        <f>SUM('SAM-agg'!$HE163:$HE198)/SUM('SAM-agg'!$FF$3:$GO$70)</f>
        <v>1.7455707784671426E-2</v>
      </c>
      <c r="S9" s="67">
        <f>SUM('SAM-agg'!$FF$214:$GO$214)/SUM('SAM-agg'!BR$214:GO$214)</f>
        <v>0.26609851287482128</v>
      </c>
      <c r="T9" s="67">
        <f>SUM('SAM-agg'!$FF$214:$GO$214,'SAM-agg'!$FF$218:$GO$218)/(SUM('SAM-agg'!$FF$3:$GO$70)-SUM('SAM-agg'!HE163:HE198)+SUM('SAM-agg'!$FF$214:$GO$214,'SAM-agg'!$FF$218:$GO$218)+SUM('SAM-agg'!FF$221:GO$221))</f>
        <v>3.1140623240108922E-2</v>
      </c>
      <c r="V9" s="4" t="s">
        <v>510</v>
      </c>
      <c r="W9" s="67">
        <f>SUM('SAM-agg'!$AP$202:$BQ$202)/SUM('SAM-agg'!$AP$202:$BQ$209)</f>
        <v>0.54515443421878762</v>
      </c>
      <c r="X9" s="67">
        <f>SUM('SAM-agg'!$AP$203:$BQ$209)/SUM('SAM-agg'!$AP$202:$BQ$209)</f>
        <v>0.45484556578121255</v>
      </c>
      <c r="Y9" s="67">
        <f t="shared" si="3"/>
        <v>1.0000000000000002</v>
      </c>
      <c r="AA9" s="4" t="s">
        <v>508</v>
      </c>
      <c r="AB9" s="67">
        <f>(SUM('SAM-agg'!B163:BQ198)+SUM('SAM-agg'!GP163:GR198))/SUM('SAM-agg'!$HV163:$HV198)</f>
        <v>0.46135058412937685</v>
      </c>
      <c r="AC9" s="67">
        <f>(SUM('SAM-agg'!HA163:HA198)+SUM('SAM-agg'!HB163:HB198))/SUM('SAM-agg'!$HV163:$HV198)</f>
        <v>0.31148031913524038</v>
      </c>
      <c r="AD9" s="67">
        <f>SUM('SAM-agg'!HD163:HD198)/SUM('SAM-agg'!$HV163:$HV198)</f>
        <v>0.19296487499327039</v>
      </c>
      <c r="AE9" s="67">
        <f>SUM('SAM-agg'!HN163:HT198)/SUM('SAM-agg'!$HV163:$HV198)</f>
        <v>1.7947846176533236E-2</v>
      </c>
      <c r="AF9" s="67">
        <f>SUM('SAM-agg'!HU163:HU198)/SUM('SAM-agg'!$HV163:$HV198)</f>
        <v>1.5799933055098464E-5</v>
      </c>
      <c r="AG9" s="67">
        <f>SUM('SAM-agg'!HE163:HE198)/SUM('SAM-agg'!$HV163:$HV198)</f>
        <v>1.6240575632523988E-2</v>
      </c>
      <c r="AH9" s="67">
        <f t="shared" si="4"/>
        <v>1</v>
      </c>
      <c r="AJ9" s="4" t="s">
        <v>512</v>
      </c>
      <c r="AK9" s="67">
        <f>'SAM-agg'!GS210/'SAM-agg'!HV$210</f>
        <v>0.44962114776924311</v>
      </c>
      <c r="AL9" s="67"/>
      <c r="AM9" s="67">
        <f>'SAM-agg'!GS214/'SAM-agg'!HV$214</f>
        <v>4.0486907754185686E-4</v>
      </c>
    </row>
    <row r="10" spans="1:39" ht="15" customHeight="1" x14ac:dyDescent="0.2">
      <c r="A10" s="4" t="s">
        <v>60</v>
      </c>
      <c r="B10" s="66">
        <f>SUM('SAM-agg'!HE71:HE198)</f>
        <v>824434</v>
      </c>
      <c r="C10" s="67">
        <f t="shared" si="0"/>
        <v>0.12667741935979529</v>
      </c>
      <c r="E10" s="4" t="s">
        <v>70</v>
      </c>
      <c r="F10" s="66">
        <f>SUM('SAM-agg'!BR214:GO214)</f>
        <v>777137</v>
      </c>
      <c r="G10" s="67">
        <f t="shared" si="1"/>
        <v>0.1194100554429017</v>
      </c>
      <c r="I10" s="4" t="s">
        <v>94</v>
      </c>
      <c r="J10" s="66">
        <f>'SAM-agg'!HE213</f>
        <v>2275.1224752275025</v>
      </c>
      <c r="K10" s="67">
        <f t="shared" si="2"/>
        <v>3.4958122043643252E-4</v>
      </c>
      <c r="M10" s="2" t="s">
        <v>74</v>
      </c>
      <c r="N10" s="65">
        <f>SUM(N4:N9)</f>
        <v>1.0000000000000002</v>
      </c>
      <c r="O10" s="65">
        <f>SUM(O4:O9)</f>
        <v>1</v>
      </c>
      <c r="P10" s="65">
        <f>SUM(P4:P9)</f>
        <v>1.0000000000000002</v>
      </c>
      <c r="Q10" s="65">
        <f>SUM(Q4:Q9)</f>
        <v>1</v>
      </c>
      <c r="R10" s="65">
        <f>SUM('SAM-agg'!$HE71:$HE198)/SUM('SAM-agg'!BR3:GO70)</f>
        <v>7.4712237439545762E-2</v>
      </c>
      <c r="S10" s="65">
        <f>SUM(S4:S9)</f>
        <v>1</v>
      </c>
      <c r="T10" s="65">
        <f>SUM('SAM-agg'!BR214:GO214,'SAM-agg'!BR218:GO218)/(SUM('SAM-agg'!BR3:GO70)-SUM('SAM-agg'!HE71:HE198)+SUM('SAM-agg'!BR214:GO214,'SAM-agg'!BR218:GO218)+SUM('SAM-agg'!BR221:GO221))</f>
        <v>7.0949855776727813E-2</v>
      </c>
      <c r="V10" s="2" t="s">
        <v>74</v>
      </c>
      <c r="W10" s="65">
        <f>SUM('SAM-agg'!$B202:$BQ202)/SUM('SAM-agg'!$B$202:$BQ$209)</f>
        <v>0.52055832094944099</v>
      </c>
      <c r="X10" s="65">
        <f>SUM('SAM-agg'!$B203:$BQ209)/SUM('SAM-agg'!$B$202:$BQ$209)</f>
        <v>0.47944167905055901</v>
      </c>
      <c r="Y10" s="65">
        <f t="shared" si="3"/>
        <v>1</v>
      </c>
      <c r="AA10" s="2" t="s">
        <v>74</v>
      </c>
      <c r="AB10" s="65">
        <f>(SUM('SAM-agg'!B71:BQ198)+SUM('SAM-agg'!GP71:GR198))/SUM('SAM-agg'!$HV71:$HV198)</f>
        <v>0.46669935036982807</v>
      </c>
      <c r="AC10" s="65">
        <f>(SUM('SAM-agg'!HA71:HA198)+SUM('SAM-agg'!HB71:HB198))/SUM('SAM-agg'!$HV71:$HV198)</f>
        <v>0.3069139262796205</v>
      </c>
      <c r="AD10" s="65">
        <f>SUM('SAM-agg'!HD71:HD198)/SUM('SAM-agg'!$HV71:$HV198)</f>
        <v>9.7146150232345407E-2</v>
      </c>
      <c r="AE10" s="65">
        <f>SUM('SAM-agg'!HN71:HT198)/SUM('SAM-agg'!$HV71:$HV198)</f>
        <v>6.9318201371616595E-2</v>
      </c>
      <c r="AF10" s="65">
        <f>SUM('SAM-agg'!HU71:HU198)/SUM('SAM-agg'!$HV71:$HV198)</f>
        <v>3.1710084515400359E-4</v>
      </c>
      <c r="AG10" s="65">
        <f>SUM('SAM-agg'!HE71:HE198)/SUM('SAM-agg'!$HV71:$HV198)</f>
        <v>5.9605270901435428E-2</v>
      </c>
      <c r="AH10" s="65">
        <f t="shared" si="4"/>
        <v>1</v>
      </c>
      <c r="AJ10" s="4" t="s">
        <v>513</v>
      </c>
      <c r="AK10" s="67">
        <f>SUM('SAM-agg'!GT210:GZ210)/'SAM-agg'!HV$210</f>
        <v>0.13121050072367679</v>
      </c>
      <c r="AL10" s="67">
        <f>SUM('SAM-agg'!GT213:GZ213)/'SAM-agg'!HV$213</f>
        <v>4.9369804526194355E-2</v>
      </c>
      <c r="AM10" s="67"/>
    </row>
    <row r="11" spans="1:39" ht="15" customHeight="1" x14ac:dyDescent="0.2">
      <c r="A11" s="4" t="s">
        <v>61</v>
      </c>
      <c r="B11" s="66">
        <f>SUM('SAM-agg'!BR214:GO214)</f>
        <v>777137</v>
      </c>
      <c r="C11" s="67">
        <f t="shared" si="0"/>
        <v>0.1194100554429017</v>
      </c>
      <c r="E11" s="4" t="s">
        <v>511</v>
      </c>
      <c r="F11" s="66">
        <f>'SAM-agg'!HD214</f>
        <v>42593.986164858499</v>
      </c>
      <c r="G11" s="67">
        <f t="shared" si="1"/>
        <v>6.5447279559201809E-3</v>
      </c>
      <c r="I11" s="4" t="s">
        <v>68</v>
      </c>
      <c r="J11" s="66">
        <f>SUM('SAM-agg'!GT213:GZ213)</f>
        <v>119054</v>
      </c>
      <c r="K11" s="67">
        <f t="shared" si="2"/>
        <v>1.8293099853306714E-2</v>
      </c>
      <c r="AJ11" s="4" t="s">
        <v>532</v>
      </c>
      <c r="AK11" s="67">
        <f>'SAM-agg'!HC210/'SAM-agg'!HV$210</f>
        <v>7.3720193579669524E-2</v>
      </c>
      <c r="AL11" s="67">
        <f>'SAM-agg'!HC213/'SAM-agg'!HV$213</f>
        <v>7.9615411622265177E-3</v>
      </c>
      <c r="AM11" s="67">
        <f>'SAM-agg'!HC214/'SAM-agg'!HV$214</f>
        <v>9.0324642700422952E-2</v>
      </c>
    </row>
    <row r="12" spans="1:39" ht="15" customHeight="1" x14ac:dyDescent="0.2">
      <c r="A12" s="2" t="s">
        <v>62</v>
      </c>
      <c r="B12" s="64">
        <f>B4+B9</f>
        <v>6508137</v>
      </c>
      <c r="C12" s="65">
        <f t="shared" si="0"/>
        <v>1</v>
      </c>
      <c r="E12" s="4" t="s">
        <v>505</v>
      </c>
      <c r="F12" s="66">
        <f>'SAM-agg'!GS214</f>
        <v>365</v>
      </c>
      <c r="G12" s="67">
        <f t="shared" si="1"/>
        <v>5.608363806723798E-5</v>
      </c>
      <c r="I12" s="4" t="s">
        <v>532</v>
      </c>
      <c r="J12" s="66">
        <f>'SAM-agg'!HC213</f>
        <v>19199.049512639031</v>
      </c>
      <c r="K12" s="67">
        <f t="shared" si="2"/>
        <v>2.9500069701419978E-3</v>
      </c>
      <c r="AJ12" s="4" t="s">
        <v>534</v>
      </c>
      <c r="AK12" s="67">
        <f>'SAM-agg'!HF210/'SAM-agg'!HV$210</f>
        <v>0.1048633408497389</v>
      </c>
      <c r="AL12" s="67"/>
      <c r="AM12" s="67"/>
    </row>
    <row r="13" spans="1:39" ht="15" customHeight="1" x14ac:dyDescent="0.2">
      <c r="A13" s="4" t="s">
        <v>63</v>
      </c>
      <c r="B13" s="66">
        <f>SUM('SAM-agg'!HV216:HV221)</f>
        <v>983389</v>
      </c>
      <c r="C13" s="67">
        <f t="shared" si="0"/>
        <v>0.1511014596035701</v>
      </c>
      <c r="E13" s="4" t="s">
        <v>533</v>
      </c>
      <c r="F13" s="66">
        <f>'SAM-agg'!HC214</f>
        <v>81430.013835141493</v>
      </c>
      <c r="G13" s="67">
        <f t="shared" si="1"/>
        <v>1.2512031297918513E-2</v>
      </c>
      <c r="I13" s="2" t="s">
        <v>69</v>
      </c>
      <c r="J13" s="64">
        <f>SUM(J4:J12)</f>
        <v>2411474</v>
      </c>
      <c r="K13" s="65">
        <f t="shared" si="2"/>
        <v>0.37053215075220453</v>
      </c>
      <c r="AJ13" s="2" t="s">
        <v>74</v>
      </c>
      <c r="AK13" s="65">
        <f>SUM(AK4:AK12)</f>
        <v>1</v>
      </c>
      <c r="AL13" s="65">
        <f t="shared" ref="AL13:AM13" si="6">SUM(AL4:AL12)</f>
        <v>1</v>
      </c>
      <c r="AM13" s="65">
        <f t="shared" si="6"/>
        <v>1</v>
      </c>
    </row>
    <row r="14" spans="1:39" ht="15" customHeight="1" x14ac:dyDescent="0.2">
      <c r="A14" s="2" t="s">
        <v>64</v>
      </c>
      <c r="B14" s="64">
        <f>B12-B13</f>
        <v>5524748</v>
      </c>
      <c r="C14" s="65">
        <f t="shared" si="0"/>
        <v>0.84889854039642987</v>
      </c>
      <c r="E14" s="2" t="s">
        <v>72</v>
      </c>
      <c r="F14" s="64">
        <f>SUM(F10:F13)</f>
        <v>901526</v>
      </c>
      <c r="G14" s="65">
        <f t="shared" si="1"/>
        <v>0.13852289833480763</v>
      </c>
      <c r="I14" s="4" t="s">
        <v>520</v>
      </c>
      <c r="J14" s="66">
        <f>SUM('SAM-agg'!HD71:HD198)</f>
        <v>1343683</v>
      </c>
      <c r="K14" s="67">
        <f t="shared" si="2"/>
        <v>0.20646200287424804</v>
      </c>
    </row>
    <row r="15" spans="1:39" ht="15" customHeight="1" x14ac:dyDescent="0.2">
      <c r="I15" s="4" t="s">
        <v>515</v>
      </c>
      <c r="J15" s="66">
        <f>'SAM-agg'!HD210</f>
        <v>1395333.717524763</v>
      </c>
      <c r="K15" s="67">
        <f t="shared" si="2"/>
        <v>0.21439833204567804</v>
      </c>
    </row>
    <row r="16" spans="1:39" ht="15" customHeight="1" x14ac:dyDescent="0.2">
      <c r="I16" s="4" t="s">
        <v>506</v>
      </c>
      <c r="J16" s="66">
        <f>'SAM-agg'!HD214</f>
        <v>42593.986164858499</v>
      </c>
      <c r="K16" s="67">
        <f t="shared" si="2"/>
        <v>6.5447279559201809E-3</v>
      </c>
    </row>
    <row r="17" spans="9:11" ht="15" customHeight="1" x14ac:dyDescent="0.2">
      <c r="I17" s="4" t="s">
        <v>518</v>
      </c>
      <c r="J17" s="66">
        <f>'SAM-agg'!HD211</f>
        <v>2492.29631037846</v>
      </c>
      <c r="K17" s="67">
        <f t="shared" si="2"/>
        <v>3.8295080610295388E-4</v>
      </c>
    </row>
    <row r="18" spans="9:11" ht="15" customHeight="1" x14ac:dyDescent="0.2">
      <c r="I18" s="4" t="s">
        <v>523</v>
      </c>
      <c r="J18" s="66">
        <f>'SAM-agg'!HD226</f>
        <v>-372629</v>
      </c>
      <c r="K18" s="67">
        <f t="shared" si="2"/>
        <v>-5.7255862929744716E-2</v>
      </c>
    </row>
    <row r="19" spans="9:11" ht="15" customHeight="1" x14ac:dyDescent="0.2">
      <c r="I19" s="2" t="s">
        <v>521</v>
      </c>
      <c r="J19" s="64">
        <f>SUM(J14:J18)</f>
        <v>2411474</v>
      </c>
      <c r="K19" s="65">
        <f t="shared" si="2"/>
        <v>0.37053215075220453</v>
      </c>
    </row>
  </sheetData>
  <mergeCells count="7">
    <mergeCell ref="AJ1:AM1"/>
    <mergeCell ref="A1:C1"/>
    <mergeCell ref="E1:G1"/>
    <mergeCell ref="I1:K1"/>
    <mergeCell ref="M1:T1"/>
    <mergeCell ref="V1:Y1"/>
    <mergeCell ref="AA1:AH1"/>
  </mergeCells>
  <pageMargins left="0.7" right="0.7" top="0.75" bottom="0.75" header="0.3" footer="0.3"/>
  <pageSetup paperSize="9" orientation="portrait" horizontalDpi="0" verticalDpi="0" r:id="rId1"/>
  <ignoredErrors>
    <ignoredError sqref="C4:C14 G14:G18 Y4:Z9 I20:K20 K10 M10:Q10 I4 H4:H15 K4:M5 M11:T11 K7:K8 I13 K13:K15 V11:Y11 L6:L15 AA11:AH11 AA10 Z10:Z15 AM4 AK4 AJ8:AL8 AJ7 AM7 AL6 AJ14:AL14 AL9 AM10 U4:U15 V10 Y10 AH4:AI9 AJ15:AM18 AI10:AI11 AI13:AI15 K18:K19 G8:G9 G4:G5 AJ13 AH12:AI12" evalError="1"/>
    <ignoredError sqref="J7 J11 AK10:AL10 B13 AB4 AC4:AG4 AB10:AC10 AB8:AB9 AC8:AG9 AD10:AG10 R8:T9" formulaRange="1"/>
    <ignoredError sqref="J18" formula="1"/>
    <ignoredError sqref="S10" evalError="1" formulaRange="1"/>
    <ignoredError sqref="R10" formula="1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sets</vt:lpstr>
      <vt:lpstr>SAM</vt:lpstr>
      <vt:lpstr>SAM-agg</vt:lpstr>
      <vt:lpstr>tradelas</vt:lpstr>
      <vt:lpstr>layout</vt:lpstr>
      <vt:lpstr>agg</vt:lpstr>
      <vt:lpstr>names</vt:lpstr>
      <vt:lpstr>tables_agg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Ignacio Menduiña</cp:lastModifiedBy>
  <dcterms:created xsi:type="dcterms:W3CDTF">2005-07-01T13:02:02Z</dcterms:created>
  <dcterms:modified xsi:type="dcterms:W3CDTF">2023-11-02T19:40:46Z</dcterms:modified>
</cp:coreProperties>
</file>