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7. Macroeconomía con Agentes Heterogéneos\Material teórico\Notas de clase\Clase 1\"/>
    </mc:Choice>
  </mc:AlternateContent>
  <xr:revisionPtr revIDLastSave="0" documentId="13_ncr:1_{948ED2E4-43A4-423B-8999-F3D13D6483F5}" xr6:coauthVersionLast="47" xr6:coauthVersionMax="47" xr10:uidLastSave="{00000000-0000-0000-0000-000000000000}"/>
  <bookViews>
    <workbookView xWindow="-120" yWindow="-120" windowWidth="20730" windowHeight="11760" xr2:uid="{3D52F8F1-88AF-BC48-A36C-82A841546E8D}"/>
  </bookViews>
  <sheets>
    <sheet name="Cálculos" sheetId="1" r:id="rId1"/>
    <sheet name="Gráfi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1" i="2" l="1"/>
  <c r="C21" i="2" s="1"/>
  <c r="B109" i="1" l="1"/>
  <c r="C109" i="1"/>
  <c r="D109" i="1"/>
  <c r="E109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G6" i="1"/>
  <c r="H19" i="1"/>
  <c r="I19" i="1"/>
  <c r="B29" i="1"/>
  <c r="C29" i="1"/>
  <c r="D29" i="1"/>
  <c r="E29" i="1"/>
  <c r="F29" i="1"/>
  <c r="G29" i="1"/>
  <c r="B30" i="1"/>
  <c r="C30" i="1"/>
  <c r="D30" i="1"/>
  <c r="E30" i="1"/>
  <c r="F30" i="1"/>
  <c r="G30" i="1"/>
  <c r="B31" i="1"/>
  <c r="C31" i="1"/>
  <c r="D31" i="1"/>
  <c r="E31" i="1"/>
  <c r="F31" i="1"/>
  <c r="G31" i="1"/>
  <c r="B32" i="1"/>
  <c r="C32" i="1"/>
  <c r="D32" i="1"/>
  <c r="E32" i="1"/>
  <c r="F32" i="1"/>
  <c r="G32" i="1"/>
  <c r="B33" i="1"/>
  <c r="C33" i="1"/>
  <c r="D33" i="1"/>
  <c r="E33" i="1"/>
  <c r="F33" i="1"/>
  <c r="G33" i="1"/>
  <c r="B34" i="1"/>
  <c r="C34" i="1"/>
  <c r="D34" i="1"/>
  <c r="E34" i="1"/>
  <c r="F34" i="1"/>
  <c r="G34" i="1"/>
  <c r="B35" i="1"/>
  <c r="C35" i="1"/>
  <c r="D35" i="1"/>
  <c r="E35" i="1"/>
  <c r="F35" i="1"/>
  <c r="G35" i="1"/>
  <c r="B36" i="1"/>
  <c r="C36" i="1"/>
  <c r="D36" i="1"/>
  <c r="E36" i="1"/>
  <c r="F36" i="1"/>
  <c r="G36" i="1"/>
  <c r="B37" i="1"/>
  <c r="C37" i="1"/>
  <c r="D37" i="1"/>
  <c r="E37" i="1"/>
  <c r="F37" i="1"/>
  <c r="G37" i="1"/>
  <c r="B38" i="1"/>
  <c r="C38" i="1"/>
  <c r="D38" i="1"/>
  <c r="E38" i="1"/>
  <c r="F38" i="1"/>
  <c r="G38" i="1"/>
  <c r="G7" i="1"/>
  <c r="H20" i="1"/>
  <c r="I20" i="1"/>
  <c r="B39" i="1"/>
  <c r="C39" i="1"/>
  <c r="D39" i="1"/>
  <c r="E39" i="1"/>
  <c r="F39" i="1"/>
  <c r="G39" i="1"/>
  <c r="B40" i="1"/>
  <c r="C40" i="1"/>
  <c r="D40" i="1"/>
  <c r="E40" i="1"/>
  <c r="F40" i="1"/>
  <c r="G40" i="1"/>
  <c r="B41" i="1"/>
  <c r="C41" i="1"/>
  <c r="D41" i="1"/>
  <c r="E41" i="1"/>
  <c r="F41" i="1"/>
  <c r="G41" i="1"/>
  <c r="B42" i="1"/>
  <c r="C42" i="1"/>
  <c r="D42" i="1"/>
  <c r="E42" i="1"/>
  <c r="F42" i="1"/>
  <c r="G42" i="1"/>
  <c r="B43" i="1"/>
  <c r="C43" i="1"/>
  <c r="D43" i="1"/>
  <c r="E43" i="1"/>
  <c r="F43" i="1"/>
  <c r="G43" i="1"/>
  <c r="B44" i="1"/>
  <c r="C44" i="1"/>
  <c r="D44" i="1"/>
  <c r="E44" i="1"/>
  <c r="F44" i="1"/>
  <c r="G44" i="1"/>
  <c r="B45" i="1"/>
  <c r="C45" i="1"/>
  <c r="D45" i="1"/>
  <c r="E45" i="1"/>
  <c r="F45" i="1"/>
  <c r="G45" i="1"/>
  <c r="B46" i="1"/>
  <c r="C46" i="1"/>
  <c r="D46" i="1"/>
  <c r="E46" i="1"/>
  <c r="F46" i="1"/>
  <c r="G46" i="1"/>
  <c r="B47" i="1"/>
  <c r="C47" i="1"/>
  <c r="D47" i="1"/>
  <c r="E47" i="1"/>
  <c r="F47" i="1"/>
  <c r="G47" i="1"/>
  <c r="B48" i="1"/>
  <c r="C48" i="1"/>
  <c r="D48" i="1"/>
  <c r="E48" i="1"/>
  <c r="F48" i="1"/>
  <c r="G48" i="1"/>
  <c r="G8" i="1"/>
  <c r="H21" i="1"/>
  <c r="I21" i="1"/>
  <c r="B49" i="1"/>
  <c r="C49" i="1"/>
  <c r="D49" i="1"/>
  <c r="E49" i="1"/>
  <c r="F49" i="1"/>
  <c r="G49" i="1"/>
  <c r="B50" i="1"/>
  <c r="C50" i="1"/>
  <c r="D50" i="1"/>
  <c r="E50" i="1"/>
  <c r="F50" i="1"/>
  <c r="G50" i="1"/>
  <c r="B51" i="1"/>
  <c r="C51" i="1"/>
  <c r="D51" i="1"/>
  <c r="E51" i="1"/>
  <c r="F51" i="1"/>
  <c r="G51" i="1"/>
  <c r="B52" i="1"/>
  <c r="C52" i="1"/>
  <c r="D52" i="1"/>
  <c r="E52" i="1"/>
  <c r="F52" i="1"/>
  <c r="G52" i="1"/>
  <c r="B53" i="1"/>
  <c r="C53" i="1"/>
  <c r="D53" i="1"/>
  <c r="E53" i="1"/>
  <c r="F53" i="1"/>
  <c r="G53" i="1"/>
  <c r="B54" i="1"/>
  <c r="C54" i="1"/>
  <c r="D54" i="1"/>
  <c r="E54" i="1"/>
  <c r="F54" i="1"/>
  <c r="G54" i="1"/>
  <c r="B55" i="1"/>
  <c r="C55" i="1"/>
  <c r="D55" i="1"/>
  <c r="E55" i="1"/>
  <c r="F55" i="1"/>
  <c r="G55" i="1"/>
  <c r="B56" i="1"/>
  <c r="C56" i="1"/>
  <c r="D56" i="1"/>
  <c r="E56" i="1"/>
  <c r="F56" i="1"/>
  <c r="G56" i="1"/>
  <c r="B57" i="1"/>
  <c r="C57" i="1"/>
  <c r="D57" i="1"/>
  <c r="E57" i="1"/>
  <c r="F57" i="1"/>
  <c r="G57" i="1"/>
  <c r="B58" i="1"/>
  <c r="C58" i="1"/>
  <c r="D58" i="1"/>
  <c r="E58" i="1"/>
  <c r="F58" i="1"/>
  <c r="G58" i="1"/>
  <c r="G9" i="1"/>
  <c r="H22" i="1"/>
  <c r="I22" i="1"/>
  <c r="B59" i="1"/>
  <c r="C59" i="1"/>
  <c r="D59" i="1"/>
  <c r="E59" i="1"/>
  <c r="F59" i="1"/>
  <c r="G59" i="1"/>
  <c r="B60" i="1"/>
  <c r="C60" i="1"/>
  <c r="D60" i="1"/>
  <c r="E60" i="1"/>
  <c r="F60" i="1"/>
  <c r="G60" i="1"/>
  <c r="B61" i="1"/>
  <c r="C61" i="1"/>
  <c r="D61" i="1"/>
  <c r="E61" i="1"/>
  <c r="F61" i="1"/>
  <c r="G61" i="1"/>
  <c r="B62" i="1"/>
  <c r="C62" i="1"/>
  <c r="D62" i="1"/>
  <c r="E62" i="1"/>
  <c r="F62" i="1"/>
  <c r="G62" i="1"/>
  <c r="B63" i="1"/>
  <c r="C63" i="1"/>
  <c r="D63" i="1"/>
  <c r="E63" i="1"/>
  <c r="F63" i="1"/>
  <c r="G63" i="1"/>
  <c r="B64" i="1"/>
  <c r="C64" i="1"/>
  <c r="D64" i="1"/>
  <c r="E64" i="1"/>
  <c r="F64" i="1"/>
  <c r="G64" i="1"/>
  <c r="B65" i="1"/>
  <c r="C65" i="1"/>
  <c r="D65" i="1"/>
  <c r="E65" i="1"/>
  <c r="F65" i="1"/>
  <c r="G65" i="1"/>
  <c r="B66" i="1"/>
  <c r="C66" i="1"/>
  <c r="D66" i="1"/>
  <c r="E66" i="1"/>
  <c r="F66" i="1"/>
  <c r="G66" i="1"/>
  <c r="B67" i="1"/>
  <c r="C67" i="1"/>
  <c r="D67" i="1"/>
  <c r="E67" i="1"/>
  <c r="F67" i="1"/>
  <c r="G67" i="1"/>
  <c r="B68" i="1"/>
  <c r="C68" i="1"/>
  <c r="D68" i="1"/>
  <c r="E68" i="1"/>
  <c r="F68" i="1"/>
  <c r="G68" i="1"/>
  <c r="G10" i="1"/>
  <c r="H23" i="1"/>
  <c r="I23" i="1"/>
  <c r="B69" i="1"/>
  <c r="C69" i="1"/>
  <c r="D69" i="1"/>
  <c r="E69" i="1"/>
  <c r="F69" i="1"/>
  <c r="G69" i="1"/>
  <c r="B70" i="1"/>
  <c r="C70" i="1"/>
  <c r="D70" i="1"/>
  <c r="E70" i="1"/>
  <c r="F70" i="1"/>
  <c r="G70" i="1"/>
  <c r="B71" i="1"/>
  <c r="C71" i="1"/>
  <c r="D71" i="1"/>
  <c r="E71" i="1"/>
  <c r="F71" i="1"/>
  <c r="G71" i="1"/>
  <c r="B72" i="1"/>
  <c r="C72" i="1"/>
  <c r="D72" i="1"/>
  <c r="E72" i="1"/>
  <c r="F72" i="1"/>
  <c r="G72" i="1"/>
  <c r="B73" i="1"/>
  <c r="C73" i="1"/>
  <c r="D73" i="1"/>
  <c r="E73" i="1"/>
  <c r="F73" i="1"/>
  <c r="G73" i="1"/>
  <c r="B74" i="1"/>
  <c r="C74" i="1"/>
  <c r="D74" i="1"/>
  <c r="E74" i="1"/>
  <c r="F74" i="1"/>
  <c r="G74" i="1"/>
  <c r="B75" i="1"/>
  <c r="C75" i="1"/>
  <c r="D75" i="1"/>
  <c r="E75" i="1"/>
  <c r="F75" i="1"/>
  <c r="G75" i="1"/>
  <c r="B76" i="1"/>
  <c r="C76" i="1"/>
  <c r="D76" i="1"/>
  <c r="E76" i="1"/>
  <c r="F76" i="1"/>
  <c r="G76" i="1"/>
  <c r="B77" i="1"/>
  <c r="C77" i="1"/>
  <c r="D77" i="1"/>
  <c r="E77" i="1"/>
  <c r="F77" i="1"/>
  <c r="G77" i="1"/>
  <c r="B78" i="1"/>
  <c r="C78" i="1"/>
  <c r="D78" i="1"/>
  <c r="E78" i="1"/>
  <c r="F78" i="1"/>
  <c r="G78" i="1"/>
  <c r="G11" i="1"/>
  <c r="H24" i="1"/>
  <c r="I24" i="1"/>
  <c r="B79" i="1"/>
  <c r="C79" i="1"/>
  <c r="D79" i="1"/>
  <c r="E79" i="1"/>
  <c r="F79" i="1"/>
  <c r="G79" i="1"/>
  <c r="B80" i="1"/>
  <c r="C80" i="1"/>
  <c r="D80" i="1"/>
  <c r="E80" i="1"/>
  <c r="F80" i="1"/>
  <c r="G80" i="1"/>
  <c r="B81" i="1"/>
  <c r="C81" i="1"/>
  <c r="D81" i="1"/>
  <c r="E81" i="1"/>
  <c r="F81" i="1"/>
  <c r="G81" i="1"/>
  <c r="B82" i="1"/>
  <c r="C82" i="1"/>
  <c r="D82" i="1"/>
  <c r="E82" i="1"/>
  <c r="F82" i="1"/>
  <c r="G82" i="1"/>
  <c r="B83" i="1"/>
  <c r="C83" i="1"/>
  <c r="D83" i="1"/>
  <c r="E83" i="1"/>
  <c r="F83" i="1"/>
  <c r="G83" i="1"/>
  <c r="B84" i="1"/>
  <c r="C84" i="1"/>
  <c r="D84" i="1"/>
  <c r="E84" i="1"/>
  <c r="F84" i="1"/>
  <c r="G84" i="1"/>
  <c r="B85" i="1"/>
  <c r="C85" i="1"/>
  <c r="D85" i="1"/>
  <c r="E85" i="1"/>
  <c r="F85" i="1"/>
  <c r="G85" i="1"/>
  <c r="B86" i="1"/>
  <c r="C86" i="1"/>
  <c r="D86" i="1"/>
  <c r="E86" i="1"/>
  <c r="F86" i="1"/>
  <c r="G86" i="1"/>
  <c r="B87" i="1"/>
  <c r="C87" i="1"/>
  <c r="D87" i="1"/>
  <c r="E87" i="1"/>
  <c r="F87" i="1"/>
  <c r="G87" i="1"/>
  <c r="B88" i="1"/>
  <c r="C88" i="1"/>
  <c r="D88" i="1"/>
  <c r="E88" i="1"/>
  <c r="F88" i="1"/>
  <c r="G88" i="1"/>
  <c r="G12" i="1"/>
  <c r="H25" i="1"/>
  <c r="I25" i="1"/>
  <c r="B89" i="1"/>
  <c r="C89" i="1"/>
  <c r="D89" i="1"/>
  <c r="E89" i="1"/>
  <c r="F89" i="1"/>
  <c r="G89" i="1"/>
  <c r="B90" i="1"/>
  <c r="C90" i="1"/>
  <c r="D90" i="1"/>
  <c r="E90" i="1"/>
  <c r="F90" i="1"/>
  <c r="G90" i="1"/>
  <c r="B91" i="1"/>
  <c r="C91" i="1"/>
  <c r="D91" i="1"/>
  <c r="E91" i="1"/>
  <c r="F91" i="1"/>
  <c r="G91" i="1"/>
  <c r="B92" i="1"/>
  <c r="C92" i="1"/>
  <c r="D92" i="1"/>
  <c r="E92" i="1"/>
  <c r="F92" i="1"/>
  <c r="G92" i="1"/>
  <c r="B93" i="1"/>
  <c r="C93" i="1"/>
  <c r="D93" i="1"/>
  <c r="E93" i="1"/>
  <c r="F93" i="1"/>
  <c r="G93" i="1"/>
  <c r="B94" i="1"/>
  <c r="C94" i="1"/>
  <c r="D94" i="1"/>
  <c r="E94" i="1"/>
  <c r="F94" i="1"/>
  <c r="G94" i="1"/>
  <c r="B95" i="1"/>
  <c r="C95" i="1"/>
  <c r="D95" i="1"/>
  <c r="E95" i="1"/>
  <c r="F95" i="1"/>
  <c r="G95" i="1"/>
  <c r="B96" i="1"/>
  <c r="C96" i="1"/>
  <c r="D96" i="1"/>
  <c r="E96" i="1"/>
  <c r="F96" i="1"/>
  <c r="G96" i="1"/>
  <c r="B97" i="1"/>
  <c r="C97" i="1"/>
  <c r="D97" i="1"/>
  <c r="E97" i="1"/>
  <c r="F97" i="1"/>
  <c r="G97" i="1"/>
  <c r="B98" i="1"/>
  <c r="C98" i="1"/>
  <c r="D98" i="1"/>
  <c r="E98" i="1"/>
  <c r="F98" i="1"/>
  <c r="G98" i="1"/>
  <c r="G13" i="1"/>
  <c r="H26" i="1"/>
  <c r="I26" i="1"/>
  <c r="B99" i="1"/>
  <c r="C99" i="1"/>
  <c r="D99" i="1"/>
  <c r="E99" i="1"/>
  <c r="F99" i="1"/>
  <c r="G99" i="1"/>
  <c r="B100" i="1"/>
  <c r="C100" i="1"/>
  <c r="D100" i="1"/>
  <c r="E100" i="1"/>
  <c r="F100" i="1"/>
  <c r="G100" i="1"/>
  <c r="B101" i="1"/>
  <c r="C101" i="1"/>
  <c r="D101" i="1"/>
  <c r="E101" i="1"/>
  <c r="F101" i="1"/>
  <c r="G101" i="1"/>
  <c r="B102" i="1"/>
  <c r="C102" i="1"/>
  <c r="D102" i="1"/>
  <c r="E102" i="1"/>
  <c r="F102" i="1"/>
  <c r="G102" i="1"/>
  <c r="B103" i="1"/>
  <c r="C103" i="1"/>
  <c r="D103" i="1"/>
  <c r="E103" i="1"/>
  <c r="F103" i="1"/>
  <c r="G103" i="1"/>
  <c r="B104" i="1"/>
  <c r="C104" i="1"/>
  <c r="D104" i="1"/>
  <c r="E104" i="1"/>
  <c r="F104" i="1"/>
  <c r="G104" i="1"/>
  <c r="B105" i="1"/>
  <c r="C105" i="1"/>
  <c r="D105" i="1"/>
  <c r="E105" i="1"/>
  <c r="F105" i="1"/>
  <c r="G105" i="1"/>
  <c r="B106" i="1"/>
  <c r="C106" i="1"/>
  <c r="D106" i="1"/>
  <c r="E106" i="1"/>
  <c r="F106" i="1"/>
  <c r="G106" i="1"/>
  <c r="B107" i="1"/>
  <c r="C107" i="1"/>
  <c r="D107" i="1"/>
  <c r="E107" i="1"/>
  <c r="F107" i="1"/>
  <c r="G107" i="1"/>
  <c r="B108" i="1"/>
  <c r="C108" i="1"/>
  <c r="D108" i="1"/>
  <c r="E108" i="1"/>
  <c r="F108" i="1"/>
  <c r="G108" i="1"/>
  <c r="G14" i="1"/>
  <c r="H27" i="1"/>
  <c r="I27" i="1"/>
  <c r="F109" i="1"/>
  <c r="G109" i="1"/>
  <c r="B110" i="1"/>
  <c r="C110" i="1"/>
  <c r="D110" i="1"/>
  <c r="E110" i="1"/>
  <c r="F110" i="1"/>
  <c r="G110" i="1"/>
  <c r="B111" i="1"/>
  <c r="C111" i="1"/>
  <c r="D111" i="1"/>
  <c r="E111" i="1"/>
  <c r="F111" i="1"/>
  <c r="G111" i="1"/>
  <c r="B112" i="1"/>
  <c r="C112" i="1"/>
  <c r="D112" i="1"/>
  <c r="E112" i="1"/>
  <c r="F112" i="1"/>
  <c r="G112" i="1"/>
  <c r="B113" i="1"/>
  <c r="C113" i="1"/>
  <c r="D113" i="1"/>
  <c r="E113" i="1"/>
  <c r="F113" i="1"/>
  <c r="G113" i="1"/>
  <c r="B114" i="1"/>
  <c r="C114" i="1"/>
  <c r="D114" i="1"/>
  <c r="E114" i="1"/>
  <c r="F114" i="1"/>
  <c r="G114" i="1"/>
  <c r="B115" i="1"/>
  <c r="C115" i="1"/>
  <c r="D115" i="1"/>
  <c r="E115" i="1"/>
  <c r="F115" i="1"/>
  <c r="G115" i="1"/>
  <c r="B116" i="1"/>
  <c r="C116" i="1"/>
  <c r="D116" i="1"/>
  <c r="E116" i="1"/>
  <c r="F116" i="1"/>
  <c r="G116" i="1"/>
  <c r="B117" i="1"/>
  <c r="C117" i="1"/>
  <c r="D117" i="1"/>
  <c r="E117" i="1"/>
  <c r="F117" i="1"/>
  <c r="G117" i="1"/>
  <c r="B118" i="1"/>
  <c r="C118" i="1"/>
  <c r="D118" i="1"/>
  <c r="E118" i="1"/>
  <c r="F118" i="1"/>
  <c r="G118" i="1"/>
  <c r="G15" i="1"/>
  <c r="H28" i="1"/>
  <c r="I28" i="1"/>
  <c r="I6" i="1"/>
  <c r="J19" i="1"/>
  <c r="K19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I7" i="1"/>
  <c r="J20" i="1"/>
  <c r="K20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I8" i="1"/>
  <c r="J21" i="1"/>
  <c r="K21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I9" i="1"/>
  <c r="J22" i="1"/>
  <c r="K22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I10" i="1"/>
  <c r="J23" i="1"/>
  <c r="K23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I11" i="1"/>
  <c r="J24" i="1"/>
  <c r="K24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I12" i="1"/>
  <c r="J25" i="1"/>
  <c r="K25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I13" i="1"/>
  <c r="J26" i="1"/>
  <c r="K26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I14" i="1"/>
  <c r="J27" i="1"/>
  <c r="K27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I15" i="1"/>
  <c r="J28" i="1"/>
  <c r="K28" i="1"/>
  <c r="K6" i="1"/>
  <c r="L19" i="1"/>
  <c r="M19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K7" i="1"/>
  <c r="L20" i="1"/>
  <c r="M20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K8" i="1"/>
  <c r="L21" i="1"/>
  <c r="M21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K9" i="1"/>
  <c r="L22" i="1"/>
  <c r="M22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K10" i="1"/>
  <c r="L23" i="1"/>
  <c r="M23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K11" i="1"/>
  <c r="L24" i="1"/>
  <c r="M24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K12" i="1"/>
  <c r="L25" i="1"/>
  <c r="M25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K13" i="1"/>
  <c r="L26" i="1"/>
  <c r="M26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K14" i="1"/>
  <c r="L27" i="1"/>
  <c r="M27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K15" i="1"/>
  <c r="L28" i="1"/>
  <c r="M28" i="1"/>
  <c r="M6" i="1"/>
  <c r="N19" i="1"/>
  <c r="O19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M7" i="1"/>
  <c r="N20" i="1"/>
  <c r="O20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M8" i="1"/>
  <c r="N21" i="1"/>
  <c r="O21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M9" i="1"/>
  <c r="N22" i="1"/>
  <c r="O22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M10" i="1"/>
  <c r="N23" i="1"/>
  <c r="O23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M11" i="1"/>
  <c r="N24" i="1"/>
  <c r="O24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M12" i="1"/>
  <c r="N25" i="1"/>
  <c r="O25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M13" i="1"/>
  <c r="N26" i="1"/>
  <c r="O26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M14" i="1"/>
  <c r="N27" i="1"/>
  <c r="O27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M15" i="1"/>
  <c r="N28" i="1"/>
  <c r="O28" i="1"/>
  <c r="O6" i="1"/>
  <c r="P19" i="1"/>
  <c r="Q19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O7" i="1"/>
  <c r="P20" i="1"/>
  <c r="Q20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O8" i="1"/>
  <c r="P21" i="1"/>
  <c r="Q21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O9" i="1"/>
  <c r="P22" i="1"/>
  <c r="Q22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O10" i="1"/>
  <c r="P23" i="1"/>
  <c r="Q23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O11" i="1"/>
  <c r="P24" i="1"/>
  <c r="Q24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O12" i="1"/>
  <c r="P25" i="1"/>
  <c r="Q25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O13" i="1"/>
  <c r="P26" i="1"/>
  <c r="Q26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O14" i="1"/>
  <c r="P27" i="1"/>
  <c r="Q27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O15" i="1"/>
  <c r="P28" i="1"/>
  <c r="Q28" i="1"/>
  <c r="Q6" i="1"/>
  <c r="R19" i="1"/>
  <c r="S19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Q7" i="1"/>
  <c r="R20" i="1"/>
  <c r="S20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Q8" i="1"/>
  <c r="R21" i="1"/>
  <c r="S21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Q9" i="1"/>
  <c r="R22" i="1"/>
  <c r="S22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Q10" i="1"/>
  <c r="R23" i="1"/>
  <c r="S23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Q11" i="1"/>
  <c r="R24" i="1"/>
  <c r="S24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Q12" i="1"/>
  <c r="R25" i="1"/>
  <c r="S25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Q13" i="1"/>
  <c r="R26" i="1"/>
  <c r="S26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Q14" i="1"/>
  <c r="R27" i="1"/>
  <c r="S27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Q15" i="1"/>
  <c r="R28" i="1"/>
  <c r="S28" i="1"/>
  <c r="S6" i="1"/>
  <c r="T19" i="1"/>
  <c r="U19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S7" i="1"/>
  <c r="T20" i="1"/>
  <c r="U20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S8" i="1"/>
  <c r="T21" i="1"/>
  <c r="U21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S9" i="1"/>
  <c r="T22" i="1"/>
  <c r="U22" i="1"/>
  <c r="R59" i="1"/>
  <c r="S59" i="1"/>
  <c r="R60" i="1"/>
  <c r="S60" i="1"/>
  <c r="R61" i="1"/>
  <c r="S61" i="1"/>
  <c r="R62" i="1"/>
  <c r="S62" i="1"/>
  <c r="R63" i="1"/>
  <c r="S63" i="1"/>
  <c r="R64" i="1"/>
  <c r="S64" i="1"/>
  <c r="R65" i="1"/>
  <c r="S65" i="1"/>
  <c r="R66" i="1"/>
  <c r="S66" i="1"/>
  <c r="R67" i="1"/>
  <c r="S67" i="1"/>
  <c r="R68" i="1"/>
  <c r="S68" i="1"/>
  <c r="S10" i="1"/>
  <c r="T23" i="1"/>
  <c r="U23" i="1"/>
  <c r="R69" i="1"/>
  <c r="S69" i="1"/>
  <c r="R70" i="1"/>
  <c r="S70" i="1"/>
  <c r="R71" i="1"/>
  <c r="S71" i="1"/>
  <c r="R72" i="1"/>
  <c r="S72" i="1"/>
  <c r="R73" i="1"/>
  <c r="S73" i="1"/>
  <c r="R74" i="1"/>
  <c r="S74" i="1"/>
  <c r="R75" i="1"/>
  <c r="S75" i="1"/>
  <c r="R76" i="1"/>
  <c r="S76" i="1"/>
  <c r="R77" i="1"/>
  <c r="S77" i="1"/>
  <c r="R78" i="1"/>
  <c r="S78" i="1"/>
  <c r="S11" i="1"/>
  <c r="T24" i="1"/>
  <c r="U24" i="1"/>
  <c r="R79" i="1"/>
  <c r="S79" i="1"/>
  <c r="R80" i="1"/>
  <c r="S80" i="1"/>
  <c r="R81" i="1"/>
  <c r="S81" i="1"/>
  <c r="R82" i="1"/>
  <c r="S82" i="1"/>
  <c r="R83" i="1"/>
  <c r="S83" i="1"/>
  <c r="R84" i="1"/>
  <c r="S84" i="1"/>
  <c r="R85" i="1"/>
  <c r="S85" i="1"/>
  <c r="R86" i="1"/>
  <c r="S86" i="1"/>
  <c r="R87" i="1"/>
  <c r="S87" i="1"/>
  <c r="R88" i="1"/>
  <c r="S88" i="1"/>
  <c r="S12" i="1"/>
  <c r="T25" i="1"/>
  <c r="U25" i="1"/>
  <c r="R89" i="1"/>
  <c r="S89" i="1"/>
  <c r="R90" i="1"/>
  <c r="S90" i="1"/>
  <c r="R91" i="1"/>
  <c r="S91" i="1"/>
  <c r="R92" i="1"/>
  <c r="S92" i="1"/>
  <c r="R93" i="1"/>
  <c r="S93" i="1"/>
  <c r="R94" i="1"/>
  <c r="S94" i="1"/>
  <c r="R95" i="1"/>
  <c r="S95" i="1"/>
  <c r="R96" i="1"/>
  <c r="S96" i="1"/>
  <c r="R97" i="1"/>
  <c r="S97" i="1"/>
  <c r="R98" i="1"/>
  <c r="S98" i="1"/>
  <c r="S13" i="1"/>
  <c r="T26" i="1"/>
  <c r="U26" i="1"/>
  <c r="R99" i="1"/>
  <c r="S99" i="1"/>
  <c r="R100" i="1"/>
  <c r="S100" i="1"/>
  <c r="R101" i="1"/>
  <c r="S101" i="1"/>
  <c r="R102" i="1"/>
  <c r="S102" i="1"/>
  <c r="R103" i="1"/>
  <c r="S103" i="1"/>
  <c r="R104" i="1"/>
  <c r="S104" i="1"/>
  <c r="R105" i="1"/>
  <c r="S105" i="1"/>
  <c r="R106" i="1"/>
  <c r="S106" i="1"/>
  <c r="R107" i="1"/>
  <c r="S107" i="1"/>
  <c r="R108" i="1"/>
  <c r="S108" i="1"/>
  <c r="S14" i="1"/>
  <c r="T27" i="1"/>
  <c r="U27" i="1"/>
  <c r="R109" i="1"/>
  <c r="S109" i="1"/>
  <c r="R110" i="1"/>
  <c r="S110" i="1"/>
  <c r="R111" i="1"/>
  <c r="S111" i="1"/>
  <c r="R112" i="1"/>
  <c r="S112" i="1"/>
  <c r="R113" i="1"/>
  <c r="S113" i="1"/>
  <c r="R114" i="1"/>
  <c r="S114" i="1"/>
  <c r="R115" i="1"/>
  <c r="S115" i="1"/>
  <c r="R116" i="1"/>
  <c r="S116" i="1"/>
  <c r="R117" i="1"/>
  <c r="S117" i="1"/>
  <c r="R118" i="1"/>
  <c r="S118" i="1"/>
  <c r="S15" i="1"/>
  <c r="T28" i="1"/>
  <c r="U28" i="1"/>
  <c r="U6" i="1"/>
  <c r="V19" i="1"/>
  <c r="W19" i="1"/>
  <c r="T29" i="1"/>
  <c r="U29" i="1"/>
  <c r="T30" i="1"/>
  <c r="U30" i="1"/>
  <c r="T31" i="1"/>
  <c r="U31" i="1"/>
  <c r="T32" i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U7" i="1"/>
  <c r="V20" i="1"/>
  <c r="W20" i="1"/>
  <c r="T39" i="1"/>
  <c r="U39" i="1"/>
  <c r="T40" i="1"/>
  <c r="U40" i="1"/>
  <c r="T41" i="1"/>
  <c r="U41" i="1"/>
  <c r="T42" i="1"/>
  <c r="U42" i="1"/>
  <c r="T43" i="1"/>
  <c r="U43" i="1"/>
  <c r="T44" i="1"/>
  <c r="U44" i="1"/>
  <c r="T45" i="1"/>
  <c r="U45" i="1"/>
  <c r="T46" i="1"/>
  <c r="U46" i="1"/>
  <c r="T47" i="1"/>
  <c r="U47" i="1"/>
  <c r="T48" i="1"/>
  <c r="U48" i="1"/>
  <c r="U8" i="1"/>
  <c r="V21" i="1"/>
  <c r="W21" i="1"/>
  <c r="T49" i="1"/>
  <c r="U49" i="1"/>
  <c r="T50" i="1"/>
  <c r="U50" i="1"/>
  <c r="T51" i="1"/>
  <c r="U51" i="1"/>
  <c r="T52" i="1"/>
  <c r="U52" i="1"/>
  <c r="T53" i="1"/>
  <c r="U53" i="1"/>
  <c r="T54" i="1"/>
  <c r="U54" i="1"/>
  <c r="T55" i="1"/>
  <c r="U55" i="1"/>
  <c r="T56" i="1"/>
  <c r="U56" i="1"/>
  <c r="T57" i="1"/>
  <c r="U57" i="1"/>
  <c r="T58" i="1"/>
  <c r="U58" i="1"/>
  <c r="U9" i="1"/>
  <c r="V22" i="1"/>
  <c r="W22" i="1"/>
  <c r="T59" i="1"/>
  <c r="U59" i="1"/>
  <c r="T60" i="1"/>
  <c r="U60" i="1"/>
  <c r="T61" i="1"/>
  <c r="U61" i="1"/>
  <c r="T62" i="1"/>
  <c r="U62" i="1"/>
  <c r="T63" i="1"/>
  <c r="U63" i="1"/>
  <c r="T64" i="1"/>
  <c r="U64" i="1"/>
  <c r="T65" i="1"/>
  <c r="U65" i="1"/>
  <c r="T66" i="1"/>
  <c r="U66" i="1"/>
  <c r="T67" i="1"/>
  <c r="U67" i="1"/>
  <c r="T68" i="1"/>
  <c r="U68" i="1"/>
  <c r="U10" i="1"/>
  <c r="V23" i="1"/>
  <c r="W23" i="1"/>
  <c r="T69" i="1"/>
  <c r="U69" i="1"/>
  <c r="T70" i="1"/>
  <c r="U70" i="1"/>
  <c r="T71" i="1"/>
  <c r="U71" i="1"/>
  <c r="T72" i="1"/>
  <c r="U72" i="1"/>
  <c r="T73" i="1"/>
  <c r="U73" i="1"/>
  <c r="T74" i="1"/>
  <c r="U74" i="1"/>
  <c r="T75" i="1"/>
  <c r="U75" i="1"/>
  <c r="T76" i="1"/>
  <c r="U76" i="1"/>
  <c r="T77" i="1"/>
  <c r="U77" i="1"/>
  <c r="T78" i="1"/>
  <c r="U78" i="1"/>
  <c r="U11" i="1"/>
  <c r="V24" i="1"/>
  <c r="W24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U12" i="1"/>
  <c r="V25" i="1"/>
  <c r="W25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U13" i="1"/>
  <c r="V26" i="1"/>
  <c r="W26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106" i="1"/>
  <c r="U106" i="1"/>
  <c r="T107" i="1"/>
  <c r="U107" i="1"/>
  <c r="T108" i="1"/>
  <c r="U108" i="1"/>
  <c r="U14" i="1"/>
  <c r="V27" i="1"/>
  <c r="W27" i="1"/>
  <c r="T109" i="1"/>
  <c r="U109" i="1"/>
  <c r="T110" i="1"/>
  <c r="U110" i="1"/>
  <c r="T111" i="1"/>
  <c r="U111" i="1"/>
  <c r="T112" i="1"/>
  <c r="U112" i="1"/>
  <c r="T113" i="1"/>
  <c r="U113" i="1"/>
  <c r="T114" i="1"/>
  <c r="U114" i="1"/>
  <c r="T115" i="1"/>
  <c r="U115" i="1"/>
  <c r="T116" i="1"/>
  <c r="U116" i="1"/>
  <c r="T117" i="1"/>
  <c r="U117" i="1"/>
  <c r="T118" i="1"/>
  <c r="U118" i="1"/>
  <c r="U15" i="1"/>
  <c r="V28" i="1"/>
  <c r="W28" i="1"/>
  <c r="W6" i="1"/>
  <c r="X19" i="1"/>
  <c r="Y19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W7" i="1"/>
  <c r="X20" i="1"/>
  <c r="Y20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W8" i="1"/>
  <c r="X21" i="1"/>
  <c r="Y21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W9" i="1"/>
  <c r="X22" i="1"/>
  <c r="Y22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V67" i="1"/>
  <c r="W67" i="1"/>
  <c r="V68" i="1"/>
  <c r="W68" i="1"/>
  <c r="W10" i="1"/>
  <c r="X23" i="1"/>
  <c r="Y23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W11" i="1"/>
  <c r="X24" i="1"/>
  <c r="Y24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W12" i="1"/>
  <c r="X25" i="1"/>
  <c r="Y25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W97" i="1"/>
  <c r="V98" i="1"/>
  <c r="W98" i="1"/>
  <c r="W13" i="1"/>
  <c r="X26" i="1"/>
  <c r="Y26" i="1"/>
  <c r="V99" i="1"/>
  <c r="W99" i="1"/>
  <c r="V100" i="1"/>
  <c r="W100" i="1"/>
  <c r="V101" i="1"/>
  <c r="W101" i="1"/>
  <c r="V102" i="1"/>
  <c r="W102" i="1"/>
  <c r="V103" i="1"/>
  <c r="W103" i="1"/>
  <c r="V104" i="1"/>
  <c r="W104" i="1"/>
  <c r="V105" i="1"/>
  <c r="W105" i="1"/>
  <c r="V106" i="1"/>
  <c r="W106" i="1"/>
  <c r="V107" i="1"/>
  <c r="W107" i="1"/>
  <c r="V108" i="1"/>
  <c r="W108" i="1"/>
  <c r="W14" i="1"/>
  <c r="X27" i="1"/>
  <c r="Y27" i="1"/>
  <c r="V109" i="1"/>
  <c r="W109" i="1"/>
  <c r="V110" i="1"/>
  <c r="W110" i="1"/>
  <c r="V111" i="1"/>
  <c r="W111" i="1"/>
  <c r="V112" i="1"/>
  <c r="W112" i="1"/>
  <c r="V113" i="1"/>
  <c r="W113" i="1"/>
  <c r="V114" i="1"/>
  <c r="W114" i="1"/>
  <c r="V115" i="1"/>
  <c r="W115" i="1"/>
  <c r="V116" i="1"/>
  <c r="W116" i="1"/>
  <c r="V117" i="1"/>
  <c r="W117" i="1"/>
  <c r="V118" i="1"/>
  <c r="W118" i="1"/>
  <c r="W15" i="1"/>
  <c r="X28" i="1"/>
  <c r="Y28" i="1"/>
  <c r="Y6" i="1"/>
  <c r="Z19" i="1"/>
  <c r="AA19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Y7" i="1"/>
  <c r="Z20" i="1"/>
  <c r="AA20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Y8" i="1"/>
  <c r="Z21" i="1"/>
  <c r="AA21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Y9" i="1"/>
  <c r="Z22" i="1"/>
  <c r="AA22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Y10" i="1"/>
  <c r="Z23" i="1"/>
  <c r="AA23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Y11" i="1"/>
  <c r="Z24" i="1"/>
  <c r="AA24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Y12" i="1"/>
  <c r="Z25" i="1"/>
  <c r="AA25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Y13" i="1"/>
  <c r="Z26" i="1"/>
  <c r="AA26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Y14" i="1"/>
  <c r="Z27" i="1"/>
  <c r="AA27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Y15" i="1"/>
  <c r="Z28" i="1"/>
  <c r="AA28" i="1"/>
  <c r="AA6" i="1"/>
  <c r="AB19" i="1"/>
  <c r="AC19" i="1"/>
  <c r="Z29" i="1"/>
  <c r="AA29" i="1"/>
  <c r="Z30" i="1"/>
  <c r="AA30" i="1"/>
  <c r="Z31" i="1"/>
  <c r="AA31" i="1"/>
  <c r="Z32" i="1"/>
  <c r="AA32" i="1"/>
  <c r="Z33" i="1"/>
  <c r="AA33" i="1"/>
  <c r="Z34" i="1"/>
  <c r="AA34" i="1"/>
  <c r="Z35" i="1"/>
  <c r="AA35" i="1"/>
  <c r="Z36" i="1"/>
  <c r="AA36" i="1"/>
  <c r="Z37" i="1"/>
  <c r="AA37" i="1"/>
  <c r="Z38" i="1"/>
  <c r="AA38" i="1"/>
  <c r="AA7" i="1"/>
  <c r="AB20" i="1"/>
  <c r="AC20" i="1"/>
  <c r="Z39" i="1"/>
  <c r="AA39" i="1"/>
  <c r="Z40" i="1"/>
  <c r="AA40" i="1"/>
  <c r="Z41" i="1"/>
  <c r="AA41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AA8" i="1"/>
  <c r="AB21" i="1"/>
  <c r="AC21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AA9" i="1"/>
  <c r="AB22" i="1"/>
  <c r="AC22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AA10" i="1"/>
  <c r="AB23" i="1"/>
  <c r="AC23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AA11" i="1"/>
  <c r="AB24" i="1"/>
  <c r="AC24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AA12" i="1"/>
  <c r="AB25" i="1"/>
  <c r="AC25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98" i="1"/>
  <c r="AA98" i="1"/>
  <c r="AA13" i="1"/>
  <c r="AB26" i="1"/>
  <c r="AC26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106" i="1"/>
  <c r="AA106" i="1"/>
  <c r="Z107" i="1"/>
  <c r="AA107" i="1"/>
  <c r="Z108" i="1"/>
  <c r="AA108" i="1"/>
  <c r="AA14" i="1"/>
  <c r="AB27" i="1"/>
  <c r="AC27" i="1"/>
  <c r="Z109" i="1"/>
  <c r="AA109" i="1"/>
  <c r="Z110" i="1"/>
  <c r="AA110" i="1"/>
  <c r="Z111" i="1"/>
  <c r="AA111" i="1"/>
  <c r="Z112" i="1"/>
  <c r="AA112" i="1"/>
  <c r="Z113" i="1"/>
  <c r="AA113" i="1"/>
  <c r="Z114" i="1"/>
  <c r="AA114" i="1"/>
  <c r="Z115" i="1"/>
  <c r="AA115" i="1"/>
  <c r="Z116" i="1"/>
  <c r="AA116" i="1"/>
  <c r="Z117" i="1"/>
  <c r="AA117" i="1"/>
  <c r="Z118" i="1"/>
  <c r="AA118" i="1"/>
  <c r="AA15" i="1"/>
  <c r="AB28" i="1"/>
  <c r="AC28" i="1"/>
  <c r="AC6" i="1"/>
  <c r="AD19" i="1"/>
  <c r="AE19" i="1"/>
  <c r="AB29" i="1"/>
  <c r="AC29" i="1"/>
  <c r="AB30" i="1"/>
  <c r="AC30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C7" i="1"/>
  <c r="AD20" i="1"/>
  <c r="AE20" i="1"/>
  <c r="AB39" i="1"/>
  <c r="AC39" i="1"/>
  <c r="AB40" i="1"/>
  <c r="AC40" i="1"/>
  <c r="AB41" i="1"/>
  <c r="AC41" i="1"/>
  <c r="AB42" i="1"/>
  <c r="AC42" i="1"/>
  <c r="AB43" i="1"/>
  <c r="AC43" i="1"/>
  <c r="AB44" i="1"/>
  <c r="AC44" i="1"/>
  <c r="AB45" i="1"/>
  <c r="AC45" i="1"/>
  <c r="AB46" i="1"/>
  <c r="AC46" i="1"/>
  <c r="AB47" i="1"/>
  <c r="AC47" i="1"/>
  <c r="AB48" i="1"/>
  <c r="AC48" i="1"/>
  <c r="AC8" i="1"/>
  <c r="AD21" i="1"/>
  <c r="AE21" i="1"/>
  <c r="AB49" i="1"/>
  <c r="AC49" i="1"/>
  <c r="AB50" i="1"/>
  <c r="AC50" i="1"/>
  <c r="AB51" i="1"/>
  <c r="AC51" i="1"/>
  <c r="AB52" i="1"/>
  <c r="AC52" i="1"/>
  <c r="AB53" i="1"/>
  <c r="AC53" i="1"/>
  <c r="AB54" i="1"/>
  <c r="AC54" i="1"/>
  <c r="AB55" i="1"/>
  <c r="AC55" i="1"/>
  <c r="AB56" i="1"/>
  <c r="AC56" i="1"/>
  <c r="AB57" i="1"/>
  <c r="AC57" i="1"/>
  <c r="AB58" i="1"/>
  <c r="AC58" i="1"/>
  <c r="AC9" i="1"/>
  <c r="AD22" i="1"/>
  <c r="AE22" i="1"/>
  <c r="AB59" i="1"/>
  <c r="AC59" i="1"/>
  <c r="AB60" i="1"/>
  <c r="AC60" i="1"/>
  <c r="AB61" i="1"/>
  <c r="AC61" i="1"/>
  <c r="AB62" i="1"/>
  <c r="AC62" i="1"/>
  <c r="AB63" i="1"/>
  <c r="AC63" i="1"/>
  <c r="AB64" i="1"/>
  <c r="AC64" i="1"/>
  <c r="AB65" i="1"/>
  <c r="AC65" i="1"/>
  <c r="AB66" i="1"/>
  <c r="AC66" i="1"/>
  <c r="AB67" i="1"/>
  <c r="AC67" i="1"/>
  <c r="AB68" i="1"/>
  <c r="AC68" i="1"/>
  <c r="AC10" i="1"/>
  <c r="AD23" i="1"/>
  <c r="AE23" i="1"/>
  <c r="AB69" i="1"/>
  <c r="AC69" i="1"/>
  <c r="AB70" i="1"/>
  <c r="AC70" i="1"/>
  <c r="AB71" i="1"/>
  <c r="AC71" i="1"/>
  <c r="AB72" i="1"/>
  <c r="AC72" i="1"/>
  <c r="AB73" i="1"/>
  <c r="AC73" i="1"/>
  <c r="AB74" i="1"/>
  <c r="AC74" i="1"/>
  <c r="AB75" i="1"/>
  <c r="AC75" i="1"/>
  <c r="AB76" i="1"/>
  <c r="AC76" i="1"/>
  <c r="AB77" i="1"/>
  <c r="AC77" i="1"/>
  <c r="AB78" i="1"/>
  <c r="AC78" i="1"/>
  <c r="AC11" i="1"/>
  <c r="AD24" i="1"/>
  <c r="AE24" i="1"/>
  <c r="AB79" i="1"/>
  <c r="AC79" i="1"/>
  <c r="AB80" i="1"/>
  <c r="AC80" i="1"/>
  <c r="AB81" i="1"/>
  <c r="AC81" i="1"/>
  <c r="AB82" i="1"/>
  <c r="AC82" i="1"/>
  <c r="AB83" i="1"/>
  <c r="AC83" i="1"/>
  <c r="AB84" i="1"/>
  <c r="AC84" i="1"/>
  <c r="AB85" i="1"/>
  <c r="AC85" i="1"/>
  <c r="AB86" i="1"/>
  <c r="AC86" i="1"/>
  <c r="AB87" i="1"/>
  <c r="AC87" i="1"/>
  <c r="AB88" i="1"/>
  <c r="AC88" i="1"/>
  <c r="AC12" i="1"/>
  <c r="AD25" i="1"/>
  <c r="AE25" i="1"/>
  <c r="AB89" i="1"/>
  <c r="AC89" i="1"/>
  <c r="AB90" i="1"/>
  <c r="AC90" i="1"/>
  <c r="AB91" i="1"/>
  <c r="AC91" i="1"/>
  <c r="AB92" i="1"/>
  <c r="AC92" i="1"/>
  <c r="AB93" i="1"/>
  <c r="AC93" i="1"/>
  <c r="AB94" i="1"/>
  <c r="AC94" i="1"/>
  <c r="AB95" i="1"/>
  <c r="AC95" i="1"/>
  <c r="AB96" i="1"/>
  <c r="AC96" i="1"/>
  <c r="AB97" i="1"/>
  <c r="AC97" i="1"/>
  <c r="AB98" i="1"/>
  <c r="AC98" i="1"/>
  <c r="AC13" i="1"/>
  <c r="AD26" i="1"/>
  <c r="AE26" i="1"/>
  <c r="AB99" i="1"/>
  <c r="AC99" i="1"/>
  <c r="AB100" i="1"/>
  <c r="AC100" i="1"/>
  <c r="AB101" i="1"/>
  <c r="AC101" i="1"/>
  <c r="AB102" i="1"/>
  <c r="AC102" i="1"/>
  <c r="AB103" i="1"/>
  <c r="AC103" i="1"/>
  <c r="AB104" i="1"/>
  <c r="AC104" i="1"/>
  <c r="AB105" i="1"/>
  <c r="AC105" i="1"/>
  <c r="AB106" i="1"/>
  <c r="AC106" i="1"/>
  <c r="AB107" i="1"/>
  <c r="AC107" i="1"/>
  <c r="AB108" i="1"/>
  <c r="AC108" i="1"/>
  <c r="AC14" i="1"/>
  <c r="AD27" i="1"/>
  <c r="AE27" i="1"/>
  <c r="AB109" i="1"/>
  <c r="AC109" i="1"/>
  <c r="AB110" i="1"/>
  <c r="AC110" i="1"/>
  <c r="AB111" i="1"/>
  <c r="AC111" i="1"/>
  <c r="AB112" i="1"/>
  <c r="AC112" i="1"/>
  <c r="AB113" i="1"/>
  <c r="AC113" i="1"/>
  <c r="AB114" i="1"/>
  <c r="AC114" i="1"/>
  <c r="AB115" i="1"/>
  <c r="AC115" i="1"/>
  <c r="AB116" i="1"/>
  <c r="AC116" i="1"/>
  <c r="AB117" i="1"/>
  <c r="AC117" i="1"/>
  <c r="AB118" i="1"/>
  <c r="AC118" i="1"/>
  <c r="AC15" i="1"/>
  <c r="AD28" i="1"/>
  <c r="AE28" i="1"/>
  <c r="AE6" i="1"/>
  <c r="AF109" i="1"/>
  <c r="AG109" i="1"/>
  <c r="AD29" i="1"/>
  <c r="AE29" i="1"/>
  <c r="AD30" i="1"/>
  <c r="AE30" i="1"/>
  <c r="AD31" i="1"/>
  <c r="AE31" i="1"/>
  <c r="AD32" i="1"/>
  <c r="AE32" i="1"/>
  <c r="AD33" i="1"/>
  <c r="AE33" i="1"/>
  <c r="AD34" i="1"/>
  <c r="AE34" i="1"/>
  <c r="AD35" i="1"/>
  <c r="AE35" i="1"/>
  <c r="AD36" i="1"/>
  <c r="AE36" i="1"/>
  <c r="AD37" i="1"/>
  <c r="AE37" i="1"/>
  <c r="AD38" i="1"/>
  <c r="AE38" i="1"/>
  <c r="AE7" i="1"/>
  <c r="AF110" i="1"/>
  <c r="AG110" i="1"/>
  <c r="AD39" i="1"/>
  <c r="AE39" i="1"/>
  <c r="AD40" i="1"/>
  <c r="AE40" i="1"/>
  <c r="AD41" i="1"/>
  <c r="AE41" i="1"/>
  <c r="AD42" i="1"/>
  <c r="AE42" i="1"/>
  <c r="AD43" i="1"/>
  <c r="AE43" i="1"/>
  <c r="AD44" i="1"/>
  <c r="AE44" i="1"/>
  <c r="AD45" i="1"/>
  <c r="AE45" i="1"/>
  <c r="AD46" i="1"/>
  <c r="AE46" i="1"/>
  <c r="AD47" i="1"/>
  <c r="AE47" i="1"/>
  <c r="AD48" i="1"/>
  <c r="AE48" i="1"/>
  <c r="AE8" i="1"/>
  <c r="AF111" i="1"/>
  <c r="AG111" i="1"/>
  <c r="AD49" i="1"/>
  <c r="AE49" i="1"/>
  <c r="AD50" i="1"/>
  <c r="AE50" i="1"/>
  <c r="AD51" i="1"/>
  <c r="AE51" i="1"/>
  <c r="AD52" i="1"/>
  <c r="AE52" i="1"/>
  <c r="AD53" i="1"/>
  <c r="AE53" i="1"/>
  <c r="AD54" i="1"/>
  <c r="AE54" i="1"/>
  <c r="AD55" i="1"/>
  <c r="AE55" i="1"/>
  <c r="AD56" i="1"/>
  <c r="AE56" i="1"/>
  <c r="AD57" i="1"/>
  <c r="AE57" i="1"/>
  <c r="AD58" i="1"/>
  <c r="AE58" i="1"/>
  <c r="AE9" i="1"/>
  <c r="AF112" i="1"/>
  <c r="AG112" i="1"/>
  <c r="AD59" i="1"/>
  <c r="AE59" i="1"/>
  <c r="AD60" i="1"/>
  <c r="AE60" i="1"/>
  <c r="AD61" i="1"/>
  <c r="AE61" i="1"/>
  <c r="AD62" i="1"/>
  <c r="AE62" i="1"/>
  <c r="AD63" i="1"/>
  <c r="AE63" i="1"/>
  <c r="AD64" i="1"/>
  <c r="AE64" i="1"/>
  <c r="AD65" i="1"/>
  <c r="AE65" i="1"/>
  <c r="AD66" i="1"/>
  <c r="AE66" i="1"/>
  <c r="AD67" i="1"/>
  <c r="AE67" i="1"/>
  <c r="AD68" i="1"/>
  <c r="AE68" i="1"/>
  <c r="AE10" i="1"/>
  <c r="AF113" i="1"/>
  <c r="AG113" i="1"/>
  <c r="AD69" i="1"/>
  <c r="AE69" i="1"/>
  <c r="AD70" i="1"/>
  <c r="AE70" i="1"/>
  <c r="AD71" i="1"/>
  <c r="AE71" i="1"/>
  <c r="AD72" i="1"/>
  <c r="AE72" i="1"/>
  <c r="AD73" i="1"/>
  <c r="AE73" i="1"/>
  <c r="AD74" i="1"/>
  <c r="AE74" i="1"/>
  <c r="AD75" i="1"/>
  <c r="AE75" i="1"/>
  <c r="AD76" i="1"/>
  <c r="AE76" i="1"/>
  <c r="AD77" i="1"/>
  <c r="AE77" i="1"/>
  <c r="AD78" i="1"/>
  <c r="AE78" i="1"/>
  <c r="AE11" i="1"/>
  <c r="AF114" i="1"/>
  <c r="AG114" i="1"/>
  <c r="AD79" i="1"/>
  <c r="AE79" i="1"/>
  <c r="AD80" i="1"/>
  <c r="AE80" i="1"/>
  <c r="AD81" i="1"/>
  <c r="AE81" i="1"/>
  <c r="AD82" i="1"/>
  <c r="AE82" i="1"/>
  <c r="AD83" i="1"/>
  <c r="AE83" i="1"/>
  <c r="AD84" i="1"/>
  <c r="AE84" i="1"/>
  <c r="AD85" i="1"/>
  <c r="AE85" i="1"/>
  <c r="AD86" i="1"/>
  <c r="AE86" i="1"/>
  <c r="AD87" i="1"/>
  <c r="AE87" i="1"/>
  <c r="AD88" i="1"/>
  <c r="AE88" i="1"/>
  <c r="AE12" i="1"/>
  <c r="AF115" i="1"/>
  <c r="AG115" i="1"/>
  <c r="AD89" i="1"/>
  <c r="AE89" i="1"/>
  <c r="AD90" i="1"/>
  <c r="AE90" i="1"/>
  <c r="AD91" i="1"/>
  <c r="AE91" i="1"/>
  <c r="AD92" i="1"/>
  <c r="AE92" i="1"/>
  <c r="AD93" i="1"/>
  <c r="AE93" i="1"/>
  <c r="AD94" i="1"/>
  <c r="AE94" i="1"/>
  <c r="AD95" i="1"/>
  <c r="AE95" i="1"/>
  <c r="AD96" i="1"/>
  <c r="AE96" i="1"/>
  <c r="AD97" i="1"/>
  <c r="AE97" i="1"/>
  <c r="AD98" i="1"/>
  <c r="AE98" i="1"/>
  <c r="AE13" i="1"/>
  <c r="AF116" i="1"/>
  <c r="AG116" i="1"/>
  <c r="AD99" i="1"/>
  <c r="AE99" i="1"/>
  <c r="AD100" i="1"/>
  <c r="AE100" i="1"/>
  <c r="AD101" i="1"/>
  <c r="AE101" i="1"/>
  <c r="AD102" i="1"/>
  <c r="AE102" i="1"/>
  <c r="AD103" i="1"/>
  <c r="AE103" i="1"/>
  <c r="AD104" i="1"/>
  <c r="AE104" i="1"/>
  <c r="AD105" i="1"/>
  <c r="AE105" i="1"/>
  <c r="AD106" i="1"/>
  <c r="AE106" i="1"/>
  <c r="AD107" i="1"/>
  <c r="AE107" i="1"/>
  <c r="AD108" i="1"/>
  <c r="AE108" i="1"/>
  <c r="AE14" i="1"/>
  <c r="AF117" i="1"/>
  <c r="AG117" i="1"/>
  <c r="AD109" i="1"/>
  <c r="AE109" i="1"/>
  <c r="AD110" i="1"/>
  <c r="AE110" i="1"/>
  <c r="AD111" i="1"/>
  <c r="AE111" i="1"/>
  <c r="AD112" i="1"/>
  <c r="AE112" i="1"/>
  <c r="AD113" i="1"/>
  <c r="AE113" i="1"/>
  <c r="AD114" i="1"/>
  <c r="AE114" i="1"/>
  <c r="AD115" i="1"/>
  <c r="AE115" i="1"/>
  <c r="AD116" i="1"/>
  <c r="AE116" i="1"/>
  <c r="AD117" i="1"/>
  <c r="AE117" i="1"/>
  <c r="AD118" i="1"/>
  <c r="AE118" i="1"/>
  <c r="AE15" i="1"/>
  <c r="AF118" i="1"/>
  <c r="AG118" i="1"/>
  <c r="AG15" i="1"/>
  <c r="AH118" i="1"/>
  <c r="AF99" i="1"/>
  <c r="AG99" i="1"/>
  <c r="AF100" i="1"/>
  <c r="AG100" i="1"/>
  <c r="AF101" i="1"/>
  <c r="AG101" i="1"/>
  <c r="AF102" i="1"/>
  <c r="AG102" i="1"/>
  <c r="AF103" i="1"/>
  <c r="AG103" i="1"/>
  <c r="AF104" i="1"/>
  <c r="AG104" i="1"/>
  <c r="AF105" i="1"/>
  <c r="AG105" i="1"/>
  <c r="AF106" i="1"/>
  <c r="AG106" i="1"/>
  <c r="AF107" i="1"/>
  <c r="AG107" i="1"/>
  <c r="AF108" i="1"/>
  <c r="AG108" i="1"/>
  <c r="AG14" i="1"/>
  <c r="AH117" i="1"/>
  <c r="AF89" i="1"/>
  <c r="AG89" i="1"/>
  <c r="AF90" i="1"/>
  <c r="AG90" i="1"/>
  <c r="AF91" i="1"/>
  <c r="AG91" i="1"/>
  <c r="AF92" i="1"/>
  <c r="AG92" i="1"/>
  <c r="AF93" i="1"/>
  <c r="AG93" i="1"/>
  <c r="AF94" i="1"/>
  <c r="AG94" i="1"/>
  <c r="AF95" i="1"/>
  <c r="AG95" i="1"/>
  <c r="AF96" i="1"/>
  <c r="AG96" i="1"/>
  <c r="AF97" i="1"/>
  <c r="AG97" i="1"/>
  <c r="AF98" i="1"/>
  <c r="AG98" i="1"/>
  <c r="AG13" i="1"/>
  <c r="AH116" i="1"/>
  <c r="AF79" i="1"/>
  <c r="AG79" i="1"/>
  <c r="AF80" i="1"/>
  <c r="AG80" i="1"/>
  <c r="AF81" i="1"/>
  <c r="AG81" i="1"/>
  <c r="AF82" i="1"/>
  <c r="AG82" i="1"/>
  <c r="AF83" i="1"/>
  <c r="AG83" i="1"/>
  <c r="AF84" i="1"/>
  <c r="AG84" i="1"/>
  <c r="AF85" i="1"/>
  <c r="AG85" i="1"/>
  <c r="AF86" i="1"/>
  <c r="AG86" i="1"/>
  <c r="AF87" i="1"/>
  <c r="AG87" i="1"/>
  <c r="AF88" i="1"/>
  <c r="AG88" i="1"/>
  <c r="AG12" i="1"/>
  <c r="AH115" i="1"/>
  <c r="AF69" i="1"/>
  <c r="AG69" i="1"/>
  <c r="AF70" i="1"/>
  <c r="AG70" i="1"/>
  <c r="AF71" i="1"/>
  <c r="AG71" i="1"/>
  <c r="AF72" i="1"/>
  <c r="AG72" i="1"/>
  <c r="AF73" i="1"/>
  <c r="AG73" i="1"/>
  <c r="AF74" i="1"/>
  <c r="AG74" i="1"/>
  <c r="AF75" i="1"/>
  <c r="AG75" i="1"/>
  <c r="AF76" i="1"/>
  <c r="AG76" i="1"/>
  <c r="AF77" i="1"/>
  <c r="AG77" i="1"/>
  <c r="AF78" i="1"/>
  <c r="AG78" i="1"/>
  <c r="AG11" i="1"/>
  <c r="AH114" i="1"/>
  <c r="AF59" i="1"/>
  <c r="AG59" i="1"/>
  <c r="AF60" i="1"/>
  <c r="AG60" i="1"/>
  <c r="AF61" i="1"/>
  <c r="AG61" i="1"/>
  <c r="AF62" i="1"/>
  <c r="AG62" i="1"/>
  <c r="AF63" i="1"/>
  <c r="AG63" i="1"/>
  <c r="AF64" i="1"/>
  <c r="AG64" i="1"/>
  <c r="AF65" i="1"/>
  <c r="AG65" i="1"/>
  <c r="AF66" i="1"/>
  <c r="AG66" i="1"/>
  <c r="AF67" i="1"/>
  <c r="AG67" i="1"/>
  <c r="AF68" i="1"/>
  <c r="AG68" i="1"/>
  <c r="AG10" i="1"/>
  <c r="AH113" i="1"/>
  <c r="AF49" i="1"/>
  <c r="AG49" i="1"/>
  <c r="AF50" i="1"/>
  <c r="AG50" i="1"/>
  <c r="AF51" i="1"/>
  <c r="AG51" i="1"/>
  <c r="AF52" i="1"/>
  <c r="AG52" i="1"/>
  <c r="AF53" i="1"/>
  <c r="AG53" i="1"/>
  <c r="AF54" i="1"/>
  <c r="AG54" i="1"/>
  <c r="AF55" i="1"/>
  <c r="AG55" i="1"/>
  <c r="AF56" i="1"/>
  <c r="AG56" i="1"/>
  <c r="AF57" i="1"/>
  <c r="AG57" i="1"/>
  <c r="AF58" i="1"/>
  <c r="AG58" i="1"/>
  <c r="AG9" i="1"/>
  <c r="AH112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5" i="1"/>
  <c r="AG45" i="1"/>
  <c r="AF46" i="1"/>
  <c r="AG46" i="1"/>
  <c r="AF47" i="1"/>
  <c r="AG47" i="1"/>
  <c r="AF48" i="1"/>
  <c r="AG48" i="1"/>
  <c r="AG8" i="1"/>
  <c r="AH111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G7" i="1"/>
  <c r="AH110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G6" i="1"/>
  <c r="AH109" i="1"/>
  <c r="AH108" i="1"/>
  <c r="AH107" i="1"/>
  <c r="AH106" i="1"/>
  <c r="AH105" i="1"/>
  <c r="AH104" i="1"/>
  <c r="AH103" i="1"/>
  <c r="AH102" i="1"/>
  <c r="AH101" i="1"/>
  <c r="AH100" i="1"/>
  <c r="AH99" i="1"/>
  <c r="AH98" i="1"/>
  <c r="AH97" i="1"/>
  <c r="AH96" i="1"/>
  <c r="AH95" i="1"/>
  <c r="AH94" i="1"/>
  <c r="AH93" i="1"/>
  <c r="AH92" i="1"/>
  <c r="AH91" i="1"/>
  <c r="AH90" i="1"/>
  <c r="AH89" i="1"/>
  <c r="AH88" i="1"/>
  <c r="AH87" i="1"/>
  <c r="AH86" i="1"/>
  <c r="AH85" i="1"/>
  <c r="AH84" i="1"/>
  <c r="AH83" i="1"/>
  <c r="AH82" i="1"/>
  <c r="AH81" i="1"/>
  <c r="AH80" i="1"/>
  <c r="AH79" i="1"/>
  <c r="AH78" i="1"/>
  <c r="AH77" i="1"/>
  <c r="AH76" i="1"/>
  <c r="AH75" i="1"/>
  <c r="AH74" i="1"/>
  <c r="AH73" i="1"/>
  <c r="AH72" i="1"/>
  <c r="AH71" i="1"/>
  <c r="AH70" i="1"/>
  <c r="AH69" i="1"/>
  <c r="AH68" i="1"/>
  <c r="AH67" i="1"/>
  <c r="AH66" i="1"/>
  <c r="AH65" i="1"/>
  <c r="AH64" i="1"/>
  <c r="AH63" i="1"/>
  <c r="AH62" i="1"/>
  <c r="AH61" i="1"/>
  <c r="AH60" i="1"/>
  <c r="AH59" i="1"/>
  <c r="AH58" i="1"/>
  <c r="AH57" i="1"/>
  <c r="AH56" i="1"/>
  <c r="AH55" i="1"/>
  <c r="AH54" i="1"/>
  <c r="AH53" i="1"/>
  <c r="AH52" i="1"/>
  <c r="AH51" i="1"/>
  <c r="AH50" i="1"/>
  <c r="AH49" i="1"/>
  <c r="AH48" i="1"/>
  <c r="AH47" i="1"/>
  <c r="AH46" i="1"/>
  <c r="AH45" i="1"/>
  <c r="AH44" i="1"/>
  <c r="AH43" i="1"/>
  <c r="AH42" i="1"/>
  <c r="AH41" i="1"/>
  <c r="AH40" i="1"/>
  <c r="AH39" i="1"/>
  <c r="AH3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</calcChain>
</file>

<file path=xl/sharedStrings.xml><?xml version="1.0" encoding="utf-8"?>
<sst xmlns="http://schemas.openxmlformats.org/spreadsheetml/2006/main" count="72" uniqueCount="40">
  <si>
    <t>k</t>
  </si>
  <si>
    <t>k'</t>
  </si>
  <si>
    <t>v0</t>
  </si>
  <si>
    <t>v0(k')</t>
  </si>
  <si>
    <t>alpha</t>
  </si>
  <si>
    <t>beta</t>
  </si>
  <si>
    <t>U=ln(ct)</t>
  </si>
  <si>
    <t>V(k)=U(c)+beta*V(k')</t>
  </si>
  <si>
    <t>c=f(k)-k'=k^alpha-k'</t>
  </si>
  <si>
    <t>c</t>
  </si>
  <si>
    <t>U</t>
  </si>
  <si>
    <t>V1</t>
  </si>
  <si>
    <t>v2</t>
  </si>
  <si>
    <t>V2</t>
  </si>
  <si>
    <t>v3</t>
  </si>
  <si>
    <t>v1new</t>
  </si>
  <si>
    <t>V3</t>
  </si>
  <si>
    <t>V4</t>
  </si>
  <si>
    <t>V5</t>
  </si>
  <si>
    <t>V6</t>
  </si>
  <si>
    <t>v4</t>
  </si>
  <si>
    <t>v5</t>
  </si>
  <si>
    <t>v6</t>
  </si>
  <si>
    <t>v7</t>
  </si>
  <si>
    <t>V7</t>
  </si>
  <si>
    <t>v8</t>
  </si>
  <si>
    <t>V8</t>
  </si>
  <si>
    <t>v9</t>
  </si>
  <si>
    <t>V9</t>
  </si>
  <si>
    <t>v10</t>
  </si>
  <si>
    <t>V10</t>
  </si>
  <si>
    <t>v11</t>
  </si>
  <si>
    <t>V11</t>
  </si>
  <si>
    <t>v12</t>
  </si>
  <si>
    <t>V12</t>
  </si>
  <si>
    <t>v13</t>
  </si>
  <si>
    <t>V13</t>
  </si>
  <si>
    <t>v14</t>
  </si>
  <si>
    <t>V14</t>
  </si>
  <si>
    <t>V0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</si>
</sst>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VALUE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Gráficos!$B$3</c:f>
              <c:strCache>
                <c:ptCount val="1"/>
                <c:pt idx="0">
                  <c:v>V0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Gráficos!$A$4:$A$13</c:f>
              <c:numCache>
                <c:formatCode>General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</c:numCache>
            </c:numRef>
          </c:cat>
          <c:val>
            <c:numRef>
              <c:f>Gráficos!$B$4:$B$13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2-AD47-9F20-D1C535101E81}"/>
            </c:ext>
          </c:extLst>
        </c:ser>
        <c:ser>
          <c:idx val="0"/>
          <c:order val="1"/>
          <c:tx>
            <c:strRef>
              <c:f>Gráficos!$C$3</c:f>
              <c:strCache>
                <c:ptCount val="1"/>
                <c:pt idx="0">
                  <c:v>V1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Gráficos!$A$4:$A$13</c:f>
              <c:numCache>
                <c:formatCode>General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</c:numCache>
            </c:numRef>
          </c:cat>
          <c:val>
            <c:numRef>
              <c:f>Gráficos!$C$4:$C$13</c:f>
              <c:numCache>
                <c:formatCode>General</c:formatCode>
                <c:ptCount val="10"/>
                <c:pt idx="0">
                  <c:v>-1.2404656598035961</c:v>
                </c:pt>
                <c:pt idx="1">
                  <c:v>-1.0196233391755041</c:v>
                </c:pt>
                <c:pt idx="2">
                  <c:v>-0.89165385651553775</c:v>
                </c:pt>
                <c:pt idx="3">
                  <c:v>-0.80132369672045844</c:v>
                </c:pt>
                <c:pt idx="4">
                  <c:v>-0.73149882551768641</c:v>
                </c:pt>
                <c:pt idx="5">
                  <c:v>-0.67459246082376068</c:v>
                </c:pt>
                <c:pt idx="6">
                  <c:v>-0.6265743736743844</c:v>
                </c:pt>
                <c:pt idx="7">
                  <c:v>-0.58504649035866596</c:v>
                </c:pt>
                <c:pt idx="8">
                  <c:v>-0.5484659307481079</c:v>
                </c:pt>
                <c:pt idx="9">
                  <c:v>-0.51578144572408391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D2-AD47-9F20-D1C535101E81}"/>
            </c:ext>
          </c:extLst>
        </c:ser>
        <c:ser>
          <c:idx val="2"/>
          <c:order val="2"/>
          <c:tx>
            <c:strRef>
              <c:f>Gráficos!$D$3</c:f>
              <c:strCache>
                <c:ptCount val="1"/>
                <c:pt idx="0">
                  <c:v>V2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Gráficos!$A$4:$A$13</c:f>
              <c:numCache>
                <c:formatCode>General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</c:numCache>
            </c:numRef>
          </c:cat>
          <c:val>
            <c:numRef>
              <c:f>Gráficos!$D$4:$D$13</c:f>
              <c:numCache>
                <c:formatCode>General</c:formatCode>
                <c:ptCount val="10"/>
                <c:pt idx="0">
                  <c:v>-1.9238908431064008</c:v>
                </c:pt>
                <c:pt idx="1">
                  <c:v>-1.6721454891064989</c:v>
                </c:pt>
                <c:pt idx="2">
                  <c:v>-1.5293063503177047</c:v>
                </c:pt>
                <c:pt idx="3">
                  <c:v>-1.4256526939385066</c:v>
                </c:pt>
                <c:pt idx="4">
                  <c:v>-1.3454720267408284</c:v>
                </c:pt>
                <c:pt idx="5">
                  <c:v>-1.2807163272073794</c:v>
                </c:pt>
                <c:pt idx="6">
                  <c:v>-1.2264577774162566</c:v>
                </c:pt>
                <c:pt idx="7">
                  <c:v>-1.1789704614728567</c:v>
                </c:pt>
                <c:pt idx="8">
                  <c:v>-1.1363847313485864</c:v>
                </c:pt>
                <c:pt idx="9">
                  <c:v>-1.0985462034379376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D2-AD47-9F20-D1C535101E81}"/>
            </c:ext>
          </c:extLst>
        </c:ser>
        <c:ser>
          <c:idx val="3"/>
          <c:order val="3"/>
          <c:tx>
            <c:strRef>
              <c:f>Gráficos!$G$3</c:f>
              <c:strCache>
                <c:ptCount val="1"/>
                <c:pt idx="0">
                  <c:v>V5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Gráficos!$A$4:$A$13</c:f>
              <c:numCache>
                <c:formatCode>General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</c:numCache>
            </c:numRef>
          </c:cat>
          <c:val>
            <c:numRef>
              <c:f>Gráficos!$G$4:$G$13</c:f>
              <c:numCache>
                <c:formatCode>General</c:formatCode>
                <c:ptCount val="10"/>
                <c:pt idx="0">
                  <c:v>-2.6673233807947834</c:v>
                </c:pt>
                <c:pt idx="1">
                  <c:v>-2.415175658611969</c:v>
                </c:pt>
                <c:pt idx="2">
                  <c:v>-2.2648925357570864</c:v>
                </c:pt>
                <c:pt idx="3">
                  <c:v>-2.1598635946669313</c:v>
                </c:pt>
                <c:pt idx="4">
                  <c:v>-2.0796829274692534</c:v>
                </c:pt>
                <c:pt idx="5">
                  <c:v>-2.0123470370569194</c:v>
                </c:pt>
                <c:pt idx="6">
                  <c:v>-1.9556314592011241</c:v>
                </c:pt>
                <c:pt idx="7">
                  <c:v>-1.9069678846043376</c:v>
                </c:pt>
                <c:pt idx="8">
                  <c:v>-1.8643821544800672</c:v>
                </c:pt>
                <c:pt idx="9">
                  <c:v>-1.825592305155741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D2-AD47-9F20-D1C535101E81}"/>
            </c:ext>
          </c:extLst>
        </c:ser>
        <c:ser>
          <c:idx val="5"/>
          <c:order val="4"/>
          <c:tx>
            <c:strRef>
              <c:f>Gráficos!$L$3</c:f>
              <c:strCache>
                <c:ptCount val="1"/>
                <c:pt idx="0">
                  <c:v>V10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Gráficos!$A$4:$A$13</c:f>
              <c:numCache>
                <c:formatCode>General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</c:numCache>
            </c:numRef>
          </c:cat>
          <c:val>
            <c:numRef>
              <c:f>Gráficos!$L$4:$L$13</c:f>
              <c:numCache>
                <c:formatCode>General</c:formatCode>
                <c:ptCount val="10"/>
                <c:pt idx="0">
                  <c:v>-2.8538764812985602</c:v>
                </c:pt>
                <c:pt idx="1">
                  <c:v>-2.6017287591157459</c:v>
                </c:pt>
                <c:pt idx="2">
                  <c:v>-2.4514456362608632</c:v>
                </c:pt>
                <c:pt idx="3">
                  <c:v>-2.3464166951707082</c:v>
                </c:pt>
                <c:pt idx="4">
                  <c:v>-2.2662360279730303</c:v>
                </c:pt>
                <c:pt idx="5">
                  <c:v>-2.1989001375606962</c:v>
                </c:pt>
                <c:pt idx="6">
                  <c:v>-2.142184559704901</c:v>
                </c:pt>
                <c:pt idx="7">
                  <c:v>-2.0935209851081145</c:v>
                </c:pt>
                <c:pt idx="8">
                  <c:v>-2.0509352549838438</c:v>
                </c:pt>
                <c:pt idx="9">
                  <c:v>-2.0121454056595178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D2-AD47-9F20-D1C535101E81}"/>
            </c:ext>
          </c:extLst>
        </c:ser>
        <c:ser>
          <c:idx val="4"/>
          <c:order val="5"/>
          <c:tx>
            <c:strRef>
              <c:f>Gráficos!$P$3</c:f>
              <c:strCache>
                <c:ptCount val="1"/>
                <c:pt idx="0">
                  <c:v>V14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Gráficos!$A$4:$A$13</c:f>
              <c:numCache>
                <c:formatCode>General</c:formatCode>
                <c:ptCount val="10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0.14000000000000001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</c:numCache>
            </c:numRef>
          </c:cat>
          <c:val>
            <c:numRef>
              <c:f>Gráficos!$P$4:$P$13</c:f>
              <c:numCache>
                <c:formatCode>General</c:formatCode>
                <c:ptCount val="10"/>
                <c:pt idx="0">
                  <c:v>-2.8675674333939352</c:v>
                </c:pt>
                <c:pt idx="1">
                  <c:v>-2.6154197112111213</c:v>
                </c:pt>
                <c:pt idx="2">
                  <c:v>-2.4651365883562386</c:v>
                </c:pt>
                <c:pt idx="3">
                  <c:v>-2.3601076472660836</c:v>
                </c:pt>
                <c:pt idx="4">
                  <c:v>-2.2799269800684052</c:v>
                </c:pt>
                <c:pt idx="5">
                  <c:v>-2.2125910896560721</c:v>
                </c:pt>
                <c:pt idx="6">
                  <c:v>-2.1558755118002764</c:v>
                </c:pt>
                <c:pt idx="7">
                  <c:v>-2.1072119372034899</c:v>
                </c:pt>
                <c:pt idx="8">
                  <c:v>-2.0646262070792196</c:v>
                </c:pt>
                <c:pt idx="9">
                  <c:v>-2.0258363577548932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D2-AD47-9F20-D1C535101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557359"/>
        <c:axId val="1784589216"/>
      </c:lineChart>
      <c:catAx>
        <c:axId val="8155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84589216"/>
        <c:crosses val="autoZero"/>
        <c:auto val="1"/>
        <c:lblAlgn val="ctr"/>
        <c:lblOffset val="100"/>
        <c:noMultiLvlLbl val="0"/>
      </c:catAx>
      <c:valAx>
        <c:axId val="1784589216"/>
        <c:scaling>
          <c:orientation val="minMax"/>
          <c:min val="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1557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431800</xdr:colOff>
      <xdr:row>13</xdr:row>
      <xdr:rowOff>19050</xdr:rowOff>
    </xdr:from>
    <xdr:to>
      <xdr:col>14</xdr:col>
      <xdr:colOff>736600</xdr:colOff>
      <xdr:row>38</xdr:row>
      <xdr:rowOff>139700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5AC8E61-67A1-EB49-AD6B-9B6BE1ACD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0B750-C549-8542-87AC-A56A5DD23761}">
  <dimension ref="A2:AH118"/>
  <sheetViews>
    <sheetView tabSelected="1" zoomScale="80" zoomScaleNormal="80" workbookViewId="0"/>
  </sheetViews>
  <sheetFormatPr baseColWidth="10" defaultRowHeight="15.75" x14ac:dyDescent="0.25"/>
  <sheetData>
    <row r="2" spans="2:33" x14ac:dyDescent="0.25">
      <c r="C2" t="s">
        <v>4</v>
      </c>
      <c r="D2">
        <v>0.3</v>
      </c>
      <c r="E2" t="s">
        <v>6</v>
      </c>
      <c r="F2" t="s">
        <v>7</v>
      </c>
    </row>
    <row r="3" spans="2:33" x14ac:dyDescent="0.25">
      <c r="C3" t="s">
        <v>5</v>
      </c>
      <c r="D3">
        <v>0.6</v>
      </c>
      <c r="F3" t="s">
        <v>8</v>
      </c>
    </row>
    <row r="5" spans="2:33" x14ac:dyDescent="0.25">
      <c r="C5" t="s">
        <v>0</v>
      </c>
      <c r="D5" t="s">
        <v>1</v>
      </c>
      <c r="E5" t="s">
        <v>3</v>
      </c>
      <c r="G5" t="s">
        <v>11</v>
      </c>
      <c r="I5" t="s">
        <v>13</v>
      </c>
      <c r="K5" t="s">
        <v>16</v>
      </c>
      <c r="M5" t="s">
        <v>17</v>
      </c>
      <c r="O5" t="s">
        <v>18</v>
      </c>
      <c r="Q5" t="s">
        <v>19</v>
      </c>
      <c r="S5" t="s">
        <v>24</v>
      </c>
      <c r="U5" t="s">
        <v>26</v>
      </c>
      <c r="W5" t="s">
        <v>28</v>
      </c>
      <c r="Y5" t="s">
        <v>30</v>
      </c>
      <c r="AA5" t="s">
        <v>32</v>
      </c>
      <c r="AC5" t="s">
        <v>34</v>
      </c>
      <c r="AE5" t="s">
        <v>36</v>
      </c>
      <c r="AG5" t="s">
        <v>38</v>
      </c>
    </row>
    <row r="6" spans="2:33" x14ac:dyDescent="0.25">
      <c r="B6">
        <v>1</v>
      </c>
      <c r="C6">
        <v>0.02</v>
      </c>
      <c r="D6">
        <v>0.02</v>
      </c>
      <c r="E6">
        <v>0</v>
      </c>
      <c r="G6">
        <f>MAX(G19:G28)</f>
        <v>-1.2404656598035961</v>
      </c>
      <c r="I6">
        <f>MAX(I19:I28)</f>
        <v>-1.9238908431064008</v>
      </c>
      <c r="K6">
        <f>MAX(K19:K28)</f>
        <v>-2.3068847075706134</v>
      </c>
      <c r="M6">
        <f>MAX(M19:M28)</f>
        <v>-2.5324683173956846</v>
      </c>
      <c r="O6">
        <f>MAX(O19:O28)</f>
        <v>-2.6673233807947834</v>
      </c>
      <c r="Q6">
        <f>MAX(Q19:Q28)</f>
        <v>-2.7482364188342423</v>
      </c>
      <c r="S6">
        <f>MAX(S19:S28)</f>
        <v>-2.7967842416579174</v>
      </c>
      <c r="U6">
        <f>MAX(U19:U28)</f>
        <v>-2.8259129353521231</v>
      </c>
      <c r="W6">
        <f>MAX(W19:W28)</f>
        <v>-2.8433901515686459</v>
      </c>
      <c r="Y6">
        <f>MAX(Y19:Y28)</f>
        <v>-2.8538764812985602</v>
      </c>
      <c r="AA6">
        <f>MAX(AA19:AA28)</f>
        <v>-2.8601682791365084</v>
      </c>
      <c r="AC6">
        <f>MAX(AC19:AC28)</f>
        <v>-2.8639433578392772</v>
      </c>
      <c r="AE6">
        <f>MAX(AE19:AE28)</f>
        <v>-2.8662084050609389</v>
      </c>
      <c r="AG6">
        <f>MAX(AG19:AG28)</f>
        <v>-2.8675674333939352</v>
      </c>
    </row>
    <row r="7" spans="2:33" x14ac:dyDescent="0.25">
      <c r="B7">
        <v>2</v>
      </c>
      <c r="C7">
        <v>0.04</v>
      </c>
      <c r="D7">
        <v>0.04</v>
      </c>
      <c r="E7">
        <v>0</v>
      </c>
      <c r="G7">
        <f>MAX(G29:G38)</f>
        <v>-1.0196233391755041</v>
      </c>
      <c r="I7">
        <f>MAX(I29:I38)</f>
        <v>-1.6721454891064989</v>
      </c>
      <c r="K7">
        <f>MAX(K29:K38)</f>
        <v>-2.054736985387799</v>
      </c>
      <c r="M7">
        <f>MAX(M29:M38)</f>
        <v>-2.2803205952128707</v>
      </c>
      <c r="O7">
        <f>MAX(O29:O38)</f>
        <v>-2.415175658611969</v>
      </c>
      <c r="Q7">
        <f>MAX(Q29:Q38)</f>
        <v>-2.496088696651428</v>
      </c>
      <c r="S7">
        <f>MAX(S29:S38)</f>
        <v>-2.5446365194751035</v>
      </c>
      <c r="U7">
        <f>MAX(U29:U38)</f>
        <v>-2.5737652131693087</v>
      </c>
      <c r="W7">
        <f>MAX(W29:W38)</f>
        <v>-2.591242429385832</v>
      </c>
      <c r="Y7">
        <f>MAX(Y29:Y38)</f>
        <v>-2.6017287591157459</v>
      </c>
      <c r="AA7">
        <f>MAX(AA29:AA38)</f>
        <v>-2.6080205569536941</v>
      </c>
      <c r="AC7">
        <f>MAX(AC29:AC38)</f>
        <v>-2.6117956356564629</v>
      </c>
      <c r="AE7">
        <f>MAX(AE29:AE38)</f>
        <v>-2.6140606828781241</v>
      </c>
      <c r="AG7">
        <f>MAX(AG29:AG38)</f>
        <v>-2.6154197112111213</v>
      </c>
    </row>
    <row r="8" spans="2:33" x14ac:dyDescent="0.25">
      <c r="B8">
        <v>3</v>
      </c>
      <c r="C8">
        <v>0.06</v>
      </c>
      <c r="D8">
        <v>0.06</v>
      </c>
      <c r="E8">
        <v>0</v>
      </c>
      <c r="G8">
        <f>MAX(G39:G48)</f>
        <v>-0.89165385651553775</v>
      </c>
      <c r="I8">
        <f>MAX(I39:I48)</f>
        <v>-1.5293063503177047</v>
      </c>
      <c r="K8">
        <f>MAX(K39:K48)</f>
        <v>-1.9052790333594904</v>
      </c>
      <c r="M8">
        <f>MAX(M39:M48)</f>
        <v>-2.130037472357988</v>
      </c>
      <c r="O8">
        <f>MAX(O39:O48)</f>
        <v>-2.2648925357570864</v>
      </c>
      <c r="Q8">
        <f>MAX(Q39:Q48)</f>
        <v>-2.3458055737965453</v>
      </c>
      <c r="S8">
        <f>MAX(S39:S48)</f>
        <v>-2.3943533966202208</v>
      </c>
      <c r="U8">
        <f>MAX(U39:U48)</f>
        <v>-2.4234820903144261</v>
      </c>
      <c r="W8">
        <f>MAX(W39:W48)</f>
        <v>-2.4409593065309494</v>
      </c>
      <c r="Y8">
        <f>MAX(Y39:Y48)</f>
        <v>-2.4514456362608632</v>
      </c>
      <c r="AA8">
        <f>MAX(AA39:AA48)</f>
        <v>-2.4577374340988114</v>
      </c>
      <c r="AC8">
        <f>MAX(AC39:AC48)</f>
        <v>-2.4615125128015802</v>
      </c>
      <c r="AE8">
        <f>MAX(AE39:AE48)</f>
        <v>-2.4637775600232414</v>
      </c>
      <c r="AG8">
        <f>MAX(AG39:AG48)</f>
        <v>-2.4651365883562386</v>
      </c>
    </row>
    <row r="9" spans="2:33" x14ac:dyDescent="0.25">
      <c r="B9">
        <v>4</v>
      </c>
      <c r="C9">
        <v>0.08</v>
      </c>
      <c r="D9">
        <v>0.08</v>
      </c>
      <c r="E9">
        <v>0</v>
      </c>
      <c r="G9">
        <f>MAX(G49:G58)</f>
        <v>-0.80132369672045844</v>
      </c>
      <c r="I9">
        <f>MAX(I49:I58)</f>
        <v>-1.4256526939385066</v>
      </c>
      <c r="K9">
        <f>MAX(K49:K58)</f>
        <v>-1.8002500922693354</v>
      </c>
      <c r="M9">
        <f>MAX(M49:M58)</f>
        <v>-2.025008531267833</v>
      </c>
      <c r="O9">
        <f>MAX(O49:O58)</f>
        <v>-2.1598635946669313</v>
      </c>
      <c r="Q9">
        <f>MAX(Q49:Q58)</f>
        <v>-2.2407766327063903</v>
      </c>
      <c r="S9">
        <f>MAX(S49:S58)</f>
        <v>-2.2893244555300658</v>
      </c>
      <c r="U9">
        <f>MAX(U49:U58)</f>
        <v>-2.318453149224271</v>
      </c>
      <c r="W9">
        <f>MAX(W49:W58)</f>
        <v>-2.3359303654407944</v>
      </c>
      <c r="Y9">
        <f>MAX(Y49:Y58)</f>
        <v>-2.3464166951707082</v>
      </c>
      <c r="AA9">
        <f>MAX(AA49:AA58)</f>
        <v>-2.3527084930086564</v>
      </c>
      <c r="AC9">
        <f>MAX(AC49:AC58)</f>
        <v>-2.3564835717114252</v>
      </c>
      <c r="AE9">
        <f>MAX(AE49:AE58)</f>
        <v>-2.3587486189330864</v>
      </c>
      <c r="AG9">
        <f>MAX(AG49:AG58)</f>
        <v>-2.3601076472660836</v>
      </c>
    </row>
    <row r="10" spans="2:33" x14ac:dyDescent="0.25">
      <c r="B10">
        <v>5</v>
      </c>
      <c r="C10">
        <v>0.1</v>
      </c>
      <c r="D10">
        <v>0.1</v>
      </c>
      <c r="E10">
        <v>0</v>
      </c>
      <c r="G10">
        <f>MAX(G59:G68)</f>
        <v>-0.73149882551768641</v>
      </c>
      <c r="I10">
        <f>MAX(I59:I68)</f>
        <v>-1.3454720267408284</v>
      </c>
      <c r="K10">
        <f>MAX(K59:K68)</f>
        <v>-1.7200694250716573</v>
      </c>
      <c r="M10">
        <f>MAX(M59:M68)</f>
        <v>-1.9448278640701546</v>
      </c>
      <c r="O10">
        <f>MAX(O59:O68)</f>
        <v>-2.0796829274692534</v>
      </c>
      <c r="Q10">
        <f>MAX(Q59:Q68)</f>
        <v>-2.1605959655087119</v>
      </c>
      <c r="S10">
        <f>MAX(S59:S68)</f>
        <v>-2.2091437883323874</v>
      </c>
      <c r="U10">
        <f>MAX(U59:U68)</f>
        <v>-2.2382724820265931</v>
      </c>
      <c r="W10">
        <f>MAX(W59:W68)</f>
        <v>-2.255749698243116</v>
      </c>
      <c r="Y10">
        <f>MAX(Y59:Y68)</f>
        <v>-2.2662360279730303</v>
      </c>
      <c r="AA10">
        <f>MAX(AA59:AA68)</f>
        <v>-2.272527825810978</v>
      </c>
      <c r="AC10">
        <f>MAX(AC59:AC68)</f>
        <v>-2.2763029045137468</v>
      </c>
      <c r="AE10">
        <f>MAX(AE59:AE68)</f>
        <v>-2.2785679517354085</v>
      </c>
      <c r="AG10">
        <f>MAX(AG59:AG68)</f>
        <v>-2.2799269800684052</v>
      </c>
    </row>
    <row r="11" spans="2:33" x14ac:dyDescent="0.25">
      <c r="B11">
        <v>6</v>
      </c>
      <c r="C11">
        <v>0.12</v>
      </c>
      <c r="D11">
        <v>0.12</v>
      </c>
      <c r="E11">
        <v>0</v>
      </c>
      <c r="G11">
        <f>MAX(G69:G78)</f>
        <v>-0.67459246082376068</v>
      </c>
      <c r="I11">
        <f>MAX(I69:I78)</f>
        <v>-1.2807163272073794</v>
      </c>
      <c r="K11">
        <f>MAX(K69:K78)</f>
        <v>-1.6527335346593239</v>
      </c>
      <c r="M11">
        <f>MAX(M69:M78)</f>
        <v>-1.8774919736578213</v>
      </c>
      <c r="O11">
        <f>MAX(O69:O78)</f>
        <v>-2.0123470370569194</v>
      </c>
      <c r="Q11">
        <f>MAX(Q69:Q78)</f>
        <v>-2.0932600750963788</v>
      </c>
      <c r="S11">
        <f>MAX(S69:S78)</f>
        <v>-2.1418078979200539</v>
      </c>
      <c r="U11">
        <f>MAX(U69:U78)</f>
        <v>-2.1709365916142591</v>
      </c>
      <c r="W11">
        <f>MAX(W69:W78)</f>
        <v>-2.1884138078307829</v>
      </c>
      <c r="Y11">
        <f>MAX(Y69:Y78)</f>
        <v>-2.1989001375606962</v>
      </c>
      <c r="AA11">
        <f>MAX(AA69:AA78)</f>
        <v>-2.2051919353986449</v>
      </c>
      <c r="AC11">
        <f>MAX(AC69:AC78)</f>
        <v>-2.2089670141014137</v>
      </c>
      <c r="AE11">
        <f>MAX(AE69:AE78)</f>
        <v>-2.2112320613230754</v>
      </c>
      <c r="AG11">
        <f>MAX(AG69:AG78)</f>
        <v>-2.2125910896560721</v>
      </c>
    </row>
    <row r="12" spans="2:33" x14ac:dyDescent="0.25">
      <c r="B12">
        <v>7</v>
      </c>
      <c r="C12">
        <v>0.14000000000000001</v>
      </c>
      <c r="D12">
        <v>0.14000000000000001</v>
      </c>
      <c r="E12">
        <v>0</v>
      </c>
      <c r="G12">
        <f>MAX(G79:G88)</f>
        <v>-0.6265743736743844</v>
      </c>
      <c r="I12">
        <f>MAX(I79:I88)</f>
        <v>-1.2264577774162566</v>
      </c>
      <c r="K12">
        <f>MAX(K79:K88)</f>
        <v>-1.5960179568035284</v>
      </c>
      <c r="M12">
        <f>MAX(M79:M88)</f>
        <v>-1.8207763958020258</v>
      </c>
      <c r="O12">
        <f>MAX(O79:O88)</f>
        <v>-1.9556314592011241</v>
      </c>
      <c r="Q12">
        <f>MAX(Q79:Q88)</f>
        <v>-2.0365444972405835</v>
      </c>
      <c r="S12">
        <f>MAX(S79:S88)</f>
        <v>-2.0850923200642586</v>
      </c>
      <c r="U12">
        <f>MAX(U79:U88)</f>
        <v>-2.1142210137584638</v>
      </c>
      <c r="W12">
        <f>MAX(W79:W88)</f>
        <v>-2.1316982299749871</v>
      </c>
      <c r="Y12">
        <f>MAX(Y79:Y88)</f>
        <v>-2.142184559704901</v>
      </c>
      <c r="AA12">
        <f>MAX(AA79:AA88)</f>
        <v>-2.1484763575428496</v>
      </c>
      <c r="AC12">
        <f>MAX(AC79:AC88)</f>
        <v>-2.152251436245618</v>
      </c>
      <c r="AE12">
        <f>MAX(AE79:AE88)</f>
        <v>-2.1545164834672796</v>
      </c>
      <c r="AG12">
        <f>MAX(AG79:AG88)</f>
        <v>-2.1558755118002764</v>
      </c>
    </row>
    <row r="13" spans="2:33" x14ac:dyDescent="0.25">
      <c r="B13">
        <v>8</v>
      </c>
      <c r="C13">
        <v>0.16</v>
      </c>
      <c r="D13">
        <v>0.16</v>
      </c>
      <c r="E13">
        <v>0</v>
      </c>
      <c r="G13">
        <f>MAX(G89:G98)</f>
        <v>-0.58504649035866596</v>
      </c>
      <c r="I13">
        <f>MAX(I89:I98)</f>
        <v>-1.1789704614728567</v>
      </c>
      <c r="K13">
        <f>MAX(K89:K98)</f>
        <v>-1.5473543822067419</v>
      </c>
      <c r="M13">
        <f>MAX(M89:M98)</f>
        <v>-1.7721128212052393</v>
      </c>
      <c r="O13">
        <f>MAX(O89:O98)</f>
        <v>-1.9069678846043376</v>
      </c>
      <c r="Q13">
        <f>MAX(Q89:Q98)</f>
        <v>-1.987880922643797</v>
      </c>
      <c r="S13">
        <f>MAX(S89:S98)</f>
        <v>-2.0364287454674721</v>
      </c>
      <c r="U13">
        <f>MAX(U89:U98)</f>
        <v>-2.0655574391616773</v>
      </c>
      <c r="W13">
        <f>MAX(W89:W98)</f>
        <v>-2.0830346553782007</v>
      </c>
      <c r="Y13">
        <f>MAX(Y89:Y98)</f>
        <v>-2.0935209851081145</v>
      </c>
      <c r="AA13">
        <f>MAX(AA89:AA98)</f>
        <v>-2.0998127829460631</v>
      </c>
      <c r="AC13">
        <f>MAX(AC89:AC98)</f>
        <v>-2.1035878616488315</v>
      </c>
      <c r="AE13">
        <f>MAX(AE89:AE98)</f>
        <v>-2.1058529088704931</v>
      </c>
      <c r="AG13">
        <f>MAX(AG89:AG98)</f>
        <v>-2.1072119372034899</v>
      </c>
    </row>
    <row r="14" spans="2:33" x14ac:dyDescent="0.25">
      <c r="B14">
        <v>9</v>
      </c>
      <c r="C14">
        <v>0.18</v>
      </c>
      <c r="D14">
        <v>0.18</v>
      </c>
      <c r="E14">
        <v>0</v>
      </c>
      <c r="G14">
        <f>MAX(G99:G108)</f>
        <v>-0.5484659307481079</v>
      </c>
      <c r="I14">
        <f>MAX(I99:I108)</f>
        <v>-1.1363847313485864</v>
      </c>
      <c r="K14">
        <f>MAX(K99:K108)</f>
        <v>-1.5047686520824715</v>
      </c>
      <c r="M14">
        <f>MAX(M99:M108)</f>
        <v>-1.7295270910809688</v>
      </c>
      <c r="O14">
        <f>MAX(O99:O108)</f>
        <v>-1.8643821544800672</v>
      </c>
      <c r="Q14">
        <f>MAX(Q99:Q108)</f>
        <v>-1.9452951925195265</v>
      </c>
      <c r="S14">
        <f>MAX(S99:S108)</f>
        <v>-1.9938430153432016</v>
      </c>
      <c r="U14">
        <f>MAX(U99:U108)</f>
        <v>-2.0229717090374066</v>
      </c>
      <c r="W14">
        <f>MAX(W99:W108)</f>
        <v>-2.0404489252539304</v>
      </c>
      <c r="Y14">
        <f>MAX(Y99:Y108)</f>
        <v>-2.0509352549838438</v>
      </c>
      <c r="AA14">
        <f>MAX(AA99:AA108)</f>
        <v>-2.0572270528217924</v>
      </c>
      <c r="AC14">
        <f>MAX(AC99:AC108)</f>
        <v>-2.0610021315245612</v>
      </c>
      <c r="AE14">
        <f>MAX(AE99:AE108)</f>
        <v>-2.0632671787462229</v>
      </c>
      <c r="AG14">
        <f>MAX(AG99:AG108)</f>
        <v>-2.0646262070792196</v>
      </c>
    </row>
    <row r="15" spans="2:33" x14ac:dyDescent="0.25">
      <c r="B15">
        <v>10</v>
      </c>
      <c r="C15">
        <v>0.2</v>
      </c>
      <c r="D15">
        <v>0.2</v>
      </c>
      <c r="E15">
        <v>0</v>
      </c>
      <c r="G15">
        <f>MAX(G109:G118)</f>
        <v>-0.51578144572408391</v>
      </c>
      <c r="I15">
        <f>MAX(I109:I118)</f>
        <v>-1.0985462034379376</v>
      </c>
      <c r="K15">
        <f>MAX(K109:K118)</f>
        <v>-1.4669301241718227</v>
      </c>
      <c r="M15">
        <f>MAX(M109:M118)</f>
        <v>-1.6907372417566426</v>
      </c>
      <c r="O15">
        <f>MAX(O109:O118)</f>
        <v>-1.825592305155741</v>
      </c>
      <c r="Q15">
        <f>MAX(Q109:Q118)</f>
        <v>-1.9065053431951999</v>
      </c>
      <c r="S15">
        <f>MAX(S109:S118)</f>
        <v>-1.9550531660188755</v>
      </c>
      <c r="U15">
        <f>MAX(U109:U118)</f>
        <v>-1.9841818597130807</v>
      </c>
      <c r="W15">
        <f>MAX(W109:W118)</f>
        <v>-2.0016590759296036</v>
      </c>
      <c r="Y15">
        <f>MAX(Y109:Y118)</f>
        <v>-2.0121454056595178</v>
      </c>
      <c r="AA15">
        <f>MAX(AA109:AA118)</f>
        <v>-2.018437203497466</v>
      </c>
      <c r="AC15">
        <f>MAX(AC109:AC118)</f>
        <v>-2.0222122822002353</v>
      </c>
      <c r="AE15">
        <f>MAX(AE109:AE118)</f>
        <v>-2.0244773294218965</v>
      </c>
      <c r="AG15">
        <f>MAX(AG109:AG118)</f>
        <v>-2.0258363577548932</v>
      </c>
    </row>
    <row r="18" spans="1:34" x14ac:dyDescent="0.25">
      <c r="B18" t="s">
        <v>0</v>
      </c>
      <c r="C18" t="s">
        <v>1</v>
      </c>
      <c r="D18" t="s">
        <v>9</v>
      </c>
      <c r="E18" t="s">
        <v>10</v>
      </c>
      <c r="F18" t="s">
        <v>2</v>
      </c>
      <c r="G18" t="s">
        <v>15</v>
      </c>
      <c r="H18" t="s">
        <v>11</v>
      </c>
      <c r="I18" t="s">
        <v>12</v>
      </c>
      <c r="J18" t="s">
        <v>13</v>
      </c>
      <c r="K18" t="s">
        <v>14</v>
      </c>
      <c r="L18" t="s">
        <v>16</v>
      </c>
      <c r="M18" t="s">
        <v>20</v>
      </c>
      <c r="N18" t="s">
        <v>17</v>
      </c>
      <c r="O18" t="s">
        <v>21</v>
      </c>
      <c r="P18" t="s">
        <v>18</v>
      </c>
      <c r="Q18" t="s">
        <v>22</v>
      </c>
      <c r="R18" t="s">
        <v>19</v>
      </c>
      <c r="S18" t="s">
        <v>23</v>
      </c>
      <c r="T18" t="s">
        <v>24</v>
      </c>
      <c r="U18" t="s">
        <v>25</v>
      </c>
      <c r="V18" t="s">
        <v>26</v>
      </c>
      <c r="W18" t="s">
        <v>27</v>
      </c>
      <c r="X18" t="s">
        <v>28</v>
      </c>
      <c r="Y18" t="s">
        <v>29</v>
      </c>
      <c r="Z18" t="s">
        <v>30</v>
      </c>
      <c r="AA18" t="s">
        <v>31</v>
      </c>
      <c r="AB18" t="s">
        <v>32</v>
      </c>
      <c r="AC18" t="s">
        <v>33</v>
      </c>
      <c r="AD18" t="s">
        <v>34</v>
      </c>
      <c r="AE18" t="s">
        <v>35</v>
      </c>
      <c r="AF18" t="s">
        <v>36</v>
      </c>
      <c r="AG18" t="s">
        <v>37</v>
      </c>
      <c r="AH18" t="s">
        <v>38</v>
      </c>
    </row>
    <row r="19" spans="1:34" x14ac:dyDescent="0.25">
      <c r="A19">
        <v>1</v>
      </c>
      <c r="B19">
        <v>0.02</v>
      </c>
      <c r="C19">
        <f>D6</f>
        <v>0.02</v>
      </c>
      <c r="D19">
        <f>B19^$D$2-C19</f>
        <v>0.28924949471099171</v>
      </c>
      <c r="E19">
        <f>LN(D19)</f>
        <v>-1.2404656598035961</v>
      </c>
      <c r="F19">
        <f t="shared" ref="F19:F28" si="0">E6</f>
        <v>0</v>
      </c>
      <c r="G19">
        <f>$E19+$D$3*F19</f>
        <v>-1.2404656598035961</v>
      </c>
      <c r="H19">
        <f t="shared" ref="H19:H28" si="1">G6</f>
        <v>-1.2404656598035961</v>
      </c>
      <c r="I19">
        <f>$E19+$D$3*H19</f>
        <v>-1.9847450556857538</v>
      </c>
      <c r="J19">
        <f t="shared" ref="J19:J28" si="2">I6</f>
        <v>-1.9238908431064008</v>
      </c>
      <c r="K19">
        <f>$E19+$D$3*J19</f>
        <v>-2.3948001656674363</v>
      </c>
      <c r="L19">
        <f t="shared" ref="L19:L28" si="3">K6</f>
        <v>-2.3068847075706134</v>
      </c>
      <c r="M19">
        <f>$E19+$D$3*L19</f>
        <v>-2.6245964843459642</v>
      </c>
      <c r="N19">
        <f t="shared" ref="N19:N28" si="4">M6</f>
        <v>-2.5324683173956846</v>
      </c>
      <c r="O19">
        <f>$E19+$D$3*N19</f>
        <v>-2.759946650241007</v>
      </c>
      <c r="P19">
        <f t="shared" ref="P19:P28" si="5">O6</f>
        <v>-2.6673233807947834</v>
      </c>
      <c r="Q19">
        <f>$E19+$D$3*P19</f>
        <v>-2.8408596882804664</v>
      </c>
      <c r="R19">
        <f t="shared" ref="R19:R28" si="6">Q6</f>
        <v>-2.7482364188342423</v>
      </c>
      <c r="S19">
        <f>$E19+$D$3*R19</f>
        <v>-2.8894075111041415</v>
      </c>
      <c r="T19">
        <f t="shared" ref="T19:T28" si="7">S6</f>
        <v>-2.7967842416579174</v>
      </c>
      <c r="U19">
        <f>$E19+$D$3*T19</f>
        <v>-2.9185362047983467</v>
      </c>
      <c r="V19">
        <f t="shared" ref="V19:V28" si="8">U6</f>
        <v>-2.8259129353521231</v>
      </c>
      <c r="W19">
        <f>$E19+$D$3*V19</f>
        <v>-2.9360134210148701</v>
      </c>
      <c r="X19">
        <f t="shared" ref="X19:X28" si="9">W6</f>
        <v>-2.8433901515686459</v>
      </c>
      <c r="Y19">
        <f>$E19+$D$3*X19</f>
        <v>-2.9464997507447839</v>
      </c>
      <c r="Z19">
        <f t="shared" ref="Z19:Z28" si="10">Y6</f>
        <v>-2.8538764812985602</v>
      </c>
      <c r="AA19">
        <f>$E19+$D$3*Z19</f>
        <v>-2.9527915485827325</v>
      </c>
      <c r="AB19">
        <f t="shared" ref="AB19:AB28" si="11">AA6</f>
        <v>-2.8601682791365084</v>
      </c>
      <c r="AC19">
        <f>$E19+$D$3*AB19</f>
        <v>-2.9565666272855013</v>
      </c>
      <c r="AD19">
        <f t="shared" ref="AD19:AD28" si="12">AC6</f>
        <v>-2.8639433578392772</v>
      </c>
      <c r="AE19">
        <f>$E19+$D$3*AD19</f>
        <v>-2.9588316745071621</v>
      </c>
      <c r="AF19">
        <f t="shared" ref="AF19:AF28" si="13">AE6</f>
        <v>-2.8662084050609389</v>
      </c>
      <c r="AG19">
        <f>$E19+$D$3*AF19</f>
        <v>-2.9601907028401593</v>
      </c>
      <c r="AH19">
        <f t="shared" ref="AH19:AH28" si="14">AG6</f>
        <v>-2.8675674333939352</v>
      </c>
    </row>
    <row r="20" spans="1:34" x14ac:dyDescent="0.25">
      <c r="A20">
        <v>2</v>
      </c>
      <c r="B20">
        <v>0.02</v>
      </c>
      <c r="C20">
        <f t="shared" ref="C20:C28" si="15">D7</f>
        <v>0.04</v>
      </c>
      <c r="D20">
        <f t="shared" ref="D20:D83" si="16">B20^$D$2-C20</f>
        <v>0.26924949471099174</v>
      </c>
      <c r="E20">
        <f t="shared" ref="E20:E83" si="17">LN(D20)</f>
        <v>-1.3121168396010983</v>
      </c>
      <c r="F20">
        <f t="shared" si="0"/>
        <v>0</v>
      </c>
      <c r="G20">
        <f t="shared" ref="G20:G83" si="18">$E20+$D$3*F20</f>
        <v>-1.3121168396010983</v>
      </c>
      <c r="H20">
        <f t="shared" si="1"/>
        <v>-1.0196233391755041</v>
      </c>
      <c r="I20">
        <f t="shared" ref="I20:K83" si="19">$E20+$D$3*H20</f>
        <v>-1.9238908431064008</v>
      </c>
      <c r="J20">
        <f t="shared" si="2"/>
        <v>-1.6721454891064989</v>
      </c>
      <c r="K20">
        <f t="shared" si="19"/>
        <v>-2.3154041330649973</v>
      </c>
      <c r="L20">
        <f t="shared" si="3"/>
        <v>-2.054736985387799</v>
      </c>
      <c r="M20">
        <f t="shared" ref="M20" si="20">$E20+$D$3*L20</f>
        <v>-2.5449590308337777</v>
      </c>
      <c r="N20">
        <f t="shared" si="4"/>
        <v>-2.2803205952128707</v>
      </c>
      <c r="O20">
        <f t="shared" ref="O20" si="21">$E20+$D$3*N20</f>
        <v>-2.6803091967288206</v>
      </c>
      <c r="P20">
        <f t="shared" si="5"/>
        <v>-2.415175658611969</v>
      </c>
      <c r="Q20">
        <f t="shared" ref="Q20" si="22">$E20+$D$3*P20</f>
        <v>-2.7612222347682795</v>
      </c>
      <c r="R20">
        <f t="shared" si="6"/>
        <v>-2.496088696651428</v>
      </c>
      <c r="S20">
        <f t="shared" ref="S20" si="23">$E20+$D$3*R20</f>
        <v>-2.8097700575919551</v>
      </c>
      <c r="T20">
        <f t="shared" si="7"/>
        <v>-2.5446365194751035</v>
      </c>
      <c r="U20">
        <f t="shared" ref="U20" si="24">$E20+$D$3*T20</f>
        <v>-2.8388987512861603</v>
      </c>
      <c r="V20">
        <f t="shared" si="8"/>
        <v>-2.5737652131693087</v>
      </c>
      <c r="W20">
        <f t="shared" ref="W20" si="25">$E20+$D$3*V20</f>
        <v>-2.8563759675026832</v>
      </c>
      <c r="X20">
        <f t="shared" si="9"/>
        <v>-2.591242429385832</v>
      </c>
      <c r="Y20">
        <f t="shared" ref="Y20" si="26">$E20+$D$3*X20</f>
        <v>-2.8668622972325974</v>
      </c>
      <c r="Z20">
        <f t="shared" si="10"/>
        <v>-2.6017287591157459</v>
      </c>
      <c r="AA20">
        <f t="shared" ref="AA20" si="27">$E20+$D$3*Z20</f>
        <v>-2.8731540950705456</v>
      </c>
      <c r="AB20">
        <f t="shared" si="11"/>
        <v>-2.6080205569536941</v>
      </c>
      <c r="AC20">
        <f t="shared" ref="AC20" si="28">$E20+$D$3*AB20</f>
        <v>-2.8769291737733145</v>
      </c>
      <c r="AD20">
        <f t="shared" si="12"/>
        <v>-2.6117956356564629</v>
      </c>
      <c r="AE20">
        <f t="shared" ref="AE20" si="29">$E20+$D$3*AD20</f>
        <v>-2.8791942209949761</v>
      </c>
      <c r="AF20">
        <f t="shared" si="13"/>
        <v>-2.6140606828781241</v>
      </c>
      <c r="AG20">
        <f t="shared" ref="AG20" si="30">$E20+$D$3*AF20</f>
        <v>-2.8805532493279724</v>
      </c>
      <c r="AH20">
        <f t="shared" si="14"/>
        <v>-2.6154197112111213</v>
      </c>
    </row>
    <row r="21" spans="1:34" x14ac:dyDescent="0.25">
      <c r="A21">
        <v>3</v>
      </c>
      <c r="B21">
        <v>0.02</v>
      </c>
      <c r="C21">
        <f t="shared" si="15"/>
        <v>0.06</v>
      </c>
      <c r="D21">
        <f t="shared" si="16"/>
        <v>0.24924949471099173</v>
      </c>
      <c r="E21">
        <f t="shared" si="17"/>
        <v>-1.3893008973799905</v>
      </c>
      <c r="F21">
        <f t="shared" si="0"/>
        <v>0</v>
      </c>
      <c r="G21">
        <f t="shared" si="18"/>
        <v>-1.3893008973799905</v>
      </c>
      <c r="H21">
        <f t="shared" si="1"/>
        <v>-0.89165385651553775</v>
      </c>
      <c r="I21">
        <f t="shared" si="19"/>
        <v>-1.9242932112893132</v>
      </c>
      <c r="J21">
        <f t="shared" si="2"/>
        <v>-1.5293063503177047</v>
      </c>
      <c r="K21">
        <f t="shared" si="19"/>
        <v>-2.3068847075706134</v>
      </c>
      <c r="L21">
        <f t="shared" si="3"/>
        <v>-1.9052790333594904</v>
      </c>
      <c r="M21">
        <f t="shared" ref="M21" si="31">$E21+$D$3*L21</f>
        <v>-2.5324683173956846</v>
      </c>
      <c r="N21">
        <f t="shared" si="4"/>
        <v>-2.130037472357988</v>
      </c>
      <c r="O21">
        <f t="shared" ref="O21" si="32">$E21+$D$3*N21</f>
        <v>-2.6673233807947834</v>
      </c>
      <c r="P21">
        <f t="shared" si="5"/>
        <v>-2.2648925357570864</v>
      </c>
      <c r="Q21">
        <f t="shared" ref="Q21" si="33">$E21+$D$3*P21</f>
        <v>-2.7482364188342423</v>
      </c>
      <c r="R21">
        <f t="shared" si="6"/>
        <v>-2.3458055737965453</v>
      </c>
      <c r="S21">
        <f t="shared" ref="S21" si="34">$E21+$D$3*R21</f>
        <v>-2.7967842416579174</v>
      </c>
      <c r="T21">
        <f t="shared" si="7"/>
        <v>-2.3943533966202208</v>
      </c>
      <c r="U21">
        <f t="shared" ref="U21" si="35">$E21+$D$3*T21</f>
        <v>-2.8259129353521231</v>
      </c>
      <c r="V21">
        <f t="shared" si="8"/>
        <v>-2.4234820903144261</v>
      </c>
      <c r="W21">
        <f t="shared" ref="W21" si="36">$E21+$D$3*V21</f>
        <v>-2.8433901515686459</v>
      </c>
      <c r="X21">
        <f t="shared" si="9"/>
        <v>-2.4409593065309494</v>
      </c>
      <c r="Y21">
        <f t="shared" ref="Y21" si="37">$E21+$D$3*X21</f>
        <v>-2.8538764812985602</v>
      </c>
      <c r="Z21">
        <f t="shared" si="10"/>
        <v>-2.4514456362608632</v>
      </c>
      <c r="AA21">
        <f t="shared" ref="AA21" si="38">$E21+$D$3*Z21</f>
        <v>-2.8601682791365084</v>
      </c>
      <c r="AB21">
        <f t="shared" si="11"/>
        <v>-2.4577374340988114</v>
      </c>
      <c r="AC21">
        <f t="shared" ref="AC21" si="39">$E21+$D$3*AB21</f>
        <v>-2.8639433578392772</v>
      </c>
      <c r="AD21">
        <f t="shared" si="12"/>
        <v>-2.4615125128015802</v>
      </c>
      <c r="AE21">
        <f t="shared" ref="AE21" si="40">$E21+$D$3*AD21</f>
        <v>-2.8662084050609389</v>
      </c>
      <c r="AF21">
        <f t="shared" si="13"/>
        <v>-2.4637775600232414</v>
      </c>
      <c r="AG21">
        <f t="shared" ref="AG21" si="41">$E21+$D$3*AF21</f>
        <v>-2.8675674333939352</v>
      </c>
      <c r="AH21">
        <f t="shared" si="14"/>
        <v>-2.4651365883562386</v>
      </c>
    </row>
    <row r="22" spans="1:34" x14ac:dyDescent="0.25">
      <c r="A22">
        <v>4</v>
      </c>
      <c r="B22">
        <v>0.02</v>
      </c>
      <c r="C22">
        <f t="shared" si="15"/>
        <v>0.08</v>
      </c>
      <c r="D22">
        <f t="shared" si="16"/>
        <v>0.22924949471099171</v>
      </c>
      <c r="E22">
        <f t="shared" si="17"/>
        <v>-1.4729443719439932</v>
      </c>
      <c r="F22">
        <f t="shared" si="0"/>
        <v>0</v>
      </c>
      <c r="G22">
        <f t="shared" si="18"/>
        <v>-1.4729443719439932</v>
      </c>
      <c r="H22">
        <f t="shared" si="1"/>
        <v>-0.80132369672045844</v>
      </c>
      <c r="I22">
        <f t="shared" si="19"/>
        <v>-1.9537385899762683</v>
      </c>
      <c r="J22">
        <f t="shared" si="2"/>
        <v>-1.4256526939385066</v>
      </c>
      <c r="K22">
        <f t="shared" si="19"/>
        <v>-2.3283359883070971</v>
      </c>
      <c r="L22">
        <f t="shared" si="3"/>
        <v>-1.8002500922693354</v>
      </c>
      <c r="M22">
        <f t="shared" ref="M22" si="42">$E22+$D$3*L22</f>
        <v>-2.5530944273055942</v>
      </c>
      <c r="N22">
        <f t="shared" si="4"/>
        <v>-2.025008531267833</v>
      </c>
      <c r="O22">
        <f t="shared" ref="O22" si="43">$E22+$D$3*N22</f>
        <v>-2.687949490704693</v>
      </c>
      <c r="P22">
        <f t="shared" si="5"/>
        <v>-2.1598635946669313</v>
      </c>
      <c r="Q22">
        <f t="shared" ref="Q22" si="44">$E22+$D$3*P22</f>
        <v>-2.768862528744152</v>
      </c>
      <c r="R22">
        <f t="shared" si="6"/>
        <v>-2.2407766327063903</v>
      </c>
      <c r="S22">
        <f t="shared" ref="S22" si="45">$E22+$D$3*R22</f>
        <v>-2.817410351567827</v>
      </c>
      <c r="T22">
        <f t="shared" si="7"/>
        <v>-2.2893244555300658</v>
      </c>
      <c r="U22">
        <f t="shared" ref="U22" si="46">$E22+$D$3*T22</f>
        <v>-2.8465390452620327</v>
      </c>
      <c r="V22">
        <f t="shared" si="8"/>
        <v>-2.318453149224271</v>
      </c>
      <c r="W22">
        <f t="shared" ref="W22" si="47">$E22+$D$3*V22</f>
        <v>-2.8640162614785556</v>
      </c>
      <c r="X22">
        <f t="shared" si="9"/>
        <v>-2.3359303654407944</v>
      </c>
      <c r="Y22">
        <f t="shared" ref="Y22" si="48">$E22+$D$3*X22</f>
        <v>-2.8745025912084698</v>
      </c>
      <c r="Z22">
        <f t="shared" si="10"/>
        <v>-2.3464166951707082</v>
      </c>
      <c r="AA22">
        <f t="shared" ref="AA22" si="49">$E22+$D$3*Z22</f>
        <v>-2.880794389046418</v>
      </c>
      <c r="AB22">
        <f t="shared" si="11"/>
        <v>-2.3527084930086564</v>
      </c>
      <c r="AC22">
        <f t="shared" ref="AC22" si="50">$E22+$D$3*AB22</f>
        <v>-2.8845694677491869</v>
      </c>
      <c r="AD22">
        <f t="shared" si="12"/>
        <v>-2.3564835717114252</v>
      </c>
      <c r="AE22">
        <f t="shared" ref="AE22" si="51">$E22+$D$3*AD22</f>
        <v>-2.8868345149708485</v>
      </c>
      <c r="AF22">
        <f t="shared" si="13"/>
        <v>-2.3587486189330864</v>
      </c>
      <c r="AG22">
        <f t="shared" ref="AG22" si="52">$E22+$D$3*AF22</f>
        <v>-2.8881935433038448</v>
      </c>
      <c r="AH22">
        <f t="shared" si="14"/>
        <v>-2.3601076472660836</v>
      </c>
    </row>
    <row r="23" spans="1:34" x14ac:dyDescent="0.25">
      <c r="A23">
        <v>5</v>
      </c>
      <c r="B23">
        <v>0.02</v>
      </c>
      <c r="C23">
        <f t="shared" si="15"/>
        <v>0.1</v>
      </c>
      <c r="D23">
        <f t="shared" si="16"/>
        <v>0.20924949471099172</v>
      </c>
      <c r="E23">
        <f t="shared" si="17"/>
        <v>-1.5642279843777536</v>
      </c>
      <c r="F23">
        <f t="shared" si="0"/>
        <v>0</v>
      </c>
      <c r="G23">
        <f t="shared" si="18"/>
        <v>-1.5642279843777536</v>
      </c>
      <c r="H23">
        <f t="shared" si="1"/>
        <v>-0.73149882551768641</v>
      </c>
      <c r="I23">
        <f t="shared" si="19"/>
        <v>-2.0031272796883655</v>
      </c>
      <c r="J23">
        <f t="shared" si="2"/>
        <v>-1.3454720267408284</v>
      </c>
      <c r="K23">
        <f t="shared" si="19"/>
        <v>-2.3715112004222507</v>
      </c>
      <c r="L23">
        <f t="shared" si="3"/>
        <v>-1.7200694250716573</v>
      </c>
      <c r="M23">
        <f t="shared" ref="M23" si="53">$E23+$D$3*L23</f>
        <v>-2.5962696394207478</v>
      </c>
      <c r="N23">
        <f t="shared" si="4"/>
        <v>-1.9448278640701546</v>
      </c>
      <c r="O23">
        <f t="shared" ref="O23" si="54">$E23+$D$3*N23</f>
        <v>-2.7311247028198462</v>
      </c>
      <c r="P23">
        <f t="shared" si="5"/>
        <v>-2.0796829274692534</v>
      </c>
      <c r="Q23">
        <f t="shared" ref="Q23" si="55">$E23+$D$3*P23</f>
        <v>-2.8120377408593056</v>
      </c>
      <c r="R23">
        <f t="shared" si="6"/>
        <v>-2.1605959655087119</v>
      </c>
      <c r="S23">
        <f t="shared" ref="S23" si="56">$E23+$D$3*R23</f>
        <v>-2.8605855636829807</v>
      </c>
      <c r="T23">
        <f t="shared" si="7"/>
        <v>-2.2091437883323874</v>
      </c>
      <c r="U23">
        <f t="shared" ref="U23" si="57">$E23+$D$3*T23</f>
        <v>-2.8897142573771859</v>
      </c>
      <c r="V23">
        <f t="shared" si="8"/>
        <v>-2.2382724820265931</v>
      </c>
      <c r="W23">
        <f t="shared" ref="W23" si="58">$E23+$D$3*V23</f>
        <v>-2.9071914735937092</v>
      </c>
      <c r="X23">
        <f t="shared" si="9"/>
        <v>-2.255749698243116</v>
      </c>
      <c r="Y23">
        <f t="shared" ref="Y23" si="59">$E23+$D$3*X23</f>
        <v>-2.917677803323623</v>
      </c>
      <c r="Z23">
        <f t="shared" si="10"/>
        <v>-2.2662360279730303</v>
      </c>
      <c r="AA23">
        <f t="shared" ref="AA23" si="60">$E23+$D$3*Z23</f>
        <v>-2.9239696011615717</v>
      </c>
      <c r="AB23">
        <f t="shared" si="11"/>
        <v>-2.272527825810978</v>
      </c>
      <c r="AC23">
        <f t="shared" ref="AC23" si="61">$E23+$D$3*AB23</f>
        <v>-2.9277446798643405</v>
      </c>
      <c r="AD23">
        <f t="shared" si="12"/>
        <v>-2.2763029045137468</v>
      </c>
      <c r="AE23">
        <f t="shared" ref="AE23" si="62">$E23+$D$3*AD23</f>
        <v>-2.9300097270860017</v>
      </c>
      <c r="AF23">
        <f t="shared" si="13"/>
        <v>-2.2785679517354085</v>
      </c>
      <c r="AG23">
        <f t="shared" ref="AG23" si="63">$E23+$D$3*AF23</f>
        <v>-2.9313687554189984</v>
      </c>
      <c r="AH23">
        <f t="shared" si="14"/>
        <v>-2.2799269800684052</v>
      </c>
    </row>
    <row r="24" spans="1:34" x14ac:dyDescent="0.25">
      <c r="A24">
        <v>6</v>
      </c>
      <c r="B24">
        <v>0.02</v>
      </c>
      <c r="C24">
        <f t="shared" si="15"/>
        <v>0.12</v>
      </c>
      <c r="D24">
        <f t="shared" si="16"/>
        <v>0.18924949471099173</v>
      </c>
      <c r="E24">
        <f t="shared" si="17"/>
        <v>-1.6646890566232728</v>
      </c>
      <c r="F24">
        <f t="shared" si="0"/>
        <v>0</v>
      </c>
      <c r="G24">
        <f t="shared" si="18"/>
        <v>-1.6646890566232728</v>
      </c>
      <c r="H24">
        <f t="shared" si="1"/>
        <v>-0.67459246082376068</v>
      </c>
      <c r="I24">
        <f t="shared" si="19"/>
        <v>-2.0694445331175291</v>
      </c>
      <c r="J24">
        <f t="shared" si="2"/>
        <v>-1.2807163272073794</v>
      </c>
      <c r="K24">
        <f t="shared" si="19"/>
        <v>-2.4331188529477004</v>
      </c>
      <c r="L24">
        <f t="shared" si="3"/>
        <v>-1.6527335346593239</v>
      </c>
      <c r="M24">
        <f t="shared" ref="M24" si="64">$E24+$D$3*L24</f>
        <v>-2.6563291774188671</v>
      </c>
      <c r="N24">
        <f t="shared" si="4"/>
        <v>-1.8774919736578213</v>
      </c>
      <c r="O24">
        <f t="shared" ref="O24" si="65">$E24+$D$3*N24</f>
        <v>-2.7911842408179655</v>
      </c>
      <c r="P24">
        <f t="shared" si="5"/>
        <v>-2.0123470370569194</v>
      </c>
      <c r="Q24">
        <f t="shared" ref="Q24" si="66">$E24+$D$3*P24</f>
        <v>-2.8720972788574244</v>
      </c>
      <c r="R24">
        <f t="shared" si="6"/>
        <v>-2.0932600750963788</v>
      </c>
      <c r="S24">
        <f t="shared" ref="S24" si="67">$E24+$D$3*R24</f>
        <v>-2.9206451016811004</v>
      </c>
      <c r="T24">
        <f t="shared" si="7"/>
        <v>-2.1418078979200539</v>
      </c>
      <c r="U24">
        <f t="shared" ref="U24" si="68">$E24+$D$3*T24</f>
        <v>-2.9497737953753052</v>
      </c>
      <c r="V24">
        <f t="shared" si="8"/>
        <v>-2.1709365916142591</v>
      </c>
      <c r="W24">
        <f t="shared" ref="W24" si="69">$E24+$D$3*V24</f>
        <v>-2.967251011591828</v>
      </c>
      <c r="X24">
        <f t="shared" si="9"/>
        <v>-2.1884138078307829</v>
      </c>
      <c r="Y24">
        <f t="shared" ref="Y24" si="70">$E24+$D$3*X24</f>
        <v>-2.9777373413217427</v>
      </c>
      <c r="Z24">
        <f t="shared" si="10"/>
        <v>-2.1989001375606962</v>
      </c>
      <c r="AA24">
        <f t="shared" ref="AA24" si="71">$E24+$D$3*Z24</f>
        <v>-2.9840291391596905</v>
      </c>
      <c r="AB24">
        <f t="shared" si="11"/>
        <v>-2.2051919353986449</v>
      </c>
      <c r="AC24">
        <f t="shared" ref="AC24" si="72">$E24+$D$3*AB24</f>
        <v>-2.9878042178624598</v>
      </c>
      <c r="AD24">
        <f t="shared" si="12"/>
        <v>-2.2089670141014137</v>
      </c>
      <c r="AE24">
        <f t="shared" ref="AE24" si="73">$E24+$D$3*AD24</f>
        <v>-2.990069265084121</v>
      </c>
      <c r="AF24">
        <f t="shared" si="13"/>
        <v>-2.2112320613230754</v>
      </c>
      <c r="AG24">
        <f t="shared" ref="AG24" si="74">$E24+$D$3*AF24</f>
        <v>-2.9914282934171181</v>
      </c>
      <c r="AH24">
        <f t="shared" si="14"/>
        <v>-2.2125910896560721</v>
      </c>
    </row>
    <row r="25" spans="1:34" x14ac:dyDescent="0.25">
      <c r="A25">
        <v>7</v>
      </c>
      <c r="B25">
        <v>0.02</v>
      </c>
      <c r="C25">
        <f t="shared" si="15"/>
        <v>0.14000000000000001</v>
      </c>
      <c r="D25">
        <f t="shared" si="16"/>
        <v>0.16924949471099171</v>
      </c>
      <c r="E25">
        <f t="shared" si="17"/>
        <v>-1.7763813526536378</v>
      </c>
      <c r="F25">
        <f t="shared" si="0"/>
        <v>0</v>
      </c>
      <c r="G25">
        <f t="shared" si="18"/>
        <v>-1.7763813526536378</v>
      </c>
      <c r="H25">
        <f t="shared" si="1"/>
        <v>-0.6265743736743844</v>
      </c>
      <c r="I25">
        <f t="shared" si="19"/>
        <v>-2.1523259768582683</v>
      </c>
      <c r="J25">
        <f t="shared" si="2"/>
        <v>-1.2264577774162566</v>
      </c>
      <c r="K25">
        <f t="shared" si="19"/>
        <v>-2.5122560191033916</v>
      </c>
      <c r="L25">
        <f t="shared" si="3"/>
        <v>-1.5960179568035284</v>
      </c>
      <c r="M25">
        <f t="shared" ref="M25" si="75">$E25+$D$3*L25</f>
        <v>-2.733992126735755</v>
      </c>
      <c r="N25">
        <f t="shared" si="4"/>
        <v>-1.8207763958020258</v>
      </c>
      <c r="O25">
        <f t="shared" ref="O25" si="76">$E25+$D$3*N25</f>
        <v>-2.8688471901348533</v>
      </c>
      <c r="P25">
        <f t="shared" si="5"/>
        <v>-1.9556314592011241</v>
      </c>
      <c r="Q25">
        <f t="shared" ref="Q25" si="77">$E25+$D$3*P25</f>
        <v>-2.9497602281743123</v>
      </c>
      <c r="R25">
        <f t="shared" si="6"/>
        <v>-2.0365444972405835</v>
      </c>
      <c r="S25">
        <f t="shared" ref="S25" si="78">$E25+$D$3*R25</f>
        <v>-2.9983080509979878</v>
      </c>
      <c r="T25">
        <f t="shared" si="7"/>
        <v>-2.0850923200642586</v>
      </c>
      <c r="U25">
        <f t="shared" ref="U25" si="79">$E25+$D$3*T25</f>
        <v>-3.027436744692193</v>
      </c>
      <c r="V25">
        <f t="shared" si="8"/>
        <v>-2.1142210137584638</v>
      </c>
      <c r="W25">
        <f t="shared" ref="W25" si="80">$E25+$D$3*V25</f>
        <v>-3.0449139609087164</v>
      </c>
      <c r="X25">
        <f t="shared" si="9"/>
        <v>-2.1316982299749871</v>
      </c>
      <c r="Y25">
        <f t="shared" ref="Y25" si="81">$E25+$D$3*X25</f>
        <v>-3.0554002906386302</v>
      </c>
      <c r="Z25">
        <f t="shared" si="10"/>
        <v>-2.142184559704901</v>
      </c>
      <c r="AA25">
        <f t="shared" ref="AA25" si="82">$E25+$D$3*Z25</f>
        <v>-3.0616920884765784</v>
      </c>
      <c r="AB25">
        <f t="shared" si="11"/>
        <v>-2.1484763575428496</v>
      </c>
      <c r="AC25">
        <f t="shared" ref="AC25" si="83">$E25+$D$3*AB25</f>
        <v>-3.0654671671793476</v>
      </c>
      <c r="AD25">
        <f t="shared" si="12"/>
        <v>-2.152251436245618</v>
      </c>
      <c r="AE25">
        <f t="shared" ref="AE25" si="84">$E25+$D$3*AD25</f>
        <v>-3.0677322144010084</v>
      </c>
      <c r="AF25">
        <f t="shared" si="13"/>
        <v>-2.1545164834672796</v>
      </c>
      <c r="AG25">
        <f t="shared" ref="AG25" si="85">$E25+$D$3*AF25</f>
        <v>-3.0690912427340056</v>
      </c>
      <c r="AH25">
        <f t="shared" si="14"/>
        <v>-2.1558755118002764</v>
      </c>
    </row>
    <row r="26" spans="1:34" x14ac:dyDescent="0.25">
      <c r="A26">
        <v>8</v>
      </c>
      <c r="B26">
        <v>0.02</v>
      </c>
      <c r="C26">
        <f t="shared" si="15"/>
        <v>0.16</v>
      </c>
      <c r="D26">
        <f t="shared" si="16"/>
        <v>0.14924949471099172</v>
      </c>
      <c r="E26">
        <f t="shared" si="17"/>
        <v>-1.9021359122361499</v>
      </c>
      <c r="F26">
        <f t="shared" si="0"/>
        <v>0</v>
      </c>
      <c r="G26">
        <f t="shared" si="18"/>
        <v>-1.9021359122361499</v>
      </c>
      <c r="H26">
        <f t="shared" si="1"/>
        <v>-0.58504649035866596</v>
      </c>
      <c r="I26">
        <f t="shared" si="19"/>
        <v>-2.2531638064513495</v>
      </c>
      <c r="J26">
        <f t="shared" si="2"/>
        <v>-1.1789704614728567</v>
      </c>
      <c r="K26">
        <f t="shared" si="19"/>
        <v>-2.6095181891198638</v>
      </c>
      <c r="L26">
        <f t="shared" si="3"/>
        <v>-1.5473543822067419</v>
      </c>
      <c r="M26">
        <f t="shared" ref="M26" si="86">$E26+$D$3*L26</f>
        <v>-2.8305485415601952</v>
      </c>
      <c r="N26">
        <f t="shared" si="4"/>
        <v>-1.7721128212052393</v>
      </c>
      <c r="O26">
        <f t="shared" ref="O26" si="87">$E26+$D$3*N26</f>
        <v>-2.9654036049592936</v>
      </c>
      <c r="P26">
        <f t="shared" si="5"/>
        <v>-1.9069678846043376</v>
      </c>
      <c r="Q26">
        <f t="shared" ref="Q26" si="88">$E26+$D$3*P26</f>
        <v>-3.0463166429987525</v>
      </c>
      <c r="R26">
        <f t="shared" si="6"/>
        <v>-1.987880922643797</v>
      </c>
      <c r="S26">
        <f t="shared" ref="S26" si="89">$E26+$D$3*R26</f>
        <v>-3.094864465822428</v>
      </c>
      <c r="T26">
        <f t="shared" si="7"/>
        <v>-2.0364287454674721</v>
      </c>
      <c r="U26">
        <f t="shared" ref="U26" si="90">$E26+$D$3*T26</f>
        <v>-3.1239931595166333</v>
      </c>
      <c r="V26">
        <f t="shared" si="8"/>
        <v>-2.0655574391616773</v>
      </c>
      <c r="W26">
        <f t="shared" ref="W26" si="91">$E26+$D$3*V26</f>
        <v>-3.1414703757331561</v>
      </c>
      <c r="X26">
        <f t="shared" si="9"/>
        <v>-2.0830346553782007</v>
      </c>
      <c r="Y26">
        <f t="shared" ref="Y26" si="92">$E26+$D$3*X26</f>
        <v>-3.1519567054630704</v>
      </c>
      <c r="Z26">
        <f t="shared" si="10"/>
        <v>-2.0935209851081145</v>
      </c>
      <c r="AA26">
        <f t="shared" ref="AA26" si="93">$E26+$D$3*Z26</f>
        <v>-3.1582485033010186</v>
      </c>
      <c r="AB26">
        <f t="shared" si="11"/>
        <v>-2.0998127829460631</v>
      </c>
      <c r="AC26">
        <f t="shared" ref="AC26" si="94">$E26+$D$3*AB26</f>
        <v>-3.1620235820037879</v>
      </c>
      <c r="AD26">
        <f t="shared" si="12"/>
        <v>-2.1035878616488315</v>
      </c>
      <c r="AE26">
        <f t="shared" ref="AE26" si="95">$E26+$D$3*AD26</f>
        <v>-3.1642886292254486</v>
      </c>
      <c r="AF26">
        <f t="shared" si="13"/>
        <v>-2.1058529088704931</v>
      </c>
      <c r="AG26">
        <f t="shared" ref="AG26" si="96">$E26+$D$3*AF26</f>
        <v>-3.1656476575584458</v>
      </c>
      <c r="AH26">
        <f t="shared" si="14"/>
        <v>-2.1072119372034899</v>
      </c>
    </row>
    <row r="27" spans="1:34" x14ac:dyDescent="0.25">
      <c r="A27">
        <v>9</v>
      </c>
      <c r="B27">
        <v>0.02</v>
      </c>
      <c r="C27">
        <f>D14</f>
        <v>0.18</v>
      </c>
      <c r="D27">
        <f t="shared" si="16"/>
        <v>0.12924949471099173</v>
      </c>
      <c r="E27">
        <f t="shared" si="17"/>
        <v>-2.0460106749939539</v>
      </c>
      <c r="F27">
        <f t="shared" si="0"/>
        <v>0</v>
      </c>
      <c r="G27">
        <f t="shared" si="18"/>
        <v>-2.0460106749939539</v>
      </c>
      <c r="H27">
        <f t="shared" si="1"/>
        <v>-0.5484659307481079</v>
      </c>
      <c r="I27">
        <f t="shared" si="19"/>
        <v>-2.3750902334428186</v>
      </c>
      <c r="J27">
        <f t="shared" si="2"/>
        <v>-1.1363847313485864</v>
      </c>
      <c r="K27">
        <f t="shared" si="19"/>
        <v>-2.7278415138031056</v>
      </c>
      <c r="L27">
        <f t="shared" si="3"/>
        <v>-1.5047686520824715</v>
      </c>
      <c r="M27">
        <f t="shared" ref="M27" si="97">$E27+$D$3*L27</f>
        <v>-2.9488718662434366</v>
      </c>
      <c r="N27">
        <f t="shared" si="4"/>
        <v>-1.7295270910809688</v>
      </c>
      <c r="O27">
        <f t="shared" ref="O27" si="98">$E27+$D$3*N27</f>
        <v>-3.0837269296425349</v>
      </c>
      <c r="P27">
        <f t="shared" si="5"/>
        <v>-1.8643821544800672</v>
      </c>
      <c r="Q27">
        <f t="shared" ref="Q27" si="99">$E27+$D$3*P27</f>
        <v>-3.1646399676819943</v>
      </c>
      <c r="R27">
        <f t="shared" si="6"/>
        <v>-1.9452951925195265</v>
      </c>
      <c r="S27">
        <f t="shared" ref="S27" si="100">$E27+$D$3*R27</f>
        <v>-3.2131877905056698</v>
      </c>
      <c r="T27">
        <f t="shared" si="7"/>
        <v>-1.9938430153432016</v>
      </c>
      <c r="U27">
        <f t="shared" ref="U27" si="101">$E27+$D$3*T27</f>
        <v>-3.2423164841998746</v>
      </c>
      <c r="V27">
        <f t="shared" si="8"/>
        <v>-2.0229717090374066</v>
      </c>
      <c r="W27">
        <f t="shared" ref="W27" si="102">$E27+$D$3*V27</f>
        <v>-3.2597937004163979</v>
      </c>
      <c r="X27">
        <f t="shared" si="9"/>
        <v>-2.0404489252539304</v>
      </c>
      <c r="Y27">
        <f t="shared" ref="Y27" si="103">$E27+$D$3*X27</f>
        <v>-3.2702800301463122</v>
      </c>
      <c r="Z27">
        <f t="shared" si="10"/>
        <v>-2.0509352549838438</v>
      </c>
      <c r="AA27">
        <f t="shared" ref="AA27" si="104">$E27+$D$3*Z27</f>
        <v>-3.2765718279842604</v>
      </c>
      <c r="AB27">
        <f t="shared" si="11"/>
        <v>-2.0572270528217924</v>
      </c>
      <c r="AC27">
        <f t="shared" ref="AC27" si="105">$E27+$D$3*AB27</f>
        <v>-3.2803469066870292</v>
      </c>
      <c r="AD27">
        <f t="shared" si="12"/>
        <v>-2.0610021315245612</v>
      </c>
      <c r="AE27">
        <f t="shared" ref="AE27" si="106">$E27+$D$3*AD27</f>
        <v>-3.2826119539086909</v>
      </c>
      <c r="AF27">
        <f t="shared" si="13"/>
        <v>-2.0632671787462229</v>
      </c>
      <c r="AG27">
        <f t="shared" ref="AG27" si="107">$E27+$D$3*AF27</f>
        <v>-3.2839709822416876</v>
      </c>
      <c r="AH27">
        <f t="shared" si="14"/>
        <v>-2.0646262070792196</v>
      </c>
    </row>
    <row r="28" spans="1:34" x14ac:dyDescent="0.25">
      <c r="A28">
        <v>10</v>
      </c>
      <c r="B28">
        <v>0.02</v>
      </c>
      <c r="C28">
        <f t="shared" si="15"/>
        <v>0.2</v>
      </c>
      <c r="D28">
        <f t="shared" si="16"/>
        <v>0.10924949471099171</v>
      </c>
      <c r="E28">
        <f t="shared" si="17"/>
        <v>-2.2141210700881473</v>
      </c>
      <c r="F28">
        <f t="shared" si="0"/>
        <v>0</v>
      </c>
      <c r="G28">
        <f t="shared" si="18"/>
        <v>-2.2141210700881473</v>
      </c>
      <c r="H28">
        <f t="shared" si="1"/>
        <v>-0.51578144572408391</v>
      </c>
      <c r="I28">
        <f t="shared" si="19"/>
        <v>-2.5235899375225976</v>
      </c>
      <c r="J28">
        <f t="shared" si="2"/>
        <v>-1.0985462034379376</v>
      </c>
      <c r="K28">
        <f t="shared" si="19"/>
        <v>-2.87324879215091</v>
      </c>
      <c r="L28">
        <f t="shared" si="3"/>
        <v>-1.4669301241718227</v>
      </c>
      <c r="M28">
        <f t="shared" ref="M28" si="108">$E28+$D$3*L28</f>
        <v>-3.094279144591241</v>
      </c>
      <c r="N28">
        <f t="shared" si="4"/>
        <v>-1.6907372417566426</v>
      </c>
      <c r="O28">
        <f t="shared" ref="O28" si="109">$E28+$D$3*N28</f>
        <v>-3.2285634151421325</v>
      </c>
      <c r="P28">
        <f t="shared" si="5"/>
        <v>-1.825592305155741</v>
      </c>
      <c r="Q28">
        <f t="shared" ref="Q28" si="110">$E28+$D$3*P28</f>
        <v>-3.3094764531815919</v>
      </c>
      <c r="R28">
        <f t="shared" si="6"/>
        <v>-1.9065053431951999</v>
      </c>
      <c r="S28">
        <f t="shared" ref="S28" si="111">$E28+$D$3*R28</f>
        <v>-3.358024276005267</v>
      </c>
      <c r="T28">
        <f t="shared" si="7"/>
        <v>-1.9550531660188755</v>
      </c>
      <c r="U28">
        <f t="shared" ref="U28" si="112">$E28+$D$3*T28</f>
        <v>-3.3871529696994722</v>
      </c>
      <c r="V28">
        <f t="shared" si="8"/>
        <v>-1.9841818597130807</v>
      </c>
      <c r="W28">
        <f t="shared" ref="W28" si="113">$E28+$D$3*V28</f>
        <v>-3.4046301859159955</v>
      </c>
      <c r="X28">
        <f t="shared" si="9"/>
        <v>-2.0016590759296036</v>
      </c>
      <c r="Y28">
        <f t="shared" ref="Y28" si="114">$E28+$D$3*X28</f>
        <v>-3.4151165156459093</v>
      </c>
      <c r="Z28">
        <f t="shared" si="10"/>
        <v>-2.0121454056595178</v>
      </c>
      <c r="AA28">
        <f t="shared" ref="AA28" si="115">$E28+$D$3*Z28</f>
        <v>-3.421408313483858</v>
      </c>
      <c r="AB28">
        <f t="shared" si="11"/>
        <v>-2.018437203497466</v>
      </c>
      <c r="AC28">
        <f t="shared" ref="AC28" si="116">$E28+$D$3*AB28</f>
        <v>-3.4251833921866268</v>
      </c>
      <c r="AD28">
        <f t="shared" si="12"/>
        <v>-2.0222122822002353</v>
      </c>
      <c r="AE28">
        <f t="shared" ref="AE28" si="117">$E28+$D$3*AD28</f>
        <v>-3.4274484394082885</v>
      </c>
      <c r="AF28">
        <f t="shared" si="13"/>
        <v>-2.0244773294218965</v>
      </c>
      <c r="AG28">
        <f t="shared" ref="AG28" si="118">$E28+$D$3*AF28</f>
        <v>-3.4288074677412852</v>
      </c>
      <c r="AH28">
        <f t="shared" si="14"/>
        <v>-2.0258363577548932</v>
      </c>
    </row>
    <row r="29" spans="1:34" x14ac:dyDescent="0.25">
      <c r="A29">
        <v>11</v>
      </c>
      <c r="B29">
        <f>$C$7</f>
        <v>0.04</v>
      </c>
      <c r="C29">
        <f>D6</f>
        <v>0.02</v>
      </c>
      <c r="D29">
        <f t="shared" si="16"/>
        <v>0.36073078774317574</v>
      </c>
      <c r="E29">
        <f t="shared" si="17"/>
        <v>-1.0196233391755041</v>
      </c>
      <c r="F29">
        <f>E6</f>
        <v>0</v>
      </c>
      <c r="G29">
        <f t="shared" si="18"/>
        <v>-1.0196233391755041</v>
      </c>
      <c r="H29">
        <f>G6</f>
        <v>-1.2404656598035961</v>
      </c>
      <c r="I29">
        <f t="shared" si="19"/>
        <v>-1.7639027350576617</v>
      </c>
      <c r="J29">
        <f>I6</f>
        <v>-1.9238908431064008</v>
      </c>
      <c r="K29">
        <f t="shared" si="19"/>
        <v>-2.1739578450393444</v>
      </c>
      <c r="L29">
        <f>K6</f>
        <v>-2.3068847075706134</v>
      </c>
      <c r="M29">
        <f t="shared" ref="M29" si="119">$E29+$D$3*L29</f>
        <v>-2.4037541637178723</v>
      </c>
      <c r="N29">
        <f>M6</f>
        <v>-2.5324683173956846</v>
      </c>
      <c r="O29">
        <f t="shared" ref="O29" si="120">$E29+$D$3*N29</f>
        <v>-2.5391043296129148</v>
      </c>
      <c r="P29">
        <f>O6</f>
        <v>-2.6673233807947834</v>
      </c>
      <c r="Q29">
        <f t="shared" ref="Q29" si="121">$E29+$D$3*P29</f>
        <v>-2.6200173676523741</v>
      </c>
      <c r="R29">
        <f>Q6</f>
        <v>-2.7482364188342423</v>
      </c>
      <c r="S29">
        <f t="shared" ref="S29" si="122">$E29+$D$3*R29</f>
        <v>-2.6685651904760492</v>
      </c>
      <c r="T29">
        <f>S6</f>
        <v>-2.7967842416579174</v>
      </c>
      <c r="U29">
        <f t="shared" ref="U29" si="123">$E29+$D$3*T29</f>
        <v>-2.6976938841702545</v>
      </c>
      <c r="V29">
        <f>U6</f>
        <v>-2.8259129353521231</v>
      </c>
      <c r="W29">
        <f t="shared" ref="W29" si="124">$E29+$D$3*V29</f>
        <v>-2.7151711003867778</v>
      </c>
      <c r="X29">
        <f>W6</f>
        <v>-2.8433901515686459</v>
      </c>
      <c r="Y29">
        <f t="shared" ref="Y29" si="125">$E29+$D$3*X29</f>
        <v>-2.7256574301166916</v>
      </c>
      <c r="Z29">
        <f>Y6</f>
        <v>-2.8538764812985602</v>
      </c>
      <c r="AA29">
        <f t="shared" ref="AA29" si="126">$E29+$D$3*Z29</f>
        <v>-2.7319492279546402</v>
      </c>
      <c r="AB29">
        <f>AA6</f>
        <v>-2.8601682791365084</v>
      </c>
      <c r="AC29">
        <f t="shared" ref="AC29" si="127">$E29+$D$3*AB29</f>
        <v>-2.7357243066574091</v>
      </c>
      <c r="AD29">
        <f>AC6</f>
        <v>-2.8639433578392772</v>
      </c>
      <c r="AE29">
        <f t="shared" ref="AE29" si="128">$E29+$D$3*AD29</f>
        <v>-2.7379893538790703</v>
      </c>
      <c r="AF29">
        <f>AE6</f>
        <v>-2.8662084050609389</v>
      </c>
      <c r="AG29">
        <f t="shared" ref="AG29" si="129">$E29+$D$3*AF29</f>
        <v>-2.7393483822120674</v>
      </c>
      <c r="AH29">
        <f>AG6</f>
        <v>-2.8675674333939352</v>
      </c>
    </row>
    <row r="30" spans="1:34" x14ac:dyDescent="0.25">
      <c r="A30">
        <v>12</v>
      </c>
      <c r="B30">
        <f t="shared" ref="B30:B38" si="130">$C$7</f>
        <v>0.04</v>
      </c>
      <c r="C30">
        <f t="shared" ref="C30:C38" si="131">D7</f>
        <v>0.04</v>
      </c>
      <c r="D30">
        <f t="shared" si="16"/>
        <v>0.34073078774317578</v>
      </c>
      <c r="E30">
        <f t="shared" si="17"/>
        <v>-1.0766625922601094</v>
      </c>
      <c r="F30">
        <f t="shared" ref="F30:F38" si="132">E7</f>
        <v>0</v>
      </c>
      <c r="G30">
        <f t="shared" si="18"/>
        <v>-1.0766625922601094</v>
      </c>
      <c r="H30">
        <f t="shared" ref="H30:J30" si="133">G7</f>
        <v>-1.0196233391755041</v>
      </c>
      <c r="I30">
        <f t="shared" si="19"/>
        <v>-1.6884365957654119</v>
      </c>
      <c r="J30">
        <f t="shared" si="133"/>
        <v>-1.6721454891064989</v>
      </c>
      <c r="K30">
        <f t="shared" si="19"/>
        <v>-2.0799498857240089</v>
      </c>
      <c r="L30">
        <f t="shared" ref="L30:N30" si="134">K7</f>
        <v>-2.054736985387799</v>
      </c>
      <c r="M30">
        <f t="shared" ref="M30" si="135">$E30+$D$3*L30</f>
        <v>-2.3095047834927889</v>
      </c>
      <c r="N30">
        <f t="shared" si="134"/>
        <v>-2.2803205952128707</v>
      </c>
      <c r="O30">
        <f t="shared" ref="O30" si="136">$E30+$D$3*N30</f>
        <v>-2.4448549493878318</v>
      </c>
      <c r="P30">
        <f t="shared" ref="P30" si="137">O7</f>
        <v>-2.415175658611969</v>
      </c>
      <c r="Q30">
        <f t="shared" ref="Q30" si="138">$E30+$D$3*P30</f>
        <v>-2.5257679874272907</v>
      </c>
      <c r="R30">
        <f t="shared" ref="R30:T30" si="139">Q7</f>
        <v>-2.496088696651428</v>
      </c>
      <c r="S30">
        <f t="shared" ref="S30" si="140">$E30+$D$3*R30</f>
        <v>-2.5743158102509662</v>
      </c>
      <c r="T30">
        <f t="shared" si="139"/>
        <v>-2.5446365194751035</v>
      </c>
      <c r="U30">
        <f t="shared" ref="U30" si="141">$E30+$D$3*T30</f>
        <v>-2.6034445039451715</v>
      </c>
      <c r="V30">
        <f t="shared" ref="V30" si="142">U7</f>
        <v>-2.5737652131693087</v>
      </c>
      <c r="W30">
        <f t="shared" ref="W30" si="143">$E30+$D$3*V30</f>
        <v>-2.6209217201616948</v>
      </c>
      <c r="X30">
        <f t="shared" ref="X30" si="144">W7</f>
        <v>-2.591242429385832</v>
      </c>
      <c r="Y30">
        <f t="shared" ref="Y30" si="145">$E30+$D$3*X30</f>
        <v>-2.6314080498916086</v>
      </c>
      <c r="Z30">
        <f t="shared" ref="Z30" si="146">Y7</f>
        <v>-2.6017287591157459</v>
      </c>
      <c r="AA30">
        <f t="shared" ref="AA30" si="147">$E30+$D$3*Z30</f>
        <v>-2.6376998477295568</v>
      </c>
      <c r="AB30">
        <f t="shared" ref="AB30:AD30" si="148">AA7</f>
        <v>-2.6080205569536941</v>
      </c>
      <c r="AC30">
        <f t="shared" ref="AC30" si="149">$E30+$D$3*AB30</f>
        <v>-2.6414749264323261</v>
      </c>
      <c r="AD30">
        <f t="shared" si="148"/>
        <v>-2.6117956356564629</v>
      </c>
      <c r="AE30">
        <f t="shared" ref="AE30" si="150">$E30+$D$3*AD30</f>
        <v>-2.6437399736539868</v>
      </c>
      <c r="AF30">
        <f t="shared" ref="AF30" si="151">AE7</f>
        <v>-2.6140606828781241</v>
      </c>
      <c r="AG30">
        <f t="shared" ref="AG30" si="152">$E30+$D$3*AF30</f>
        <v>-2.645099001986984</v>
      </c>
      <c r="AH30">
        <f t="shared" ref="AH30" si="153">AG7</f>
        <v>-2.6154197112111213</v>
      </c>
    </row>
    <row r="31" spans="1:34" x14ac:dyDescent="0.25">
      <c r="A31">
        <v>13</v>
      </c>
      <c r="B31">
        <f t="shared" si="130"/>
        <v>0.04</v>
      </c>
      <c r="C31">
        <f t="shared" si="131"/>
        <v>0.06</v>
      </c>
      <c r="D31">
        <f t="shared" si="16"/>
        <v>0.32073078774317576</v>
      </c>
      <c r="E31">
        <f t="shared" si="17"/>
        <v>-1.1371531751971762</v>
      </c>
      <c r="F31">
        <f t="shared" si="132"/>
        <v>0</v>
      </c>
      <c r="G31">
        <f t="shared" si="18"/>
        <v>-1.1371531751971762</v>
      </c>
      <c r="H31">
        <f t="shared" ref="H31:J31" si="154">G8</f>
        <v>-0.89165385651553775</v>
      </c>
      <c r="I31">
        <f t="shared" si="19"/>
        <v>-1.6721454891064989</v>
      </c>
      <c r="J31">
        <f t="shared" si="154"/>
        <v>-1.5293063503177047</v>
      </c>
      <c r="K31">
        <f t="shared" si="19"/>
        <v>-2.054736985387799</v>
      </c>
      <c r="L31">
        <f t="shared" ref="L31:N31" si="155">K8</f>
        <v>-1.9052790333594904</v>
      </c>
      <c r="M31">
        <f t="shared" ref="M31" si="156">$E31+$D$3*L31</f>
        <v>-2.2803205952128707</v>
      </c>
      <c r="N31">
        <f t="shared" si="155"/>
        <v>-2.130037472357988</v>
      </c>
      <c r="O31">
        <f t="shared" ref="O31" si="157">$E31+$D$3*N31</f>
        <v>-2.415175658611969</v>
      </c>
      <c r="P31">
        <f t="shared" ref="P31" si="158">O8</f>
        <v>-2.2648925357570864</v>
      </c>
      <c r="Q31">
        <f t="shared" ref="Q31" si="159">$E31+$D$3*P31</f>
        <v>-2.496088696651428</v>
      </c>
      <c r="R31">
        <f t="shared" ref="R31:T31" si="160">Q8</f>
        <v>-2.3458055737965453</v>
      </c>
      <c r="S31">
        <f t="shared" ref="S31" si="161">$E31+$D$3*R31</f>
        <v>-2.5446365194751035</v>
      </c>
      <c r="T31">
        <f t="shared" si="160"/>
        <v>-2.3943533966202208</v>
      </c>
      <c r="U31">
        <f t="shared" ref="U31" si="162">$E31+$D$3*T31</f>
        <v>-2.5737652131693087</v>
      </c>
      <c r="V31">
        <f t="shared" ref="V31" si="163">U8</f>
        <v>-2.4234820903144261</v>
      </c>
      <c r="W31">
        <f t="shared" ref="W31" si="164">$E31+$D$3*V31</f>
        <v>-2.591242429385832</v>
      </c>
      <c r="X31">
        <f t="shared" ref="X31" si="165">W8</f>
        <v>-2.4409593065309494</v>
      </c>
      <c r="Y31">
        <f t="shared" ref="Y31" si="166">$E31+$D$3*X31</f>
        <v>-2.6017287591157459</v>
      </c>
      <c r="Z31">
        <f t="shared" ref="Z31" si="167">Y8</f>
        <v>-2.4514456362608632</v>
      </c>
      <c r="AA31">
        <f t="shared" ref="AA31" si="168">$E31+$D$3*Z31</f>
        <v>-2.6080205569536941</v>
      </c>
      <c r="AB31">
        <f t="shared" ref="AB31:AD31" si="169">AA8</f>
        <v>-2.4577374340988114</v>
      </c>
      <c r="AC31">
        <f t="shared" ref="AC31" si="170">$E31+$D$3*AB31</f>
        <v>-2.6117956356564629</v>
      </c>
      <c r="AD31">
        <f t="shared" si="169"/>
        <v>-2.4615125128015802</v>
      </c>
      <c r="AE31">
        <f t="shared" ref="AE31" si="171">$E31+$D$3*AD31</f>
        <v>-2.6140606828781241</v>
      </c>
      <c r="AF31">
        <f t="shared" ref="AF31" si="172">AE8</f>
        <v>-2.4637775600232414</v>
      </c>
      <c r="AG31">
        <f t="shared" ref="AG31" si="173">$E31+$D$3*AF31</f>
        <v>-2.6154197112111213</v>
      </c>
      <c r="AH31">
        <f t="shared" ref="AH31" si="174">AG8</f>
        <v>-2.4651365883562386</v>
      </c>
    </row>
    <row r="32" spans="1:34" x14ac:dyDescent="0.25">
      <c r="A32">
        <v>14</v>
      </c>
      <c r="B32">
        <f t="shared" si="130"/>
        <v>0.04</v>
      </c>
      <c r="C32">
        <f t="shared" si="131"/>
        <v>0.08</v>
      </c>
      <c r="D32">
        <f t="shared" si="16"/>
        <v>0.30073078774317574</v>
      </c>
      <c r="E32">
        <f t="shared" si="17"/>
        <v>-1.2015398073210344</v>
      </c>
      <c r="F32">
        <f t="shared" si="132"/>
        <v>0</v>
      </c>
      <c r="G32">
        <f t="shared" si="18"/>
        <v>-1.2015398073210344</v>
      </c>
      <c r="H32">
        <f t="shared" ref="H32:J32" si="175">G9</f>
        <v>-0.80132369672045844</v>
      </c>
      <c r="I32">
        <f t="shared" si="19"/>
        <v>-1.6823340253533094</v>
      </c>
      <c r="J32">
        <f t="shared" si="175"/>
        <v>-1.4256526939385066</v>
      </c>
      <c r="K32">
        <f t="shared" si="19"/>
        <v>-2.0569314236841381</v>
      </c>
      <c r="L32">
        <f t="shared" ref="L32:N32" si="176">K9</f>
        <v>-1.8002500922693354</v>
      </c>
      <c r="M32">
        <f t="shared" ref="M32" si="177">$E32+$D$3*L32</f>
        <v>-2.2816898626826356</v>
      </c>
      <c r="N32">
        <f t="shared" si="176"/>
        <v>-2.025008531267833</v>
      </c>
      <c r="O32">
        <f t="shared" ref="O32" si="178">$E32+$D$3*N32</f>
        <v>-2.416544926081734</v>
      </c>
      <c r="P32">
        <f t="shared" ref="P32" si="179">O9</f>
        <v>-2.1598635946669313</v>
      </c>
      <c r="Q32">
        <f t="shared" ref="Q32" si="180">$E32+$D$3*P32</f>
        <v>-2.4974579641211934</v>
      </c>
      <c r="R32">
        <f t="shared" ref="R32:T32" si="181">Q9</f>
        <v>-2.2407766327063903</v>
      </c>
      <c r="S32">
        <f t="shared" ref="S32" si="182">$E32+$D$3*R32</f>
        <v>-2.5460057869448685</v>
      </c>
      <c r="T32">
        <f t="shared" si="181"/>
        <v>-2.2893244555300658</v>
      </c>
      <c r="U32">
        <f t="shared" ref="U32" si="183">$E32+$D$3*T32</f>
        <v>-2.5751344806390737</v>
      </c>
      <c r="V32">
        <f t="shared" ref="V32" si="184">U9</f>
        <v>-2.318453149224271</v>
      </c>
      <c r="W32">
        <f t="shared" ref="W32" si="185">$E32+$D$3*V32</f>
        <v>-2.592611696855597</v>
      </c>
      <c r="X32">
        <f t="shared" ref="X32" si="186">W9</f>
        <v>-2.3359303654407944</v>
      </c>
      <c r="Y32">
        <f t="shared" ref="Y32" si="187">$E32+$D$3*X32</f>
        <v>-2.6030980265855108</v>
      </c>
      <c r="Z32">
        <f t="shared" ref="Z32" si="188">Y9</f>
        <v>-2.3464166951707082</v>
      </c>
      <c r="AA32">
        <f t="shared" ref="AA32" si="189">$E32+$D$3*Z32</f>
        <v>-2.6093898244234595</v>
      </c>
      <c r="AB32">
        <f t="shared" ref="AB32:AD32" si="190">AA9</f>
        <v>-2.3527084930086564</v>
      </c>
      <c r="AC32">
        <f t="shared" ref="AC32" si="191">$E32+$D$3*AB32</f>
        <v>-2.6131649031262283</v>
      </c>
      <c r="AD32">
        <f t="shared" si="190"/>
        <v>-2.3564835717114252</v>
      </c>
      <c r="AE32">
        <f t="shared" ref="AE32" si="192">$E32+$D$3*AD32</f>
        <v>-2.6154299503478895</v>
      </c>
      <c r="AF32">
        <f t="shared" ref="AF32" si="193">AE9</f>
        <v>-2.3587486189330864</v>
      </c>
      <c r="AG32">
        <f t="shared" ref="AG32" si="194">$E32+$D$3*AF32</f>
        <v>-2.6167889786808862</v>
      </c>
      <c r="AH32">
        <f t="shared" ref="AH32" si="195">AG9</f>
        <v>-2.3601076472660836</v>
      </c>
    </row>
    <row r="33" spans="1:34" x14ac:dyDescent="0.25">
      <c r="A33">
        <v>15</v>
      </c>
      <c r="B33">
        <f t="shared" si="130"/>
        <v>0.04</v>
      </c>
      <c r="C33">
        <f t="shared" si="131"/>
        <v>0.1</v>
      </c>
      <c r="D33">
        <f t="shared" si="16"/>
        <v>0.28073078774317572</v>
      </c>
      <c r="E33">
        <f t="shared" si="17"/>
        <v>-1.270359119608357</v>
      </c>
      <c r="F33">
        <f t="shared" si="132"/>
        <v>0</v>
      </c>
      <c r="G33">
        <f t="shared" si="18"/>
        <v>-1.270359119608357</v>
      </c>
      <c r="H33">
        <f t="shared" ref="H33:J33" si="196">G10</f>
        <v>-0.73149882551768641</v>
      </c>
      <c r="I33">
        <f t="shared" si="19"/>
        <v>-1.7092584149189689</v>
      </c>
      <c r="J33">
        <f t="shared" si="196"/>
        <v>-1.3454720267408284</v>
      </c>
      <c r="K33">
        <f t="shared" si="19"/>
        <v>-2.0776423356528539</v>
      </c>
      <c r="L33">
        <f t="shared" ref="L33:N33" si="197">K10</f>
        <v>-1.7200694250716573</v>
      </c>
      <c r="M33">
        <f t="shared" ref="M33" si="198">$E33+$D$3*L33</f>
        <v>-2.3024007746513515</v>
      </c>
      <c r="N33">
        <f t="shared" si="197"/>
        <v>-1.9448278640701546</v>
      </c>
      <c r="O33">
        <f t="shared" ref="O33" si="199">$E33+$D$3*N33</f>
        <v>-2.4372558380504499</v>
      </c>
      <c r="P33">
        <f t="shared" ref="P33" si="200">O10</f>
        <v>-2.0796829274692534</v>
      </c>
      <c r="Q33">
        <f t="shared" ref="Q33" si="201">$E33+$D$3*P33</f>
        <v>-2.5181688760899092</v>
      </c>
      <c r="R33">
        <f t="shared" ref="R33:T33" si="202">Q10</f>
        <v>-2.1605959655087119</v>
      </c>
      <c r="S33">
        <f t="shared" ref="S33" si="203">$E33+$D$3*R33</f>
        <v>-2.5667166989135843</v>
      </c>
      <c r="T33">
        <f t="shared" si="202"/>
        <v>-2.2091437883323874</v>
      </c>
      <c r="U33">
        <f t="shared" ref="U33" si="204">$E33+$D$3*T33</f>
        <v>-2.5958453926077896</v>
      </c>
      <c r="V33">
        <f t="shared" ref="V33" si="205">U10</f>
        <v>-2.2382724820265931</v>
      </c>
      <c r="W33">
        <f t="shared" ref="W33" si="206">$E33+$D$3*V33</f>
        <v>-2.6133226088243129</v>
      </c>
      <c r="X33">
        <f t="shared" ref="X33" si="207">W10</f>
        <v>-2.255749698243116</v>
      </c>
      <c r="Y33">
        <f t="shared" ref="Y33" si="208">$E33+$D$3*X33</f>
        <v>-2.6238089385542267</v>
      </c>
      <c r="Z33">
        <f t="shared" ref="Z33" si="209">Y10</f>
        <v>-2.2662360279730303</v>
      </c>
      <c r="AA33">
        <f t="shared" ref="AA33" si="210">$E33+$D$3*Z33</f>
        <v>-2.6301007363921753</v>
      </c>
      <c r="AB33">
        <f t="shared" ref="AB33:AD33" si="211">AA10</f>
        <v>-2.272527825810978</v>
      </c>
      <c r="AC33">
        <f t="shared" ref="AC33" si="212">$E33+$D$3*AB33</f>
        <v>-2.6338758150949437</v>
      </c>
      <c r="AD33">
        <f t="shared" si="211"/>
        <v>-2.2763029045137468</v>
      </c>
      <c r="AE33">
        <f t="shared" ref="AE33" si="213">$E33+$D$3*AD33</f>
        <v>-2.6361408623166049</v>
      </c>
      <c r="AF33">
        <f t="shared" ref="AF33" si="214">AE10</f>
        <v>-2.2785679517354085</v>
      </c>
      <c r="AG33">
        <f t="shared" ref="AG33" si="215">$E33+$D$3*AF33</f>
        <v>-2.6374998906496021</v>
      </c>
      <c r="AH33">
        <f t="shared" ref="AH33" si="216">AG10</f>
        <v>-2.2799269800684052</v>
      </c>
    </row>
    <row r="34" spans="1:34" x14ac:dyDescent="0.25">
      <c r="A34">
        <v>16</v>
      </c>
      <c r="B34">
        <f t="shared" si="130"/>
        <v>0.04</v>
      </c>
      <c r="C34">
        <f t="shared" si="131"/>
        <v>0.12</v>
      </c>
      <c r="D34">
        <f t="shared" si="16"/>
        <v>0.26073078774317576</v>
      </c>
      <c r="E34">
        <f t="shared" si="17"/>
        <v>-1.3442668685706542</v>
      </c>
      <c r="F34">
        <f t="shared" si="132"/>
        <v>0</v>
      </c>
      <c r="G34">
        <f t="shared" si="18"/>
        <v>-1.3442668685706542</v>
      </c>
      <c r="H34">
        <f t="shared" ref="H34:J34" si="217">G11</f>
        <v>-0.67459246082376068</v>
      </c>
      <c r="I34">
        <f t="shared" si="19"/>
        <v>-1.7490223450649107</v>
      </c>
      <c r="J34">
        <f t="shared" si="217"/>
        <v>-1.2807163272073794</v>
      </c>
      <c r="K34">
        <f t="shared" si="19"/>
        <v>-2.1126966648950818</v>
      </c>
      <c r="L34">
        <f t="shared" ref="L34:N34" si="218">K11</f>
        <v>-1.6527335346593239</v>
      </c>
      <c r="M34">
        <f t="shared" ref="M34" si="219">$E34+$D$3*L34</f>
        <v>-2.3359069893662485</v>
      </c>
      <c r="N34">
        <f t="shared" si="218"/>
        <v>-1.8774919736578213</v>
      </c>
      <c r="O34">
        <f t="shared" ref="O34" si="220">$E34+$D$3*N34</f>
        <v>-2.4707620527653469</v>
      </c>
      <c r="P34">
        <f t="shared" ref="P34" si="221">O11</f>
        <v>-2.0123470370569194</v>
      </c>
      <c r="Q34">
        <f t="shared" ref="Q34" si="222">$E34+$D$3*P34</f>
        <v>-2.5516750908048058</v>
      </c>
      <c r="R34">
        <f t="shared" ref="R34:T34" si="223">Q11</f>
        <v>-2.0932600750963788</v>
      </c>
      <c r="S34">
        <f t="shared" ref="S34" si="224">$E34+$D$3*R34</f>
        <v>-2.6002229136284818</v>
      </c>
      <c r="T34">
        <f t="shared" si="223"/>
        <v>-2.1418078979200539</v>
      </c>
      <c r="U34">
        <f t="shared" ref="U34" si="225">$E34+$D$3*T34</f>
        <v>-2.6293516073226866</v>
      </c>
      <c r="V34">
        <f t="shared" ref="V34" si="226">U11</f>
        <v>-2.1709365916142591</v>
      </c>
      <c r="W34">
        <f t="shared" ref="W34" si="227">$E34+$D$3*V34</f>
        <v>-2.6468288235392095</v>
      </c>
      <c r="X34">
        <f t="shared" ref="X34" si="228">W11</f>
        <v>-2.1884138078307829</v>
      </c>
      <c r="Y34">
        <f t="shared" ref="Y34" si="229">$E34+$D$3*X34</f>
        <v>-2.6573151532691242</v>
      </c>
      <c r="Z34">
        <f t="shared" ref="Z34" si="230">Y11</f>
        <v>-2.1989001375606962</v>
      </c>
      <c r="AA34">
        <f t="shared" ref="AA34" si="231">$E34+$D$3*Z34</f>
        <v>-2.6636069511070719</v>
      </c>
      <c r="AB34">
        <f t="shared" ref="AB34:AD34" si="232">AA11</f>
        <v>-2.2051919353986449</v>
      </c>
      <c r="AC34">
        <f t="shared" ref="AC34" si="233">$E34+$D$3*AB34</f>
        <v>-2.6673820298098412</v>
      </c>
      <c r="AD34">
        <f t="shared" si="232"/>
        <v>-2.2089670141014137</v>
      </c>
      <c r="AE34">
        <f t="shared" ref="AE34" si="234">$E34+$D$3*AD34</f>
        <v>-2.6696470770315024</v>
      </c>
      <c r="AF34">
        <f t="shared" ref="AF34" si="235">AE11</f>
        <v>-2.2112320613230754</v>
      </c>
      <c r="AG34">
        <f t="shared" ref="AG34" si="236">$E34+$D$3*AF34</f>
        <v>-2.6710061053644996</v>
      </c>
      <c r="AH34">
        <f t="shared" ref="AH34" si="237">AG11</f>
        <v>-2.2125910896560721</v>
      </c>
    </row>
    <row r="35" spans="1:34" x14ac:dyDescent="0.25">
      <c r="A35">
        <v>17</v>
      </c>
      <c r="B35">
        <f t="shared" si="130"/>
        <v>0.04</v>
      </c>
      <c r="C35">
        <f t="shared" si="131"/>
        <v>0.14000000000000001</v>
      </c>
      <c r="D35">
        <f t="shared" si="16"/>
        <v>0.24073078774317574</v>
      </c>
      <c r="E35">
        <f t="shared" si="17"/>
        <v>-1.4240760331780467</v>
      </c>
      <c r="F35">
        <f t="shared" si="132"/>
        <v>0</v>
      </c>
      <c r="G35">
        <f t="shared" si="18"/>
        <v>-1.4240760331780467</v>
      </c>
      <c r="H35">
        <f t="shared" ref="H35:J35" si="238">G12</f>
        <v>-0.6265743736743844</v>
      </c>
      <c r="I35">
        <f t="shared" si="19"/>
        <v>-1.8000206573826774</v>
      </c>
      <c r="J35">
        <f t="shared" si="238"/>
        <v>-1.2264577774162566</v>
      </c>
      <c r="K35">
        <f t="shared" si="19"/>
        <v>-2.1599506996278004</v>
      </c>
      <c r="L35">
        <f t="shared" ref="L35:N35" si="239">K12</f>
        <v>-1.5960179568035284</v>
      </c>
      <c r="M35">
        <f t="shared" ref="M35" si="240">$E35+$D$3*L35</f>
        <v>-2.3816868072601638</v>
      </c>
      <c r="N35">
        <f t="shared" si="239"/>
        <v>-1.8207763958020258</v>
      </c>
      <c r="O35">
        <f t="shared" ref="O35" si="241">$E35+$D$3*N35</f>
        <v>-2.5165418706592622</v>
      </c>
      <c r="P35">
        <f t="shared" ref="P35" si="242">O12</f>
        <v>-1.9556314592011241</v>
      </c>
      <c r="Q35">
        <f t="shared" ref="Q35" si="243">$E35+$D$3*P35</f>
        <v>-2.5974549086987211</v>
      </c>
      <c r="R35">
        <f t="shared" ref="R35:T35" si="244">Q12</f>
        <v>-2.0365444972405835</v>
      </c>
      <c r="S35">
        <f t="shared" ref="S35" si="245">$E35+$D$3*R35</f>
        <v>-2.6460027315223966</v>
      </c>
      <c r="T35">
        <f t="shared" si="244"/>
        <v>-2.0850923200642586</v>
      </c>
      <c r="U35">
        <f t="shared" ref="U35" si="246">$E35+$D$3*T35</f>
        <v>-2.6751314252166019</v>
      </c>
      <c r="V35">
        <f t="shared" ref="V35" si="247">U12</f>
        <v>-2.1142210137584638</v>
      </c>
      <c r="W35">
        <f t="shared" ref="W35" si="248">$E35+$D$3*V35</f>
        <v>-2.6926086414331252</v>
      </c>
      <c r="X35">
        <f t="shared" ref="X35" si="249">W12</f>
        <v>-2.1316982299749871</v>
      </c>
      <c r="Y35">
        <f t="shared" ref="Y35" si="250">$E35+$D$3*X35</f>
        <v>-2.703094971163039</v>
      </c>
      <c r="Z35">
        <f t="shared" ref="Z35" si="251">Y12</f>
        <v>-2.142184559704901</v>
      </c>
      <c r="AA35">
        <f t="shared" ref="AA35" si="252">$E35+$D$3*Z35</f>
        <v>-2.7093867690009872</v>
      </c>
      <c r="AB35">
        <f t="shared" ref="AB35:AD35" si="253">AA12</f>
        <v>-2.1484763575428496</v>
      </c>
      <c r="AC35">
        <f t="shared" ref="AC35" si="254">$E35+$D$3*AB35</f>
        <v>-2.7131618477037565</v>
      </c>
      <c r="AD35">
        <f t="shared" si="253"/>
        <v>-2.152251436245618</v>
      </c>
      <c r="AE35">
        <f t="shared" ref="AE35" si="255">$E35+$D$3*AD35</f>
        <v>-2.7154268949254172</v>
      </c>
      <c r="AF35">
        <f t="shared" ref="AF35" si="256">AE12</f>
        <v>-2.1545164834672796</v>
      </c>
      <c r="AG35">
        <f t="shared" ref="AG35" si="257">$E35+$D$3*AF35</f>
        <v>-2.7167859232584144</v>
      </c>
      <c r="AH35">
        <f t="shared" ref="AH35" si="258">AG12</f>
        <v>-2.1558755118002764</v>
      </c>
    </row>
    <row r="36" spans="1:34" x14ac:dyDescent="0.25">
      <c r="A36">
        <v>18</v>
      </c>
      <c r="B36">
        <f t="shared" si="130"/>
        <v>0.04</v>
      </c>
      <c r="C36">
        <f t="shared" si="131"/>
        <v>0.16</v>
      </c>
      <c r="D36">
        <f t="shared" si="16"/>
        <v>0.22073078774317575</v>
      </c>
      <c r="E36">
        <f t="shared" si="17"/>
        <v>-1.5108114750265427</v>
      </c>
      <c r="F36">
        <f t="shared" si="132"/>
        <v>0</v>
      </c>
      <c r="G36">
        <f t="shared" si="18"/>
        <v>-1.5108114750265427</v>
      </c>
      <c r="H36">
        <f t="shared" ref="H36:J36" si="259">G13</f>
        <v>-0.58504649035866596</v>
      </c>
      <c r="I36">
        <f t="shared" si="19"/>
        <v>-1.8618393692417423</v>
      </c>
      <c r="J36">
        <f t="shared" si="259"/>
        <v>-1.1789704614728567</v>
      </c>
      <c r="K36">
        <f t="shared" si="19"/>
        <v>-2.2181937519102566</v>
      </c>
      <c r="L36">
        <f t="shared" ref="L36:N36" si="260">K13</f>
        <v>-1.5473543822067419</v>
      </c>
      <c r="M36">
        <f t="shared" ref="M36" si="261">$E36+$D$3*L36</f>
        <v>-2.439224104350588</v>
      </c>
      <c r="N36">
        <f t="shared" si="260"/>
        <v>-1.7721128212052393</v>
      </c>
      <c r="O36">
        <f t="shared" ref="O36" si="262">$E36+$D$3*N36</f>
        <v>-2.5740791677496864</v>
      </c>
      <c r="P36">
        <f t="shared" ref="P36" si="263">O13</f>
        <v>-1.9069678846043376</v>
      </c>
      <c r="Q36">
        <f t="shared" ref="Q36" si="264">$E36+$D$3*P36</f>
        <v>-2.6549922057891453</v>
      </c>
      <c r="R36">
        <f t="shared" ref="R36:T36" si="265">Q13</f>
        <v>-1.987880922643797</v>
      </c>
      <c r="S36">
        <f t="shared" ref="S36" si="266">$E36+$D$3*R36</f>
        <v>-2.7035400286128208</v>
      </c>
      <c r="T36">
        <f t="shared" si="265"/>
        <v>-2.0364287454674721</v>
      </c>
      <c r="U36">
        <f t="shared" ref="U36" si="267">$E36+$D$3*T36</f>
        <v>-2.7326687223070261</v>
      </c>
      <c r="V36">
        <f t="shared" ref="V36" si="268">U13</f>
        <v>-2.0655574391616773</v>
      </c>
      <c r="W36">
        <f t="shared" ref="W36" si="269">$E36+$D$3*V36</f>
        <v>-2.7501459385235489</v>
      </c>
      <c r="X36">
        <f t="shared" ref="X36" si="270">W13</f>
        <v>-2.0830346553782007</v>
      </c>
      <c r="Y36">
        <f t="shared" ref="Y36" si="271">$E36+$D$3*X36</f>
        <v>-2.7606322682534632</v>
      </c>
      <c r="Z36">
        <f t="shared" ref="Z36" si="272">Y13</f>
        <v>-2.0935209851081145</v>
      </c>
      <c r="AA36">
        <f t="shared" ref="AA36" si="273">$E36+$D$3*Z36</f>
        <v>-2.7669240660914114</v>
      </c>
      <c r="AB36">
        <f t="shared" ref="AB36:AD36" si="274">AA13</f>
        <v>-2.0998127829460631</v>
      </c>
      <c r="AC36">
        <f t="shared" ref="AC36" si="275">$E36+$D$3*AB36</f>
        <v>-2.7706991447941807</v>
      </c>
      <c r="AD36">
        <f t="shared" si="274"/>
        <v>-2.1035878616488315</v>
      </c>
      <c r="AE36">
        <f t="shared" ref="AE36" si="276">$E36+$D$3*AD36</f>
        <v>-2.7729641920158414</v>
      </c>
      <c r="AF36">
        <f t="shared" ref="AF36" si="277">AE13</f>
        <v>-2.1058529088704931</v>
      </c>
      <c r="AG36">
        <f t="shared" ref="AG36" si="278">$E36+$D$3*AF36</f>
        <v>-2.7743232203488386</v>
      </c>
      <c r="AH36">
        <f t="shared" ref="AH36" si="279">AG13</f>
        <v>-2.1072119372034899</v>
      </c>
    </row>
    <row r="37" spans="1:34" x14ac:dyDescent="0.25">
      <c r="A37">
        <v>19</v>
      </c>
      <c r="B37">
        <f t="shared" si="130"/>
        <v>0.04</v>
      </c>
      <c r="C37">
        <f t="shared" si="131"/>
        <v>0.18</v>
      </c>
      <c r="D37">
        <f t="shared" si="16"/>
        <v>0.20073078774317576</v>
      </c>
      <c r="E37">
        <f t="shared" si="17"/>
        <v>-1.6057906331351537</v>
      </c>
      <c r="F37">
        <f t="shared" si="132"/>
        <v>0</v>
      </c>
      <c r="G37">
        <f t="shared" si="18"/>
        <v>-1.6057906331351537</v>
      </c>
      <c r="H37">
        <f t="shared" ref="H37:J37" si="280">G14</f>
        <v>-0.5484659307481079</v>
      </c>
      <c r="I37">
        <f t="shared" si="19"/>
        <v>-1.9348701915840185</v>
      </c>
      <c r="J37">
        <f t="shared" si="280"/>
        <v>-1.1363847313485864</v>
      </c>
      <c r="K37">
        <f t="shared" si="19"/>
        <v>-2.2876214719443055</v>
      </c>
      <c r="L37">
        <f t="shared" ref="L37:N37" si="281">K14</f>
        <v>-1.5047686520824715</v>
      </c>
      <c r="M37">
        <f t="shared" ref="M37" si="282">$E37+$D$3*L37</f>
        <v>-2.5086518243846365</v>
      </c>
      <c r="N37">
        <f t="shared" si="281"/>
        <v>-1.7295270910809688</v>
      </c>
      <c r="O37">
        <f t="shared" ref="O37" si="283">$E37+$D$3*N37</f>
        <v>-2.6435068877837349</v>
      </c>
      <c r="P37">
        <f t="shared" ref="P37" si="284">O14</f>
        <v>-1.8643821544800672</v>
      </c>
      <c r="Q37">
        <f t="shared" ref="Q37" si="285">$E37+$D$3*P37</f>
        <v>-2.7244199258231943</v>
      </c>
      <c r="R37">
        <f t="shared" ref="R37:T37" si="286">Q14</f>
        <v>-1.9452951925195265</v>
      </c>
      <c r="S37">
        <f t="shared" ref="S37" si="287">$E37+$D$3*R37</f>
        <v>-2.7729677486468693</v>
      </c>
      <c r="T37">
        <f t="shared" si="286"/>
        <v>-1.9938430153432016</v>
      </c>
      <c r="U37">
        <f t="shared" ref="U37" si="288">$E37+$D$3*T37</f>
        <v>-2.8020964423410746</v>
      </c>
      <c r="V37">
        <f t="shared" ref="V37" si="289">U14</f>
        <v>-2.0229717090374066</v>
      </c>
      <c r="W37">
        <f t="shared" ref="W37" si="290">$E37+$D$3*V37</f>
        <v>-2.8195736585575979</v>
      </c>
      <c r="X37">
        <f t="shared" ref="X37" si="291">W14</f>
        <v>-2.0404489252539304</v>
      </c>
      <c r="Y37">
        <f t="shared" ref="Y37" si="292">$E37+$D$3*X37</f>
        <v>-2.8300599882875117</v>
      </c>
      <c r="Z37">
        <f t="shared" ref="Z37" si="293">Y14</f>
        <v>-2.0509352549838438</v>
      </c>
      <c r="AA37">
        <f t="shared" ref="AA37" si="294">$E37+$D$3*Z37</f>
        <v>-2.8363517861254599</v>
      </c>
      <c r="AB37">
        <f t="shared" ref="AB37:AD37" si="295">AA14</f>
        <v>-2.0572270528217924</v>
      </c>
      <c r="AC37">
        <f t="shared" ref="AC37" si="296">$E37+$D$3*AB37</f>
        <v>-2.8401268648282292</v>
      </c>
      <c r="AD37">
        <f t="shared" si="295"/>
        <v>-2.0610021315245612</v>
      </c>
      <c r="AE37">
        <f t="shared" ref="AE37" si="297">$E37+$D$3*AD37</f>
        <v>-2.8423919120498904</v>
      </c>
      <c r="AF37">
        <f t="shared" ref="AF37" si="298">AE14</f>
        <v>-2.0632671787462229</v>
      </c>
      <c r="AG37">
        <f t="shared" ref="AG37" si="299">$E37+$D$3*AF37</f>
        <v>-2.8437509403828871</v>
      </c>
      <c r="AH37">
        <f t="shared" ref="AH37" si="300">AG14</f>
        <v>-2.0646262070792196</v>
      </c>
    </row>
    <row r="38" spans="1:34" x14ac:dyDescent="0.25">
      <c r="A38">
        <v>20</v>
      </c>
      <c r="B38">
        <f t="shared" si="130"/>
        <v>0.04</v>
      </c>
      <c r="C38">
        <f t="shared" si="131"/>
        <v>0.2</v>
      </c>
      <c r="D38">
        <f t="shared" si="16"/>
        <v>0.18073078774317575</v>
      </c>
      <c r="E38">
        <f t="shared" si="17"/>
        <v>-1.7107467154699576</v>
      </c>
      <c r="F38">
        <f t="shared" si="132"/>
        <v>0</v>
      </c>
      <c r="G38">
        <f t="shared" si="18"/>
        <v>-1.7107467154699576</v>
      </c>
      <c r="H38">
        <f t="shared" ref="H38:J38" si="301">G15</f>
        <v>-0.51578144572408391</v>
      </c>
      <c r="I38">
        <f t="shared" si="19"/>
        <v>-2.0202155829044077</v>
      </c>
      <c r="J38">
        <f t="shared" si="301"/>
        <v>-1.0985462034379376</v>
      </c>
      <c r="K38">
        <f t="shared" si="19"/>
        <v>-2.3698744375327201</v>
      </c>
      <c r="L38">
        <f t="shared" ref="L38:N38" si="302">K15</f>
        <v>-1.4669301241718227</v>
      </c>
      <c r="M38">
        <f t="shared" ref="M38" si="303">$E38+$D$3*L38</f>
        <v>-2.5909047899730511</v>
      </c>
      <c r="N38">
        <f t="shared" si="302"/>
        <v>-1.6907372417566426</v>
      </c>
      <c r="O38">
        <f t="shared" ref="O38" si="304">$E38+$D$3*N38</f>
        <v>-2.7251890605239431</v>
      </c>
      <c r="P38">
        <f t="shared" ref="P38" si="305">O15</f>
        <v>-1.825592305155741</v>
      </c>
      <c r="Q38">
        <f t="shared" ref="Q38" si="306">$E38+$D$3*P38</f>
        <v>-2.806102098563402</v>
      </c>
      <c r="R38">
        <f t="shared" ref="R38:T38" si="307">Q15</f>
        <v>-1.9065053431951999</v>
      </c>
      <c r="S38">
        <f t="shared" ref="S38" si="308">$E38+$D$3*R38</f>
        <v>-2.8546499213870775</v>
      </c>
      <c r="T38">
        <f t="shared" si="307"/>
        <v>-1.9550531660188755</v>
      </c>
      <c r="U38">
        <f t="shared" ref="U38" si="309">$E38+$D$3*T38</f>
        <v>-2.8837786150812827</v>
      </c>
      <c r="V38">
        <f t="shared" ref="V38" si="310">U15</f>
        <v>-1.9841818597130807</v>
      </c>
      <c r="W38">
        <f t="shared" ref="W38" si="311">$E38+$D$3*V38</f>
        <v>-2.9012558312978061</v>
      </c>
      <c r="X38">
        <f t="shared" ref="X38" si="312">W15</f>
        <v>-2.0016590759296036</v>
      </c>
      <c r="Y38">
        <f t="shared" ref="Y38" si="313">$E38+$D$3*X38</f>
        <v>-2.9117421610277194</v>
      </c>
      <c r="Z38">
        <f t="shared" ref="Z38" si="314">Y15</f>
        <v>-2.0121454056595178</v>
      </c>
      <c r="AA38">
        <f t="shared" ref="AA38" si="315">$E38+$D$3*Z38</f>
        <v>-2.9180339588656681</v>
      </c>
      <c r="AB38">
        <f t="shared" ref="AB38:AD38" si="316">AA15</f>
        <v>-2.018437203497466</v>
      </c>
      <c r="AC38">
        <f t="shared" ref="AC38" si="317">$E38+$D$3*AB38</f>
        <v>-2.9218090375684369</v>
      </c>
      <c r="AD38">
        <f t="shared" si="316"/>
        <v>-2.0222122822002353</v>
      </c>
      <c r="AE38">
        <f t="shared" ref="AE38" si="318">$E38+$D$3*AD38</f>
        <v>-2.9240740847900986</v>
      </c>
      <c r="AF38">
        <f t="shared" ref="AF38" si="319">AE15</f>
        <v>-2.0244773294218965</v>
      </c>
      <c r="AG38">
        <f t="shared" ref="AG38" si="320">$E38+$D$3*AF38</f>
        <v>-2.9254331131230957</v>
      </c>
      <c r="AH38">
        <f t="shared" ref="AH38" si="321">AG15</f>
        <v>-2.0258363577548932</v>
      </c>
    </row>
    <row r="39" spans="1:34" x14ac:dyDescent="0.25">
      <c r="A39">
        <v>21</v>
      </c>
      <c r="B39">
        <f>$C$8</f>
        <v>0.06</v>
      </c>
      <c r="C39">
        <f>D6</f>
        <v>0.02</v>
      </c>
      <c r="D39">
        <f t="shared" si="16"/>
        <v>0.40997714837182997</v>
      </c>
      <c r="E39">
        <f t="shared" si="17"/>
        <v>-0.89165385651553775</v>
      </c>
      <c r="F39">
        <f>E6</f>
        <v>0</v>
      </c>
      <c r="G39">
        <f t="shared" si="18"/>
        <v>-0.89165385651553775</v>
      </c>
      <c r="H39">
        <f>G6</f>
        <v>-1.2404656598035961</v>
      </c>
      <c r="I39">
        <f t="shared" si="19"/>
        <v>-1.6359332523976953</v>
      </c>
      <c r="J39">
        <f>I6</f>
        <v>-1.9238908431064008</v>
      </c>
      <c r="K39">
        <f t="shared" si="19"/>
        <v>-2.045988362379378</v>
      </c>
      <c r="L39">
        <f>K6</f>
        <v>-2.3068847075706134</v>
      </c>
      <c r="M39">
        <f t="shared" ref="M39" si="322">$E39+$D$3*L39</f>
        <v>-2.2757846810579059</v>
      </c>
      <c r="N39">
        <f>M6</f>
        <v>-2.5324683173956846</v>
      </c>
      <c r="O39">
        <f t="shared" ref="O39" si="323">$E39+$D$3*N39</f>
        <v>-2.4111348469529483</v>
      </c>
      <c r="P39">
        <f>O6</f>
        <v>-2.6673233807947834</v>
      </c>
      <c r="Q39">
        <f t="shared" ref="Q39" si="324">$E39+$D$3*P39</f>
        <v>-2.4920478849924077</v>
      </c>
      <c r="R39">
        <f>Q6</f>
        <v>-2.7482364188342423</v>
      </c>
      <c r="S39">
        <f t="shared" ref="S39" si="325">$E39+$D$3*R39</f>
        <v>-2.5405957078160832</v>
      </c>
      <c r="T39">
        <f>S6</f>
        <v>-2.7967842416579174</v>
      </c>
      <c r="U39">
        <f t="shared" ref="U39" si="326">$E39+$D$3*T39</f>
        <v>-2.569724401510288</v>
      </c>
      <c r="V39">
        <f>U6</f>
        <v>-2.8259129353521231</v>
      </c>
      <c r="W39">
        <f t="shared" ref="W39" si="327">$E39+$D$3*V39</f>
        <v>-2.5872016177268113</v>
      </c>
      <c r="X39">
        <f>W6</f>
        <v>-2.8433901515686459</v>
      </c>
      <c r="Y39">
        <f t="shared" ref="Y39" si="328">$E39+$D$3*X39</f>
        <v>-2.5976879474567252</v>
      </c>
      <c r="Z39">
        <f>Y6</f>
        <v>-2.8538764812985602</v>
      </c>
      <c r="AA39">
        <f t="shared" ref="AA39" si="329">$E39+$D$3*Z39</f>
        <v>-2.6039797452946738</v>
      </c>
      <c r="AB39">
        <f>AA6</f>
        <v>-2.8601682791365084</v>
      </c>
      <c r="AC39">
        <f t="shared" ref="AC39" si="330">$E39+$D$3*AB39</f>
        <v>-2.6077548239974426</v>
      </c>
      <c r="AD39">
        <f>AC6</f>
        <v>-2.8639433578392772</v>
      </c>
      <c r="AE39">
        <f t="shared" ref="AE39" si="331">$E39+$D$3*AD39</f>
        <v>-2.6100198712191038</v>
      </c>
      <c r="AF39">
        <f>AE6</f>
        <v>-2.8662084050609389</v>
      </c>
      <c r="AG39">
        <f t="shared" ref="AG39" si="332">$E39+$D$3*AF39</f>
        <v>-2.611378899552101</v>
      </c>
      <c r="AH39">
        <f>AG6</f>
        <v>-2.8675674333939352</v>
      </c>
    </row>
    <row r="40" spans="1:34" x14ac:dyDescent="0.25">
      <c r="A40">
        <v>22</v>
      </c>
      <c r="B40">
        <f t="shared" ref="B40:B48" si="333">$C$8</f>
        <v>0.06</v>
      </c>
      <c r="C40">
        <f t="shared" ref="C40:C48" si="334">D7</f>
        <v>0.04</v>
      </c>
      <c r="D40">
        <f t="shared" si="16"/>
        <v>0.38997714837183001</v>
      </c>
      <c r="E40">
        <f t="shared" si="17"/>
        <v>-0.94166713549352021</v>
      </c>
      <c r="F40">
        <f t="shared" ref="F40:F48" si="335">E7</f>
        <v>0</v>
      </c>
      <c r="G40">
        <f t="shared" si="18"/>
        <v>-0.94166713549352021</v>
      </c>
      <c r="H40">
        <f t="shared" ref="H40:J40" si="336">G7</f>
        <v>-1.0196233391755041</v>
      </c>
      <c r="I40">
        <f t="shared" si="19"/>
        <v>-1.5534411389988225</v>
      </c>
      <c r="J40">
        <f t="shared" si="336"/>
        <v>-1.6721454891064989</v>
      </c>
      <c r="K40">
        <f t="shared" si="19"/>
        <v>-1.9449544289574194</v>
      </c>
      <c r="L40">
        <f t="shared" ref="L40:N40" si="337">K7</f>
        <v>-2.054736985387799</v>
      </c>
      <c r="M40">
        <f t="shared" ref="M40" si="338">$E40+$D$3*L40</f>
        <v>-2.1745093267261995</v>
      </c>
      <c r="N40">
        <f t="shared" si="337"/>
        <v>-2.2803205952128707</v>
      </c>
      <c r="O40">
        <f t="shared" ref="O40" si="339">$E40+$D$3*N40</f>
        <v>-2.3098594926212428</v>
      </c>
      <c r="P40">
        <f t="shared" ref="P40" si="340">O7</f>
        <v>-2.415175658611969</v>
      </c>
      <c r="Q40">
        <f t="shared" ref="Q40" si="341">$E40+$D$3*P40</f>
        <v>-2.3907725306607013</v>
      </c>
      <c r="R40">
        <f t="shared" ref="R40:T40" si="342">Q7</f>
        <v>-2.496088696651428</v>
      </c>
      <c r="S40">
        <f t="shared" ref="S40" si="343">$E40+$D$3*R40</f>
        <v>-2.4393203534843773</v>
      </c>
      <c r="T40">
        <f t="shared" si="342"/>
        <v>-2.5446365194751035</v>
      </c>
      <c r="U40">
        <f t="shared" ref="U40" si="344">$E40+$D$3*T40</f>
        <v>-2.4684490471785825</v>
      </c>
      <c r="V40">
        <f t="shared" ref="V40" si="345">U7</f>
        <v>-2.5737652131693087</v>
      </c>
      <c r="W40">
        <f t="shared" ref="W40" si="346">$E40+$D$3*V40</f>
        <v>-2.4859262633951054</v>
      </c>
      <c r="X40">
        <f t="shared" ref="X40" si="347">W7</f>
        <v>-2.591242429385832</v>
      </c>
      <c r="Y40">
        <f t="shared" ref="Y40" si="348">$E40+$D$3*X40</f>
        <v>-2.4964125931250196</v>
      </c>
      <c r="Z40">
        <f t="shared" ref="Z40" si="349">Y7</f>
        <v>-2.6017287591157459</v>
      </c>
      <c r="AA40">
        <f t="shared" ref="AA40" si="350">$E40+$D$3*Z40</f>
        <v>-2.5027043909629674</v>
      </c>
      <c r="AB40">
        <f t="shared" ref="AB40:AD40" si="351">AA7</f>
        <v>-2.6080205569536941</v>
      </c>
      <c r="AC40">
        <f t="shared" ref="AC40" si="352">$E40+$D$3*AB40</f>
        <v>-2.5064794696657366</v>
      </c>
      <c r="AD40">
        <f t="shared" si="351"/>
        <v>-2.6117956356564629</v>
      </c>
      <c r="AE40">
        <f t="shared" ref="AE40" si="353">$E40+$D$3*AD40</f>
        <v>-2.5087445168873979</v>
      </c>
      <c r="AF40">
        <f t="shared" ref="AF40" si="354">AE7</f>
        <v>-2.6140606828781241</v>
      </c>
      <c r="AG40">
        <f t="shared" ref="AG40" si="355">$E40+$D$3*AF40</f>
        <v>-2.5101035452203946</v>
      </c>
      <c r="AH40">
        <f t="shared" ref="AH40" si="356">AG7</f>
        <v>-2.6154197112111213</v>
      </c>
    </row>
    <row r="41" spans="1:34" x14ac:dyDescent="0.25">
      <c r="A41">
        <v>23</v>
      </c>
      <c r="B41">
        <f t="shared" si="333"/>
        <v>0.06</v>
      </c>
      <c r="C41">
        <f t="shared" si="334"/>
        <v>0.06</v>
      </c>
      <c r="D41">
        <f t="shared" si="16"/>
        <v>0.36997714837182999</v>
      </c>
      <c r="E41">
        <f t="shared" si="17"/>
        <v>-0.99431403640838201</v>
      </c>
      <c r="F41">
        <f t="shared" si="335"/>
        <v>0</v>
      </c>
      <c r="G41">
        <f t="shared" si="18"/>
        <v>-0.99431403640838201</v>
      </c>
      <c r="H41">
        <f t="shared" ref="H41:J41" si="357">G8</f>
        <v>-0.89165385651553775</v>
      </c>
      <c r="I41">
        <f t="shared" si="19"/>
        <v>-1.5293063503177047</v>
      </c>
      <c r="J41">
        <f t="shared" si="357"/>
        <v>-1.5293063503177047</v>
      </c>
      <c r="K41">
        <f t="shared" si="19"/>
        <v>-1.9118978465990049</v>
      </c>
      <c r="L41">
        <f t="shared" ref="L41:N41" si="358">K8</f>
        <v>-1.9052790333594904</v>
      </c>
      <c r="M41">
        <f t="shared" ref="M41" si="359">$E41+$D$3*L41</f>
        <v>-2.1374814564240765</v>
      </c>
      <c r="N41">
        <f t="shared" si="358"/>
        <v>-2.130037472357988</v>
      </c>
      <c r="O41">
        <f t="shared" ref="O41" si="360">$E41+$D$3*N41</f>
        <v>-2.2723365198231749</v>
      </c>
      <c r="P41">
        <f t="shared" ref="P41" si="361">O8</f>
        <v>-2.2648925357570864</v>
      </c>
      <c r="Q41">
        <f t="shared" ref="Q41" si="362">$E41+$D$3*P41</f>
        <v>-2.3532495578626338</v>
      </c>
      <c r="R41">
        <f t="shared" ref="R41:T41" si="363">Q8</f>
        <v>-2.3458055737965453</v>
      </c>
      <c r="S41">
        <f t="shared" ref="S41" si="364">$E41+$D$3*R41</f>
        <v>-2.4017973806863093</v>
      </c>
      <c r="T41">
        <f t="shared" si="363"/>
        <v>-2.3943533966202208</v>
      </c>
      <c r="U41">
        <f t="shared" ref="U41" si="365">$E41+$D$3*T41</f>
        <v>-2.4309260743805146</v>
      </c>
      <c r="V41">
        <f t="shared" ref="V41" si="366">U8</f>
        <v>-2.4234820903144261</v>
      </c>
      <c r="W41">
        <f t="shared" ref="W41" si="367">$E41+$D$3*V41</f>
        <v>-2.4484032905970379</v>
      </c>
      <c r="X41">
        <f t="shared" ref="X41" si="368">W8</f>
        <v>-2.4409593065309494</v>
      </c>
      <c r="Y41">
        <f t="shared" ref="Y41" si="369">$E41+$D$3*X41</f>
        <v>-2.4588896203269517</v>
      </c>
      <c r="Z41">
        <f t="shared" ref="Z41" si="370">Y8</f>
        <v>-2.4514456362608632</v>
      </c>
      <c r="AA41">
        <f t="shared" ref="AA41" si="371">$E41+$D$3*Z41</f>
        <v>-2.4651814181648999</v>
      </c>
      <c r="AB41">
        <f t="shared" ref="AB41:AD41" si="372">AA8</f>
        <v>-2.4577374340988114</v>
      </c>
      <c r="AC41">
        <f t="shared" ref="AC41" si="373">$E41+$D$3*AB41</f>
        <v>-2.4689564968676687</v>
      </c>
      <c r="AD41">
        <f t="shared" si="372"/>
        <v>-2.4615125128015802</v>
      </c>
      <c r="AE41">
        <f t="shared" ref="AE41" si="374">$E41+$D$3*AD41</f>
        <v>-2.4712215440893299</v>
      </c>
      <c r="AF41">
        <f t="shared" ref="AF41" si="375">AE8</f>
        <v>-2.4637775600232414</v>
      </c>
      <c r="AG41">
        <f t="shared" ref="AG41" si="376">$E41+$D$3*AF41</f>
        <v>-2.4725805724223271</v>
      </c>
      <c r="AH41">
        <f t="shared" ref="AH41" si="377">AG8</f>
        <v>-2.4651365883562386</v>
      </c>
    </row>
    <row r="42" spans="1:34" x14ac:dyDescent="0.25">
      <c r="A42">
        <v>24</v>
      </c>
      <c r="B42">
        <f t="shared" si="333"/>
        <v>0.06</v>
      </c>
      <c r="C42">
        <f t="shared" si="334"/>
        <v>0.08</v>
      </c>
      <c r="D42">
        <f t="shared" si="16"/>
        <v>0.34997714837182997</v>
      </c>
      <c r="E42">
        <f t="shared" si="17"/>
        <v>-1.0498874169963865</v>
      </c>
      <c r="F42">
        <f t="shared" si="335"/>
        <v>0</v>
      </c>
      <c r="G42">
        <f t="shared" si="18"/>
        <v>-1.0498874169963865</v>
      </c>
      <c r="H42">
        <f t="shared" ref="H42:J42" si="378">G9</f>
        <v>-0.80132369672045844</v>
      </c>
      <c r="I42">
        <f t="shared" si="19"/>
        <v>-1.5306816350286616</v>
      </c>
      <c r="J42">
        <f t="shared" si="378"/>
        <v>-1.4256526939385066</v>
      </c>
      <c r="K42">
        <f t="shared" si="19"/>
        <v>-1.9052790333594904</v>
      </c>
      <c r="L42">
        <f t="shared" ref="L42:N42" si="379">K9</f>
        <v>-1.8002500922693354</v>
      </c>
      <c r="M42">
        <f t="shared" ref="M42" si="380">$E42+$D$3*L42</f>
        <v>-2.130037472357988</v>
      </c>
      <c r="N42">
        <f t="shared" si="379"/>
        <v>-2.025008531267833</v>
      </c>
      <c r="O42">
        <f t="shared" ref="O42" si="381">$E42+$D$3*N42</f>
        <v>-2.2648925357570864</v>
      </c>
      <c r="P42">
        <f t="shared" ref="P42" si="382">O9</f>
        <v>-2.1598635946669313</v>
      </c>
      <c r="Q42">
        <f t="shared" ref="Q42" si="383">$E42+$D$3*P42</f>
        <v>-2.3458055737965453</v>
      </c>
      <c r="R42">
        <f t="shared" ref="R42:T42" si="384">Q9</f>
        <v>-2.2407766327063903</v>
      </c>
      <c r="S42">
        <f t="shared" ref="S42" si="385">$E42+$D$3*R42</f>
        <v>-2.3943533966202208</v>
      </c>
      <c r="T42">
        <f t="shared" si="384"/>
        <v>-2.2893244555300658</v>
      </c>
      <c r="U42">
        <f t="shared" ref="U42" si="386">$E42+$D$3*T42</f>
        <v>-2.4234820903144261</v>
      </c>
      <c r="V42">
        <f t="shared" ref="V42" si="387">U9</f>
        <v>-2.318453149224271</v>
      </c>
      <c r="W42">
        <f t="shared" ref="W42" si="388">$E42+$D$3*V42</f>
        <v>-2.4409593065309494</v>
      </c>
      <c r="X42">
        <f t="shared" ref="X42" si="389">W9</f>
        <v>-2.3359303654407944</v>
      </c>
      <c r="Y42">
        <f t="shared" ref="Y42" si="390">$E42+$D$3*X42</f>
        <v>-2.4514456362608632</v>
      </c>
      <c r="Z42">
        <f t="shared" ref="Z42" si="391">Y9</f>
        <v>-2.3464166951707082</v>
      </c>
      <c r="AA42">
        <f t="shared" ref="AA42" si="392">$E42+$D$3*Z42</f>
        <v>-2.4577374340988114</v>
      </c>
      <c r="AB42">
        <f t="shared" ref="AB42:AD42" si="393">AA9</f>
        <v>-2.3527084930086564</v>
      </c>
      <c r="AC42">
        <f t="shared" ref="AC42" si="394">$E42+$D$3*AB42</f>
        <v>-2.4615125128015802</v>
      </c>
      <c r="AD42">
        <f t="shared" si="393"/>
        <v>-2.3564835717114252</v>
      </c>
      <c r="AE42">
        <f t="shared" ref="AE42" si="395">$E42+$D$3*AD42</f>
        <v>-2.4637775600232414</v>
      </c>
      <c r="AF42">
        <f t="shared" ref="AF42" si="396">AE9</f>
        <v>-2.3587486189330864</v>
      </c>
      <c r="AG42">
        <f t="shared" ref="AG42" si="397">$E42+$D$3*AF42</f>
        <v>-2.4651365883562386</v>
      </c>
      <c r="AH42">
        <f t="shared" ref="AH42" si="398">AG9</f>
        <v>-2.3601076472660836</v>
      </c>
    </row>
    <row r="43" spans="1:34" x14ac:dyDescent="0.25">
      <c r="A43">
        <v>25</v>
      </c>
      <c r="B43">
        <f t="shared" si="333"/>
        <v>0.06</v>
      </c>
      <c r="C43">
        <f t="shared" si="334"/>
        <v>0.1</v>
      </c>
      <c r="D43">
        <f t="shared" si="16"/>
        <v>0.32997714837183001</v>
      </c>
      <c r="E43">
        <f t="shared" si="17"/>
        <v>-1.108731874277411</v>
      </c>
      <c r="F43">
        <f t="shared" si="335"/>
        <v>0</v>
      </c>
      <c r="G43">
        <f t="shared" si="18"/>
        <v>-1.108731874277411</v>
      </c>
      <c r="H43">
        <f t="shared" ref="H43:J43" si="399">G10</f>
        <v>-0.73149882551768641</v>
      </c>
      <c r="I43">
        <f t="shared" si="19"/>
        <v>-1.5476311695880229</v>
      </c>
      <c r="J43">
        <f t="shared" si="399"/>
        <v>-1.3454720267408284</v>
      </c>
      <c r="K43">
        <f t="shared" si="19"/>
        <v>-1.916015090321908</v>
      </c>
      <c r="L43">
        <f t="shared" ref="L43:N43" si="400">K10</f>
        <v>-1.7200694250716573</v>
      </c>
      <c r="M43">
        <f t="shared" ref="M43" si="401">$E43+$D$3*L43</f>
        <v>-2.1407735293204055</v>
      </c>
      <c r="N43">
        <f t="shared" si="400"/>
        <v>-1.9448278640701546</v>
      </c>
      <c r="O43">
        <f t="shared" ref="O43" si="402">$E43+$D$3*N43</f>
        <v>-2.2756285927195039</v>
      </c>
      <c r="P43">
        <f t="shared" ref="P43" si="403">O10</f>
        <v>-2.0796829274692534</v>
      </c>
      <c r="Q43">
        <f t="shared" ref="Q43" si="404">$E43+$D$3*P43</f>
        <v>-2.3565416307589633</v>
      </c>
      <c r="R43">
        <f t="shared" ref="R43:T43" si="405">Q10</f>
        <v>-2.1605959655087119</v>
      </c>
      <c r="S43">
        <f t="shared" ref="S43" si="406">$E43+$D$3*R43</f>
        <v>-2.4050894535826384</v>
      </c>
      <c r="T43">
        <f t="shared" si="405"/>
        <v>-2.2091437883323874</v>
      </c>
      <c r="U43">
        <f t="shared" ref="U43" si="407">$E43+$D$3*T43</f>
        <v>-2.4342181472768436</v>
      </c>
      <c r="V43">
        <f t="shared" ref="V43" si="408">U10</f>
        <v>-2.2382724820265931</v>
      </c>
      <c r="W43">
        <f t="shared" ref="W43" si="409">$E43+$D$3*V43</f>
        <v>-2.4516953634933669</v>
      </c>
      <c r="X43">
        <f t="shared" ref="X43" si="410">W10</f>
        <v>-2.255749698243116</v>
      </c>
      <c r="Y43">
        <f t="shared" ref="Y43" si="411">$E43+$D$3*X43</f>
        <v>-2.4621816932232807</v>
      </c>
      <c r="Z43">
        <f t="shared" ref="Z43" si="412">Y10</f>
        <v>-2.2662360279730303</v>
      </c>
      <c r="AA43">
        <f t="shared" ref="AA43" si="413">$E43+$D$3*Z43</f>
        <v>-2.4684734910612294</v>
      </c>
      <c r="AB43">
        <f t="shared" ref="AB43:AD43" si="414">AA10</f>
        <v>-2.272527825810978</v>
      </c>
      <c r="AC43">
        <f t="shared" ref="AC43" si="415">$E43+$D$3*AB43</f>
        <v>-2.4722485697639978</v>
      </c>
      <c r="AD43">
        <f t="shared" si="414"/>
        <v>-2.2763029045137468</v>
      </c>
      <c r="AE43">
        <f t="shared" ref="AE43" si="416">$E43+$D$3*AD43</f>
        <v>-2.474513616985659</v>
      </c>
      <c r="AF43">
        <f t="shared" ref="AF43" si="417">AE10</f>
        <v>-2.2785679517354085</v>
      </c>
      <c r="AG43">
        <f t="shared" ref="AG43" si="418">$E43+$D$3*AF43</f>
        <v>-2.4758726453186561</v>
      </c>
      <c r="AH43">
        <f t="shared" ref="AH43" si="419">AG10</f>
        <v>-2.2799269800684052</v>
      </c>
    </row>
    <row r="44" spans="1:34" x14ac:dyDescent="0.25">
      <c r="A44">
        <v>26</v>
      </c>
      <c r="B44">
        <f t="shared" si="333"/>
        <v>0.06</v>
      </c>
      <c r="C44">
        <f t="shared" si="334"/>
        <v>0.12</v>
      </c>
      <c r="D44">
        <f t="shared" si="16"/>
        <v>0.30997714837182999</v>
      </c>
      <c r="E44">
        <f t="shared" si="17"/>
        <v>-1.1712566991496047</v>
      </c>
      <c r="F44">
        <f t="shared" si="335"/>
        <v>0</v>
      </c>
      <c r="G44">
        <f t="shared" si="18"/>
        <v>-1.1712566991496047</v>
      </c>
      <c r="H44">
        <f t="shared" ref="H44:J44" si="420">G11</f>
        <v>-0.67459246082376068</v>
      </c>
      <c r="I44">
        <f t="shared" si="19"/>
        <v>-1.5760121756438612</v>
      </c>
      <c r="J44">
        <f t="shared" si="420"/>
        <v>-1.2807163272073794</v>
      </c>
      <c r="K44">
        <f t="shared" si="19"/>
        <v>-1.9396864954740325</v>
      </c>
      <c r="L44">
        <f t="shared" ref="L44:N44" si="421">K11</f>
        <v>-1.6527335346593239</v>
      </c>
      <c r="M44">
        <f t="shared" ref="M44" si="422">$E44+$D$3*L44</f>
        <v>-2.1628968199451988</v>
      </c>
      <c r="N44">
        <f t="shared" si="421"/>
        <v>-1.8774919736578213</v>
      </c>
      <c r="O44">
        <f t="shared" ref="O44" si="423">$E44+$D$3*N44</f>
        <v>-2.2977518833442971</v>
      </c>
      <c r="P44">
        <f t="shared" ref="P44" si="424">O11</f>
        <v>-2.0123470370569194</v>
      </c>
      <c r="Q44">
        <f t="shared" ref="Q44" si="425">$E44+$D$3*P44</f>
        <v>-2.3786649213837565</v>
      </c>
      <c r="R44">
        <f t="shared" ref="R44:T44" si="426">Q11</f>
        <v>-2.0932600750963788</v>
      </c>
      <c r="S44">
        <f t="shared" ref="S44" si="427">$E44+$D$3*R44</f>
        <v>-2.427212744207432</v>
      </c>
      <c r="T44">
        <f t="shared" si="426"/>
        <v>-2.1418078979200539</v>
      </c>
      <c r="U44">
        <f t="shared" ref="U44" si="428">$E44+$D$3*T44</f>
        <v>-2.4563414379016368</v>
      </c>
      <c r="V44">
        <f t="shared" ref="V44" si="429">U11</f>
        <v>-2.1709365916142591</v>
      </c>
      <c r="W44">
        <f t="shared" ref="W44" si="430">$E44+$D$3*V44</f>
        <v>-2.4738186541181602</v>
      </c>
      <c r="X44">
        <f t="shared" ref="X44" si="431">W11</f>
        <v>-2.1884138078307829</v>
      </c>
      <c r="Y44">
        <f t="shared" ref="Y44" si="432">$E44+$D$3*X44</f>
        <v>-2.4843049838480744</v>
      </c>
      <c r="Z44">
        <f t="shared" ref="Z44" si="433">Y11</f>
        <v>-2.1989001375606962</v>
      </c>
      <c r="AA44">
        <f t="shared" ref="AA44" si="434">$E44+$D$3*Z44</f>
        <v>-2.4905967816860226</v>
      </c>
      <c r="AB44">
        <f t="shared" ref="AB44:AD44" si="435">AA11</f>
        <v>-2.2051919353986449</v>
      </c>
      <c r="AC44">
        <f t="shared" ref="AC44" si="436">$E44+$D$3*AB44</f>
        <v>-2.4943718603887914</v>
      </c>
      <c r="AD44">
        <f t="shared" si="435"/>
        <v>-2.2089670141014137</v>
      </c>
      <c r="AE44">
        <f t="shared" ref="AE44" si="437">$E44+$D$3*AD44</f>
        <v>-2.4966369076104531</v>
      </c>
      <c r="AF44">
        <f t="shared" ref="AF44" si="438">AE11</f>
        <v>-2.2112320613230754</v>
      </c>
      <c r="AG44">
        <f t="shared" ref="AG44" si="439">$E44+$D$3*AF44</f>
        <v>-2.4979959359434498</v>
      </c>
      <c r="AH44">
        <f t="shared" ref="AH44" si="440">AG11</f>
        <v>-2.2125910896560721</v>
      </c>
    </row>
    <row r="45" spans="1:34" x14ac:dyDescent="0.25">
      <c r="A45">
        <v>27</v>
      </c>
      <c r="B45">
        <f t="shared" si="333"/>
        <v>0.06</v>
      </c>
      <c r="C45">
        <f t="shared" si="334"/>
        <v>0.14000000000000001</v>
      </c>
      <c r="D45">
        <f t="shared" si="16"/>
        <v>0.28997714837182997</v>
      </c>
      <c r="E45">
        <f t="shared" si="17"/>
        <v>-1.2379531578242271</v>
      </c>
      <c r="F45">
        <f t="shared" si="335"/>
        <v>0</v>
      </c>
      <c r="G45">
        <f t="shared" si="18"/>
        <v>-1.2379531578242271</v>
      </c>
      <c r="H45">
        <f t="shared" ref="H45:J45" si="441">G12</f>
        <v>-0.6265743736743844</v>
      </c>
      <c r="I45">
        <f t="shared" si="19"/>
        <v>-1.6138977820288578</v>
      </c>
      <c r="J45">
        <f t="shared" si="441"/>
        <v>-1.2264577774162566</v>
      </c>
      <c r="K45">
        <f t="shared" si="19"/>
        <v>-1.9738278242739811</v>
      </c>
      <c r="L45">
        <f t="shared" ref="L45:N45" si="442">K12</f>
        <v>-1.5960179568035284</v>
      </c>
      <c r="M45">
        <f t="shared" ref="M45" si="443">$E45+$D$3*L45</f>
        <v>-2.195563931906344</v>
      </c>
      <c r="N45">
        <f t="shared" si="442"/>
        <v>-1.8207763958020258</v>
      </c>
      <c r="O45">
        <f t="shared" ref="O45" si="444">$E45+$D$3*N45</f>
        <v>-2.3304189953054424</v>
      </c>
      <c r="P45">
        <f t="shared" ref="P45" si="445">O12</f>
        <v>-1.9556314592011241</v>
      </c>
      <c r="Q45">
        <f t="shared" ref="Q45" si="446">$E45+$D$3*P45</f>
        <v>-2.4113320333449018</v>
      </c>
      <c r="R45">
        <f t="shared" ref="R45:T45" si="447">Q12</f>
        <v>-2.0365444972405835</v>
      </c>
      <c r="S45">
        <f t="shared" ref="S45" si="448">$E45+$D$3*R45</f>
        <v>-2.4598798561685769</v>
      </c>
      <c r="T45">
        <f t="shared" si="447"/>
        <v>-2.0850923200642586</v>
      </c>
      <c r="U45">
        <f t="shared" ref="U45" si="449">$E45+$D$3*T45</f>
        <v>-2.4890085498627821</v>
      </c>
      <c r="V45">
        <f t="shared" ref="V45" si="450">U12</f>
        <v>-2.1142210137584638</v>
      </c>
      <c r="W45">
        <f t="shared" ref="W45" si="451">$E45+$D$3*V45</f>
        <v>-2.5064857660793054</v>
      </c>
      <c r="X45">
        <f t="shared" ref="X45" si="452">W12</f>
        <v>-2.1316982299749871</v>
      </c>
      <c r="Y45">
        <f t="shared" ref="Y45" si="453">$E45+$D$3*X45</f>
        <v>-2.5169720958092192</v>
      </c>
      <c r="Z45">
        <f t="shared" ref="Z45" si="454">Y12</f>
        <v>-2.142184559704901</v>
      </c>
      <c r="AA45">
        <f t="shared" ref="AA45" si="455">$E45+$D$3*Z45</f>
        <v>-2.5232638936471679</v>
      </c>
      <c r="AB45">
        <f t="shared" ref="AB45:AD45" si="456">AA12</f>
        <v>-2.1484763575428496</v>
      </c>
      <c r="AC45">
        <f t="shared" ref="AC45" si="457">$E45+$D$3*AB45</f>
        <v>-2.5270389723499367</v>
      </c>
      <c r="AD45">
        <f t="shared" si="456"/>
        <v>-2.152251436245618</v>
      </c>
      <c r="AE45">
        <f t="shared" ref="AE45" si="458">$E45+$D$3*AD45</f>
        <v>-2.5293040195715979</v>
      </c>
      <c r="AF45">
        <f t="shared" ref="AF45" si="459">AE12</f>
        <v>-2.1545164834672796</v>
      </c>
      <c r="AG45">
        <f t="shared" ref="AG45" si="460">$E45+$D$3*AF45</f>
        <v>-2.5306630479045946</v>
      </c>
      <c r="AH45">
        <f t="shared" ref="AH45" si="461">AG12</f>
        <v>-2.1558755118002764</v>
      </c>
    </row>
    <row r="46" spans="1:34" x14ac:dyDescent="0.25">
      <c r="A46">
        <v>28</v>
      </c>
      <c r="B46">
        <f t="shared" si="333"/>
        <v>0.06</v>
      </c>
      <c r="C46">
        <f t="shared" si="334"/>
        <v>0.16</v>
      </c>
      <c r="D46">
        <f t="shared" si="16"/>
        <v>0.26997714837182996</v>
      </c>
      <c r="E46">
        <f t="shared" si="17"/>
        <v>-1.3094179592254509</v>
      </c>
      <c r="F46">
        <f t="shared" si="335"/>
        <v>0</v>
      </c>
      <c r="G46">
        <f t="shared" si="18"/>
        <v>-1.3094179592254509</v>
      </c>
      <c r="H46">
        <f t="shared" ref="H46:J46" si="462">G13</f>
        <v>-0.58504649035866596</v>
      </c>
      <c r="I46">
        <f t="shared" si="19"/>
        <v>-1.6604458534406505</v>
      </c>
      <c r="J46">
        <f t="shared" si="462"/>
        <v>-1.1789704614728567</v>
      </c>
      <c r="K46">
        <f t="shared" si="19"/>
        <v>-2.016800236109165</v>
      </c>
      <c r="L46">
        <f t="shared" ref="L46:N46" si="463">K13</f>
        <v>-1.5473543822067419</v>
      </c>
      <c r="M46">
        <f t="shared" ref="M46" si="464">$E46+$D$3*L46</f>
        <v>-2.237830588549496</v>
      </c>
      <c r="N46">
        <f t="shared" si="463"/>
        <v>-1.7721128212052393</v>
      </c>
      <c r="O46">
        <f t="shared" ref="O46" si="465">$E46+$D$3*N46</f>
        <v>-2.3726856519485944</v>
      </c>
      <c r="P46">
        <f t="shared" ref="P46" si="466">O13</f>
        <v>-1.9069678846043376</v>
      </c>
      <c r="Q46">
        <f t="shared" ref="Q46" si="467">$E46+$D$3*P46</f>
        <v>-2.4535986899880537</v>
      </c>
      <c r="R46">
        <f t="shared" ref="R46:T46" si="468">Q13</f>
        <v>-1.987880922643797</v>
      </c>
      <c r="S46">
        <f t="shared" ref="S46" si="469">$E46+$D$3*R46</f>
        <v>-2.5021465128117288</v>
      </c>
      <c r="T46">
        <f t="shared" si="468"/>
        <v>-2.0364287454674721</v>
      </c>
      <c r="U46">
        <f t="shared" ref="U46" si="470">$E46+$D$3*T46</f>
        <v>-2.5312752065059341</v>
      </c>
      <c r="V46">
        <f t="shared" ref="V46" si="471">U13</f>
        <v>-2.0655574391616773</v>
      </c>
      <c r="W46">
        <f t="shared" ref="W46" si="472">$E46+$D$3*V46</f>
        <v>-2.5487524227224574</v>
      </c>
      <c r="X46">
        <f t="shared" ref="X46" si="473">W13</f>
        <v>-2.0830346553782007</v>
      </c>
      <c r="Y46">
        <f t="shared" ref="Y46" si="474">$E46+$D$3*X46</f>
        <v>-2.5592387524523712</v>
      </c>
      <c r="Z46">
        <f t="shared" ref="Z46" si="475">Y13</f>
        <v>-2.0935209851081145</v>
      </c>
      <c r="AA46">
        <f t="shared" ref="AA46" si="476">$E46+$D$3*Z46</f>
        <v>-2.5655305502903198</v>
      </c>
      <c r="AB46">
        <f t="shared" ref="AB46:AD46" si="477">AA13</f>
        <v>-2.0998127829460631</v>
      </c>
      <c r="AC46">
        <f t="shared" ref="AC46" si="478">$E46+$D$3*AB46</f>
        <v>-2.5693056289930887</v>
      </c>
      <c r="AD46">
        <f t="shared" si="477"/>
        <v>-2.1035878616488315</v>
      </c>
      <c r="AE46">
        <f t="shared" ref="AE46" si="479">$E46+$D$3*AD46</f>
        <v>-2.5715706762147494</v>
      </c>
      <c r="AF46">
        <f t="shared" ref="AF46" si="480">AE13</f>
        <v>-2.1058529088704931</v>
      </c>
      <c r="AG46">
        <f t="shared" ref="AG46" si="481">$E46+$D$3*AF46</f>
        <v>-2.5729297045477466</v>
      </c>
      <c r="AH46">
        <f t="shared" ref="AH46" si="482">AG13</f>
        <v>-2.1072119372034899</v>
      </c>
    </row>
    <row r="47" spans="1:34" x14ac:dyDescent="0.25">
      <c r="A47">
        <v>29</v>
      </c>
      <c r="B47">
        <f t="shared" si="333"/>
        <v>0.06</v>
      </c>
      <c r="C47">
        <f t="shared" si="334"/>
        <v>0.18</v>
      </c>
      <c r="D47">
        <f t="shared" si="16"/>
        <v>0.24997714837182999</v>
      </c>
      <c r="E47">
        <f t="shared" si="17"/>
        <v>-1.3863857718104005</v>
      </c>
      <c r="F47">
        <f t="shared" si="335"/>
        <v>0</v>
      </c>
      <c r="G47">
        <f t="shared" si="18"/>
        <v>-1.3863857718104005</v>
      </c>
      <c r="H47">
        <f t="shared" ref="H47:J47" si="483">G14</f>
        <v>-0.5484659307481079</v>
      </c>
      <c r="I47">
        <f t="shared" si="19"/>
        <v>-1.7154653302592653</v>
      </c>
      <c r="J47">
        <f t="shared" si="483"/>
        <v>-1.1363847313485864</v>
      </c>
      <c r="K47">
        <f t="shared" si="19"/>
        <v>-2.0682166106195523</v>
      </c>
      <c r="L47">
        <f t="shared" ref="L47:N47" si="484">K14</f>
        <v>-1.5047686520824715</v>
      </c>
      <c r="M47">
        <f t="shared" ref="M47" si="485">$E47+$D$3*L47</f>
        <v>-2.2892469630598833</v>
      </c>
      <c r="N47">
        <f t="shared" si="484"/>
        <v>-1.7295270910809688</v>
      </c>
      <c r="O47">
        <f t="shared" ref="O47" si="486">$E47+$D$3*N47</f>
        <v>-2.4241020264589817</v>
      </c>
      <c r="P47">
        <f t="shared" ref="P47" si="487">O14</f>
        <v>-1.8643821544800672</v>
      </c>
      <c r="Q47">
        <f t="shared" ref="Q47" si="488">$E47+$D$3*P47</f>
        <v>-2.5050150644984406</v>
      </c>
      <c r="R47">
        <f t="shared" ref="R47:T47" si="489">Q14</f>
        <v>-1.9452951925195265</v>
      </c>
      <c r="S47">
        <f t="shared" ref="S47" si="490">$E47+$D$3*R47</f>
        <v>-2.5535628873221166</v>
      </c>
      <c r="T47">
        <f t="shared" si="489"/>
        <v>-1.9938430153432016</v>
      </c>
      <c r="U47">
        <f t="shared" ref="U47" si="491">$E47+$D$3*T47</f>
        <v>-2.5826915810163213</v>
      </c>
      <c r="V47">
        <f t="shared" ref="V47" si="492">U14</f>
        <v>-2.0229717090374066</v>
      </c>
      <c r="W47">
        <f t="shared" ref="W47" si="493">$E47+$D$3*V47</f>
        <v>-2.6001687972328442</v>
      </c>
      <c r="X47">
        <f t="shared" ref="X47" si="494">W14</f>
        <v>-2.0404489252539304</v>
      </c>
      <c r="Y47">
        <f t="shared" ref="Y47" si="495">$E47+$D$3*X47</f>
        <v>-2.6106551269627589</v>
      </c>
      <c r="Z47">
        <f t="shared" ref="Z47" si="496">Y14</f>
        <v>-2.0509352549838438</v>
      </c>
      <c r="AA47">
        <f t="shared" ref="AA47" si="497">$E47+$D$3*Z47</f>
        <v>-2.6169469248007067</v>
      </c>
      <c r="AB47">
        <f t="shared" ref="AB47:AD47" si="498">AA14</f>
        <v>-2.0572270528217924</v>
      </c>
      <c r="AC47">
        <f t="shared" ref="AC47" si="499">$E47+$D$3*AB47</f>
        <v>-2.6207220035034759</v>
      </c>
      <c r="AD47">
        <f t="shared" si="498"/>
        <v>-2.0610021315245612</v>
      </c>
      <c r="AE47">
        <f t="shared" ref="AE47" si="500">$E47+$D$3*AD47</f>
        <v>-2.6229870507251372</v>
      </c>
      <c r="AF47">
        <f t="shared" ref="AF47" si="501">AE14</f>
        <v>-2.0632671787462229</v>
      </c>
      <c r="AG47">
        <f t="shared" ref="AG47" si="502">$E47+$D$3*AF47</f>
        <v>-2.6243460790581343</v>
      </c>
      <c r="AH47">
        <f t="shared" ref="AH47" si="503">AG14</f>
        <v>-2.0646262070792196</v>
      </c>
    </row>
    <row r="48" spans="1:34" x14ac:dyDescent="0.25">
      <c r="A48">
        <v>30</v>
      </c>
      <c r="B48">
        <f t="shared" si="333"/>
        <v>0.06</v>
      </c>
      <c r="C48">
        <f t="shared" si="334"/>
        <v>0.2</v>
      </c>
      <c r="D48">
        <f t="shared" si="16"/>
        <v>0.22997714837182998</v>
      </c>
      <c r="E48">
        <f t="shared" si="17"/>
        <v>-1.4697753299000542</v>
      </c>
      <c r="F48">
        <f t="shared" si="335"/>
        <v>0</v>
      </c>
      <c r="G48">
        <f t="shared" si="18"/>
        <v>-1.4697753299000542</v>
      </c>
      <c r="H48">
        <f t="shared" ref="H48:J48" si="504">G15</f>
        <v>-0.51578144572408391</v>
      </c>
      <c r="I48">
        <f t="shared" si="19"/>
        <v>-1.7792441973345046</v>
      </c>
      <c r="J48">
        <f t="shared" si="504"/>
        <v>-1.0985462034379376</v>
      </c>
      <c r="K48">
        <f t="shared" si="19"/>
        <v>-2.1289030519628169</v>
      </c>
      <c r="L48">
        <f t="shared" ref="L48:N48" si="505">K15</f>
        <v>-1.4669301241718227</v>
      </c>
      <c r="M48">
        <f t="shared" ref="M48" si="506">$E48+$D$3*L48</f>
        <v>-2.3499334044031479</v>
      </c>
      <c r="N48">
        <f t="shared" si="505"/>
        <v>-1.6907372417566426</v>
      </c>
      <c r="O48">
        <f t="shared" ref="O48" si="507">$E48+$D$3*N48</f>
        <v>-2.4842176749540394</v>
      </c>
      <c r="P48">
        <f t="shared" ref="P48" si="508">O15</f>
        <v>-1.825592305155741</v>
      </c>
      <c r="Q48">
        <f t="shared" ref="Q48" si="509">$E48+$D$3*P48</f>
        <v>-2.5651307129934988</v>
      </c>
      <c r="R48">
        <f t="shared" ref="R48:T48" si="510">Q15</f>
        <v>-1.9065053431951999</v>
      </c>
      <c r="S48">
        <f t="shared" ref="S48" si="511">$E48+$D$3*R48</f>
        <v>-2.6136785358171739</v>
      </c>
      <c r="T48">
        <f t="shared" si="510"/>
        <v>-1.9550531660188755</v>
      </c>
      <c r="U48">
        <f t="shared" ref="U48" si="512">$E48+$D$3*T48</f>
        <v>-2.6428072295113791</v>
      </c>
      <c r="V48">
        <f t="shared" ref="V48" si="513">U15</f>
        <v>-1.9841818597130807</v>
      </c>
      <c r="W48">
        <f t="shared" ref="W48" si="514">$E48+$D$3*V48</f>
        <v>-2.6602844457279025</v>
      </c>
      <c r="X48">
        <f t="shared" ref="X48" si="515">W15</f>
        <v>-2.0016590759296036</v>
      </c>
      <c r="Y48">
        <f t="shared" ref="Y48" si="516">$E48+$D$3*X48</f>
        <v>-2.6707707754578163</v>
      </c>
      <c r="Z48">
        <f t="shared" ref="Z48" si="517">Y15</f>
        <v>-2.0121454056595178</v>
      </c>
      <c r="AA48">
        <f t="shared" ref="AA48" si="518">$E48+$D$3*Z48</f>
        <v>-2.6770625732957649</v>
      </c>
      <c r="AB48">
        <f t="shared" ref="AB48:AD48" si="519">AA15</f>
        <v>-2.018437203497466</v>
      </c>
      <c r="AC48">
        <f t="shared" ref="AC48" si="520">$E48+$D$3*AB48</f>
        <v>-2.6808376519985337</v>
      </c>
      <c r="AD48">
        <f t="shared" si="519"/>
        <v>-2.0222122822002353</v>
      </c>
      <c r="AE48">
        <f t="shared" ref="AE48" si="521">$E48+$D$3*AD48</f>
        <v>-2.6831026992201954</v>
      </c>
      <c r="AF48">
        <f t="shared" ref="AF48" si="522">AE15</f>
        <v>-2.0244773294218965</v>
      </c>
      <c r="AG48">
        <f t="shared" ref="AG48" si="523">$E48+$D$3*AF48</f>
        <v>-2.6844617275531921</v>
      </c>
      <c r="AH48">
        <f t="shared" ref="AH48" si="524">AG15</f>
        <v>-2.0258363577548932</v>
      </c>
    </row>
    <row r="49" spans="1:34" x14ac:dyDescent="0.25">
      <c r="A49">
        <v>31</v>
      </c>
      <c r="B49">
        <f>$C$9</f>
        <v>0.08</v>
      </c>
      <c r="C49">
        <f>D6</f>
        <v>0.02</v>
      </c>
      <c r="D49">
        <f t="shared" si="16"/>
        <v>0.44873458231841984</v>
      </c>
      <c r="E49">
        <f t="shared" si="17"/>
        <v>-0.80132369672045844</v>
      </c>
      <c r="F49">
        <f t="shared" ref="F49:F58" si="525">E6</f>
        <v>0</v>
      </c>
      <c r="G49">
        <f t="shared" si="18"/>
        <v>-0.80132369672045844</v>
      </c>
      <c r="H49">
        <f t="shared" ref="H49:H58" si="526">G6</f>
        <v>-1.2404656598035961</v>
      </c>
      <c r="I49">
        <f t="shared" si="19"/>
        <v>-1.5456030926026161</v>
      </c>
      <c r="J49">
        <f t="shared" ref="J49:J58" si="527">I6</f>
        <v>-1.9238908431064008</v>
      </c>
      <c r="K49">
        <f t="shared" si="19"/>
        <v>-1.9556582025842988</v>
      </c>
      <c r="L49">
        <f t="shared" ref="L49:L58" si="528">K6</f>
        <v>-2.3068847075706134</v>
      </c>
      <c r="M49">
        <f t="shared" ref="M49" si="529">$E49+$D$3*L49</f>
        <v>-2.1854545212628267</v>
      </c>
      <c r="N49">
        <f t="shared" ref="N49:N58" si="530">M6</f>
        <v>-2.5324683173956846</v>
      </c>
      <c r="O49">
        <f t="shared" ref="O49" si="531">$E49+$D$3*N49</f>
        <v>-2.3208046871578691</v>
      </c>
      <c r="P49">
        <f t="shared" ref="P49:P58" si="532">O6</f>
        <v>-2.6673233807947834</v>
      </c>
      <c r="Q49">
        <f t="shared" ref="Q49" si="533">$E49+$D$3*P49</f>
        <v>-2.4017177251973285</v>
      </c>
      <c r="R49">
        <f t="shared" ref="R49:R58" si="534">Q6</f>
        <v>-2.7482364188342423</v>
      </c>
      <c r="S49">
        <f t="shared" ref="S49" si="535">$E49+$D$3*R49</f>
        <v>-2.4502655480210036</v>
      </c>
      <c r="T49">
        <f t="shared" ref="T49:T58" si="536">S6</f>
        <v>-2.7967842416579174</v>
      </c>
      <c r="U49">
        <f t="shared" ref="U49" si="537">$E49+$D$3*T49</f>
        <v>-2.4793942417152088</v>
      </c>
      <c r="V49">
        <f t="shared" ref="V49:V58" si="538">U6</f>
        <v>-2.8259129353521231</v>
      </c>
      <c r="W49">
        <f t="shared" ref="W49" si="539">$E49+$D$3*V49</f>
        <v>-2.4968714579317322</v>
      </c>
      <c r="X49">
        <f t="shared" ref="X49:X58" si="540">W6</f>
        <v>-2.8433901515686459</v>
      </c>
      <c r="Y49">
        <f t="shared" ref="Y49" si="541">$E49+$D$3*X49</f>
        <v>-2.507357787661646</v>
      </c>
      <c r="Z49">
        <f t="shared" ref="Z49:Z58" si="542">Y6</f>
        <v>-2.8538764812985602</v>
      </c>
      <c r="AA49">
        <f t="shared" ref="AA49" si="543">$E49+$D$3*Z49</f>
        <v>-2.5136495854995946</v>
      </c>
      <c r="AB49">
        <f t="shared" ref="AB49:AB58" si="544">AA6</f>
        <v>-2.8601682791365084</v>
      </c>
      <c r="AC49">
        <f t="shared" ref="AC49" si="545">$E49+$D$3*AB49</f>
        <v>-2.5174246642023634</v>
      </c>
      <c r="AD49">
        <f t="shared" ref="AD49:AD58" si="546">AC6</f>
        <v>-2.8639433578392772</v>
      </c>
      <c r="AE49">
        <f t="shared" ref="AE49" si="547">$E49+$D$3*AD49</f>
        <v>-2.5196897114240246</v>
      </c>
      <c r="AF49">
        <f t="shared" ref="AF49:AF58" si="548">AE6</f>
        <v>-2.8662084050609389</v>
      </c>
      <c r="AG49">
        <f t="shared" ref="AG49" si="549">$E49+$D$3*AF49</f>
        <v>-2.5210487397570218</v>
      </c>
      <c r="AH49">
        <f t="shared" ref="AH49:AH58" si="550">AG6</f>
        <v>-2.8675674333939352</v>
      </c>
    </row>
    <row r="50" spans="1:34" x14ac:dyDescent="0.25">
      <c r="A50">
        <v>32</v>
      </c>
      <c r="B50">
        <f t="shared" ref="B50:B58" si="551">$C$9</f>
        <v>0.08</v>
      </c>
      <c r="C50">
        <f t="shared" ref="C50:C58" si="552">D7</f>
        <v>0.04</v>
      </c>
      <c r="D50">
        <f t="shared" si="16"/>
        <v>0.42873458231841988</v>
      </c>
      <c r="E50">
        <f t="shared" si="17"/>
        <v>-0.84691724075573349</v>
      </c>
      <c r="F50">
        <f t="shared" si="525"/>
        <v>0</v>
      </c>
      <c r="G50">
        <f t="shared" si="18"/>
        <v>-0.84691724075573349</v>
      </c>
      <c r="H50">
        <f t="shared" si="526"/>
        <v>-1.0196233391755041</v>
      </c>
      <c r="I50">
        <f t="shared" si="19"/>
        <v>-1.4586912442610358</v>
      </c>
      <c r="J50">
        <f t="shared" si="527"/>
        <v>-1.6721454891064989</v>
      </c>
      <c r="K50">
        <f t="shared" si="19"/>
        <v>-1.8502045342196327</v>
      </c>
      <c r="L50">
        <f t="shared" si="528"/>
        <v>-2.054736985387799</v>
      </c>
      <c r="M50">
        <f t="shared" ref="M50" si="553">$E50+$D$3*L50</f>
        <v>-2.0797594319884132</v>
      </c>
      <c r="N50">
        <f t="shared" si="530"/>
        <v>-2.2803205952128707</v>
      </c>
      <c r="O50">
        <f t="shared" ref="O50" si="554">$E50+$D$3*N50</f>
        <v>-2.2151095978834556</v>
      </c>
      <c r="P50">
        <f t="shared" si="532"/>
        <v>-2.415175658611969</v>
      </c>
      <c r="Q50">
        <f t="shared" ref="Q50" si="555">$E50+$D$3*P50</f>
        <v>-2.296022635922915</v>
      </c>
      <c r="R50">
        <f t="shared" si="534"/>
        <v>-2.496088696651428</v>
      </c>
      <c r="S50">
        <f t="shared" ref="S50" si="556">$E50+$D$3*R50</f>
        <v>-2.3445704587465901</v>
      </c>
      <c r="T50">
        <f t="shared" si="536"/>
        <v>-2.5446365194751035</v>
      </c>
      <c r="U50">
        <f t="shared" ref="U50" si="557">$E50+$D$3*T50</f>
        <v>-2.3736991524407953</v>
      </c>
      <c r="V50">
        <f t="shared" si="538"/>
        <v>-2.5737652131693087</v>
      </c>
      <c r="W50">
        <f t="shared" ref="W50" si="558">$E50+$D$3*V50</f>
        <v>-2.3911763686573186</v>
      </c>
      <c r="X50">
        <f t="shared" si="540"/>
        <v>-2.591242429385832</v>
      </c>
      <c r="Y50">
        <f t="shared" ref="Y50" si="559">$E50+$D$3*X50</f>
        <v>-2.4016626983872325</v>
      </c>
      <c r="Z50">
        <f t="shared" si="542"/>
        <v>-2.6017287591157459</v>
      </c>
      <c r="AA50">
        <f t="shared" ref="AA50" si="560">$E50+$D$3*Z50</f>
        <v>-2.4079544962251811</v>
      </c>
      <c r="AB50">
        <f t="shared" si="544"/>
        <v>-2.6080205569536941</v>
      </c>
      <c r="AC50">
        <f t="shared" ref="AC50" si="561">$E50+$D$3*AB50</f>
        <v>-2.4117295749279499</v>
      </c>
      <c r="AD50">
        <f t="shared" si="546"/>
        <v>-2.6117956356564629</v>
      </c>
      <c r="AE50">
        <f t="shared" ref="AE50" si="562">$E50+$D$3*AD50</f>
        <v>-2.4139946221496111</v>
      </c>
      <c r="AF50">
        <f t="shared" si="548"/>
        <v>-2.6140606828781241</v>
      </c>
      <c r="AG50">
        <f t="shared" ref="AG50" si="563">$E50+$D$3*AF50</f>
        <v>-2.4153536504826079</v>
      </c>
      <c r="AH50">
        <f t="shared" si="550"/>
        <v>-2.6154197112111213</v>
      </c>
    </row>
    <row r="51" spans="1:34" x14ac:dyDescent="0.25">
      <c r="A51">
        <v>33</v>
      </c>
      <c r="B51">
        <f t="shared" si="551"/>
        <v>0.08</v>
      </c>
      <c r="C51">
        <f t="shared" si="552"/>
        <v>0.06</v>
      </c>
      <c r="D51">
        <f t="shared" si="16"/>
        <v>0.40873458231841986</v>
      </c>
      <c r="E51">
        <f t="shared" si="17"/>
        <v>-0.89468927658072406</v>
      </c>
      <c r="F51">
        <f t="shared" si="525"/>
        <v>0</v>
      </c>
      <c r="G51">
        <f t="shared" si="18"/>
        <v>-0.89468927658072406</v>
      </c>
      <c r="H51">
        <f t="shared" si="526"/>
        <v>-0.89165385651553775</v>
      </c>
      <c r="I51">
        <f t="shared" si="19"/>
        <v>-1.4296815904900466</v>
      </c>
      <c r="J51">
        <f t="shared" si="527"/>
        <v>-1.5293063503177047</v>
      </c>
      <c r="K51">
        <f t="shared" si="19"/>
        <v>-1.8122730867713468</v>
      </c>
      <c r="L51">
        <f t="shared" si="528"/>
        <v>-1.9052790333594904</v>
      </c>
      <c r="M51">
        <f t="shared" ref="M51" si="564">$E51+$D$3*L51</f>
        <v>-2.0378566965964184</v>
      </c>
      <c r="N51">
        <f t="shared" si="530"/>
        <v>-2.130037472357988</v>
      </c>
      <c r="O51">
        <f t="shared" ref="O51" si="565">$E51+$D$3*N51</f>
        <v>-2.1727117599955168</v>
      </c>
      <c r="P51">
        <f t="shared" si="532"/>
        <v>-2.2648925357570864</v>
      </c>
      <c r="Q51">
        <f t="shared" ref="Q51" si="566">$E51+$D$3*P51</f>
        <v>-2.2536247980349757</v>
      </c>
      <c r="R51">
        <f t="shared" si="534"/>
        <v>-2.3458055737965453</v>
      </c>
      <c r="S51">
        <f t="shared" ref="S51" si="567">$E51+$D$3*R51</f>
        <v>-2.3021726208586513</v>
      </c>
      <c r="T51">
        <f t="shared" si="536"/>
        <v>-2.3943533966202208</v>
      </c>
      <c r="U51">
        <f t="shared" ref="U51" si="568">$E51+$D$3*T51</f>
        <v>-2.3313013145528565</v>
      </c>
      <c r="V51">
        <f t="shared" si="538"/>
        <v>-2.4234820903144261</v>
      </c>
      <c r="W51">
        <f t="shared" ref="W51" si="569">$E51+$D$3*V51</f>
        <v>-2.3487785307693798</v>
      </c>
      <c r="X51">
        <f t="shared" si="540"/>
        <v>-2.4409593065309494</v>
      </c>
      <c r="Y51">
        <f t="shared" ref="Y51" si="570">$E51+$D$3*X51</f>
        <v>-2.3592648604992936</v>
      </c>
      <c r="Z51">
        <f t="shared" si="542"/>
        <v>-2.4514456362608632</v>
      </c>
      <c r="AA51">
        <f t="shared" ref="AA51" si="571">$E51+$D$3*Z51</f>
        <v>-2.3655566583372418</v>
      </c>
      <c r="AB51">
        <f t="shared" si="544"/>
        <v>-2.4577374340988114</v>
      </c>
      <c r="AC51">
        <f t="shared" ref="AC51" si="572">$E51+$D$3*AB51</f>
        <v>-2.3693317370400107</v>
      </c>
      <c r="AD51">
        <f t="shared" si="546"/>
        <v>-2.4615125128015802</v>
      </c>
      <c r="AE51">
        <f t="shared" ref="AE51" si="573">$E51+$D$3*AD51</f>
        <v>-2.3715967842616723</v>
      </c>
      <c r="AF51">
        <f t="shared" si="548"/>
        <v>-2.4637775600232414</v>
      </c>
      <c r="AG51">
        <f t="shared" ref="AG51" si="574">$E51+$D$3*AF51</f>
        <v>-2.372955812594669</v>
      </c>
      <c r="AH51">
        <f t="shared" si="550"/>
        <v>-2.4651365883562386</v>
      </c>
    </row>
    <row r="52" spans="1:34" x14ac:dyDescent="0.25">
      <c r="A52">
        <v>34</v>
      </c>
      <c r="B52">
        <f t="shared" si="551"/>
        <v>0.08</v>
      </c>
      <c r="C52">
        <f t="shared" si="552"/>
        <v>0.08</v>
      </c>
      <c r="D52">
        <f t="shared" si="16"/>
        <v>0.38873458231841984</v>
      </c>
      <c r="E52">
        <f t="shared" si="17"/>
        <v>-0.94485847590623151</v>
      </c>
      <c r="F52">
        <f t="shared" si="525"/>
        <v>0</v>
      </c>
      <c r="G52">
        <f t="shared" si="18"/>
        <v>-0.94485847590623151</v>
      </c>
      <c r="H52">
        <f t="shared" si="526"/>
        <v>-0.80132369672045844</v>
      </c>
      <c r="I52">
        <f t="shared" si="19"/>
        <v>-1.4256526939385066</v>
      </c>
      <c r="J52">
        <f t="shared" si="527"/>
        <v>-1.4256526939385066</v>
      </c>
      <c r="K52">
        <f t="shared" si="19"/>
        <v>-1.8002500922693354</v>
      </c>
      <c r="L52">
        <f t="shared" si="528"/>
        <v>-1.8002500922693354</v>
      </c>
      <c r="M52">
        <f t="shared" ref="M52" si="575">$E52+$D$3*L52</f>
        <v>-2.025008531267833</v>
      </c>
      <c r="N52">
        <f t="shared" si="530"/>
        <v>-2.025008531267833</v>
      </c>
      <c r="O52">
        <f t="shared" ref="O52" si="576">$E52+$D$3*N52</f>
        <v>-2.1598635946669313</v>
      </c>
      <c r="P52">
        <f t="shared" si="532"/>
        <v>-2.1598635946669313</v>
      </c>
      <c r="Q52">
        <f t="shared" ref="Q52" si="577">$E52+$D$3*P52</f>
        <v>-2.2407766327063903</v>
      </c>
      <c r="R52">
        <f t="shared" si="534"/>
        <v>-2.2407766327063903</v>
      </c>
      <c r="S52">
        <f t="shared" ref="S52" si="578">$E52+$D$3*R52</f>
        <v>-2.2893244555300658</v>
      </c>
      <c r="T52">
        <f t="shared" si="536"/>
        <v>-2.2893244555300658</v>
      </c>
      <c r="U52">
        <f t="shared" ref="U52" si="579">$E52+$D$3*T52</f>
        <v>-2.318453149224271</v>
      </c>
      <c r="V52">
        <f t="shared" si="538"/>
        <v>-2.318453149224271</v>
      </c>
      <c r="W52">
        <f t="shared" ref="W52" si="580">$E52+$D$3*V52</f>
        <v>-2.3359303654407944</v>
      </c>
      <c r="X52">
        <f t="shared" si="540"/>
        <v>-2.3359303654407944</v>
      </c>
      <c r="Y52">
        <f t="shared" ref="Y52" si="581">$E52+$D$3*X52</f>
        <v>-2.3464166951707082</v>
      </c>
      <c r="Z52">
        <f t="shared" si="542"/>
        <v>-2.3464166951707082</v>
      </c>
      <c r="AA52">
        <f t="shared" ref="AA52" si="582">$E52+$D$3*Z52</f>
        <v>-2.3527084930086564</v>
      </c>
      <c r="AB52">
        <f t="shared" si="544"/>
        <v>-2.3527084930086564</v>
      </c>
      <c r="AC52">
        <f t="shared" ref="AC52" si="583">$E52+$D$3*AB52</f>
        <v>-2.3564835717114252</v>
      </c>
      <c r="AD52">
        <f t="shared" si="546"/>
        <v>-2.3564835717114252</v>
      </c>
      <c r="AE52">
        <f t="shared" ref="AE52" si="584">$E52+$D$3*AD52</f>
        <v>-2.3587486189330864</v>
      </c>
      <c r="AF52">
        <f t="shared" si="548"/>
        <v>-2.3587486189330864</v>
      </c>
      <c r="AG52">
        <f t="shared" ref="AG52" si="585">$E52+$D$3*AF52</f>
        <v>-2.3601076472660836</v>
      </c>
      <c r="AH52">
        <f t="shared" si="550"/>
        <v>-2.3601076472660836</v>
      </c>
    </row>
    <row r="53" spans="1:34" x14ac:dyDescent="0.25">
      <c r="A53">
        <v>35</v>
      </c>
      <c r="B53">
        <f t="shared" si="551"/>
        <v>0.08</v>
      </c>
      <c r="C53">
        <f t="shared" si="552"/>
        <v>0.1</v>
      </c>
      <c r="D53">
        <f t="shared" si="16"/>
        <v>0.36873458231841982</v>
      </c>
      <c r="E53">
        <f t="shared" si="17"/>
        <v>-0.99767818286410992</v>
      </c>
      <c r="F53">
        <f t="shared" si="525"/>
        <v>0</v>
      </c>
      <c r="G53">
        <f t="shared" si="18"/>
        <v>-0.99767818286410992</v>
      </c>
      <c r="H53">
        <f t="shared" si="526"/>
        <v>-0.73149882551768641</v>
      </c>
      <c r="I53">
        <f t="shared" si="19"/>
        <v>-1.4365774781747218</v>
      </c>
      <c r="J53">
        <f t="shared" si="527"/>
        <v>-1.3454720267408284</v>
      </c>
      <c r="K53">
        <f t="shared" si="19"/>
        <v>-1.8049613989086071</v>
      </c>
      <c r="L53">
        <f t="shared" si="528"/>
        <v>-1.7200694250716573</v>
      </c>
      <c r="M53">
        <f t="shared" ref="M53" si="586">$E53+$D$3*L53</f>
        <v>-2.0297198379071042</v>
      </c>
      <c r="N53">
        <f t="shared" si="530"/>
        <v>-1.9448278640701546</v>
      </c>
      <c r="O53">
        <f t="shared" ref="O53" si="587">$E53+$D$3*N53</f>
        <v>-2.1645749013062026</v>
      </c>
      <c r="P53">
        <f t="shared" si="532"/>
        <v>-2.0796829274692534</v>
      </c>
      <c r="Q53">
        <f t="shared" ref="Q53" si="588">$E53+$D$3*P53</f>
        <v>-2.2454879393456619</v>
      </c>
      <c r="R53">
        <f t="shared" si="534"/>
        <v>-2.1605959655087119</v>
      </c>
      <c r="S53">
        <f t="shared" ref="S53" si="589">$E53+$D$3*R53</f>
        <v>-2.294035762169337</v>
      </c>
      <c r="T53">
        <f t="shared" si="536"/>
        <v>-2.2091437883323874</v>
      </c>
      <c r="U53">
        <f t="shared" ref="U53" si="590">$E53+$D$3*T53</f>
        <v>-2.3231644558635423</v>
      </c>
      <c r="V53">
        <f t="shared" si="538"/>
        <v>-2.2382724820265931</v>
      </c>
      <c r="W53">
        <f t="shared" ref="W53" si="591">$E53+$D$3*V53</f>
        <v>-2.340641672080066</v>
      </c>
      <c r="X53">
        <f t="shared" si="540"/>
        <v>-2.255749698243116</v>
      </c>
      <c r="Y53">
        <f t="shared" ref="Y53" si="592">$E53+$D$3*X53</f>
        <v>-2.3511280018099794</v>
      </c>
      <c r="Z53">
        <f t="shared" si="542"/>
        <v>-2.2662360279730303</v>
      </c>
      <c r="AA53">
        <f t="shared" ref="AA53" si="593">$E53+$D$3*Z53</f>
        <v>-2.357419799647928</v>
      </c>
      <c r="AB53">
        <f t="shared" si="544"/>
        <v>-2.272527825810978</v>
      </c>
      <c r="AC53">
        <f t="shared" ref="AC53" si="594">$E53+$D$3*AB53</f>
        <v>-2.3611948783506964</v>
      </c>
      <c r="AD53">
        <f t="shared" si="546"/>
        <v>-2.2763029045137468</v>
      </c>
      <c r="AE53">
        <f t="shared" ref="AE53" si="595">$E53+$D$3*AD53</f>
        <v>-2.3634599255723581</v>
      </c>
      <c r="AF53">
        <f t="shared" si="548"/>
        <v>-2.2785679517354085</v>
      </c>
      <c r="AG53">
        <f t="shared" ref="AG53" si="596">$E53+$D$3*AF53</f>
        <v>-2.3648189539053552</v>
      </c>
      <c r="AH53">
        <f t="shared" si="550"/>
        <v>-2.2799269800684052</v>
      </c>
    </row>
    <row r="54" spans="1:34" x14ac:dyDescent="0.25">
      <c r="A54">
        <v>36</v>
      </c>
      <c r="B54">
        <f t="shared" si="551"/>
        <v>0.08</v>
      </c>
      <c r="C54">
        <f t="shared" si="552"/>
        <v>0.12</v>
      </c>
      <c r="D54">
        <f t="shared" si="16"/>
        <v>0.34873458231841986</v>
      </c>
      <c r="E54">
        <f t="shared" si="17"/>
        <v>-1.0534441552297467</v>
      </c>
      <c r="F54">
        <f t="shared" si="525"/>
        <v>0</v>
      </c>
      <c r="G54">
        <f t="shared" si="18"/>
        <v>-1.0534441552297467</v>
      </c>
      <c r="H54">
        <f t="shared" si="526"/>
        <v>-0.67459246082376068</v>
      </c>
      <c r="I54">
        <f t="shared" si="19"/>
        <v>-1.4581996317240031</v>
      </c>
      <c r="J54">
        <f t="shared" si="527"/>
        <v>-1.2807163272073794</v>
      </c>
      <c r="K54">
        <f t="shared" si="19"/>
        <v>-1.8218739515541742</v>
      </c>
      <c r="L54">
        <f t="shared" si="528"/>
        <v>-1.6527335346593239</v>
      </c>
      <c r="M54">
        <f t="shared" ref="M54" si="597">$E54+$D$3*L54</f>
        <v>-2.0450842760253409</v>
      </c>
      <c r="N54">
        <f t="shared" si="530"/>
        <v>-1.8774919736578213</v>
      </c>
      <c r="O54">
        <f t="shared" ref="O54" si="598">$E54+$D$3*N54</f>
        <v>-2.1799393394244393</v>
      </c>
      <c r="P54">
        <f t="shared" si="532"/>
        <v>-2.0123470370569194</v>
      </c>
      <c r="Q54">
        <f t="shared" ref="Q54" si="599">$E54+$D$3*P54</f>
        <v>-2.2608523774638982</v>
      </c>
      <c r="R54">
        <f t="shared" si="534"/>
        <v>-2.0932600750963788</v>
      </c>
      <c r="S54">
        <f t="shared" ref="S54" si="600">$E54+$D$3*R54</f>
        <v>-2.3094002002875742</v>
      </c>
      <c r="T54">
        <f t="shared" si="536"/>
        <v>-2.1418078979200539</v>
      </c>
      <c r="U54">
        <f t="shared" ref="U54" si="601">$E54+$D$3*T54</f>
        <v>-2.338528893981779</v>
      </c>
      <c r="V54">
        <f t="shared" si="538"/>
        <v>-2.1709365916142591</v>
      </c>
      <c r="W54">
        <f t="shared" ref="W54" si="602">$E54+$D$3*V54</f>
        <v>-2.3560061101983019</v>
      </c>
      <c r="X54">
        <f t="shared" si="540"/>
        <v>-2.1884138078307829</v>
      </c>
      <c r="Y54">
        <f t="shared" ref="Y54" si="603">$E54+$D$3*X54</f>
        <v>-2.3664924399282166</v>
      </c>
      <c r="Z54">
        <f t="shared" si="542"/>
        <v>-2.1989001375606962</v>
      </c>
      <c r="AA54">
        <f t="shared" ref="AA54" si="604">$E54+$D$3*Z54</f>
        <v>-2.3727842377661643</v>
      </c>
      <c r="AB54">
        <f t="shared" si="544"/>
        <v>-2.2051919353986449</v>
      </c>
      <c r="AC54">
        <f t="shared" ref="AC54" si="605">$E54+$D$3*AB54</f>
        <v>-2.3765593164689336</v>
      </c>
      <c r="AD54">
        <f t="shared" si="546"/>
        <v>-2.2089670141014137</v>
      </c>
      <c r="AE54">
        <f t="shared" ref="AE54" si="606">$E54+$D$3*AD54</f>
        <v>-2.3788243636905948</v>
      </c>
      <c r="AF54">
        <f t="shared" si="548"/>
        <v>-2.2112320613230754</v>
      </c>
      <c r="AG54">
        <f t="shared" ref="AG54" si="607">$E54+$D$3*AF54</f>
        <v>-2.380183392023592</v>
      </c>
      <c r="AH54">
        <f t="shared" si="550"/>
        <v>-2.2125910896560721</v>
      </c>
    </row>
    <row r="55" spans="1:34" x14ac:dyDescent="0.25">
      <c r="A55">
        <v>37</v>
      </c>
      <c r="B55">
        <f t="shared" si="551"/>
        <v>0.08</v>
      </c>
      <c r="C55">
        <f t="shared" si="552"/>
        <v>0.14000000000000001</v>
      </c>
      <c r="D55">
        <f t="shared" si="16"/>
        <v>0.32873458231841984</v>
      </c>
      <c r="E55">
        <f t="shared" si="17"/>
        <v>-1.1125045944806413</v>
      </c>
      <c r="F55">
        <f t="shared" si="525"/>
        <v>0</v>
      </c>
      <c r="G55">
        <f t="shared" si="18"/>
        <v>-1.1125045944806413</v>
      </c>
      <c r="H55">
        <f t="shared" si="526"/>
        <v>-0.6265743736743844</v>
      </c>
      <c r="I55">
        <f t="shared" si="19"/>
        <v>-1.488449218685272</v>
      </c>
      <c r="J55">
        <f t="shared" si="527"/>
        <v>-1.2264577774162566</v>
      </c>
      <c r="K55">
        <f t="shared" si="19"/>
        <v>-1.8483792609303953</v>
      </c>
      <c r="L55">
        <f t="shared" si="528"/>
        <v>-1.5960179568035284</v>
      </c>
      <c r="M55">
        <f t="shared" ref="M55" si="608">$E55+$D$3*L55</f>
        <v>-2.0701153685627585</v>
      </c>
      <c r="N55">
        <f t="shared" si="530"/>
        <v>-1.8207763958020258</v>
      </c>
      <c r="O55">
        <f t="shared" ref="O55" si="609">$E55+$D$3*N55</f>
        <v>-2.2049704319618568</v>
      </c>
      <c r="P55">
        <f t="shared" si="532"/>
        <v>-1.9556314592011241</v>
      </c>
      <c r="Q55">
        <f t="shared" ref="Q55" si="610">$E55+$D$3*P55</f>
        <v>-2.2858834700013158</v>
      </c>
      <c r="R55">
        <f t="shared" si="534"/>
        <v>-2.0365444972405835</v>
      </c>
      <c r="S55">
        <f t="shared" ref="S55" si="611">$E55+$D$3*R55</f>
        <v>-2.3344312928249913</v>
      </c>
      <c r="T55">
        <f t="shared" si="536"/>
        <v>-2.0850923200642586</v>
      </c>
      <c r="U55">
        <f t="shared" ref="U55" si="612">$E55+$D$3*T55</f>
        <v>-2.3635599865191965</v>
      </c>
      <c r="V55">
        <f t="shared" si="538"/>
        <v>-2.1142210137584638</v>
      </c>
      <c r="W55">
        <f t="shared" ref="W55" si="613">$E55+$D$3*V55</f>
        <v>-2.3810372027357198</v>
      </c>
      <c r="X55">
        <f t="shared" si="540"/>
        <v>-2.1316982299749871</v>
      </c>
      <c r="Y55">
        <f t="shared" ref="Y55" si="614">$E55+$D$3*X55</f>
        <v>-2.3915235324656337</v>
      </c>
      <c r="Z55">
        <f t="shared" si="542"/>
        <v>-2.142184559704901</v>
      </c>
      <c r="AA55">
        <f t="shared" ref="AA55" si="615">$E55+$D$3*Z55</f>
        <v>-2.3978153303035818</v>
      </c>
      <c r="AB55">
        <f t="shared" si="544"/>
        <v>-2.1484763575428496</v>
      </c>
      <c r="AC55">
        <f t="shared" ref="AC55" si="616">$E55+$D$3*AB55</f>
        <v>-2.4015904090063511</v>
      </c>
      <c r="AD55">
        <f t="shared" si="546"/>
        <v>-2.152251436245618</v>
      </c>
      <c r="AE55">
        <f t="shared" ref="AE55" si="617">$E55+$D$3*AD55</f>
        <v>-2.4038554562280119</v>
      </c>
      <c r="AF55">
        <f t="shared" si="548"/>
        <v>-2.1545164834672796</v>
      </c>
      <c r="AG55">
        <f t="shared" ref="AG55" si="618">$E55+$D$3*AF55</f>
        <v>-2.4052144845610091</v>
      </c>
      <c r="AH55">
        <f t="shared" si="550"/>
        <v>-2.1558755118002764</v>
      </c>
    </row>
    <row r="56" spans="1:34" x14ac:dyDescent="0.25">
      <c r="A56">
        <v>38</v>
      </c>
      <c r="B56">
        <f t="shared" si="551"/>
        <v>0.08</v>
      </c>
      <c r="C56">
        <f t="shared" si="552"/>
        <v>0.16</v>
      </c>
      <c r="D56">
        <f t="shared" si="16"/>
        <v>0.30873458231841988</v>
      </c>
      <c r="E56">
        <f t="shared" si="17"/>
        <v>-1.17527332809757</v>
      </c>
      <c r="F56">
        <f t="shared" si="525"/>
        <v>0</v>
      </c>
      <c r="G56">
        <f t="shared" si="18"/>
        <v>-1.17527332809757</v>
      </c>
      <c r="H56">
        <f t="shared" si="526"/>
        <v>-0.58504649035866596</v>
      </c>
      <c r="I56">
        <f t="shared" si="19"/>
        <v>-1.5263012223127697</v>
      </c>
      <c r="J56">
        <f t="shared" si="527"/>
        <v>-1.1789704614728567</v>
      </c>
      <c r="K56">
        <f t="shared" si="19"/>
        <v>-1.8826556049812839</v>
      </c>
      <c r="L56">
        <f t="shared" si="528"/>
        <v>-1.5473543822067419</v>
      </c>
      <c r="M56">
        <f t="shared" ref="M56" si="619">$E56+$D$3*L56</f>
        <v>-2.1036859574216153</v>
      </c>
      <c r="N56">
        <f t="shared" si="530"/>
        <v>-1.7721128212052393</v>
      </c>
      <c r="O56">
        <f t="shared" ref="O56" si="620">$E56+$D$3*N56</f>
        <v>-2.2385410208207137</v>
      </c>
      <c r="P56">
        <f t="shared" si="532"/>
        <v>-1.9069678846043376</v>
      </c>
      <c r="Q56">
        <f t="shared" ref="Q56" si="621">$E56+$D$3*P56</f>
        <v>-2.3194540588601726</v>
      </c>
      <c r="R56">
        <f t="shared" si="534"/>
        <v>-1.987880922643797</v>
      </c>
      <c r="S56">
        <f t="shared" ref="S56" si="622">$E56+$D$3*R56</f>
        <v>-2.3680018816838482</v>
      </c>
      <c r="T56">
        <f t="shared" si="536"/>
        <v>-2.0364287454674721</v>
      </c>
      <c r="U56">
        <f t="shared" ref="U56" si="623">$E56+$D$3*T56</f>
        <v>-2.3971305753780534</v>
      </c>
      <c r="V56">
        <f t="shared" si="538"/>
        <v>-2.0655574391616773</v>
      </c>
      <c r="W56">
        <f t="shared" ref="W56" si="624">$E56+$D$3*V56</f>
        <v>-2.4146077915945763</v>
      </c>
      <c r="X56">
        <f t="shared" si="540"/>
        <v>-2.0830346553782007</v>
      </c>
      <c r="Y56">
        <f t="shared" ref="Y56" si="625">$E56+$D$3*X56</f>
        <v>-2.4250941213244905</v>
      </c>
      <c r="Z56">
        <f t="shared" si="542"/>
        <v>-2.0935209851081145</v>
      </c>
      <c r="AA56">
        <f t="shared" ref="AA56" si="626">$E56+$D$3*Z56</f>
        <v>-2.4313859191624387</v>
      </c>
      <c r="AB56">
        <f t="shared" si="544"/>
        <v>-2.0998127829460631</v>
      </c>
      <c r="AC56">
        <f t="shared" ref="AC56" si="627">$E56+$D$3*AB56</f>
        <v>-2.435160997865208</v>
      </c>
      <c r="AD56">
        <f t="shared" si="546"/>
        <v>-2.1035878616488315</v>
      </c>
      <c r="AE56">
        <f t="shared" ref="AE56" si="628">$E56+$D$3*AD56</f>
        <v>-2.4374260450868688</v>
      </c>
      <c r="AF56">
        <f t="shared" si="548"/>
        <v>-2.1058529088704931</v>
      </c>
      <c r="AG56">
        <f t="shared" ref="AG56" si="629">$E56+$D$3*AF56</f>
        <v>-2.4387850734198659</v>
      </c>
      <c r="AH56">
        <f t="shared" si="550"/>
        <v>-2.1072119372034899</v>
      </c>
    </row>
    <row r="57" spans="1:34" x14ac:dyDescent="0.25">
      <c r="A57">
        <v>39</v>
      </c>
      <c r="B57">
        <f t="shared" si="551"/>
        <v>0.08</v>
      </c>
      <c r="C57">
        <f t="shared" si="552"/>
        <v>0.18</v>
      </c>
      <c r="D57">
        <f t="shared" si="16"/>
        <v>0.28873458231841986</v>
      </c>
      <c r="E57">
        <f t="shared" si="17"/>
        <v>-1.2422474131399173</v>
      </c>
      <c r="F57">
        <f t="shared" si="525"/>
        <v>0</v>
      </c>
      <c r="G57">
        <f t="shared" si="18"/>
        <v>-1.2422474131399173</v>
      </c>
      <c r="H57">
        <f t="shared" si="526"/>
        <v>-0.5484659307481079</v>
      </c>
      <c r="I57">
        <f t="shared" si="19"/>
        <v>-1.5713269715887819</v>
      </c>
      <c r="J57">
        <f t="shared" si="527"/>
        <v>-1.1363847313485864</v>
      </c>
      <c r="K57">
        <f t="shared" si="19"/>
        <v>-1.9240782519490691</v>
      </c>
      <c r="L57">
        <f t="shared" si="528"/>
        <v>-1.5047686520824715</v>
      </c>
      <c r="M57">
        <f t="shared" ref="M57" si="630">$E57+$D$3*L57</f>
        <v>-2.1451086043894003</v>
      </c>
      <c r="N57">
        <f t="shared" si="530"/>
        <v>-1.7295270910809688</v>
      </c>
      <c r="O57">
        <f t="shared" ref="O57" si="631">$E57+$D$3*N57</f>
        <v>-2.2799636677884987</v>
      </c>
      <c r="P57">
        <f t="shared" si="532"/>
        <v>-1.8643821544800672</v>
      </c>
      <c r="Q57">
        <f t="shared" ref="Q57" si="632">$E57+$D$3*P57</f>
        <v>-2.3608767058279576</v>
      </c>
      <c r="R57">
        <f t="shared" si="534"/>
        <v>-1.9452951925195265</v>
      </c>
      <c r="S57">
        <f t="shared" ref="S57" si="633">$E57+$D$3*R57</f>
        <v>-2.4094245286516331</v>
      </c>
      <c r="T57">
        <f t="shared" si="536"/>
        <v>-1.9938430153432016</v>
      </c>
      <c r="U57">
        <f t="shared" ref="U57" si="634">$E57+$D$3*T57</f>
        <v>-2.4385532223458384</v>
      </c>
      <c r="V57">
        <f t="shared" si="538"/>
        <v>-2.0229717090374066</v>
      </c>
      <c r="W57">
        <f t="shared" ref="W57" si="635">$E57+$D$3*V57</f>
        <v>-2.4560304385623613</v>
      </c>
      <c r="X57">
        <f t="shared" si="540"/>
        <v>-2.0404489252539304</v>
      </c>
      <c r="Y57">
        <f t="shared" ref="Y57" si="636">$E57+$D$3*X57</f>
        <v>-2.4665167682922755</v>
      </c>
      <c r="Z57">
        <f t="shared" si="542"/>
        <v>-2.0509352549838438</v>
      </c>
      <c r="AA57">
        <f t="shared" ref="AA57" si="637">$E57+$D$3*Z57</f>
        <v>-2.4728085661302233</v>
      </c>
      <c r="AB57">
        <f t="shared" si="544"/>
        <v>-2.0572270528217924</v>
      </c>
      <c r="AC57">
        <f t="shared" ref="AC57" si="638">$E57+$D$3*AB57</f>
        <v>-2.476583644832993</v>
      </c>
      <c r="AD57">
        <f t="shared" si="546"/>
        <v>-2.0610021315245612</v>
      </c>
      <c r="AE57">
        <f t="shared" ref="AE57" si="639">$E57+$D$3*AD57</f>
        <v>-2.4788486920546537</v>
      </c>
      <c r="AF57">
        <f t="shared" si="548"/>
        <v>-2.0632671787462229</v>
      </c>
      <c r="AG57">
        <f t="shared" ref="AG57" si="640">$E57+$D$3*AF57</f>
        <v>-2.4802077203876509</v>
      </c>
      <c r="AH57">
        <f t="shared" si="550"/>
        <v>-2.0646262070792196</v>
      </c>
    </row>
    <row r="58" spans="1:34" x14ac:dyDescent="0.25">
      <c r="A58">
        <v>40</v>
      </c>
      <c r="B58">
        <f t="shared" si="551"/>
        <v>0.08</v>
      </c>
      <c r="C58">
        <f t="shared" si="552"/>
        <v>0.2</v>
      </c>
      <c r="D58">
        <f t="shared" si="16"/>
        <v>0.26873458231841985</v>
      </c>
      <c r="E58">
        <f t="shared" si="17"/>
        <v>-1.3140310693033854</v>
      </c>
      <c r="F58">
        <f t="shared" si="525"/>
        <v>0</v>
      </c>
      <c r="G58">
        <f t="shared" si="18"/>
        <v>-1.3140310693033854</v>
      </c>
      <c r="H58">
        <f t="shared" si="526"/>
        <v>-0.51578144572408391</v>
      </c>
      <c r="I58">
        <f t="shared" si="19"/>
        <v>-1.6234999367378358</v>
      </c>
      <c r="J58">
        <f t="shared" si="527"/>
        <v>-1.0985462034379376</v>
      </c>
      <c r="K58">
        <f t="shared" si="19"/>
        <v>-1.9731587913661479</v>
      </c>
      <c r="L58">
        <f t="shared" si="528"/>
        <v>-1.4669301241718227</v>
      </c>
      <c r="M58">
        <f t="shared" ref="M58" si="641">$E58+$D$3*L58</f>
        <v>-2.1941891438064789</v>
      </c>
      <c r="N58">
        <f t="shared" si="530"/>
        <v>-1.6907372417566426</v>
      </c>
      <c r="O58">
        <f t="shared" ref="O58" si="642">$E58+$D$3*N58</f>
        <v>-2.3284734143573709</v>
      </c>
      <c r="P58">
        <f t="shared" si="532"/>
        <v>-1.825592305155741</v>
      </c>
      <c r="Q58">
        <f t="shared" ref="Q58" si="643">$E58+$D$3*P58</f>
        <v>-2.4093864523968298</v>
      </c>
      <c r="R58">
        <f t="shared" si="534"/>
        <v>-1.9065053431951999</v>
      </c>
      <c r="S58">
        <f t="shared" ref="S58" si="644">$E58+$D$3*R58</f>
        <v>-2.4579342752205053</v>
      </c>
      <c r="T58">
        <f t="shared" si="536"/>
        <v>-1.9550531660188755</v>
      </c>
      <c r="U58">
        <f t="shared" ref="U58" si="645">$E58+$D$3*T58</f>
        <v>-2.4870629689147106</v>
      </c>
      <c r="V58">
        <f t="shared" si="538"/>
        <v>-1.9841818597130807</v>
      </c>
      <c r="W58">
        <f t="shared" ref="W58" si="646">$E58+$D$3*V58</f>
        <v>-2.5045401851312339</v>
      </c>
      <c r="X58">
        <f t="shared" si="540"/>
        <v>-2.0016590759296036</v>
      </c>
      <c r="Y58">
        <f t="shared" ref="Y58" si="647">$E58+$D$3*X58</f>
        <v>-2.5150265148611473</v>
      </c>
      <c r="Z58">
        <f t="shared" si="542"/>
        <v>-2.0121454056595178</v>
      </c>
      <c r="AA58">
        <f t="shared" ref="AA58" si="648">$E58+$D$3*Z58</f>
        <v>-2.5213183126990959</v>
      </c>
      <c r="AB58">
        <f t="shared" si="544"/>
        <v>-2.018437203497466</v>
      </c>
      <c r="AC58">
        <f t="shared" ref="AC58" si="649">$E58+$D$3*AB58</f>
        <v>-2.5250933914018647</v>
      </c>
      <c r="AD58">
        <f t="shared" si="546"/>
        <v>-2.0222122822002353</v>
      </c>
      <c r="AE58">
        <f t="shared" ref="AE58" si="650">$E58+$D$3*AD58</f>
        <v>-2.5273584386235264</v>
      </c>
      <c r="AF58">
        <f t="shared" si="548"/>
        <v>-2.0244773294218965</v>
      </c>
      <c r="AG58">
        <f t="shared" ref="AG58" si="651">$E58+$D$3*AF58</f>
        <v>-2.5287174669565236</v>
      </c>
      <c r="AH58">
        <f t="shared" si="550"/>
        <v>-2.0258363577548932</v>
      </c>
    </row>
    <row r="59" spans="1:34" x14ac:dyDescent="0.25">
      <c r="A59">
        <v>41</v>
      </c>
      <c r="B59">
        <f>$C$10</f>
        <v>0.1</v>
      </c>
      <c r="C59">
        <f>D6</f>
        <v>0.02</v>
      </c>
      <c r="D59">
        <f t="shared" si="16"/>
        <v>0.48118723362727234</v>
      </c>
      <c r="E59">
        <f t="shared" si="17"/>
        <v>-0.73149882551768641</v>
      </c>
      <c r="F59">
        <f>E6</f>
        <v>0</v>
      </c>
      <c r="G59">
        <f t="shared" si="18"/>
        <v>-0.73149882551768641</v>
      </c>
      <c r="H59">
        <f>G6</f>
        <v>-1.2404656598035961</v>
      </c>
      <c r="I59">
        <f t="shared" si="19"/>
        <v>-1.475778221399844</v>
      </c>
      <c r="J59">
        <f>I6</f>
        <v>-1.9238908431064008</v>
      </c>
      <c r="K59">
        <f t="shared" si="19"/>
        <v>-1.8858333313815268</v>
      </c>
      <c r="L59">
        <f>K6</f>
        <v>-2.3068847075706134</v>
      </c>
      <c r="M59">
        <f t="shared" ref="M59" si="652">$E59+$D$3*L59</f>
        <v>-2.1156296500600544</v>
      </c>
      <c r="N59">
        <f>M6</f>
        <v>-2.5324683173956846</v>
      </c>
      <c r="O59">
        <f t="shared" ref="O59" si="653">$E59+$D$3*N59</f>
        <v>-2.2509798159550973</v>
      </c>
      <c r="P59">
        <f>O6</f>
        <v>-2.6673233807947834</v>
      </c>
      <c r="Q59">
        <f t="shared" ref="Q59" si="654">$E59+$D$3*P59</f>
        <v>-2.3318928539945567</v>
      </c>
      <c r="R59">
        <f>Q6</f>
        <v>-2.7482364188342423</v>
      </c>
      <c r="S59">
        <f t="shared" ref="S59" si="655">$E59+$D$3*R59</f>
        <v>-2.3804406768182318</v>
      </c>
      <c r="T59">
        <f>S6</f>
        <v>-2.7967842416579174</v>
      </c>
      <c r="U59">
        <f t="shared" ref="U59" si="656">$E59+$D$3*T59</f>
        <v>-2.409569370512437</v>
      </c>
      <c r="V59">
        <f>U6</f>
        <v>-2.8259129353521231</v>
      </c>
      <c r="W59">
        <f t="shared" ref="W59" si="657">$E59+$D$3*V59</f>
        <v>-2.4270465867289603</v>
      </c>
      <c r="X59">
        <f>W6</f>
        <v>-2.8433901515686459</v>
      </c>
      <c r="Y59">
        <f t="shared" ref="Y59" si="658">$E59+$D$3*X59</f>
        <v>-2.4375329164588742</v>
      </c>
      <c r="Z59">
        <f>Y6</f>
        <v>-2.8538764812985602</v>
      </c>
      <c r="AA59">
        <f t="shared" ref="AA59" si="659">$E59+$D$3*Z59</f>
        <v>-2.4438247142968228</v>
      </c>
      <c r="AB59">
        <f>AA6</f>
        <v>-2.8601682791365084</v>
      </c>
      <c r="AC59">
        <f t="shared" ref="AC59" si="660">$E59+$D$3*AB59</f>
        <v>-2.4475997929995916</v>
      </c>
      <c r="AD59">
        <f>AC6</f>
        <v>-2.8639433578392772</v>
      </c>
      <c r="AE59">
        <f t="shared" ref="AE59" si="661">$E59+$D$3*AD59</f>
        <v>-2.4498648402212524</v>
      </c>
      <c r="AF59">
        <f>AE6</f>
        <v>-2.8662084050609389</v>
      </c>
      <c r="AG59">
        <f t="shared" ref="AG59" si="662">$E59+$D$3*AF59</f>
        <v>-2.4512238685542496</v>
      </c>
      <c r="AH59">
        <f>AG6</f>
        <v>-2.8675674333939352</v>
      </c>
    </row>
    <row r="60" spans="1:34" x14ac:dyDescent="0.25">
      <c r="A60">
        <v>42</v>
      </c>
      <c r="B60">
        <f t="shared" ref="B60:B68" si="663">$C$10</f>
        <v>0.1</v>
      </c>
      <c r="C60">
        <f t="shared" ref="C60:C68" si="664">D7</f>
        <v>0.04</v>
      </c>
      <c r="D60">
        <f t="shared" si="16"/>
        <v>0.46118723362727237</v>
      </c>
      <c r="E60">
        <f t="shared" si="17"/>
        <v>-0.77395117174382988</v>
      </c>
      <c r="F60">
        <f t="shared" ref="F60:F68" si="665">E7</f>
        <v>0</v>
      </c>
      <c r="G60">
        <f t="shared" si="18"/>
        <v>-0.77395117174382988</v>
      </c>
      <c r="H60">
        <f t="shared" ref="H60:J60" si="666">G7</f>
        <v>-1.0196233391755041</v>
      </c>
      <c r="I60">
        <f t="shared" si="19"/>
        <v>-1.3857251752491324</v>
      </c>
      <c r="J60">
        <f t="shared" si="666"/>
        <v>-1.6721454891064989</v>
      </c>
      <c r="K60">
        <f t="shared" si="19"/>
        <v>-1.7772384652077291</v>
      </c>
      <c r="L60">
        <f t="shared" ref="L60:N60" si="667">K7</f>
        <v>-2.054736985387799</v>
      </c>
      <c r="M60">
        <f t="shared" ref="M60" si="668">$E60+$D$3*L60</f>
        <v>-2.0067933629765093</v>
      </c>
      <c r="N60">
        <f t="shared" si="667"/>
        <v>-2.2803205952128707</v>
      </c>
      <c r="O60">
        <f t="shared" ref="O60" si="669">$E60+$D$3*N60</f>
        <v>-2.1421435288715522</v>
      </c>
      <c r="P60">
        <f t="shared" ref="P60" si="670">O7</f>
        <v>-2.415175658611969</v>
      </c>
      <c r="Q60">
        <f t="shared" ref="Q60" si="671">$E60+$D$3*P60</f>
        <v>-2.2230565669110112</v>
      </c>
      <c r="R60">
        <f t="shared" ref="R60:T60" si="672">Q7</f>
        <v>-2.496088696651428</v>
      </c>
      <c r="S60">
        <f t="shared" ref="S60" si="673">$E60+$D$3*R60</f>
        <v>-2.2716043897346867</v>
      </c>
      <c r="T60">
        <f t="shared" si="672"/>
        <v>-2.5446365194751035</v>
      </c>
      <c r="U60">
        <f t="shared" ref="U60" si="674">$E60+$D$3*T60</f>
        <v>-2.3007330834288919</v>
      </c>
      <c r="V60">
        <f t="shared" ref="V60" si="675">U7</f>
        <v>-2.5737652131693087</v>
      </c>
      <c r="W60">
        <f t="shared" ref="W60" si="676">$E60+$D$3*V60</f>
        <v>-2.3182102996454148</v>
      </c>
      <c r="X60">
        <f t="shared" ref="X60" si="677">W7</f>
        <v>-2.591242429385832</v>
      </c>
      <c r="Y60">
        <f t="shared" ref="Y60" si="678">$E60+$D$3*X60</f>
        <v>-2.3286966293753291</v>
      </c>
      <c r="Z60">
        <f t="shared" ref="Z60" si="679">Y7</f>
        <v>-2.6017287591157459</v>
      </c>
      <c r="AA60">
        <f t="shared" ref="AA60" si="680">$E60+$D$3*Z60</f>
        <v>-2.3349884272132773</v>
      </c>
      <c r="AB60">
        <f t="shared" ref="AB60:AD60" si="681">AA7</f>
        <v>-2.6080205569536941</v>
      </c>
      <c r="AC60">
        <f t="shared" ref="AC60" si="682">$E60+$D$3*AB60</f>
        <v>-2.3387635059160461</v>
      </c>
      <c r="AD60">
        <f t="shared" si="681"/>
        <v>-2.6117956356564629</v>
      </c>
      <c r="AE60">
        <f t="shared" ref="AE60" si="683">$E60+$D$3*AD60</f>
        <v>-2.3410285531377077</v>
      </c>
      <c r="AF60">
        <f t="shared" ref="AF60" si="684">AE7</f>
        <v>-2.6140606828781241</v>
      </c>
      <c r="AG60">
        <f t="shared" ref="AG60" si="685">$E60+$D$3*AF60</f>
        <v>-2.342387581470704</v>
      </c>
      <c r="AH60">
        <f t="shared" ref="AH60" si="686">AG7</f>
        <v>-2.6154197112111213</v>
      </c>
    </row>
    <row r="61" spans="1:34" x14ac:dyDescent="0.25">
      <c r="A61">
        <v>43</v>
      </c>
      <c r="B61">
        <f t="shared" si="663"/>
        <v>0.1</v>
      </c>
      <c r="C61">
        <f t="shared" si="664"/>
        <v>0.06</v>
      </c>
      <c r="D61">
        <f t="shared" si="16"/>
        <v>0.44118723362727236</v>
      </c>
      <c r="E61">
        <f t="shared" si="17"/>
        <v>-0.81828592758971697</v>
      </c>
      <c r="F61">
        <f t="shared" si="665"/>
        <v>0</v>
      </c>
      <c r="G61">
        <f t="shared" si="18"/>
        <v>-0.81828592758971697</v>
      </c>
      <c r="H61">
        <f t="shared" ref="H61:J61" si="687">G8</f>
        <v>-0.89165385651553775</v>
      </c>
      <c r="I61">
        <f t="shared" si="19"/>
        <v>-1.3532782414990396</v>
      </c>
      <c r="J61">
        <f t="shared" si="687"/>
        <v>-1.5293063503177047</v>
      </c>
      <c r="K61">
        <f t="shared" si="19"/>
        <v>-1.7358697377803396</v>
      </c>
      <c r="L61">
        <f t="shared" ref="L61:N61" si="688">K8</f>
        <v>-1.9052790333594904</v>
      </c>
      <c r="M61">
        <f t="shared" ref="M61" si="689">$E61+$D$3*L61</f>
        <v>-1.9614533476054112</v>
      </c>
      <c r="N61">
        <f t="shared" si="688"/>
        <v>-2.130037472357988</v>
      </c>
      <c r="O61">
        <f t="shared" ref="O61" si="690">$E61+$D$3*N61</f>
        <v>-2.09630841100451</v>
      </c>
      <c r="P61">
        <f t="shared" ref="P61" si="691">O8</f>
        <v>-2.2648925357570864</v>
      </c>
      <c r="Q61">
        <f t="shared" ref="Q61" si="692">$E61+$D$3*P61</f>
        <v>-2.1772214490439685</v>
      </c>
      <c r="R61">
        <f t="shared" ref="R61:T61" si="693">Q8</f>
        <v>-2.3458055737965453</v>
      </c>
      <c r="S61">
        <f t="shared" ref="S61" si="694">$E61+$D$3*R61</f>
        <v>-2.2257692718676441</v>
      </c>
      <c r="T61">
        <f t="shared" si="693"/>
        <v>-2.3943533966202208</v>
      </c>
      <c r="U61">
        <f t="shared" ref="U61" si="695">$E61+$D$3*T61</f>
        <v>-2.2548979655618497</v>
      </c>
      <c r="V61">
        <f t="shared" ref="V61" si="696">U8</f>
        <v>-2.4234820903144261</v>
      </c>
      <c r="W61">
        <f t="shared" ref="W61" si="697">$E61+$D$3*V61</f>
        <v>-2.2723751817783726</v>
      </c>
      <c r="X61">
        <f t="shared" ref="X61" si="698">W8</f>
        <v>-2.4409593065309494</v>
      </c>
      <c r="Y61">
        <f t="shared" ref="Y61" si="699">$E61+$D$3*X61</f>
        <v>-2.2828615115082869</v>
      </c>
      <c r="Z61">
        <f t="shared" ref="Z61" si="700">Y8</f>
        <v>-2.4514456362608632</v>
      </c>
      <c r="AA61">
        <f t="shared" ref="AA61" si="701">$E61+$D$3*Z61</f>
        <v>-2.2891533093462346</v>
      </c>
      <c r="AB61">
        <f t="shared" ref="AB61:AD61" si="702">AA8</f>
        <v>-2.4577374340988114</v>
      </c>
      <c r="AC61">
        <f t="shared" ref="AC61" si="703">$E61+$D$3*AB61</f>
        <v>-2.2929283880490035</v>
      </c>
      <c r="AD61">
        <f t="shared" si="702"/>
        <v>-2.4615125128015802</v>
      </c>
      <c r="AE61">
        <f t="shared" ref="AE61" si="704">$E61+$D$3*AD61</f>
        <v>-2.2951934352706651</v>
      </c>
      <c r="AF61">
        <f t="shared" ref="AF61" si="705">AE8</f>
        <v>-2.4637775600232414</v>
      </c>
      <c r="AG61">
        <f t="shared" ref="AG61" si="706">$E61+$D$3*AF61</f>
        <v>-2.2965524636036618</v>
      </c>
      <c r="AH61">
        <f t="shared" ref="AH61" si="707">AG8</f>
        <v>-2.4651365883562386</v>
      </c>
    </row>
    <row r="62" spans="1:34" x14ac:dyDescent="0.25">
      <c r="A62">
        <v>44</v>
      </c>
      <c r="B62">
        <f t="shared" si="663"/>
        <v>0.1</v>
      </c>
      <c r="C62">
        <f t="shared" si="664"/>
        <v>0.08</v>
      </c>
      <c r="D62">
        <f t="shared" si="16"/>
        <v>0.42118723362727234</v>
      </c>
      <c r="E62">
        <f t="shared" si="17"/>
        <v>-0.86467780870855337</v>
      </c>
      <c r="F62">
        <f t="shared" si="665"/>
        <v>0</v>
      </c>
      <c r="G62">
        <f t="shared" si="18"/>
        <v>-0.86467780870855337</v>
      </c>
      <c r="H62">
        <f t="shared" ref="H62:J62" si="708">G9</f>
        <v>-0.80132369672045844</v>
      </c>
      <c r="I62">
        <f t="shared" si="19"/>
        <v>-1.3454720267408284</v>
      </c>
      <c r="J62">
        <f t="shared" si="708"/>
        <v>-1.4256526939385066</v>
      </c>
      <c r="K62">
        <f t="shared" si="19"/>
        <v>-1.7200694250716573</v>
      </c>
      <c r="L62">
        <f t="shared" ref="L62:N62" si="709">K9</f>
        <v>-1.8002500922693354</v>
      </c>
      <c r="M62">
        <f t="shared" ref="M62" si="710">$E62+$D$3*L62</f>
        <v>-1.9448278640701546</v>
      </c>
      <c r="N62">
        <f t="shared" si="709"/>
        <v>-2.025008531267833</v>
      </c>
      <c r="O62">
        <f t="shared" ref="O62" si="711">$E62+$D$3*N62</f>
        <v>-2.0796829274692534</v>
      </c>
      <c r="P62">
        <f t="shared" ref="P62" si="712">O9</f>
        <v>-2.1598635946669313</v>
      </c>
      <c r="Q62">
        <f t="shared" ref="Q62" si="713">$E62+$D$3*P62</f>
        <v>-2.1605959655087119</v>
      </c>
      <c r="R62">
        <f t="shared" ref="R62:T62" si="714">Q9</f>
        <v>-2.2407766327063903</v>
      </c>
      <c r="S62">
        <f t="shared" ref="S62" si="715">$E62+$D$3*R62</f>
        <v>-2.2091437883323874</v>
      </c>
      <c r="T62">
        <f t="shared" si="714"/>
        <v>-2.2893244555300658</v>
      </c>
      <c r="U62">
        <f t="shared" ref="U62" si="716">$E62+$D$3*T62</f>
        <v>-2.2382724820265931</v>
      </c>
      <c r="V62">
        <f t="shared" ref="V62" si="717">U9</f>
        <v>-2.318453149224271</v>
      </c>
      <c r="W62">
        <f t="shared" ref="W62" si="718">$E62+$D$3*V62</f>
        <v>-2.255749698243116</v>
      </c>
      <c r="X62">
        <f t="shared" ref="X62" si="719">W9</f>
        <v>-2.3359303654407944</v>
      </c>
      <c r="Y62">
        <f t="shared" ref="Y62" si="720">$E62+$D$3*X62</f>
        <v>-2.2662360279730303</v>
      </c>
      <c r="Z62">
        <f t="shared" ref="Z62" si="721">Y9</f>
        <v>-2.3464166951707082</v>
      </c>
      <c r="AA62">
        <f t="shared" ref="AA62" si="722">$E62+$D$3*Z62</f>
        <v>-2.272527825810978</v>
      </c>
      <c r="AB62">
        <f t="shared" ref="AB62:AD62" si="723">AA9</f>
        <v>-2.3527084930086564</v>
      </c>
      <c r="AC62">
        <f t="shared" ref="AC62" si="724">$E62+$D$3*AB62</f>
        <v>-2.2763029045137468</v>
      </c>
      <c r="AD62">
        <f t="shared" si="723"/>
        <v>-2.3564835717114252</v>
      </c>
      <c r="AE62">
        <f t="shared" ref="AE62" si="725">$E62+$D$3*AD62</f>
        <v>-2.2785679517354085</v>
      </c>
      <c r="AF62">
        <f t="shared" ref="AF62" si="726">AE9</f>
        <v>-2.3587486189330864</v>
      </c>
      <c r="AG62">
        <f t="shared" ref="AG62" si="727">$E62+$D$3*AF62</f>
        <v>-2.2799269800684052</v>
      </c>
      <c r="AH62">
        <f t="shared" ref="AH62" si="728">AG9</f>
        <v>-2.3601076472660836</v>
      </c>
    </row>
    <row r="63" spans="1:34" x14ac:dyDescent="0.25">
      <c r="A63">
        <v>45</v>
      </c>
      <c r="B63">
        <f t="shared" si="663"/>
        <v>0.1</v>
      </c>
      <c r="C63">
        <f t="shared" si="664"/>
        <v>0.1</v>
      </c>
      <c r="D63">
        <f t="shared" si="16"/>
        <v>0.40118723362727238</v>
      </c>
      <c r="E63">
        <f t="shared" si="17"/>
        <v>-0.91332704387104635</v>
      </c>
      <c r="F63">
        <f t="shared" si="665"/>
        <v>0</v>
      </c>
      <c r="G63">
        <f t="shared" si="18"/>
        <v>-0.91332704387104635</v>
      </c>
      <c r="H63">
        <f t="shared" ref="H63:J63" si="729">G10</f>
        <v>-0.73149882551768641</v>
      </c>
      <c r="I63">
        <f t="shared" si="19"/>
        <v>-1.3522263391816582</v>
      </c>
      <c r="J63">
        <f t="shared" si="729"/>
        <v>-1.3454720267408284</v>
      </c>
      <c r="K63">
        <f t="shared" si="19"/>
        <v>-1.7206102599155435</v>
      </c>
      <c r="L63">
        <f t="shared" ref="L63:N63" si="730">K10</f>
        <v>-1.7200694250716573</v>
      </c>
      <c r="M63">
        <f t="shared" ref="M63" si="731">$E63+$D$3*L63</f>
        <v>-1.9453686989140406</v>
      </c>
      <c r="N63">
        <f t="shared" si="730"/>
        <v>-1.9448278640701546</v>
      </c>
      <c r="O63">
        <f t="shared" ref="O63" si="732">$E63+$D$3*N63</f>
        <v>-2.080223762313139</v>
      </c>
      <c r="P63">
        <f t="shared" ref="P63" si="733">O10</f>
        <v>-2.0796829274692534</v>
      </c>
      <c r="Q63">
        <f t="shared" ref="Q63" si="734">$E63+$D$3*P63</f>
        <v>-2.1611368003525984</v>
      </c>
      <c r="R63">
        <f t="shared" ref="R63:T63" si="735">Q10</f>
        <v>-2.1605959655087119</v>
      </c>
      <c r="S63">
        <f t="shared" ref="S63" si="736">$E63+$D$3*R63</f>
        <v>-2.2096846231762735</v>
      </c>
      <c r="T63">
        <f t="shared" si="735"/>
        <v>-2.2091437883323874</v>
      </c>
      <c r="U63">
        <f t="shared" ref="U63" si="737">$E63+$D$3*T63</f>
        <v>-2.2388133168704787</v>
      </c>
      <c r="V63">
        <f t="shared" ref="V63" si="738">U10</f>
        <v>-2.2382724820265931</v>
      </c>
      <c r="W63">
        <f t="shared" ref="W63" si="739">$E63+$D$3*V63</f>
        <v>-2.256290533087002</v>
      </c>
      <c r="X63">
        <f t="shared" ref="X63" si="740">W10</f>
        <v>-2.255749698243116</v>
      </c>
      <c r="Y63">
        <f t="shared" ref="Y63" si="741">$E63+$D$3*X63</f>
        <v>-2.2667768628169158</v>
      </c>
      <c r="Z63">
        <f t="shared" ref="Z63" si="742">Y10</f>
        <v>-2.2662360279730303</v>
      </c>
      <c r="AA63">
        <f t="shared" ref="AA63" si="743">$E63+$D$3*Z63</f>
        <v>-2.2730686606548645</v>
      </c>
      <c r="AB63">
        <f t="shared" ref="AB63:AD63" si="744">AA10</f>
        <v>-2.272527825810978</v>
      </c>
      <c r="AC63">
        <f t="shared" ref="AC63" si="745">$E63+$D$3*AB63</f>
        <v>-2.2768437393576333</v>
      </c>
      <c r="AD63">
        <f t="shared" si="744"/>
        <v>-2.2763029045137468</v>
      </c>
      <c r="AE63">
        <f t="shared" ref="AE63" si="746">$E63+$D$3*AD63</f>
        <v>-2.2791087865792945</v>
      </c>
      <c r="AF63">
        <f t="shared" ref="AF63" si="747">AE10</f>
        <v>-2.2785679517354085</v>
      </c>
      <c r="AG63">
        <f t="shared" ref="AG63" si="748">$E63+$D$3*AF63</f>
        <v>-2.2804678149122912</v>
      </c>
      <c r="AH63">
        <f t="shared" ref="AH63" si="749">AG10</f>
        <v>-2.2799269800684052</v>
      </c>
    </row>
    <row r="64" spans="1:34" x14ac:dyDescent="0.25">
      <c r="A64">
        <v>46</v>
      </c>
      <c r="B64">
        <f t="shared" si="663"/>
        <v>0.1</v>
      </c>
      <c r="C64">
        <f t="shared" si="664"/>
        <v>0.12</v>
      </c>
      <c r="D64">
        <f t="shared" si="16"/>
        <v>0.38118723362727236</v>
      </c>
      <c r="E64">
        <f t="shared" si="17"/>
        <v>-0.96446459772282733</v>
      </c>
      <c r="F64">
        <f t="shared" si="665"/>
        <v>0</v>
      </c>
      <c r="G64">
        <f t="shared" si="18"/>
        <v>-0.96446459772282733</v>
      </c>
      <c r="H64">
        <f t="shared" ref="H64:J64" si="750">G11</f>
        <v>-0.67459246082376068</v>
      </c>
      <c r="I64">
        <f t="shared" si="19"/>
        <v>-1.3692200742170837</v>
      </c>
      <c r="J64">
        <f t="shared" si="750"/>
        <v>-1.2807163272073794</v>
      </c>
      <c r="K64">
        <f t="shared" si="19"/>
        <v>-1.732894394047255</v>
      </c>
      <c r="L64">
        <f t="shared" ref="L64:N64" si="751">K11</f>
        <v>-1.6527335346593239</v>
      </c>
      <c r="M64">
        <f t="shared" ref="M64" si="752">$E64+$D$3*L64</f>
        <v>-1.9561047185184215</v>
      </c>
      <c r="N64">
        <f t="shared" si="751"/>
        <v>-1.8774919736578213</v>
      </c>
      <c r="O64">
        <f t="shared" ref="O64" si="753">$E64+$D$3*N64</f>
        <v>-2.0909597819175199</v>
      </c>
      <c r="P64">
        <f t="shared" ref="P64" si="754">O11</f>
        <v>-2.0123470370569194</v>
      </c>
      <c r="Q64">
        <f t="shared" ref="Q64" si="755">$E64+$D$3*P64</f>
        <v>-2.1718728199569788</v>
      </c>
      <c r="R64">
        <f t="shared" ref="R64:T64" si="756">Q11</f>
        <v>-2.0932600750963788</v>
      </c>
      <c r="S64">
        <f t="shared" ref="S64" si="757">$E64+$D$3*R64</f>
        <v>-2.2204206427806548</v>
      </c>
      <c r="T64">
        <f t="shared" si="756"/>
        <v>-2.1418078979200539</v>
      </c>
      <c r="U64">
        <f t="shared" ref="U64" si="758">$E64+$D$3*T64</f>
        <v>-2.2495493364748596</v>
      </c>
      <c r="V64">
        <f t="shared" ref="V64" si="759">U11</f>
        <v>-2.1709365916142591</v>
      </c>
      <c r="W64">
        <f t="shared" ref="W64" si="760">$E64+$D$3*V64</f>
        <v>-2.2670265526913829</v>
      </c>
      <c r="X64">
        <f t="shared" ref="X64" si="761">W11</f>
        <v>-2.1884138078307829</v>
      </c>
      <c r="Y64">
        <f t="shared" ref="Y64" si="762">$E64+$D$3*X64</f>
        <v>-2.2775128824212971</v>
      </c>
      <c r="Z64">
        <f t="shared" ref="Z64" si="763">Y11</f>
        <v>-2.1989001375606962</v>
      </c>
      <c r="AA64">
        <f t="shared" ref="AA64" si="764">$E64+$D$3*Z64</f>
        <v>-2.2838046802592449</v>
      </c>
      <c r="AB64">
        <f t="shared" ref="AB64:AD64" si="765">AA11</f>
        <v>-2.2051919353986449</v>
      </c>
      <c r="AC64">
        <f t="shared" ref="AC64" si="766">$E64+$D$3*AB64</f>
        <v>-2.2875797589620142</v>
      </c>
      <c r="AD64">
        <f t="shared" si="765"/>
        <v>-2.2089670141014137</v>
      </c>
      <c r="AE64">
        <f t="shared" ref="AE64" si="767">$E64+$D$3*AD64</f>
        <v>-2.2898448061836754</v>
      </c>
      <c r="AF64">
        <f t="shared" ref="AF64" si="768">AE11</f>
        <v>-2.2112320613230754</v>
      </c>
      <c r="AG64">
        <f t="shared" ref="AG64" si="769">$E64+$D$3*AF64</f>
        <v>-2.2912038345166725</v>
      </c>
      <c r="AH64">
        <f t="shared" ref="AH64" si="770">AG11</f>
        <v>-2.2125910896560721</v>
      </c>
    </row>
    <row r="65" spans="1:34" x14ac:dyDescent="0.25">
      <c r="A65">
        <v>47</v>
      </c>
      <c r="B65">
        <f t="shared" si="663"/>
        <v>0.1</v>
      </c>
      <c r="C65">
        <f t="shared" si="664"/>
        <v>0.14000000000000001</v>
      </c>
      <c r="D65">
        <f t="shared" si="16"/>
        <v>0.36118723362727234</v>
      </c>
      <c r="E65">
        <f t="shared" si="17"/>
        <v>-1.018358802395958</v>
      </c>
      <c r="F65">
        <f t="shared" si="665"/>
        <v>0</v>
      </c>
      <c r="G65">
        <f t="shared" si="18"/>
        <v>-1.018358802395958</v>
      </c>
      <c r="H65">
        <f t="shared" ref="H65:J65" si="771">G12</f>
        <v>-0.6265743736743844</v>
      </c>
      <c r="I65">
        <f t="shared" si="19"/>
        <v>-1.3943034266005887</v>
      </c>
      <c r="J65">
        <f t="shared" si="771"/>
        <v>-1.2264577774162566</v>
      </c>
      <c r="K65">
        <f t="shared" si="19"/>
        <v>-1.754233468845712</v>
      </c>
      <c r="L65">
        <f t="shared" ref="L65:N65" si="772">K12</f>
        <v>-1.5960179568035284</v>
      </c>
      <c r="M65">
        <f t="shared" ref="M65" si="773">$E65+$D$3*L65</f>
        <v>-1.9759695764780751</v>
      </c>
      <c r="N65">
        <f t="shared" si="772"/>
        <v>-1.8207763958020258</v>
      </c>
      <c r="O65">
        <f t="shared" ref="O65" si="774">$E65+$D$3*N65</f>
        <v>-2.1108246398771735</v>
      </c>
      <c r="P65">
        <f t="shared" ref="P65" si="775">O12</f>
        <v>-1.9556314592011241</v>
      </c>
      <c r="Q65">
        <f t="shared" ref="Q65" si="776">$E65+$D$3*P65</f>
        <v>-2.1917376779166324</v>
      </c>
      <c r="R65">
        <f t="shared" ref="R65:T65" si="777">Q12</f>
        <v>-2.0365444972405835</v>
      </c>
      <c r="S65">
        <f t="shared" ref="S65" si="778">$E65+$D$3*R65</f>
        <v>-2.240285500740308</v>
      </c>
      <c r="T65">
        <f t="shared" si="777"/>
        <v>-2.0850923200642586</v>
      </c>
      <c r="U65">
        <f t="shared" ref="U65" si="779">$E65+$D$3*T65</f>
        <v>-2.2694141944345132</v>
      </c>
      <c r="V65">
        <f t="shared" ref="V65" si="780">U12</f>
        <v>-2.1142210137584638</v>
      </c>
      <c r="W65">
        <f t="shared" ref="W65" si="781">$E65+$D$3*V65</f>
        <v>-2.2868914106510365</v>
      </c>
      <c r="X65">
        <f t="shared" ref="X65" si="782">W12</f>
        <v>-2.1316982299749871</v>
      </c>
      <c r="Y65">
        <f t="shared" ref="Y65" si="783">$E65+$D$3*X65</f>
        <v>-2.2973777403809503</v>
      </c>
      <c r="Z65">
        <f t="shared" ref="Z65" si="784">Y12</f>
        <v>-2.142184559704901</v>
      </c>
      <c r="AA65">
        <f t="shared" ref="AA65" si="785">$E65+$D$3*Z65</f>
        <v>-2.3036695382188985</v>
      </c>
      <c r="AB65">
        <f t="shared" ref="AB65:AD65" si="786">AA12</f>
        <v>-2.1484763575428496</v>
      </c>
      <c r="AC65">
        <f t="shared" ref="AC65" si="787">$E65+$D$3*AB65</f>
        <v>-2.3074446169216678</v>
      </c>
      <c r="AD65">
        <f t="shared" si="786"/>
        <v>-2.152251436245618</v>
      </c>
      <c r="AE65">
        <f t="shared" ref="AE65" si="788">$E65+$D$3*AD65</f>
        <v>-2.3097096641433286</v>
      </c>
      <c r="AF65">
        <f t="shared" ref="AF65" si="789">AE12</f>
        <v>-2.1545164834672796</v>
      </c>
      <c r="AG65">
        <f t="shared" ref="AG65" si="790">$E65+$D$3*AF65</f>
        <v>-2.3110686924763257</v>
      </c>
      <c r="AH65">
        <f t="shared" ref="AH65" si="791">AG12</f>
        <v>-2.1558755118002764</v>
      </c>
    </row>
    <row r="66" spans="1:34" x14ac:dyDescent="0.25">
      <c r="A66">
        <v>48</v>
      </c>
      <c r="B66">
        <f t="shared" si="663"/>
        <v>0.1</v>
      </c>
      <c r="C66">
        <f t="shared" si="664"/>
        <v>0.16</v>
      </c>
      <c r="D66">
        <f t="shared" si="16"/>
        <v>0.34118723362727232</v>
      </c>
      <c r="E66">
        <f t="shared" si="17"/>
        <v>-1.0753238801628766</v>
      </c>
      <c r="F66">
        <f t="shared" si="665"/>
        <v>0</v>
      </c>
      <c r="G66">
        <f t="shared" si="18"/>
        <v>-1.0753238801628766</v>
      </c>
      <c r="H66">
        <f t="shared" ref="H66:J66" si="792">G13</f>
        <v>-0.58504649035866596</v>
      </c>
      <c r="I66">
        <f t="shared" si="19"/>
        <v>-1.4263517743780763</v>
      </c>
      <c r="J66">
        <f t="shared" si="792"/>
        <v>-1.1789704614728567</v>
      </c>
      <c r="K66">
        <f t="shared" si="19"/>
        <v>-1.7827061570465905</v>
      </c>
      <c r="L66">
        <f t="shared" ref="L66:N66" si="793">K13</f>
        <v>-1.5473543822067419</v>
      </c>
      <c r="M66">
        <f t="shared" ref="M66" si="794">$E66+$D$3*L66</f>
        <v>-2.0037365094869219</v>
      </c>
      <c r="N66">
        <f t="shared" si="793"/>
        <v>-1.7721128212052393</v>
      </c>
      <c r="O66">
        <f t="shared" ref="O66" si="795">$E66+$D$3*N66</f>
        <v>-2.1385915728860203</v>
      </c>
      <c r="P66">
        <f t="shared" ref="P66" si="796">O13</f>
        <v>-1.9069678846043376</v>
      </c>
      <c r="Q66">
        <f t="shared" ref="Q66" si="797">$E66+$D$3*P66</f>
        <v>-2.2195046109254792</v>
      </c>
      <c r="R66">
        <f t="shared" ref="R66:T66" si="798">Q13</f>
        <v>-1.987880922643797</v>
      </c>
      <c r="S66">
        <f t="shared" ref="S66" si="799">$E66+$D$3*R66</f>
        <v>-2.2680524337491548</v>
      </c>
      <c r="T66">
        <f t="shared" si="798"/>
        <v>-2.0364287454674721</v>
      </c>
      <c r="U66">
        <f t="shared" ref="U66" si="800">$E66+$D$3*T66</f>
        <v>-2.29718112744336</v>
      </c>
      <c r="V66">
        <f t="shared" ref="V66" si="801">U13</f>
        <v>-2.0655574391616773</v>
      </c>
      <c r="W66">
        <f t="shared" ref="W66" si="802">$E66+$D$3*V66</f>
        <v>-2.3146583436598829</v>
      </c>
      <c r="X66">
        <f t="shared" ref="X66" si="803">W13</f>
        <v>-2.0830346553782007</v>
      </c>
      <c r="Y66">
        <f t="shared" ref="Y66" si="804">$E66+$D$3*X66</f>
        <v>-2.3251446733897971</v>
      </c>
      <c r="Z66">
        <f t="shared" ref="Z66" si="805">Y13</f>
        <v>-2.0935209851081145</v>
      </c>
      <c r="AA66">
        <f t="shared" ref="AA66" si="806">$E66+$D$3*Z66</f>
        <v>-2.3314364712277453</v>
      </c>
      <c r="AB66">
        <f t="shared" ref="AB66:AD66" si="807">AA13</f>
        <v>-2.0998127829460631</v>
      </c>
      <c r="AC66">
        <f t="shared" ref="AC66" si="808">$E66+$D$3*AB66</f>
        <v>-2.3352115499305146</v>
      </c>
      <c r="AD66">
        <f t="shared" si="807"/>
        <v>-2.1035878616488315</v>
      </c>
      <c r="AE66">
        <f t="shared" ref="AE66" si="809">$E66+$D$3*AD66</f>
        <v>-2.3374765971521754</v>
      </c>
      <c r="AF66">
        <f t="shared" ref="AF66" si="810">AE13</f>
        <v>-2.1058529088704931</v>
      </c>
      <c r="AG66">
        <f t="shared" ref="AG66" si="811">$E66+$D$3*AF66</f>
        <v>-2.3388356254851725</v>
      </c>
      <c r="AH66">
        <f t="shared" ref="AH66" si="812">AG13</f>
        <v>-2.1072119372034899</v>
      </c>
    </row>
    <row r="67" spans="1:34" x14ac:dyDescent="0.25">
      <c r="A67">
        <v>49</v>
      </c>
      <c r="B67">
        <f t="shared" si="663"/>
        <v>0.1</v>
      </c>
      <c r="C67">
        <f t="shared" si="664"/>
        <v>0.18</v>
      </c>
      <c r="D67">
        <f t="shared" si="16"/>
        <v>0.32118723362727236</v>
      </c>
      <c r="E67">
        <f t="shared" si="17"/>
        <v>-1.1357310435671881</v>
      </c>
      <c r="F67">
        <f t="shared" si="665"/>
        <v>0</v>
      </c>
      <c r="G67">
        <f t="shared" si="18"/>
        <v>-1.1357310435671881</v>
      </c>
      <c r="H67">
        <f t="shared" ref="H67:J67" si="813">G14</f>
        <v>-0.5484659307481079</v>
      </c>
      <c r="I67">
        <f t="shared" si="19"/>
        <v>-1.464810602016053</v>
      </c>
      <c r="J67">
        <f t="shared" si="813"/>
        <v>-1.1363847313485864</v>
      </c>
      <c r="K67">
        <f t="shared" si="19"/>
        <v>-1.81756188237634</v>
      </c>
      <c r="L67">
        <f t="shared" ref="L67:N67" si="814">K14</f>
        <v>-1.5047686520824715</v>
      </c>
      <c r="M67">
        <f t="shared" ref="M67" si="815">$E67+$D$3*L67</f>
        <v>-2.038592234816671</v>
      </c>
      <c r="N67">
        <f t="shared" si="814"/>
        <v>-1.7295270910809688</v>
      </c>
      <c r="O67">
        <f t="shared" ref="O67" si="816">$E67+$D$3*N67</f>
        <v>-2.1734472982157693</v>
      </c>
      <c r="P67">
        <f t="shared" ref="P67" si="817">O14</f>
        <v>-1.8643821544800672</v>
      </c>
      <c r="Q67">
        <f t="shared" ref="Q67" si="818">$E67+$D$3*P67</f>
        <v>-2.2543603362552282</v>
      </c>
      <c r="R67">
        <f t="shared" ref="R67:T67" si="819">Q14</f>
        <v>-1.9452951925195265</v>
      </c>
      <c r="S67">
        <f t="shared" ref="S67" si="820">$E67+$D$3*R67</f>
        <v>-2.3029081590789042</v>
      </c>
      <c r="T67">
        <f t="shared" si="819"/>
        <v>-1.9938430153432016</v>
      </c>
      <c r="U67">
        <f t="shared" ref="U67" si="821">$E67+$D$3*T67</f>
        <v>-2.332036852773109</v>
      </c>
      <c r="V67">
        <f t="shared" ref="V67" si="822">U14</f>
        <v>-2.0229717090374066</v>
      </c>
      <c r="W67">
        <f t="shared" ref="W67" si="823">$E67+$D$3*V67</f>
        <v>-2.3495140689896319</v>
      </c>
      <c r="X67">
        <f t="shared" ref="X67" si="824">W14</f>
        <v>-2.0404489252539304</v>
      </c>
      <c r="Y67">
        <f t="shared" ref="Y67" si="825">$E67+$D$3*X67</f>
        <v>-2.3600003987195466</v>
      </c>
      <c r="Z67">
        <f t="shared" ref="Z67" si="826">Y14</f>
        <v>-2.0509352549838438</v>
      </c>
      <c r="AA67">
        <f t="shared" ref="AA67" si="827">$E67+$D$3*Z67</f>
        <v>-2.3662921965574943</v>
      </c>
      <c r="AB67">
        <f t="shared" ref="AB67:AD67" si="828">AA14</f>
        <v>-2.0572270528217924</v>
      </c>
      <c r="AC67">
        <f t="shared" ref="AC67" si="829">$E67+$D$3*AB67</f>
        <v>-2.3700672752602636</v>
      </c>
      <c r="AD67">
        <f t="shared" si="828"/>
        <v>-2.0610021315245612</v>
      </c>
      <c r="AE67">
        <f t="shared" ref="AE67" si="830">$E67+$D$3*AD67</f>
        <v>-2.3723323224819248</v>
      </c>
      <c r="AF67">
        <f t="shared" ref="AF67" si="831">AE14</f>
        <v>-2.0632671787462229</v>
      </c>
      <c r="AG67">
        <f t="shared" ref="AG67" si="832">$E67+$D$3*AF67</f>
        <v>-2.373691350814922</v>
      </c>
      <c r="AH67">
        <f t="shared" ref="AH67" si="833">AG14</f>
        <v>-2.0646262070792196</v>
      </c>
    </row>
    <row r="68" spans="1:34" x14ac:dyDescent="0.25">
      <c r="A68">
        <v>50</v>
      </c>
      <c r="B68">
        <f t="shared" si="663"/>
        <v>0.1</v>
      </c>
      <c r="C68">
        <f t="shared" si="664"/>
        <v>0.2</v>
      </c>
      <c r="D68">
        <f t="shared" si="16"/>
        <v>0.30118723362727234</v>
      </c>
      <c r="E68">
        <f t="shared" si="17"/>
        <v>-1.2000231689902858</v>
      </c>
      <c r="F68">
        <f t="shared" si="665"/>
        <v>0</v>
      </c>
      <c r="G68">
        <f t="shared" si="18"/>
        <v>-1.2000231689902858</v>
      </c>
      <c r="H68">
        <f t="shared" ref="H68:J68" si="834">G15</f>
        <v>-0.51578144572408391</v>
      </c>
      <c r="I68">
        <f t="shared" si="19"/>
        <v>-1.5094920364247362</v>
      </c>
      <c r="J68">
        <f t="shared" si="834"/>
        <v>-1.0985462034379376</v>
      </c>
      <c r="K68">
        <f t="shared" si="19"/>
        <v>-1.8591508910530483</v>
      </c>
      <c r="L68">
        <f t="shared" ref="L68:N68" si="835">K15</f>
        <v>-1.4669301241718227</v>
      </c>
      <c r="M68">
        <f t="shared" ref="M68" si="836">$E68+$D$3*L68</f>
        <v>-2.0801812434933793</v>
      </c>
      <c r="N68">
        <f t="shared" si="835"/>
        <v>-1.6907372417566426</v>
      </c>
      <c r="O68">
        <f t="shared" ref="O68" si="837">$E68+$D$3*N68</f>
        <v>-2.2144655140442713</v>
      </c>
      <c r="P68">
        <f t="shared" ref="P68" si="838">O15</f>
        <v>-1.825592305155741</v>
      </c>
      <c r="Q68">
        <f t="shared" ref="Q68" si="839">$E68+$D$3*P68</f>
        <v>-2.2953785520837302</v>
      </c>
      <c r="R68">
        <f t="shared" ref="R68:T68" si="840">Q15</f>
        <v>-1.9065053431951999</v>
      </c>
      <c r="S68">
        <f t="shared" ref="S68" si="841">$E68+$D$3*R68</f>
        <v>-2.3439263749074057</v>
      </c>
      <c r="T68">
        <f t="shared" si="840"/>
        <v>-1.9550531660188755</v>
      </c>
      <c r="U68">
        <f t="shared" ref="U68" si="842">$E68+$D$3*T68</f>
        <v>-2.373055068601611</v>
      </c>
      <c r="V68">
        <f t="shared" ref="V68" si="843">U15</f>
        <v>-1.9841818597130807</v>
      </c>
      <c r="W68">
        <f t="shared" ref="W68" si="844">$E68+$D$3*V68</f>
        <v>-2.3905322848181343</v>
      </c>
      <c r="X68">
        <f t="shared" ref="X68" si="845">W15</f>
        <v>-2.0016590759296036</v>
      </c>
      <c r="Y68">
        <f t="shared" ref="Y68" si="846">$E68+$D$3*X68</f>
        <v>-2.4010186145480477</v>
      </c>
      <c r="Z68">
        <f t="shared" ref="Z68" si="847">Y15</f>
        <v>-2.0121454056595178</v>
      </c>
      <c r="AA68">
        <f t="shared" ref="AA68" si="848">$E68+$D$3*Z68</f>
        <v>-2.4073104123859963</v>
      </c>
      <c r="AB68">
        <f t="shared" ref="AB68:AD68" si="849">AA15</f>
        <v>-2.018437203497466</v>
      </c>
      <c r="AC68">
        <f t="shared" ref="AC68" si="850">$E68+$D$3*AB68</f>
        <v>-2.4110854910887651</v>
      </c>
      <c r="AD68">
        <f t="shared" si="849"/>
        <v>-2.0222122822002353</v>
      </c>
      <c r="AE68">
        <f t="shared" ref="AE68" si="851">$E68+$D$3*AD68</f>
        <v>-2.4133505383104268</v>
      </c>
      <c r="AF68">
        <f t="shared" ref="AF68" si="852">AE15</f>
        <v>-2.0244773294218965</v>
      </c>
      <c r="AG68">
        <f t="shared" ref="AG68" si="853">$E68+$D$3*AF68</f>
        <v>-2.414709566643424</v>
      </c>
      <c r="AH68">
        <f t="shared" ref="AH68" si="854">AG15</f>
        <v>-2.0258363577548932</v>
      </c>
    </row>
    <row r="69" spans="1:34" x14ac:dyDescent="0.25">
      <c r="A69">
        <v>51</v>
      </c>
      <c r="B69">
        <f>$C$11</f>
        <v>0.12</v>
      </c>
      <c r="C69">
        <f>D6</f>
        <v>0.02</v>
      </c>
      <c r="D69">
        <f t="shared" si="16"/>
        <v>0.50936396408395668</v>
      </c>
      <c r="E69">
        <f t="shared" si="17"/>
        <v>-0.67459246082376068</v>
      </c>
      <c r="F69">
        <f>E6</f>
        <v>0</v>
      </c>
      <c r="G69">
        <f t="shared" si="18"/>
        <v>-0.67459246082376068</v>
      </c>
      <c r="H69">
        <f>G6</f>
        <v>-1.2404656598035961</v>
      </c>
      <c r="I69">
        <f t="shared" si="19"/>
        <v>-1.4188718567059184</v>
      </c>
      <c r="J69">
        <f>I6</f>
        <v>-1.9238908431064008</v>
      </c>
      <c r="K69">
        <f t="shared" si="19"/>
        <v>-1.8289269666876011</v>
      </c>
      <c r="L69">
        <f>K6</f>
        <v>-2.3068847075706134</v>
      </c>
      <c r="M69">
        <f t="shared" ref="M69" si="855">$E69+$D$3*L69</f>
        <v>-2.0587232853661286</v>
      </c>
      <c r="N69">
        <f>M6</f>
        <v>-2.5324683173956846</v>
      </c>
      <c r="O69">
        <f t="shared" ref="O69" si="856">$E69+$D$3*N69</f>
        <v>-2.1940734512611715</v>
      </c>
      <c r="P69">
        <f>O6</f>
        <v>-2.6673233807947834</v>
      </c>
      <c r="Q69">
        <f t="shared" ref="Q69" si="857">$E69+$D$3*P69</f>
        <v>-2.2749864893006309</v>
      </c>
      <c r="R69">
        <f>Q6</f>
        <v>-2.7482364188342423</v>
      </c>
      <c r="S69">
        <f t="shared" ref="S69" si="858">$E69+$D$3*R69</f>
        <v>-2.3235343121243059</v>
      </c>
      <c r="T69">
        <f>S6</f>
        <v>-2.7967842416579174</v>
      </c>
      <c r="U69">
        <f t="shared" ref="U69" si="859">$E69+$D$3*T69</f>
        <v>-2.3526630058185112</v>
      </c>
      <c r="V69">
        <f>U6</f>
        <v>-2.8259129353521231</v>
      </c>
      <c r="W69">
        <f t="shared" ref="W69" si="860">$E69+$D$3*V69</f>
        <v>-2.3701402220350345</v>
      </c>
      <c r="X69">
        <f>W6</f>
        <v>-2.8433901515686459</v>
      </c>
      <c r="Y69">
        <f t="shared" ref="Y69" si="861">$E69+$D$3*X69</f>
        <v>-2.3806265517649483</v>
      </c>
      <c r="Z69">
        <f>Y6</f>
        <v>-2.8538764812985602</v>
      </c>
      <c r="AA69">
        <f t="shared" ref="AA69" si="862">$E69+$D$3*Z69</f>
        <v>-2.3869183496028969</v>
      </c>
      <c r="AB69">
        <f>AA6</f>
        <v>-2.8601682791365084</v>
      </c>
      <c r="AC69">
        <f t="shared" ref="AC69" si="863">$E69+$D$3*AB69</f>
        <v>-2.3906934283056658</v>
      </c>
      <c r="AD69">
        <f>AC6</f>
        <v>-2.8639433578392772</v>
      </c>
      <c r="AE69">
        <f t="shared" ref="AE69" si="864">$E69+$D$3*AD69</f>
        <v>-2.392958475527327</v>
      </c>
      <c r="AF69">
        <f>AE6</f>
        <v>-2.8662084050609389</v>
      </c>
      <c r="AG69">
        <f t="shared" ref="AG69" si="865">$E69+$D$3*AF69</f>
        <v>-2.3943175038603242</v>
      </c>
      <c r="AH69">
        <f>AG6</f>
        <v>-2.8675674333939352</v>
      </c>
    </row>
    <row r="70" spans="1:34" x14ac:dyDescent="0.25">
      <c r="A70">
        <v>52</v>
      </c>
      <c r="B70">
        <f t="shared" ref="B70:B78" si="866">$C$11</f>
        <v>0.12</v>
      </c>
      <c r="C70">
        <f t="shared" ref="C70:C78" si="867">D7</f>
        <v>0.04</v>
      </c>
      <c r="D70">
        <f t="shared" si="16"/>
        <v>0.48936396408395672</v>
      </c>
      <c r="E70">
        <f t="shared" si="17"/>
        <v>-0.71464876353307127</v>
      </c>
      <c r="F70">
        <f t="shared" ref="F70:F78" si="868">E7</f>
        <v>0</v>
      </c>
      <c r="G70">
        <f t="shared" si="18"/>
        <v>-0.71464876353307127</v>
      </c>
      <c r="H70">
        <f t="shared" ref="H70:J70" si="869">G7</f>
        <v>-1.0196233391755041</v>
      </c>
      <c r="I70">
        <f t="shared" si="19"/>
        <v>-1.3264227670383737</v>
      </c>
      <c r="J70">
        <f t="shared" si="869"/>
        <v>-1.6721454891064989</v>
      </c>
      <c r="K70">
        <f t="shared" si="19"/>
        <v>-1.7179360569969706</v>
      </c>
      <c r="L70">
        <f t="shared" ref="L70:N70" si="870">K7</f>
        <v>-2.054736985387799</v>
      </c>
      <c r="M70">
        <f t="shared" ref="M70" si="871">$E70+$D$3*L70</f>
        <v>-1.9474909547657506</v>
      </c>
      <c r="N70">
        <f t="shared" si="870"/>
        <v>-2.2803205952128707</v>
      </c>
      <c r="O70">
        <f t="shared" ref="O70" si="872">$E70+$D$3*N70</f>
        <v>-2.0828411206607935</v>
      </c>
      <c r="P70">
        <f t="shared" ref="P70" si="873">O7</f>
        <v>-2.415175658611969</v>
      </c>
      <c r="Q70">
        <f t="shared" ref="Q70" si="874">$E70+$D$3*P70</f>
        <v>-2.1637541587002525</v>
      </c>
      <c r="R70">
        <f t="shared" ref="R70:T70" si="875">Q7</f>
        <v>-2.496088696651428</v>
      </c>
      <c r="S70">
        <f t="shared" ref="S70" si="876">$E70+$D$3*R70</f>
        <v>-2.212301981523928</v>
      </c>
      <c r="T70">
        <f t="shared" si="875"/>
        <v>-2.5446365194751035</v>
      </c>
      <c r="U70">
        <f t="shared" ref="U70" si="877">$E70+$D$3*T70</f>
        <v>-2.2414306752181332</v>
      </c>
      <c r="V70">
        <f t="shared" ref="V70" si="878">U7</f>
        <v>-2.5737652131693087</v>
      </c>
      <c r="W70">
        <f t="shared" ref="W70" si="879">$E70+$D$3*V70</f>
        <v>-2.2589078914346565</v>
      </c>
      <c r="X70">
        <f t="shared" ref="X70" si="880">W7</f>
        <v>-2.591242429385832</v>
      </c>
      <c r="Y70">
        <f t="shared" ref="Y70" si="881">$E70+$D$3*X70</f>
        <v>-2.2693942211645703</v>
      </c>
      <c r="Z70">
        <f t="shared" ref="Z70" si="882">Y7</f>
        <v>-2.6017287591157459</v>
      </c>
      <c r="AA70">
        <f t="shared" ref="AA70" si="883">$E70+$D$3*Z70</f>
        <v>-2.2756860190025185</v>
      </c>
      <c r="AB70">
        <f t="shared" ref="AB70:AD70" si="884">AA7</f>
        <v>-2.6080205569536941</v>
      </c>
      <c r="AC70">
        <f t="shared" ref="AC70" si="885">$E70+$D$3*AB70</f>
        <v>-2.2794610977052878</v>
      </c>
      <c r="AD70">
        <f t="shared" si="884"/>
        <v>-2.6117956356564629</v>
      </c>
      <c r="AE70">
        <f t="shared" ref="AE70" si="886">$E70+$D$3*AD70</f>
        <v>-2.281726144926949</v>
      </c>
      <c r="AF70">
        <f t="shared" ref="AF70" si="887">AE7</f>
        <v>-2.6140606828781241</v>
      </c>
      <c r="AG70">
        <f t="shared" ref="AG70" si="888">$E70+$D$3*AF70</f>
        <v>-2.2830851732599458</v>
      </c>
      <c r="AH70">
        <f t="shared" ref="AH70" si="889">AG7</f>
        <v>-2.6154197112111213</v>
      </c>
    </row>
    <row r="71" spans="1:34" x14ac:dyDescent="0.25">
      <c r="A71">
        <v>53</v>
      </c>
      <c r="B71">
        <f t="shared" si="866"/>
        <v>0.12</v>
      </c>
      <c r="C71">
        <f t="shared" si="867"/>
        <v>0.06</v>
      </c>
      <c r="D71">
        <f t="shared" si="16"/>
        <v>0.4693639640839567</v>
      </c>
      <c r="E71">
        <f t="shared" si="17"/>
        <v>-0.75637676867845582</v>
      </c>
      <c r="F71">
        <f t="shared" si="868"/>
        <v>0</v>
      </c>
      <c r="G71">
        <f t="shared" si="18"/>
        <v>-0.75637676867845582</v>
      </c>
      <c r="H71">
        <f t="shared" ref="H71:J71" si="890">G8</f>
        <v>-0.89165385651553775</v>
      </c>
      <c r="I71">
        <f t="shared" si="19"/>
        <v>-1.2913690825877784</v>
      </c>
      <c r="J71">
        <f t="shared" si="890"/>
        <v>-1.5293063503177047</v>
      </c>
      <c r="K71">
        <f t="shared" si="19"/>
        <v>-1.6739605788690786</v>
      </c>
      <c r="L71">
        <f t="shared" ref="L71:N71" si="891">K8</f>
        <v>-1.9052790333594904</v>
      </c>
      <c r="M71">
        <f t="shared" ref="M71" si="892">$E71+$D$3*L71</f>
        <v>-1.8995441886941502</v>
      </c>
      <c r="N71">
        <f t="shared" si="891"/>
        <v>-2.130037472357988</v>
      </c>
      <c r="O71">
        <f t="shared" ref="O71" si="893">$E71+$D$3*N71</f>
        <v>-2.0343992520932486</v>
      </c>
      <c r="P71">
        <f t="shared" ref="P71" si="894">O8</f>
        <v>-2.2648925357570864</v>
      </c>
      <c r="Q71">
        <f t="shared" ref="Q71" si="895">$E71+$D$3*P71</f>
        <v>-2.1153122901327075</v>
      </c>
      <c r="R71">
        <f t="shared" ref="R71:T71" si="896">Q8</f>
        <v>-2.3458055737965453</v>
      </c>
      <c r="S71">
        <f t="shared" ref="S71" si="897">$E71+$D$3*R71</f>
        <v>-2.163860112956383</v>
      </c>
      <c r="T71">
        <f t="shared" si="896"/>
        <v>-2.3943533966202208</v>
      </c>
      <c r="U71">
        <f t="shared" ref="U71" si="898">$E71+$D$3*T71</f>
        <v>-2.1929888066505883</v>
      </c>
      <c r="V71">
        <f t="shared" ref="V71" si="899">U8</f>
        <v>-2.4234820903144261</v>
      </c>
      <c r="W71">
        <f t="shared" ref="W71" si="900">$E71+$D$3*V71</f>
        <v>-2.2104660228671116</v>
      </c>
      <c r="X71">
        <f t="shared" ref="X71" si="901">W8</f>
        <v>-2.4409593065309494</v>
      </c>
      <c r="Y71">
        <f t="shared" ref="Y71" si="902">$E71+$D$3*X71</f>
        <v>-2.2209523525970254</v>
      </c>
      <c r="Z71">
        <f t="shared" ref="Z71" si="903">Y8</f>
        <v>-2.4514456362608632</v>
      </c>
      <c r="AA71">
        <f t="shared" ref="AA71" si="904">$E71+$D$3*Z71</f>
        <v>-2.2272441504349736</v>
      </c>
      <c r="AB71">
        <f t="shared" ref="AB71:AD71" si="905">AA8</f>
        <v>-2.4577374340988114</v>
      </c>
      <c r="AC71">
        <f t="shared" ref="AC71" si="906">$E71+$D$3*AB71</f>
        <v>-2.2310192291377424</v>
      </c>
      <c r="AD71">
        <f t="shared" si="905"/>
        <v>-2.4615125128015802</v>
      </c>
      <c r="AE71">
        <f t="shared" ref="AE71" si="907">$E71+$D$3*AD71</f>
        <v>-2.2332842763594041</v>
      </c>
      <c r="AF71">
        <f t="shared" ref="AF71" si="908">AE8</f>
        <v>-2.4637775600232414</v>
      </c>
      <c r="AG71">
        <f t="shared" ref="AG71" si="909">$E71+$D$3*AF71</f>
        <v>-2.2346433046924008</v>
      </c>
      <c r="AH71">
        <f t="shared" ref="AH71" si="910">AG8</f>
        <v>-2.4651365883562386</v>
      </c>
    </row>
    <row r="72" spans="1:34" x14ac:dyDescent="0.25">
      <c r="A72">
        <v>54</v>
      </c>
      <c r="B72">
        <f t="shared" si="866"/>
        <v>0.12</v>
      </c>
      <c r="C72">
        <f t="shared" si="867"/>
        <v>0.08</v>
      </c>
      <c r="D72">
        <f t="shared" si="16"/>
        <v>0.44936396408395668</v>
      </c>
      <c r="E72">
        <f t="shared" si="17"/>
        <v>-0.7999221091751042</v>
      </c>
      <c r="F72">
        <f t="shared" si="868"/>
        <v>0</v>
      </c>
      <c r="G72">
        <f t="shared" si="18"/>
        <v>-0.7999221091751042</v>
      </c>
      <c r="H72">
        <f t="shared" ref="H72:J72" si="911">G9</f>
        <v>-0.80132369672045844</v>
      </c>
      <c r="I72">
        <f t="shared" si="19"/>
        <v>-1.2807163272073794</v>
      </c>
      <c r="J72">
        <f t="shared" si="911"/>
        <v>-1.4256526939385066</v>
      </c>
      <c r="K72">
        <f t="shared" si="19"/>
        <v>-1.6553137255382082</v>
      </c>
      <c r="L72">
        <f t="shared" ref="L72:N72" si="912">K9</f>
        <v>-1.8002500922693354</v>
      </c>
      <c r="M72">
        <f t="shared" ref="M72" si="913">$E72+$D$3*L72</f>
        <v>-1.8800721645367053</v>
      </c>
      <c r="N72">
        <f t="shared" si="912"/>
        <v>-2.025008531267833</v>
      </c>
      <c r="O72">
        <f t="shared" ref="O72" si="914">$E72+$D$3*N72</f>
        <v>-2.0149272279358041</v>
      </c>
      <c r="P72">
        <f t="shared" ref="P72" si="915">O9</f>
        <v>-2.1598635946669313</v>
      </c>
      <c r="Q72">
        <f t="shared" ref="Q72" si="916">$E72+$D$3*P72</f>
        <v>-2.0958402659752631</v>
      </c>
      <c r="R72">
        <f t="shared" ref="R72:T72" si="917">Q9</f>
        <v>-2.2407766327063903</v>
      </c>
      <c r="S72">
        <f t="shared" ref="S72" si="918">$E72+$D$3*R72</f>
        <v>-2.1443880887989382</v>
      </c>
      <c r="T72">
        <f t="shared" si="917"/>
        <v>-2.2893244555300658</v>
      </c>
      <c r="U72">
        <f t="shared" ref="U72" si="919">$E72+$D$3*T72</f>
        <v>-2.1735167824931438</v>
      </c>
      <c r="V72">
        <f t="shared" ref="V72" si="920">U9</f>
        <v>-2.318453149224271</v>
      </c>
      <c r="W72">
        <f t="shared" ref="W72" si="921">$E72+$D$3*V72</f>
        <v>-2.1909939987096667</v>
      </c>
      <c r="X72">
        <f t="shared" ref="X72" si="922">W9</f>
        <v>-2.3359303654407944</v>
      </c>
      <c r="Y72">
        <f t="shared" ref="Y72" si="923">$E72+$D$3*X72</f>
        <v>-2.201480328439581</v>
      </c>
      <c r="Z72">
        <f t="shared" ref="Z72" si="924">Y9</f>
        <v>-2.3464166951707082</v>
      </c>
      <c r="AA72">
        <f t="shared" ref="AA72" si="925">$E72+$D$3*Z72</f>
        <v>-2.2077721262775292</v>
      </c>
      <c r="AB72">
        <f t="shared" ref="AB72:AD72" si="926">AA9</f>
        <v>-2.3527084930086564</v>
      </c>
      <c r="AC72">
        <f t="shared" ref="AC72" si="927">$E72+$D$3*AB72</f>
        <v>-2.211547204980298</v>
      </c>
      <c r="AD72">
        <f t="shared" si="926"/>
        <v>-2.3564835717114252</v>
      </c>
      <c r="AE72">
        <f t="shared" ref="AE72" si="928">$E72+$D$3*AD72</f>
        <v>-2.2138122522019592</v>
      </c>
      <c r="AF72">
        <f t="shared" ref="AF72" si="929">AE9</f>
        <v>-2.3587486189330864</v>
      </c>
      <c r="AG72">
        <f t="shared" ref="AG72" si="930">$E72+$D$3*AF72</f>
        <v>-2.2151712805349559</v>
      </c>
      <c r="AH72">
        <f t="shared" ref="AH72" si="931">AG9</f>
        <v>-2.3601076472660836</v>
      </c>
    </row>
    <row r="73" spans="1:34" x14ac:dyDescent="0.25">
      <c r="A73">
        <v>55</v>
      </c>
      <c r="B73">
        <f t="shared" si="866"/>
        <v>0.12</v>
      </c>
      <c r="C73">
        <f t="shared" si="867"/>
        <v>0.1</v>
      </c>
      <c r="D73">
        <f t="shared" si="16"/>
        <v>0.42936396408395672</v>
      </c>
      <c r="E73">
        <f t="shared" si="17"/>
        <v>-0.845450318614827</v>
      </c>
      <c r="F73">
        <f t="shared" si="868"/>
        <v>0</v>
      </c>
      <c r="G73">
        <f t="shared" si="18"/>
        <v>-0.845450318614827</v>
      </c>
      <c r="H73">
        <f t="shared" ref="H73:J73" si="932">G10</f>
        <v>-0.73149882551768641</v>
      </c>
      <c r="I73">
        <f t="shared" si="19"/>
        <v>-1.2843496139254389</v>
      </c>
      <c r="J73">
        <f t="shared" si="932"/>
        <v>-1.3454720267408284</v>
      </c>
      <c r="K73">
        <f t="shared" si="19"/>
        <v>-1.6527335346593239</v>
      </c>
      <c r="L73">
        <f t="shared" ref="L73:N73" si="933">K10</f>
        <v>-1.7200694250716573</v>
      </c>
      <c r="M73">
        <f t="shared" ref="M73" si="934">$E73+$D$3*L73</f>
        <v>-1.8774919736578213</v>
      </c>
      <c r="N73">
        <f t="shared" si="933"/>
        <v>-1.9448278640701546</v>
      </c>
      <c r="O73">
        <f t="shared" ref="O73" si="935">$E73+$D$3*N73</f>
        <v>-2.0123470370569194</v>
      </c>
      <c r="P73">
        <f t="shared" ref="P73" si="936">O10</f>
        <v>-2.0796829274692534</v>
      </c>
      <c r="Q73">
        <f t="shared" ref="Q73" si="937">$E73+$D$3*P73</f>
        <v>-2.0932600750963788</v>
      </c>
      <c r="R73">
        <f t="shared" ref="R73:T73" si="938">Q10</f>
        <v>-2.1605959655087119</v>
      </c>
      <c r="S73">
        <f t="shared" ref="S73" si="939">$E73+$D$3*R73</f>
        <v>-2.1418078979200539</v>
      </c>
      <c r="T73">
        <f t="shared" si="938"/>
        <v>-2.2091437883323874</v>
      </c>
      <c r="U73">
        <f t="shared" ref="U73" si="940">$E73+$D$3*T73</f>
        <v>-2.1709365916142591</v>
      </c>
      <c r="V73">
        <f t="shared" ref="V73" si="941">U10</f>
        <v>-2.2382724820265931</v>
      </c>
      <c r="W73">
        <f t="shared" ref="W73" si="942">$E73+$D$3*V73</f>
        <v>-2.1884138078307829</v>
      </c>
      <c r="X73">
        <f t="shared" ref="X73" si="943">W10</f>
        <v>-2.255749698243116</v>
      </c>
      <c r="Y73">
        <f t="shared" ref="Y73" si="944">$E73+$D$3*X73</f>
        <v>-2.1989001375606962</v>
      </c>
      <c r="Z73">
        <f t="shared" ref="Z73" si="945">Y10</f>
        <v>-2.2662360279730303</v>
      </c>
      <c r="AA73">
        <f t="shared" ref="AA73" si="946">$E73+$D$3*Z73</f>
        <v>-2.2051919353986449</v>
      </c>
      <c r="AB73">
        <f t="shared" ref="AB73:AD73" si="947">AA10</f>
        <v>-2.272527825810978</v>
      </c>
      <c r="AC73">
        <f t="shared" ref="AC73" si="948">$E73+$D$3*AB73</f>
        <v>-2.2089670141014137</v>
      </c>
      <c r="AD73">
        <f t="shared" si="947"/>
        <v>-2.2763029045137468</v>
      </c>
      <c r="AE73">
        <f t="shared" ref="AE73" si="949">$E73+$D$3*AD73</f>
        <v>-2.2112320613230754</v>
      </c>
      <c r="AF73">
        <f t="shared" ref="AF73" si="950">AE10</f>
        <v>-2.2785679517354085</v>
      </c>
      <c r="AG73">
        <f t="shared" ref="AG73" si="951">$E73+$D$3*AF73</f>
        <v>-2.2125910896560721</v>
      </c>
      <c r="AH73">
        <f t="shared" ref="AH73" si="952">AG10</f>
        <v>-2.2799269800684052</v>
      </c>
    </row>
    <row r="74" spans="1:34" x14ac:dyDescent="0.25">
      <c r="A74">
        <v>56</v>
      </c>
      <c r="B74">
        <f t="shared" si="866"/>
        <v>0.12</v>
      </c>
      <c r="C74">
        <f t="shared" si="867"/>
        <v>0.12</v>
      </c>
      <c r="D74">
        <f t="shared" si="16"/>
        <v>0.4093639640839567</v>
      </c>
      <c r="E74">
        <f t="shared" si="17"/>
        <v>-0.89315063091884694</v>
      </c>
      <c r="F74">
        <f t="shared" si="868"/>
        <v>0</v>
      </c>
      <c r="G74">
        <f t="shared" si="18"/>
        <v>-0.89315063091884694</v>
      </c>
      <c r="H74">
        <f t="shared" ref="H74:J74" si="953">G11</f>
        <v>-0.67459246082376068</v>
      </c>
      <c r="I74">
        <f t="shared" si="19"/>
        <v>-1.2979061074131033</v>
      </c>
      <c r="J74">
        <f t="shared" si="953"/>
        <v>-1.2807163272073794</v>
      </c>
      <c r="K74">
        <f t="shared" si="19"/>
        <v>-1.6615804272432746</v>
      </c>
      <c r="L74">
        <f t="shared" ref="L74:N74" si="954">K11</f>
        <v>-1.6527335346593239</v>
      </c>
      <c r="M74">
        <f t="shared" ref="M74" si="955">$E74+$D$3*L74</f>
        <v>-1.8847907517144411</v>
      </c>
      <c r="N74">
        <f t="shared" si="954"/>
        <v>-1.8774919736578213</v>
      </c>
      <c r="O74">
        <f t="shared" ref="O74" si="956">$E74+$D$3*N74</f>
        <v>-2.0196458151135395</v>
      </c>
      <c r="P74">
        <f t="shared" ref="P74" si="957">O11</f>
        <v>-2.0123470370569194</v>
      </c>
      <c r="Q74">
        <f t="shared" ref="Q74" si="958">$E74+$D$3*P74</f>
        <v>-2.1005588531529984</v>
      </c>
      <c r="R74">
        <f t="shared" ref="R74:T74" si="959">Q11</f>
        <v>-2.0932600750963788</v>
      </c>
      <c r="S74">
        <f t="shared" ref="S74" si="960">$E74+$D$3*R74</f>
        <v>-2.1491066759766744</v>
      </c>
      <c r="T74">
        <f t="shared" si="959"/>
        <v>-2.1418078979200539</v>
      </c>
      <c r="U74">
        <f t="shared" ref="U74" si="961">$E74+$D$3*T74</f>
        <v>-2.1782353696708792</v>
      </c>
      <c r="V74">
        <f t="shared" ref="V74" si="962">U11</f>
        <v>-2.1709365916142591</v>
      </c>
      <c r="W74">
        <f t="shared" ref="W74" si="963">$E74+$D$3*V74</f>
        <v>-2.1957125858874025</v>
      </c>
      <c r="X74">
        <f t="shared" ref="X74" si="964">W11</f>
        <v>-2.1884138078307829</v>
      </c>
      <c r="Y74">
        <f t="shared" ref="Y74" si="965">$E74+$D$3*X74</f>
        <v>-2.2061989156173167</v>
      </c>
      <c r="Z74">
        <f t="shared" ref="Z74" si="966">Y11</f>
        <v>-2.1989001375606962</v>
      </c>
      <c r="AA74">
        <f t="shared" ref="AA74" si="967">$E74+$D$3*Z74</f>
        <v>-2.2124907134552645</v>
      </c>
      <c r="AB74">
        <f t="shared" ref="AB74:AD74" si="968">AA11</f>
        <v>-2.2051919353986449</v>
      </c>
      <c r="AC74">
        <f t="shared" ref="AC74" si="969">$E74+$D$3*AB74</f>
        <v>-2.2162657921580338</v>
      </c>
      <c r="AD74">
        <f t="shared" si="968"/>
        <v>-2.2089670141014137</v>
      </c>
      <c r="AE74">
        <f t="shared" ref="AE74" si="970">$E74+$D$3*AD74</f>
        <v>-2.218530839379695</v>
      </c>
      <c r="AF74">
        <f t="shared" ref="AF74" si="971">AE11</f>
        <v>-2.2112320613230754</v>
      </c>
      <c r="AG74">
        <f t="shared" ref="AG74" si="972">$E74+$D$3*AF74</f>
        <v>-2.2198898677126921</v>
      </c>
      <c r="AH74">
        <f t="shared" ref="AH74" si="973">AG11</f>
        <v>-2.2125910896560721</v>
      </c>
    </row>
    <row r="75" spans="1:34" x14ac:dyDescent="0.25">
      <c r="A75">
        <v>57</v>
      </c>
      <c r="B75">
        <f t="shared" si="866"/>
        <v>0.12</v>
      </c>
      <c r="C75">
        <f t="shared" si="867"/>
        <v>0.14000000000000001</v>
      </c>
      <c r="D75">
        <f t="shared" si="16"/>
        <v>0.38936396408395668</v>
      </c>
      <c r="E75">
        <f t="shared" si="17"/>
        <v>-0.94324073248360352</v>
      </c>
      <c r="F75">
        <f t="shared" si="868"/>
        <v>0</v>
      </c>
      <c r="G75">
        <f t="shared" si="18"/>
        <v>-0.94324073248360352</v>
      </c>
      <c r="H75">
        <f t="shared" ref="H75:J75" si="974">G12</f>
        <v>-0.6265743736743844</v>
      </c>
      <c r="I75">
        <f t="shared" si="19"/>
        <v>-1.3191853566882341</v>
      </c>
      <c r="J75">
        <f t="shared" si="974"/>
        <v>-1.2264577774162566</v>
      </c>
      <c r="K75">
        <f t="shared" si="19"/>
        <v>-1.6791153989333574</v>
      </c>
      <c r="L75">
        <f t="shared" ref="L75:N75" si="975">K12</f>
        <v>-1.5960179568035284</v>
      </c>
      <c r="M75">
        <f t="shared" ref="M75" si="976">$E75+$D$3*L75</f>
        <v>-1.9008515065657206</v>
      </c>
      <c r="N75">
        <f t="shared" si="975"/>
        <v>-1.8207763958020258</v>
      </c>
      <c r="O75">
        <f t="shared" ref="O75" si="977">$E75+$D$3*N75</f>
        <v>-2.0357065699648191</v>
      </c>
      <c r="P75">
        <f t="shared" ref="P75" si="978">O12</f>
        <v>-1.9556314592011241</v>
      </c>
      <c r="Q75">
        <f t="shared" ref="Q75" si="979">$E75+$D$3*P75</f>
        <v>-2.1166196080042781</v>
      </c>
      <c r="R75">
        <f t="shared" ref="R75:T75" si="980">Q12</f>
        <v>-2.0365444972405835</v>
      </c>
      <c r="S75">
        <f t="shared" ref="S75" si="981">$E75+$D$3*R75</f>
        <v>-2.1651674308279536</v>
      </c>
      <c r="T75">
        <f t="shared" si="980"/>
        <v>-2.0850923200642586</v>
      </c>
      <c r="U75">
        <f t="shared" ref="U75" si="982">$E75+$D$3*T75</f>
        <v>-2.1942961245221588</v>
      </c>
      <c r="V75">
        <f t="shared" ref="V75" si="983">U12</f>
        <v>-2.1142210137584638</v>
      </c>
      <c r="W75">
        <f t="shared" ref="W75" si="984">$E75+$D$3*V75</f>
        <v>-2.2117733407386817</v>
      </c>
      <c r="X75">
        <f t="shared" ref="X75" si="985">W12</f>
        <v>-2.1316982299749871</v>
      </c>
      <c r="Y75">
        <f t="shared" ref="Y75" si="986">$E75+$D$3*X75</f>
        <v>-2.222259670468596</v>
      </c>
      <c r="Z75">
        <f t="shared" ref="Z75" si="987">Y12</f>
        <v>-2.142184559704901</v>
      </c>
      <c r="AA75">
        <f t="shared" ref="AA75" si="988">$E75+$D$3*Z75</f>
        <v>-2.2285514683065442</v>
      </c>
      <c r="AB75">
        <f t="shared" ref="AB75:AD75" si="989">AA12</f>
        <v>-2.1484763575428496</v>
      </c>
      <c r="AC75">
        <f t="shared" ref="AC75" si="990">$E75+$D$3*AB75</f>
        <v>-2.2323265470093134</v>
      </c>
      <c r="AD75">
        <f t="shared" si="989"/>
        <v>-2.152251436245618</v>
      </c>
      <c r="AE75">
        <f t="shared" ref="AE75" si="991">$E75+$D$3*AD75</f>
        <v>-2.2345915942309742</v>
      </c>
      <c r="AF75">
        <f t="shared" ref="AF75" si="992">AE12</f>
        <v>-2.1545164834672796</v>
      </c>
      <c r="AG75">
        <f t="shared" ref="AG75" si="993">$E75+$D$3*AF75</f>
        <v>-2.2359506225639714</v>
      </c>
      <c r="AH75">
        <f t="shared" ref="AH75" si="994">AG12</f>
        <v>-2.1558755118002764</v>
      </c>
    </row>
    <row r="76" spans="1:34" x14ac:dyDescent="0.25">
      <c r="A76">
        <v>58</v>
      </c>
      <c r="B76">
        <f t="shared" si="866"/>
        <v>0.12</v>
      </c>
      <c r="C76">
        <f t="shared" si="867"/>
        <v>0.16</v>
      </c>
      <c r="D76">
        <f t="shared" si="16"/>
        <v>0.36936396408395666</v>
      </c>
      <c r="E76">
        <f t="shared" si="17"/>
        <v>-0.9959727685365849</v>
      </c>
      <c r="F76">
        <f t="shared" si="868"/>
        <v>0</v>
      </c>
      <c r="G76">
        <f t="shared" si="18"/>
        <v>-0.9959727685365849</v>
      </c>
      <c r="H76">
        <f t="shared" ref="H76:J76" si="995">G13</f>
        <v>-0.58504649035866596</v>
      </c>
      <c r="I76">
        <f t="shared" si="19"/>
        <v>-1.3470006627517845</v>
      </c>
      <c r="J76">
        <f t="shared" si="995"/>
        <v>-1.1789704614728567</v>
      </c>
      <c r="K76">
        <f t="shared" si="19"/>
        <v>-1.7033550454202988</v>
      </c>
      <c r="L76">
        <f t="shared" ref="L76:N76" si="996">K13</f>
        <v>-1.5473543822067419</v>
      </c>
      <c r="M76">
        <f t="shared" ref="M76" si="997">$E76+$D$3*L76</f>
        <v>-1.92438539786063</v>
      </c>
      <c r="N76">
        <f t="shared" si="996"/>
        <v>-1.7721128212052393</v>
      </c>
      <c r="O76">
        <f t="shared" ref="O76" si="998">$E76+$D$3*N76</f>
        <v>-2.0592404612597281</v>
      </c>
      <c r="P76">
        <f t="shared" ref="P76" si="999">O13</f>
        <v>-1.9069678846043376</v>
      </c>
      <c r="Q76">
        <f t="shared" ref="Q76" si="1000">$E76+$D$3*P76</f>
        <v>-2.1401534992991875</v>
      </c>
      <c r="R76">
        <f t="shared" ref="R76:T76" si="1001">Q13</f>
        <v>-1.987880922643797</v>
      </c>
      <c r="S76">
        <f t="shared" ref="S76" si="1002">$E76+$D$3*R76</f>
        <v>-2.1887013221228631</v>
      </c>
      <c r="T76">
        <f t="shared" si="1001"/>
        <v>-2.0364287454674721</v>
      </c>
      <c r="U76">
        <f t="shared" ref="U76" si="1003">$E76+$D$3*T76</f>
        <v>-2.2178300158170678</v>
      </c>
      <c r="V76">
        <f t="shared" ref="V76" si="1004">U13</f>
        <v>-2.0655574391616773</v>
      </c>
      <c r="W76">
        <f t="shared" ref="W76" si="1005">$E76+$D$3*V76</f>
        <v>-2.2353072320335912</v>
      </c>
      <c r="X76">
        <f t="shared" ref="X76" si="1006">W13</f>
        <v>-2.0830346553782007</v>
      </c>
      <c r="Y76">
        <f t="shared" ref="Y76" si="1007">$E76+$D$3*X76</f>
        <v>-2.245793561763505</v>
      </c>
      <c r="Z76">
        <f t="shared" ref="Z76" si="1008">Y13</f>
        <v>-2.0935209851081145</v>
      </c>
      <c r="AA76">
        <f t="shared" ref="AA76" si="1009">$E76+$D$3*Z76</f>
        <v>-2.2520853596014536</v>
      </c>
      <c r="AB76">
        <f t="shared" ref="AB76:AD76" si="1010">AA13</f>
        <v>-2.0998127829460631</v>
      </c>
      <c r="AC76">
        <f t="shared" ref="AC76" si="1011">$E76+$D$3*AB76</f>
        <v>-2.2558604383042224</v>
      </c>
      <c r="AD76">
        <f t="shared" si="1010"/>
        <v>-2.1035878616488315</v>
      </c>
      <c r="AE76">
        <f t="shared" ref="AE76" si="1012">$E76+$D$3*AD76</f>
        <v>-2.2581254855258837</v>
      </c>
      <c r="AF76">
        <f t="shared" ref="AF76" si="1013">AE13</f>
        <v>-2.1058529088704931</v>
      </c>
      <c r="AG76">
        <f t="shared" ref="AG76" si="1014">$E76+$D$3*AF76</f>
        <v>-2.2594845138588808</v>
      </c>
      <c r="AH76">
        <f t="shared" ref="AH76" si="1015">AG13</f>
        <v>-2.1072119372034899</v>
      </c>
    </row>
    <row r="77" spans="1:34" x14ac:dyDescent="0.25">
      <c r="A77">
        <v>59</v>
      </c>
      <c r="B77">
        <f t="shared" si="866"/>
        <v>0.12</v>
      </c>
      <c r="C77">
        <f t="shared" si="867"/>
        <v>0.18</v>
      </c>
      <c r="D77">
        <f t="shared" si="16"/>
        <v>0.3493639640839567</v>
      </c>
      <c r="E77">
        <f t="shared" si="17"/>
        <v>-1.051641023166787</v>
      </c>
      <c r="F77">
        <f t="shared" si="868"/>
        <v>0</v>
      </c>
      <c r="G77">
        <f t="shared" si="18"/>
        <v>-1.051641023166787</v>
      </c>
      <c r="H77">
        <f t="shared" ref="H77:J77" si="1016">G14</f>
        <v>-0.5484659307481079</v>
      </c>
      <c r="I77">
        <f t="shared" si="19"/>
        <v>-1.3807205816156518</v>
      </c>
      <c r="J77">
        <f t="shared" si="1016"/>
        <v>-1.1363847313485864</v>
      </c>
      <c r="K77">
        <f t="shared" si="19"/>
        <v>-1.7334718619759388</v>
      </c>
      <c r="L77">
        <f t="shared" ref="L77:N77" si="1017">K14</f>
        <v>-1.5047686520824715</v>
      </c>
      <c r="M77">
        <f t="shared" ref="M77" si="1018">$E77+$D$3*L77</f>
        <v>-1.9545022144162698</v>
      </c>
      <c r="N77">
        <f t="shared" si="1017"/>
        <v>-1.7295270910809688</v>
      </c>
      <c r="O77">
        <f t="shared" ref="O77" si="1019">$E77+$D$3*N77</f>
        <v>-2.0893572778153682</v>
      </c>
      <c r="P77">
        <f t="shared" ref="P77" si="1020">O14</f>
        <v>-1.8643821544800672</v>
      </c>
      <c r="Q77">
        <f t="shared" ref="Q77" si="1021">$E77+$D$3*P77</f>
        <v>-2.1702703158548271</v>
      </c>
      <c r="R77">
        <f t="shared" ref="R77:T77" si="1022">Q14</f>
        <v>-1.9452951925195265</v>
      </c>
      <c r="S77">
        <f t="shared" ref="S77" si="1023">$E77+$D$3*R77</f>
        <v>-2.2188181386785031</v>
      </c>
      <c r="T77">
        <f t="shared" si="1022"/>
        <v>-1.9938430153432016</v>
      </c>
      <c r="U77">
        <f t="shared" ref="U77" si="1024">$E77+$D$3*T77</f>
        <v>-2.2479468323727079</v>
      </c>
      <c r="V77">
        <f t="shared" ref="V77" si="1025">U14</f>
        <v>-2.0229717090374066</v>
      </c>
      <c r="W77">
        <f t="shared" ref="W77" si="1026">$E77+$D$3*V77</f>
        <v>-2.2654240485892307</v>
      </c>
      <c r="X77">
        <f t="shared" ref="X77" si="1027">W14</f>
        <v>-2.0404489252539304</v>
      </c>
      <c r="Y77">
        <f t="shared" ref="Y77" si="1028">$E77+$D$3*X77</f>
        <v>-2.2759103783191454</v>
      </c>
      <c r="Z77">
        <f t="shared" ref="Z77" si="1029">Y14</f>
        <v>-2.0509352549838438</v>
      </c>
      <c r="AA77">
        <f t="shared" ref="AA77" si="1030">$E77+$D$3*Z77</f>
        <v>-2.2822021761570932</v>
      </c>
      <c r="AB77">
        <f t="shared" ref="AB77:AD77" si="1031">AA14</f>
        <v>-2.0572270528217924</v>
      </c>
      <c r="AC77">
        <f t="shared" ref="AC77" si="1032">$E77+$D$3*AB77</f>
        <v>-2.2859772548598625</v>
      </c>
      <c r="AD77">
        <f t="shared" si="1031"/>
        <v>-2.0610021315245612</v>
      </c>
      <c r="AE77">
        <f t="shared" ref="AE77" si="1033">$E77+$D$3*AD77</f>
        <v>-2.2882423020815237</v>
      </c>
      <c r="AF77">
        <f t="shared" ref="AF77" si="1034">AE14</f>
        <v>-2.0632671787462229</v>
      </c>
      <c r="AG77">
        <f t="shared" ref="AG77" si="1035">$E77+$D$3*AF77</f>
        <v>-2.2896013304145209</v>
      </c>
      <c r="AH77">
        <f t="shared" ref="AH77" si="1036">AG14</f>
        <v>-2.0646262070792196</v>
      </c>
    </row>
    <row r="78" spans="1:34" x14ac:dyDescent="0.25">
      <c r="A78">
        <v>60</v>
      </c>
      <c r="B78">
        <f t="shared" si="866"/>
        <v>0.12</v>
      </c>
      <c r="C78">
        <f t="shared" si="867"/>
        <v>0.2</v>
      </c>
      <c r="D78">
        <f t="shared" si="16"/>
        <v>0.32936396408395668</v>
      </c>
      <c r="E78">
        <f t="shared" si="17"/>
        <v>-1.1105918658752922</v>
      </c>
      <c r="F78">
        <f t="shared" si="868"/>
        <v>0</v>
      </c>
      <c r="G78">
        <f t="shared" si="18"/>
        <v>-1.1105918658752922</v>
      </c>
      <c r="H78">
        <f t="shared" ref="H78:J78" si="1037">G15</f>
        <v>-0.51578144572408391</v>
      </c>
      <c r="I78">
        <f t="shared" si="19"/>
        <v>-1.4200607333097426</v>
      </c>
      <c r="J78">
        <f t="shared" si="1037"/>
        <v>-1.0985462034379376</v>
      </c>
      <c r="K78">
        <f t="shared" si="19"/>
        <v>-1.7697195879380549</v>
      </c>
      <c r="L78">
        <f t="shared" ref="L78:N78" si="1038">K15</f>
        <v>-1.4669301241718227</v>
      </c>
      <c r="M78">
        <f t="shared" ref="M78" si="1039">$E78+$D$3*L78</f>
        <v>-1.9907499403783859</v>
      </c>
      <c r="N78">
        <f t="shared" si="1038"/>
        <v>-1.6907372417566426</v>
      </c>
      <c r="O78">
        <f t="shared" ref="O78" si="1040">$E78+$D$3*N78</f>
        <v>-2.1250342109292779</v>
      </c>
      <c r="P78">
        <f t="shared" ref="P78" si="1041">O15</f>
        <v>-1.825592305155741</v>
      </c>
      <c r="Q78">
        <f t="shared" ref="Q78" si="1042">$E78+$D$3*P78</f>
        <v>-2.2059472489687368</v>
      </c>
      <c r="R78">
        <f t="shared" ref="R78:T78" si="1043">Q15</f>
        <v>-1.9065053431951999</v>
      </c>
      <c r="S78">
        <f t="shared" ref="S78" si="1044">$E78+$D$3*R78</f>
        <v>-2.2544950717924124</v>
      </c>
      <c r="T78">
        <f t="shared" si="1043"/>
        <v>-1.9550531660188755</v>
      </c>
      <c r="U78">
        <f t="shared" ref="U78" si="1045">$E78+$D$3*T78</f>
        <v>-2.2836237654866176</v>
      </c>
      <c r="V78">
        <f t="shared" ref="V78" si="1046">U15</f>
        <v>-1.9841818597130807</v>
      </c>
      <c r="W78">
        <f t="shared" ref="W78" si="1047">$E78+$D$3*V78</f>
        <v>-2.3011009817031409</v>
      </c>
      <c r="X78">
        <f t="shared" ref="X78" si="1048">W15</f>
        <v>-2.0016590759296036</v>
      </c>
      <c r="Y78">
        <f t="shared" ref="Y78" si="1049">$E78+$D$3*X78</f>
        <v>-2.3115873114330543</v>
      </c>
      <c r="Z78">
        <f t="shared" ref="Z78" si="1050">Y15</f>
        <v>-2.0121454056595178</v>
      </c>
      <c r="AA78">
        <f t="shared" ref="AA78" si="1051">$E78+$D$3*Z78</f>
        <v>-2.3178791092710029</v>
      </c>
      <c r="AB78">
        <f t="shared" ref="AB78:AD78" si="1052">AA15</f>
        <v>-2.018437203497466</v>
      </c>
      <c r="AC78">
        <f t="shared" ref="AC78" si="1053">$E78+$D$3*AB78</f>
        <v>-2.3216541879737718</v>
      </c>
      <c r="AD78">
        <f t="shared" si="1052"/>
        <v>-2.0222122822002353</v>
      </c>
      <c r="AE78">
        <f t="shared" ref="AE78" si="1054">$E78+$D$3*AD78</f>
        <v>-2.3239192351954334</v>
      </c>
      <c r="AF78">
        <f t="shared" ref="AF78" si="1055">AE15</f>
        <v>-2.0244773294218965</v>
      </c>
      <c r="AG78">
        <f t="shared" ref="AG78" si="1056">$E78+$D$3*AF78</f>
        <v>-2.3252782635284301</v>
      </c>
      <c r="AH78">
        <f t="shared" ref="AH78" si="1057">AG15</f>
        <v>-2.0258363577548932</v>
      </c>
    </row>
    <row r="79" spans="1:34" x14ac:dyDescent="0.25">
      <c r="A79">
        <v>61</v>
      </c>
      <c r="B79">
        <f>$C$12</f>
        <v>0.14000000000000001</v>
      </c>
      <c r="C79">
        <f>D6</f>
        <v>0.02</v>
      </c>
      <c r="D79">
        <f t="shared" si="16"/>
        <v>0.53441939003255623</v>
      </c>
      <c r="E79">
        <f t="shared" si="17"/>
        <v>-0.6265743736743844</v>
      </c>
      <c r="F79">
        <f>E6</f>
        <v>0</v>
      </c>
      <c r="G79">
        <f t="shared" si="18"/>
        <v>-0.6265743736743844</v>
      </c>
      <c r="H79">
        <f>G6</f>
        <v>-1.2404656598035961</v>
      </c>
      <c r="I79">
        <f t="shared" si="19"/>
        <v>-1.3708537695565419</v>
      </c>
      <c r="J79">
        <f>I6</f>
        <v>-1.9238908431064008</v>
      </c>
      <c r="K79">
        <f t="shared" si="19"/>
        <v>-1.7809088795382246</v>
      </c>
      <c r="L79">
        <f>K6</f>
        <v>-2.3068847075706134</v>
      </c>
      <c r="M79">
        <f t="shared" ref="M79" si="1058">$E79+$D$3*L79</f>
        <v>-2.0107051982167525</v>
      </c>
      <c r="N79">
        <f>M6</f>
        <v>-2.5324683173956846</v>
      </c>
      <c r="O79">
        <f t="shared" ref="O79" si="1059">$E79+$D$3*N79</f>
        <v>-2.146055364111795</v>
      </c>
      <c r="P79">
        <f>O6</f>
        <v>-2.6673233807947834</v>
      </c>
      <c r="Q79">
        <f t="shared" ref="Q79" si="1060">$E79+$D$3*P79</f>
        <v>-2.2269684021512544</v>
      </c>
      <c r="R79">
        <f>Q6</f>
        <v>-2.7482364188342423</v>
      </c>
      <c r="S79">
        <f t="shared" ref="S79" si="1061">$E79+$D$3*R79</f>
        <v>-2.2755162249749299</v>
      </c>
      <c r="T79">
        <f>S6</f>
        <v>-2.7967842416579174</v>
      </c>
      <c r="U79">
        <f t="shared" ref="U79" si="1062">$E79+$D$3*T79</f>
        <v>-2.3046449186691347</v>
      </c>
      <c r="V79">
        <f>U6</f>
        <v>-2.8259129353521231</v>
      </c>
      <c r="W79">
        <f t="shared" ref="W79" si="1063">$E79+$D$3*V79</f>
        <v>-2.322122134885658</v>
      </c>
      <c r="X79">
        <f>W6</f>
        <v>-2.8433901515686459</v>
      </c>
      <c r="Y79">
        <f t="shared" ref="Y79" si="1064">$E79+$D$3*X79</f>
        <v>-2.3326084646155718</v>
      </c>
      <c r="Z79">
        <f>Y6</f>
        <v>-2.8538764812985602</v>
      </c>
      <c r="AA79">
        <f t="shared" ref="AA79" si="1065">$E79+$D$3*Z79</f>
        <v>-2.3389002624535205</v>
      </c>
      <c r="AB79">
        <f>AA6</f>
        <v>-2.8601682791365084</v>
      </c>
      <c r="AC79">
        <f t="shared" ref="AC79" si="1066">$E79+$D$3*AB79</f>
        <v>-2.3426753411562893</v>
      </c>
      <c r="AD79">
        <f>AC6</f>
        <v>-2.8639433578392772</v>
      </c>
      <c r="AE79">
        <f t="shared" ref="AE79" si="1067">$E79+$D$3*AD79</f>
        <v>-2.3449403883779505</v>
      </c>
      <c r="AF79">
        <f>AE6</f>
        <v>-2.8662084050609389</v>
      </c>
      <c r="AG79">
        <f t="shared" ref="AG79" si="1068">$E79+$D$3*AF79</f>
        <v>-2.3462994167109477</v>
      </c>
      <c r="AH79">
        <f>AG6</f>
        <v>-2.8675674333939352</v>
      </c>
    </row>
    <row r="80" spans="1:34" x14ac:dyDescent="0.25">
      <c r="A80">
        <v>62</v>
      </c>
      <c r="B80">
        <f t="shared" ref="B80:B88" si="1069">$C$12</f>
        <v>0.14000000000000001</v>
      </c>
      <c r="C80">
        <f t="shared" ref="C80:C88" si="1070">D7</f>
        <v>0.04</v>
      </c>
      <c r="D80">
        <f t="shared" si="16"/>
        <v>0.51441939003255621</v>
      </c>
      <c r="E80">
        <f t="shared" si="17"/>
        <v>-0.66471641230461209</v>
      </c>
      <c r="F80">
        <f t="shared" ref="F80:F88" si="1071">E7</f>
        <v>0</v>
      </c>
      <c r="G80">
        <f t="shared" si="18"/>
        <v>-0.66471641230461209</v>
      </c>
      <c r="H80">
        <f t="shared" ref="H80:J80" si="1072">G7</f>
        <v>-1.0196233391755041</v>
      </c>
      <c r="I80">
        <f t="shared" si="19"/>
        <v>-1.2764904158099144</v>
      </c>
      <c r="J80">
        <f t="shared" si="1072"/>
        <v>-1.6721454891064989</v>
      </c>
      <c r="K80">
        <f t="shared" si="19"/>
        <v>-1.6680037057685113</v>
      </c>
      <c r="L80">
        <f t="shared" ref="L80:N80" si="1073">K7</f>
        <v>-2.054736985387799</v>
      </c>
      <c r="M80">
        <f t="shared" ref="M80" si="1074">$E80+$D$3*L80</f>
        <v>-1.8975586035372916</v>
      </c>
      <c r="N80">
        <f t="shared" si="1073"/>
        <v>-2.2803205952128707</v>
      </c>
      <c r="O80">
        <f t="shared" ref="O80" si="1075">$E80+$D$3*N80</f>
        <v>-2.0329087694323347</v>
      </c>
      <c r="P80">
        <f t="shared" ref="P80" si="1076">O7</f>
        <v>-2.415175658611969</v>
      </c>
      <c r="Q80">
        <f t="shared" ref="Q80" si="1077">$E80+$D$3*P80</f>
        <v>-2.1138218074717932</v>
      </c>
      <c r="R80">
        <f t="shared" ref="R80:T80" si="1078">Q7</f>
        <v>-2.496088696651428</v>
      </c>
      <c r="S80">
        <f t="shared" ref="S80" si="1079">$E80+$D$3*R80</f>
        <v>-2.1623696302954691</v>
      </c>
      <c r="T80">
        <f t="shared" si="1078"/>
        <v>-2.5446365194751035</v>
      </c>
      <c r="U80">
        <f t="shared" ref="U80" si="1080">$E80+$D$3*T80</f>
        <v>-2.1914983239896744</v>
      </c>
      <c r="V80">
        <f t="shared" ref="V80" si="1081">U7</f>
        <v>-2.5737652131693087</v>
      </c>
      <c r="W80">
        <f t="shared" ref="W80" si="1082">$E80+$D$3*V80</f>
        <v>-2.2089755402061972</v>
      </c>
      <c r="X80">
        <f t="shared" ref="X80" si="1083">W7</f>
        <v>-2.591242429385832</v>
      </c>
      <c r="Y80">
        <f t="shared" ref="Y80" si="1084">$E80+$D$3*X80</f>
        <v>-2.2194618699361115</v>
      </c>
      <c r="Z80">
        <f t="shared" ref="Z80" si="1085">Y7</f>
        <v>-2.6017287591157459</v>
      </c>
      <c r="AA80">
        <f t="shared" ref="AA80" si="1086">$E80+$D$3*Z80</f>
        <v>-2.2257536677740593</v>
      </c>
      <c r="AB80">
        <f t="shared" ref="AB80:AD80" si="1087">AA7</f>
        <v>-2.6080205569536941</v>
      </c>
      <c r="AC80">
        <f t="shared" ref="AC80" si="1088">$E80+$D$3*AB80</f>
        <v>-2.2295287464768285</v>
      </c>
      <c r="AD80">
        <f t="shared" si="1087"/>
        <v>-2.6117956356564629</v>
      </c>
      <c r="AE80">
        <f t="shared" ref="AE80" si="1089">$E80+$D$3*AD80</f>
        <v>-2.2317937936984897</v>
      </c>
      <c r="AF80">
        <f t="shared" ref="AF80" si="1090">AE7</f>
        <v>-2.6140606828781241</v>
      </c>
      <c r="AG80">
        <f t="shared" ref="AG80" si="1091">$E80+$D$3*AF80</f>
        <v>-2.2331528220314865</v>
      </c>
      <c r="AH80">
        <f t="shared" ref="AH80" si="1092">AG7</f>
        <v>-2.6154197112111213</v>
      </c>
    </row>
    <row r="81" spans="1:34" x14ac:dyDescent="0.25">
      <c r="A81">
        <v>63</v>
      </c>
      <c r="B81">
        <f t="shared" si="1069"/>
        <v>0.14000000000000001</v>
      </c>
      <c r="C81">
        <f t="shared" si="1070"/>
        <v>0.06</v>
      </c>
      <c r="D81">
        <f t="shared" si="16"/>
        <v>0.49441939003255625</v>
      </c>
      <c r="E81">
        <f t="shared" si="17"/>
        <v>-0.70437115428620012</v>
      </c>
      <c r="F81">
        <f t="shared" si="1071"/>
        <v>0</v>
      </c>
      <c r="G81">
        <f t="shared" si="18"/>
        <v>-0.70437115428620012</v>
      </c>
      <c r="H81">
        <f t="shared" ref="H81:J81" si="1093">G8</f>
        <v>-0.89165385651553775</v>
      </c>
      <c r="I81">
        <f t="shared" si="19"/>
        <v>-1.2393634681955228</v>
      </c>
      <c r="J81">
        <f t="shared" si="1093"/>
        <v>-1.5293063503177047</v>
      </c>
      <c r="K81">
        <f t="shared" si="19"/>
        <v>-1.621954964476823</v>
      </c>
      <c r="L81">
        <f t="shared" ref="L81:N81" si="1094">K8</f>
        <v>-1.9052790333594904</v>
      </c>
      <c r="M81">
        <f t="shared" ref="M81" si="1095">$E81+$D$3*L81</f>
        <v>-1.8475385743018944</v>
      </c>
      <c r="N81">
        <f t="shared" si="1094"/>
        <v>-2.130037472357988</v>
      </c>
      <c r="O81">
        <f t="shared" ref="O81" si="1096">$E81+$D$3*N81</f>
        <v>-1.982393637700993</v>
      </c>
      <c r="P81">
        <f t="shared" ref="P81" si="1097">O8</f>
        <v>-2.2648925357570864</v>
      </c>
      <c r="Q81">
        <f t="shared" ref="Q81" si="1098">$E81+$D$3*P81</f>
        <v>-2.0633066757404519</v>
      </c>
      <c r="R81">
        <f t="shared" ref="R81:T81" si="1099">Q8</f>
        <v>-2.3458055737965453</v>
      </c>
      <c r="S81">
        <f t="shared" ref="S81" si="1100">$E81+$D$3*R81</f>
        <v>-2.111854498564127</v>
      </c>
      <c r="T81">
        <f t="shared" si="1099"/>
        <v>-2.3943533966202208</v>
      </c>
      <c r="U81">
        <f t="shared" ref="U81" si="1101">$E81+$D$3*T81</f>
        <v>-2.1409831922583327</v>
      </c>
      <c r="V81">
        <f t="shared" ref="V81" si="1102">U8</f>
        <v>-2.4234820903144261</v>
      </c>
      <c r="W81">
        <f t="shared" ref="W81" si="1103">$E81+$D$3*V81</f>
        <v>-2.1584604084748555</v>
      </c>
      <c r="X81">
        <f t="shared" ref="X81" si="1104">W8</f>
        <v>-2.4409593065309494</v>
      </c>
      <c r="Y81">
        <f t="shared" ref="Y81" si="1105">$E81+$D$3*X81</f>
        <v>-2.1689467382047698</v>
      </c>
      <c r="Z81">
        <f t="shared" ref="Z81" si="1106">Y8</f>
        <v>-2.4514456362608632</v>
      </c>
      <c r="AA81">
        <f t="shared" ref="AA81" si="1107">$E81+$D$3*Z81</f>
        <v>-2.175238536042718</v>
      </c>
      <c r="AB81">
        <f t="shared" ref="AB81:AD81" si="1108">AA8</f>
        <v>-2.4577374340988114</v>
      </c>
      <c r="AC81">
        <f t="shared" ref="AC81" si="1109">$E81+$D$3*AB81</f>
        <v>-2.1790136147454868</v>
      </c>
      <c r="AD81">
        <f t="shared" si="1108"/>
        <v>-2.4615125128015802</v>
      </c>
      <c r="AE81">
        <f t="shared" ref="AE81" si="1110">$E81+$D$3*AD81</f>
        <v>-2.1812786619671485</v>
      </c>
      <c r="AF81">
        <f t="shared" ref="AF81" si="1111">AE8</f>
        <v>-2.4637775600232414</v>
      </c>
      <c r="AG81">
        <f t="shared" ref="AG81" si="1112">$E81+$D$3*AF81</f>
        <v>-2.1826376903001448</v>
      </c>
      <c r="AH81">
        <f t="shared" ref="AH81" si="1113">AG8</f>
        <v>-2.4651365883562386</v>
      </c>
    </row>
    <row r="82" spans="1:34" x14ac:dyDescent="0.25">
      <c r="A82">
        <v>64</v>
      </c>
      <c r="B82">
        <f t="shared" si="1069"/>
        <v>0.14000000000000001</v>
      </c>
      <c r="C82">
        <f t="shared" si="1070"/>
        <v>0.08</v>
      </c>
      <c r="D82">
        <f t="shared" si="16"/>
        <v>0.47441939003255623</v>
      </c>
      <c r="E82">
        <f t="shared" si="17"/>
        <v>-0.74566355938398166</v>
      </c>
      <c r="F82">
        <f t="shared" si="1071"/>
        <v>0</v>
      </c>
      <c r="G82">
        <f t="shared" si="18"/>
        <v>-0.74566355938398166</v>
      </c>
      <c r="H82">
        <f t="shared" ref="H82:J82" si="1114">G9</f>
        <v>-0.80132369672045844</v>
      </c>
      <c r="I82">
        <f t="shared" si="19"/>
        <v>-1.2264577774162566</v>
      </c>
      <c r="J82">
        <f t="shared" si="1114"/>
        <v>-1.4256526939385066</v>
      </c>
      <c r="K82">
        <f t="shared" si="19"/>
        <v>-1.6010551757470854</v>
      </c>
      <c r="L82">
        <f t="shared" ref="L82:N82" si="1115">K9</f>
        <v>-1.8002500922693354</v>
      </c>
      <c r="M82">
        <f t="shared" ref="M82" si="1116">$E82+$D$3*L82</f>
        <v>-1.825813614745583</v>
      </c>
      <c r="N82">
        <f t="shared" si="1115"/>
        <v>-2.025008531267833</v>
      </c>
      <c r="O82">
        <f t="shared" ref="O82" si="1117">$E82+$D$3*N82</f>
        <v>-1.9606686781446814</v>
      </c>
      <c r="P82">
        <f t="shared" ref="P82" si="1118">O9</f>
        <v>-2.1598635946669313</v>
      </c>
      <c r="Q82">
        <f t="shared" ref="Q82" si="1119">$E82+$D$3*P82</f>
        <v>-2.0415817161841403</v>
      </c>
      <c r="R82">
        <f t="shared" ref="R82:T82" si="1120">Q9</f>
        <v>-2.2407766327063903</v>
      </c>
      <c r="S82">
        <f t="shared" ref="S82" si="1121">$E82+$D$3*R82</f>
        <v>-2.0901295390078158</v>
      </c>
      <c r="T82">
        <f t="shared" si="1120"/>
        <v>-2.2893244555300658</v>
      </c>
      <c r="U82">
        <f t="shared" ref="U82" si="1122">$E82+$D$3*T82</f>
        <v>-2.1192582327020211</v>
      </c>
      <c r="V82">
        <f t="shared" ref="V82" si="1123">U9</f>
        <v>-2.318453149224271</v>
      </c>
      <c r="W82">
        <f t="shared" ref="W82" si="1124">$E82+$D$3*V82</f>
        <v>-2.1367354489185444</v>
      </c>
      <c r="X82">
        <f t="shared" ref="X82" si="1125">W9</f>
        <v>-2.3359303654407944</v>
      </c>
      <c r="Y82">
        <f t="shared" ref="Y82" si="1126">$E82+$D$3*X82</f>
        <v>-2.1472217786484582</v>
      </c>
      <c r="Z82">
        <f t="shared" ref="Z82" si="1127">Y9</f>
        <v>-2.3464166951707082</v>
      </c>
      <c r="AA82">
        <f t="shared" ref="AA82" si="1128">$E82+$D$3*Z82</f>
        <v>-2.1535135764864064</v>
      </c>
      <c r="AB82">
        <f t="shared" ref="AB82:AD82" si="1129">AA9</f>
        <v>-2.3527084930086564</v>
      </c>
      <c r="AC82">
        <f t="shared" ref="AC82" si="1130">$E82+$D$3*AB82</f>
        <v>-2.1572886551891752</v>
      </c>
      <c r="AD82">
        <f t="shared" si="1129"/>
        <v>-2.3564835717114252</v>
      </c>
      <c r="AE82">
        <f t="shared" ref="AE82" si="1131">$E82+$D$3*AD82</f>
        <v>-2.1595537024108369</v>
      </c>
      <c r="AF82">
        <f t="shared" ref="AF82" si="1132">AE9</f>
        <v>-2.3587486189330864</v>
      </c>
      <c r="AG82">
        <f t="shared" ref="AG82" si="1133">$E82+$D$3*AF82</f>
        <v>-2.1609127307438336</v>
      </c>
      <c r="AH82">
        <f t="shared" ref="AH82" si="1134">AG9</f>
        <v>-2.3601076472660836</v>
      </c>
    </row>
    <row r="83" spans="1:34" x14ac:dyDescent="0.25">
      <c r="A83">
        <v>65</v>
      </c>
      <c r="B83">
        <f t="shared" si="1069"/>
        <v>0.14000000000000001</v>
      </c>
      <c r="C83">
        <f t="shared" si="1070"/>
        <v>0.1</v>
      </c>
      <c r="D83">
        <f t="shared" si="16"/>
        <v>0.45441939003255627</v>
      </c>
      <c r="E83">
        <f t="shared" si="17"/>
        <v>-0.78873474075903138</v>
      </c>
      <c r="F83">
        <f t="shared" si="1071"/>
        <v>0</v>
      </c>
      <c r="G83">
        <f t="shared" si="18"/>
        <v>-0.78873474075903138</v>
      </c>
      <c r="H83">
        <f t="shared" ref="H83:J83" si="1135">G10</f>
        <v>-0.73149882551768641</v>
      </c>
      <c r="I83">
        <f t="shared" si="19"/>
        <v>-1.2276340360696432</v>
      </c>
      <c r="J83">
        <f t="shared" si="1135"/>
        <v>-1.3454720267408284</v>
      </c>
      <c r="K83">
        <f t="shared" si="19"/>
        <v>-1.5960179568035284</v>
      </c>
      <c r="L83">
        <f t="shared" ref="L83:N83" si="1136">K10</f>
        <v>-1.7200694250716573</v>
      </c>
      <c r="M83">
        <f t="shared" ref="M83" si="1137">$E83+$D$3*L83</f>
        <v>-1.8207763958020258</v>
      </c>
      <c r="N83">
        <f t="shared" si="1136"/>
        <v>-1.9448278640701546</v>
      </c>
      <c r="O83">
        <f t="shared" ref="O83" si="1138">$E83+$D$3*N83</f>
        <v>-1.9556314592011241</v>
      </c>
      <c r="P83">
        <f t="shared" ref="P83" si="1139">O10</f>
        <v>-2.0796829274692534</v>
      </c>
      <c r="Q83">
        <f t="shared" ref="Q83" si="1140">$E83+$D$3*P83</f>
        <v>-2.0365444972405835</v>
      </c>
      <c r="R83">
        <f t="shared" ref="R83:T83" si="1141">Q10</f>
        <v>-2.1605959655087119</v>
      </c>
      <c r="S83">
        <f t="shared" ref="S83" si="1142">$E83+$D$3*R83</f>
        <v>-2.0850923200642586</v>
      </c>
      <c r="T83">
        <f t="shared" si="1141"/>
        <v>-2.2091437883323874</v>
      </c>
      <c r="U83">
        <f t="shared" ref="U83" si="1143">$E83+$D$3*T83</f>
        <v>-2.1142210137584638</v>
      </c>
      <c r="V83">
        <f t="shared" ref="V83" si="1144">U10</f>
        <v>-2.2382724820265931</v>
      </c>
      <c r="W83">
        <f t="shared" ref="W83" si="1145">$E83+$D$3*V83</f>
        <v>-2.1316982299749871</v>
      </c>
      <c r="X83">
        <f t="shared" ref="X83" si="1146">W10</f>
        <v>-2.255749698243116</v>
      </c>
      <c r="Y83">
        <f t="shared" ref="Y83" si="1147">$E83+$D$3*X83</f>
        <v>-2.142184559704901</v>
      </c>
      <c r="Z83">
        <f t="shared" ref="Z83" si="1148">Y10</f>
        <v>-2.2662360279730303</v>
      </c>
      <c r="AA83">
        <f t="shared" ref="AA83" si="1149">$E83+$D$3*Z83</f>
        <v>-2.1484763575428496</v>
      </c>
      <c r="AB83">
        <f t="shared" ref="AB83:AD83" si="1150">AA10</f>
        <v>-2.272527825810978</v>
      </c>
      <c r="AC83">
        <f t="shared" ref="AC83" si="1151">$E83+$D$3*AB83</f>
        <v>-2.152251436245618</v>
      </c>
      <c r="AD83">
        <f t="shared" si="1150"/>
        <v>-2.2763029045137468</v>
      </c>
      <c r="AE83">
        <f t="shared" ref="AE83" si="1152">$E83+$D$3*AD83</f>
        <v>-2.1545164834672796</v>
      </c>
      <c r="AF83">
        <f t="shared" ref="AF83" si="1153">AE10</f>
        <v>-2.2785679517354085</v>
      </c>
      <c r="AG83">
        <f t="shared" ref="AG83" si="1154">$E83+$D$3*AF83</f>
        <v>-2.1558755118002764</v>
      </c>
      <c r="AH83">
        <f t="shared" ref="AH83" si="1155">AG10</f>
        <v>-2.2799269800684052</v>
      </c>
    </row>
    <row r="84" spans="1:34" x14ac:dyDescent="0.25">
      <c r="A84">
        <v>66</v>
      </c>
      <c r="B84">
        <f t="shared" si="1069"/>
        <v>0.14000000000000001</v>
      </c>
      <c r="C84">
        <f t="shared" si="1070"/>
        <v>0.12</v>
      </c>
      <c r="D84">
        <f t="shared" ref="D84:D118" si="1156">B84^$D$2-C84</f>
        <v>0.43441939003255625</v>
      </c>
      <c r="E84">
        <f t="shared" ref="E84:E118" si="1157">LN(D84)</f>
        <v>-0.83374487500371219</v>
      </c>
      <c r="F84">
        <f t="shared" si="1071"/>
        <v>0</v>
      </c>
      <c r="G84">
        <f t="shared" ref="G84:G118" si="1158">$E84+$D$3*F84</f>
        <v>-0.83374487500371219</v>
      </c>
      <c r="H84">
        <f t="shared" ref="H84:J84" si="1159">G11</f>
        <v>-0.67459246082376068</v>
      </c>
      <c r="I84">
        <f t="shared" ref="I84:K118" si="1160">$E84+$D$3*H84</f>
        <v>-1.2385003514979687</v>
      </c>
      <c r="J84">
        <f t="shared" si="1159"/>
        <v>-1.2807163272073794</v>
      </c>
      <c r="K84">
        <f t="shared" si="1160"/>
        <v>-1.60217467132814</v>
      </c>
      <c r="L84">
        <f t="shared" ref="L84:N84" si="1161">K11</f>
        <v>-1.6527335346593239</v>
      </c>
      <c r="M84">
        <f t="shared" ref="M84" si="1162">$E84+$D$3*L84</f>
        <v>-1.8253849957993065</v>
      </c>
      <c r="N84">
        <f t="shared" si="1161"/>
        <v>-1.8774919736578213</v>
      </c>
      <c r="O84">
        <f t="shared" ref="O84" si="1163">$E84+$D$3*N84</f>
        <v>-1.9602400591984048</v>
      </c>
      <c r="P84">
        <f t="shared" ref="P84" si="1164">O11</f>
        <v>-2.0123470370569194</v>
      </c>
      <c r="Q84">
        <f t="shared" ref="Q84" si="1165">$E84+$D$3*P84</f>
        <v>-2.0411530972378635</v>
      </c>
      <c r="R84">
        <f t="shared" ref="R84:T84" si="1166">Q11</f>
        <v>-2.0932600750963788</v>
      </c>
      <c r="S84">
        <f t="shared" ref="S84" si="1167">$E84+$D$3*R84</f>
        <v>-2.0897009200615395</v>
      </c>
      <c r="T84">
        <f t="shared" si="1166"/>
        <v>-2.1418078979200539</v>
      </c>
      <c r="U84">
        <f t="shared" ref="U84" si="1168">$E84+$D$3*T84</f>
        <v>-2.1188296137557447</v>
      </c>
      <c r="V84">
        <f t="shared" ref="V84" si="1169">U11</f>
        <v>-2.1709365916142591</v>
      </c>
      <c r="W84">
        <f t="shared" ref="W84" si="1170">$E84+$D$3*V84</f>
        <v>-2.1363068299722676</v>
      </c>
      <c r="X84">
        <f t="shared" ref="X84" si="1171">W11</f>
        <v>-2.1884138078307829</v>
      </c>
      <c r="Y84">
        <f t="shared" ref="Y84" si="1172">$E84+$D$3*X84</f>
        <v>-2.1467931597021819</v>
      </c>
      <c r="Z84">
        <f t="shared" ref="Z84" si="1173">Y11</f>
        <v>-2.1989001375606962</v>
      </c>
      <c r="AA84">
        <f t="shared" ref="AA84" si="1174">$E84+$D$3*Z84</f>
        <v>-2.1530849575401296</v>
      </c>
      <c r="AB84">
        <f t="shared" ref="AB84:AD84" si="1175">AA11</f>
        <v>-2.2051919353986449</v>
      </c>
      <c r="AC84">
        <f t="shared" ref="AC84" si="1176">$E84+$D$3*AB84</f>
        <v>-2.1568600362428993</v>
      </c>
      <c r="AD84">
        <f t="shared" si="1175"/>
        <v>-2.2089670141014137</v>
      </c>
      <c r="AE84">
        <f t="shared" ref="AE84" si="1177">$E84+$D$3*AD84</f>
        <v>-2.1591250834645601</v>
      </c>
      <c r="AF84">
        <f t="shared" ref="AF84" si="1178">AE11</f>
        <v>-2.2112320613230754</v>
      </c>
      <c r="AG84">
        <f t="shared" ref="AG84" si="1179">$E84+$D$3*AF84</f>
        <v>-2.1604841117975573</v>
      </c>
      <c r="AH84">
        <f t="shared" ref="AH84" si="1180">AG11</f>
        <v>-2.2125910896560721</v>
      </c>
    </row>
    <row r="85" spans="1:34" x14ac:dyDescent="0.25">
      <c r="A85">
        <v>67</v>
      </c>
      <c r="B85">
        <f t="shared" si="1069"/>
        <v>0.14000000000000001</v>
      </c>
      <c r="C85">
        <f t="shared" si="1070"/>
        <v>0.14000000000000001</v>
      </c>
      <c r="D85">
        <f t="shared" si="1156"/>
        <v>0.41441939003255623</v>
      </c>
      <c r="E85">
        <f t="shared" si="1157"/>
        <v>-0.88087679851240774</v>
      </c>
      <c r="F85">
        <f t="shared" si="1071"/>
        <v>0</v>
      </c>
      <c r="G85">
        <f t="shared" si="1158"/>
        <v>-0.88087679851240774</v>
      </c>
      <c r="H85">
        <f t="shared" ref="H85:J85" si="1181">G12</f>
        <v>-0.6265743736743844</v>
      </c>
      <c r="I85">
        <f t="shared" si="1160"/>
        <v>-1.2568214227170385</v>
      </c>
      <c r="J85">
        <f t="shared" si="1181"/>
        <v>-1.2264577774162566</v>
      </c>
      <c r="K85">
        <f t="shared" si="1160"/>
        <v>-1.6167514649621617</v>
      </c>
      <c r="L85">
        <f t="shared" ref="L85:N85" si="1182">K12</f>
        <v>-1.5960179568035284</v>
      </c>
      <c r="M85">
        <f t="shared" ref="M85" si="1183">$E85+$D$3*L85</f>
        <v>-1.8384875725945249</v>
      </c>
      <c r="N85">
        <f t="shared" si="1182"/>
        <v>-1.8207763958020258</v>
      </c>
      <c r="O85">
        <f t="shared" ref="O85" si="1184">$E85+$D$3*N85</f>
        <v>-1.9733426359936233</v>
      </c>
      <c r="P85">
        <f t="shared" ref="P85" si="1185">O12</f>
        <v>-1.9556314592011241</v>
      </c>
      <c r="Q85">
        <f t="shared" ref="Q85" si="1186">$E85+$D$3*P85</f>
        <v>-2.0542556740330822</v>
      </c>
      <c r="R85">
        <f t="shared" ref="R85:T85" si="1187">Q12</f>
        <v>-2.0365444972405835</v>
      </c>
      <c r="S85">
        <f t="shared" ref="S85" si="1188">$E85+$D$3*R85</f>
        <v>-2.1028034968567577</v>
      </c>
      <c r="T85">
        <f t="shared" si="1187"/>
        <v>-2.0850923200642586</v>
      </c>
      <c r="U85">
        <f t="shared" ref="U85" si="1189">$E85+$D$3*T85</f>
        <v>-2.1319321905509629</v>
      </c>
      <c r="V85">
        <f t="shared" ref="V85" si="1190">U12</f>
        <v>-2.1142210137584638</v>
      </c>
      <c r="W85">
        <f t="shared" ref="W85" si="1191">$E85+$D$3*V85</f>
        <v>-2.1494094067674858</v>
      </c>
      <c r="X85">
        <f t="shared" ref="X85" si="1192">W12</f>
        <v>-2.1316982299749871</v>
      </c>
      <c r="Y85">
        <f t="shared" ref="Y85" si="1193">$E85+$D$3*X85</f>
        <v>-2.1598957364974001</v>
      </c>
      <c r="Z85">
        <f t="shared" ref="Z85" si="1194">Y12</f>
        <v>-2.142184559704901</v>
      </c>
      <c r="AA85">
        <f t="shared" ref="AA85" si="1195">$E85+$D$3*Z85</f>
        <v>-2.1661875343353483</v>
      </c>
      <c r="AB85">
        <f t="shared" ref="AB85:AD85" si="1196">AA12</f>
        <v>-2.1484763575428496</v>
      </c>
      <c r="AC85">
        <f t="shared" ref="AC85" si="1197">$E85+$D$3*AB85</f>
        <v>-2.1699626130381175</v>
      </c>
      <c r="AD85">
        <f t="shared" si="1196"/>
        <v>-2.152251436245618</v>
      </c>
      <c r="AE85">
        <f t="shared" ref="AE85" si="1198">$E85+$D$3*AD85</f>
        <v>-2.1722276602597788</v>
      </c>
      <c r="AF85">
        <f t="shared" ref="AF85" si="1199">AE12</f>
        <v>-2.1545164834672796</v>
      </c>
      <c r="AG85">
        <f t="shared" ref="AG85" si="1200">$E85+$D$3*AF85</f>
        <v>-2.1735866885927755</v>
      </c>
      <c r="AH85">
        <f t="shared" ref="AH85" si="1201">AG12</f>
        <v>-2.1558755118002764</v>
      </c>
    </row>
    <row r="86" spans="1:34" x14ac:dyDescent="0.25">
      <c r="A86">
        <v>68</v>
      </c>
      <c r="B86">
        <f t="shared" si="1069"/>
        <v>0.14000000000000001</v>
      </c>
      <c r="C86">
        <f t="shared" si="1070"/>
        <v>0.16</v>
      </c>
      <c r="D86">
        <f t="shared" si="1156"/>
        <v>0.39441939003255622</v>
      </c>
      <c r="E86">
        <f t="shared" si="1157"/>
        <v>-0.93034049409358521</v>
      </c>
      <c r="F86">
        <f t="shared" si="1071"/>
        <v>0</v>
      </c>
      <c r="G86">
        <f t="shared" si="1158"/>
        <v>-0.93034049409358521</v>
      </c>
      <c r="H86">
        <f t="shared" ref="H86:J86" si="1202">G13</f>
        <v>-0.58504649035866596</v>
      </c>
      <c r="I86">
        <f t="shared" si="1160"/>
        <v>-1.2813683883087847</v>
      </c>
      <c r="J86">
        <f t="shared" si="1202"/>
        <v>-1.1789704614728567</v>
      </c>
      <c r="K86">
        <f t="shared" si="1160"/>
        <v>-1.6377227709772992</v>
      </c>
      <c r="L86">
        <f t="shared" ref="L86:N86" si="1203">K13</f>
        <v>-1.5473543822067419</v>
      </c>
      <c r="M86">
        <f t="shared" ref="M86" si="1204">$E86+$D$3*L86</f>
        <v>-1.8587531234176304</v>
      </c>
      <c r="N86">
        <f t="shared" si="1203"/>
        <v>-1.7721128212052393</v>
      </c>
      <c r="O86">
        <f t="shared" ref="O86" si="1205">$E86+$D$3*N86</f>
        <v>-1.9936081868167288</v>
      </c>
      <c r="P86">
        <f t="shared" ref="P86" si="1206">O13</f>
        <v>-1.9069678846043376</v>
      </c>
      <c r="Q86">
        <f t="shared" ref="Q86" si="1207">$E86+$D$3*P86</f>
        <v>-2.0745212248561877</v>
      </c>
      <c r="R86">
        <f t="shared" ref="R86:T86" si="1208">Q13</f>
        <v>-1.987880922643797</v>
      </c>
      <c r="S86">
        <f t="shared" ref="S86" si="1209">$E86+$D$3*R86</f>
        <v>-2.1230690476798633</v>
      </c>
      <c r="T86">
        <f t="shared" si="1208"/>
        <v>-2.0364287454674721</v>
      </c>
      <c r="U86">
        <f t="shared" ref="U86" si="1210">$E86+$D$3*T86</f>
        <v>-2.1521977413740685</v>
      </c>
      <c r="V86">
        <f t="shared" ref="V86" si="1211">U13</f>
        <v>-2.0655574391616773</v>
      </c>
      <c r="W86">
        <f t="shared" ref="W86" si="1212">$E86+$D$3*V86</f>
        <v>-2.1696749575905914</v>
      </c>
      <c r="X86">
        <f t="shared" ref="X86" si="1213">W13</f>
        <v>-2.0830346553782007</v>
      </c>
      <c r="Y86">
        <f t="shared" ref="Y86" si="1214">$E86+$D$3*X86</f>
        <v>-2.1801612873205056</v>
      </c>
      <c r="Z86">
        <f t="shared" ref="Z86" si="1215">Y13</f>
        <v>-2.0935209851081145</v>
      </c>
      <c r="AA86">
        <f t="shared" ref="AA86" si="1216">$E86+$D$3*Z86</f>
        <v>-2.1864530851584538</v>
      </c>
      <c r="AB86">
        <f t="shared" ref="AB86:AD86" si="1217">AA13</f>
        <v>-2.0998127829460631</v>
      </c>
      <c r="AC86">
        <f t="shared" ref="AC86" si="1218">$E86+$D$3*AB86</f>
        <v>-2.1902281638612231</v>
      </c>
      <c r="AD86">
        <f t="shared" si="1217"/>
        <v>-2.1035878616488315</v>
      </c>
      <c r="AE86">
        <f t="shared" ref="AE86" si="1219">$E86+$D$3*AD86</f>
        <v>-2.1924932110828839</v>
      </c>
      <c r="AF86">
        <f t="shared" ref="AF86" si="1220">AE13</f>
        <v>-2.1058529088704931</v>
      </c>
      <c r="AG86">
        <f t="shared" ref="AG86" si="1221">$E86+$D$3*AF86</f>
        <v>-2.193852239415881</v>
      </c>
      <c r="AH86">
        <f t="shared" ref="AH86" si="1222">AG13</f>
        <v>-2.1072119372034899</v>
      </c>
    </row>
    <row r="87" spans="1:34" x14ac:dyDescent="0.25">
      <c r="A87">
        <v>69</v>
      </c>
      <c r="B87">
        <f t="shared" si="1069"/>
        <v>0.14000000000000001</v>
      </c>
      <c r="C87">
        <f t="shared" si="1070"/>
        <v>0.18</v>
      </c>
      <c r="D87">
        <f t="shared" si="1156"/>
        <v>0.37441939003255625</v>
      </c>
      <c r="E87">
        <f t="shared" si="1157"/>
        <v>-0.98237874610286569</v>
      </c>
      <c r="F87">
        <f t="shared" si="1071"/>
        <v>0</v>
      </c>
      <c r="G87">
        <f t="shared" si="1158"/>
        <v>-0.98237874610286569</v>
      </c>
      <c r="H87">
        <f t="shared" ref="H87:J87" si="1223">G14</f>
        <v>-0.5484659307481079</v>
      </c>
      <c r="I87">
        <f t="shared" si="1160"/>
        <v>-1.3114583045517305</v>
      </c>
      <c r="J87">
        <f t="shared" si="1223"/>
        <v>-1.1363847313485864</v>
      </c>
      <c r="K87">
        <f t="shared" si="1160"/>
        <v>-1.6642095849120175</v>
      </c>
      <c r="L87">
        <f t="shared" ref="L87:N87" si="1224">K14</f>
        <v>-1.5047686520824715</v>
      </c>
      <c r="M87">
        <f t="shared" ref="M87" si="1225">$E87+$D$3*L87</f>
        <v>-1.8852399373523485</v>
      </c>
      <c r="N87">
        <f t="shared" si="1224"/>
        <v>-1.7295270910809688</v>
      </c>
      <c r="O87">
        <f t="shared" ref="O87" si="1226">$E87+$D$3*N87</f>
        <v>-2.0200950007514469</v>
      </c>
      <c r="P87">
        <f t="shared" ref="P87" si="1227">O14</f>
        <v>-1.8643821544800672</v>
      </c>
      <c r="Q87">
        <f t="shared" ref="Q87" si="1228">$E87+$D$3*P87</f>
        <v>-2.1010080387909058</v>
      </c>
      <c r="R87">
        <f t="shared" ref="R87:T87" si="1229">Q14</f>
        <v>-1.9452951925195265</v>
      </c>
      <c r="S87">
        <f t="shared" ref="S87" si="1230">$E87+$D$3*R87</f>
        <v>-2.1495558616145818</v>
      </c>
      <c r="T87">
        <f t="shared" si="1229"/>
        <v>-1.9938430153432016</v>
      </c>
      <c r="U87">
        <f t="shared" ref="U87" si="1231">$E87+$D$3*T87</f>
        <v>-2.1786845553087866</v>
      </c>
      <c r="V87">
        <f t="shared" ref="V87" si="1232">U14</f>
        <v>-2.0229717090374066</v>
      </c>
      <c r="W87">
        <f t="shared" ref="W87" si="1233">$E87+$D$3*V87</f>
        <v>-2.1961617715253094</v>
      </c>
      <c r="X87">
        <f t="shared" ref="X87" si="1234">W14</f>
        <v>-2.0404489252539304</v>
      </c>
      <c r="Y87">
        <f t="shared" ref="Y87" si="1235">$E87+$D$3*X87</f>
        <v>-2.2066481012552241</v>
      </c>
      <c r="Z87">
        <f t="shared" ref="Z87" si="1236">Y14</f>
        <v>-2.0509352549838438</v>
      </c>
      <c r="AA87">
        <f t="shared" ref="AA87" si="1237">$E87+$D$3*Z87</f>
        <v>-2.2129398990931719</v>
      </c>
      <c r="AB87">
        <f t="shared" ref="AB87:AD87" si="1238">AA14</f>
        <v>-2.0572270528217924</v>
      </c>
      <c r="AC87">
        <f t="shared" ref="AC87" si="1239">$E87+$D$3*AB87</f>
        <v>-2.2167149777959412</v>
      </c>
      <c r="AD87">
        <f t="shared" si="1238"/>
        <v>-2.0610021315245612</v>
      </c>
      <c r="AE87">
        <f t="shared" ref="AE87" si="1240">$E87+$D$3*AD87</f>
        <v>-2.2189800250176024</v>
      </c>
      <c r="AF87">
        <f t="shared" ref="AF87" si="1241">AE14</f>
        <v>-2.0632671787462229</v>
      </c>
      <c r="AG87">
        <f t="shared" ref="AG87" si="1242">$E87+$D$3*AF87</f>
        <v>-2.2203390533505996</v>
      </c>
      <c r="AH87">
        <f t="shared" ref="AH87" si="1243">AG14</f>
        <v>-2.0646262070792196</v>
      </c>
    </row>
    <row r="88" spans="1:34" x14ac:dyDescent="0.25">
      <c r="A88">
        <v>70</v>
      </c>
      <c r="B88">
        <f t="shared" si="1069"/>
        <v>0.14000000000000001</v>
      </c>
      <c r="C88">
        <f t="shared" si="1070"/>
        <v>0.2</v>
      </c>
      <c r="D88">
        <f t="shared" si="1156"/>
        <v>0.35441939003255624</v>
      </c>
      <c r="E88">
        <f t="shared" si="1157"/>
        <v>-1.0372743494663943</v>
      </c>
      <c r="F88">
        <f t="shared" si="1071"/>
        <v>0</v>
      </c>
      <c r="G88">
        <f t="shared" si="1158"/>
        <v>-1.0372743494663943</v>
      </c>
      <c r="H88">
        <f t="shared" ref="H88:J88" si="1244">G15</f>
        <v>-0.51578144572408391</v>
      </c>
      <c r="I88">
        <f t="shared" si="1160"/>
        <v>-1.3467432169008446</v>
      </c>
      <c r="J88">
        <f t="shared" si="1244"/>
        <v>-1.0985462034379376</v>
      </c>
      <c r="K88">
        <f t="shared" si="1160"/>
        <v>-1.6964020715291568</v>
      </c>
      <c r="L88">
        <f t="shared" ref="L88:N88" si="1245">K15</f>
        <v>-1.4669301241718227</v>
      </c>
      <c r="M88">
        <f t="shared" ref="M88" si="1246">$E88+$D$3*L88</f>
        <v>-1.9174324239694878</v>
      </c>
      <c r="N88">
        <f t="shared" si="1245"/>
        <v>-1.6907372417566426</v>
      </c>
      <c r="O88">
        <f t="shared" ref="O88" si="1247">$E88+$D$3*N88</f>
        <v>-2.0517166945203797</v>
      </c>
      <c r="P88">
        <f t="shared" ref="P88" si="1248">O15</f>
        <v>-1.825592305155741</v>
      </c>
      <c r="Q88">
        <f t="shared" ref="Q88" si="1249">$E88+$D$3*P88</f>
        <v>-2.1326297325598391</v>
      </c>
      <c r="R88">
        <f t="shared" ref="R88:T88" si="1250">Q15</f>
        <v>-1.9065053431951999</v>
      </c>
      <c r="S88">
        <f t="shared" ref="S88" si="1251">$E88+$D$3*R88</f>
        <v>-2.1811775553835142</v>
      </c>
      <c r="T88">
        <f t="shared" si="1250"/>
        <v>-1.9550531660188755</v>
      </c>
      <c r="U88">
        <f t="shared" ref="U88" si="1252">$E88+$D$3*T88</f>
        <v>-2.2103062490777194</v>
      </c>
      <c r="V88">
        <f t="shared" ref="V88" si="1253">U15</f>
        <v>-1.9841818597130807</v>
      </c>
      <c r="W88">
        <f t="shared" ref="W88" si="1254">$E88+$D$3*V88</f>
        <v>-2.2277834652942428</v>
      </c>
      <c r="X88">
        <f t="shared" ref="X88" si="1255">W15</f>
        <v>-2.0016590759296036</v>
      </c>
      <c r="Y88">
        <f t="shared" ref="Y88" si="1256">$E88+$D$3*X88</f>
        <v>-2.2382697950241566</v>
      </c>
      <c r="Z88">
        <f t="shared" ref="Z88" si="1257">Y15</f>
        <v>-2.0121454056595178</v>
      </c>
      <c r="AA88">
        <f t="shared" ref="AA88" si="1258">$E88+$D$3*Z88</f>
        <v>-2.2445615928621052</v>
      </c>
      <c r="AB88">
        <f t="shared" ref="AB88:AD88" si="1259">AA15</f>
        <v>-2.018437203497466</v>
      </c>
      <c r="AC88">
        <f t="shared" ref="AC88" si="1260">$E88+$D$3*AB88</f>
        <v>-2.248336671564874</v>
      </c>
      <c r="AD88">
        <f t="shared" si="1259"/>
        <v>-2.0222122822002353</v>
      </c>
      <c r="AE88">
        <f t="shared" ref="AE88" si="1261">$E88+$D$3*AD88</f>
        <v>-2.2506017187865357</v>
      </c>
      <c r="AF88">
        <f t="shared" ref="AF88" si="1262">AE15</f>
        <v>-2.0244773294218965</v>
      </c>
      <c r="AG88">
        <f t="shared" ref="AG88" si="1263">$E88+$D$3*AF88</f>
        <v>-2.251960747119532</v>
      </c>
      <c r="AH88">
        <f t="shared" ref="AH88" si="1264">AG15</f>
        <v>-2.0258363577548932</v>
      </c>
    </row>
    <row r="89" spans="1:34" x14ac:dyDescent="0.25">
      <c r="A89">
        <v>71</v>
      </c>
      <c r="B89">
        <f>$C$13</f>
        <v>0.16</v>
      </c>
      <c r="C89">
        <f>D6</f>
        <v>0.02</v>
      </c>
      <c r="D89">
        <f t="shared" si="1156"/>
        <v>0.55707996236288537</v>
      </c>
      <c r="E89">
        <f t="shared" si="1157"/>
        <v>-0.58504649035866596</v>
      </c>
      <c r="F89">
        <f>E6</f>
        <v>0</v>
      </c>
      <c r="G89">
        <f t="shared" si="1158"/>
        <v>-0.58504649035866596</v>
      </c>
      <c r="H89">
        <f>G6</f>
        <v>-1.2404656598035961</v>
      </c>
      <c r="I89">
        <f t="shared" si="1160"/>
        <v>-1.3293258862408237</v>
      </c>
      <c r="J89">
        <f>I6</f>
        <v>-1.9238908431064008</v>
      </c>
      <c r="K89">
        <f t="shared" si="1160"/>
        <v>-1.7393809962225064</v>
      </c>
      <c r="L89">
        <f>K6</f>
        <v>-2.3068847075706134</v>
      </c>
      <c r="M89">
        <f t="shared" ref="M89" si="1265">$E89+$D$3*L89</f>
        <v>-1.9691773149010339</v>
      </c>
      <c r="N89">
        <f>M6</f>
        <v>-2.5324683173956846</v>
      </c>
      <c r="O89">
        <f t="shared" ref="O89" si="1266">$E89+$D$3*N89</f>
        <v>-2.1045274807960768</v>
      </c>
      <c r="P89">
        <f>O6</f>
        <v>-2.6673233807947834</v>
      </c>
      <c r="Q89">
        <f t="shared" ref="Q89" si="1267">$E89+$D$3*P89</f>
        <v>-2.1854405188355361</v>
      </c>
      <c r="R89">
        <f>Q6</f>
        <v>-2.7482364188342423</v>
      </c>
      <c r="S89">
        <f t="shared" ref="S89" si="1268">$E89+$D$3*R89</f>
        <v>-2.2339883416592112</v>
      </c>
      <c r="T89">
        <f>S6</f>
        <v>-2.7967842416579174</v>
      </c>
      <c r="U89">
        <f t="shared" ref="U89" si="1269">$E89+$D$3*T89</f>
        <v>-2.2631170353534165</v>
      </c>
      <c r="V89">
        <f>U6</f>
        <v>-2.8259129353521231</v>
      </c>
      <c r="W89">
        <f t="shared" ref="W89" si="1270">$E89+$D$3*V89</f>
        <v>-2.2805942515699398</v>
      </c>
      <c r="X89">
        <f>W6</f>
        <v>-2.8433901515686459</v>
      </c>
      <c r="Y89">
        <f t="shared" ref="Y89" si="1271">$E89+$D$3*X89</f>
        <v>-2.2910805812998536</v>
      </c>
      <c r="Z89">
        <f>Y6</f>
        <v>-2.8538764812985602</v>
      </c>
      <c r="AA89">
        <f t="shared" ref="AA89" si="1272">$E89+$D$3*Z89</f>
        <v>-2.2973723791378022</v>
      </c>
      <c r="AB89">
        <f>AA6</f>
        <v>-2.8601682791365084</v>
      </c>
      <c r="AC89">
        <f t="shared" ref="AC89" si="1273">$E89+$D$3*AB89</f>
        <v>-2.3011474578405711</v>
      </c>
      <c r="AD89">
        <f>AC6</f>
        <v>-2.8639433578392772</v>
      </c>
      <c r="AE89">
        <f t="shared" ref="AE89" si="1274">$E89+$D$3*AD89</f>
        <v>-2.3034125050622323</v>
      </c>
      <c r="AF89">
        <f>AE6</f>
        <v>-2.8662084050609389</v>
      </c>
      <c r="AG89">
        <f t="shared" ref="AG89" si="1275">$E89+$D$3*AF89</f>
        <v>-2.3047715333952294</v>
      </c>
      <c r="AH89">
        <f>AG6</f>
        <v>-2.8675674333939352</v>
      </c>
    </row>
    <row r="90" spans="1:34" x14ac:dyDescent="0.25">
      <c r="A90">
        <v>72</v>
      </c>
      <c r="B90">
        <f t="shared" ref="B90:B98" si="1276">$C$13</f>
        <v>0.16</v>
      </c>
      <c r="C90">
        <f t="shared" ref="C90:C98" si="1277">D7</f>
        <v>0.04</v>
      </c>
      <c r="D90">
        <f t="shared" si="1156"/>
        <v>0.53707996236288535</v>
      </c>
      <c r="E90">
        <f t="shared" si="1157"/>
        <v>-0.62160828985492911</v>
      </c>
      <c r="F90">
        <f t="shared" ref="F90:F98" si="1278">E7</f>
        <v>0</v>
      </c>
      <c r="G90">
        <f t="shared" si="1158"/>
        <v>-0.62160828985492911</v>
      </c>
      <c r="H90">
        <f t="shared" ref="H90:J90" si="1279">G7</f>
        <v>-1.0196233391755041</v>
      </c>
      <c r="I90">
        <f t="shared" si="1160"/>
        <v>-1.2333822933602314</v>
      </c>
      <c r="J90">
        <f t="shared" si="1279"/>
        <v>-1.6721454891064989</v>
      </c>
      <c r="K90">
        <f t="shared" si="1160"/>
        <v>-1.6248955833188283</v>
      </c>
      <c r="L90">
        <f t="shared" ref="L90:N90" si="1280">K7</f>
        <v>-2.054736985387799</v>
      </c>
      <c r="M90">
        <f t="shared" ref="M90" si="1281">$E90+$D$3*L90</f>
        <v>-1.8544504810876086</v>
      </c>
      <c r="N90">
        <f t="shared" si="1280"/>
        <v>-2.2803205952128707</v>
      </c>
      <c r="O90">
        <f t="shared" ref="O90" si="1282">$E90+$D$3*N90</f>
        <v>-1.9898006469826515</v>
      </c>
      <c r="P90">
        <f t="shared" ref="P90" si="1283">O7</f>
        <v>-2.415175658611969</v>
      </c>
      <c r="Q90">
        <f t="shared" ref="Q90" si="1284">$E90+$D$3*P90</f>
        <v>-2.0707136850221106</v>
      </c>
      <c r="R90">
        <f t="shared" ref="R90:T90" si="1285">Q7</f>
        <v>-2.496088696651428</v>
      </c>
      <c r="S90">
        <f t="shared" ref="S90" si="1286">$E90+$D$3*R90</f>
        <v>-2.1192615078457857</v>
      </c>
      <c r="T90">
        <f t="shared" si="1285"/>
        <v>-2.5446365194751035</v>
      </c>
      <c r="U90">
        <f t="shared" ref="U90" si="1287">$E90+$D$3*T90</f>
        <v>-2.1483902015399909</v>
      </c>
      <c r="V90">
        <f t="shared" ref="V90" si="1288">U7</f>
        <v>-2.5737652131693087</v>
      </c>
      <c r="W90">
        <f t="shared" ref="W90" si="1289">$E90+$D$3*V90</f>
        <v>-2.1658674177565143</v>
      </c>
      <c r="X90">
        <f t="shared" ref="X90" si="1290">W7</f>
        <v>-2.591242429385832</v>
      </c>
      <c r="Y90">
        <f t="shared" ref="Y90" si="1291">$E90+$D$3*X90</f>
        <v>-2.1763537474864281</v>
      </c>
      <c r="Z90">
        <f t="shared" ref="Z90" si="1292">Y7</f>
        <v>-2.6017287591157459</v>
      </c>
      <c r="AA90">
        <f t="shared" ref="AA90" si="1293">$E90+$D$3*Z90</f>
        <v>-2.1826455453243767</v>
      </c>
      <c r="AB90">
        <f t="shared" ref="AB90:AD90" si="1294">AA7</f>
        <v>-2.6080205569536941</v>
      </c>
      <c r="AC90">
        <f t="shared" ref="AC90" si="1295">$E90+$D$3*AB90</f>
        <v>-2.1864206240271455</v>
      </c>
      <c r="AD90">
        <f t="shared" si="1294"/>
        <v>-2.6117956356564629</v>
      </c>
      <c r="AE90">
        <f t="shared" ref="AE90" si="1296">$E90+$D$3*AD90</f>
        <v>-2.1886856712488068</v>
      </c>
      <c r="AF90">
        <f t="shared" ref="AF90" si="1297">AE7</f>
        <v>-2.6140606828781241</v>
      </c>
      <c r="AG90">
        <f t="shared" ref="AG90" si="1298">$E90+$D$3*AF90</f>
        <v>-2.1900446995818035</v>
      </c>
      <c r="AH90">
        <f t="shared" ref="AH90" si="1299">AG7</f>
        <v>-2.6154197112111213</v>
      </c>
    </row>
    <row r="91" spans="1:34" x14ac:dyDescent="0.25">
      <c r="A91">
        <v>73</v>
      </c>
      <c r="B91">
        <f t="shared" si="1276"/>
        <v>0.16</v>
      </c>
      <c r="C91">
        <f t="shared" si="1277"/>
        <v>0.06</v>
      </c>
      <c r="D91">
        <f t="shared" si="1156"/>
        <v>0.51707996236288545</v>
      </c>
      <c r="E91">
        <f t="shared" si="1157"/>
        <v>-0.65955775035419073</v>
      </c>
      <c r="F91">
        <f t="shared" si="1278"/>
        <v>0</v>
      </c>
      <c r="G91">
        <f t="shared" si="1158"/>
        <v>-0.65955775035419073</v>
      </c>
      <c r="H91">
        <f t="shared" ref="H91:J91" si="1300">G8</f>
        <v>-0.89165385651553775</v>
      </c>
      <c r="I91">
        <f t="shared" si="1160"/>
        <v>-1.1945500642635134</v>
      </c>
      <c r="J91">
        <f t="shared" si="1300"/>
        <v>-1.5293063503177047</v>
      </c>
      <c r="K91">
        <f t="shared" si="1160"/>
        <v>-1.5771415605448134</v>
      </c>
      <c r="L91">
        <f t="shared" ref="L91:N91" si="1301">K8</f>
        <v>-1.9052790333594904</v>
      </c>
      <c r="M91">
        <f t="shared" ref="M91" si="1302">$E91+$D$3*L91</f>
        <v>-1.802725170369885</v>
      </c>
      <c r="N91">
        <f t="shared" si="1301"/>
        <v>-2.130037472357988</v>
      </c>
      <c r="O91">
        <f t="shared" ref="O91" si="1303">$E91+$D$3*N91</f>
        <v>-1.9375802337689836</v>
      </c>
      <c r="P91">
        <f t="shared" ref="P91" si="1304">O8</f>
        <v>-2.2648925357570864</v>
      </c>
      <c r="Q91">
        <f t="shared" ref="Q91" si="1305">$E91+$D$3*P91</f>
        <v>-2.0184932718084427</v>
      </c>
      <c r="R91">
        <f t="shared" ref="R91:T91" si="1306">Q8</f>
        <v>-2.3458055737965453</v>
      </c>
      <c r="S91">
        <f t="shared" ref="S91" si="1307">$E91+$D$3*R91</f>
        <v>-2.0670410946321178</v>
      </c>
      <c r="T91">
        <f t="shared" si="1306"/>
        <v>-2.3943533966202208</v>
      </c>
      <c r="U91">
        <f t="shared" ref="U91" si="1308">$E91+$D$3*T91</f>
        <v>-2.0961697883263231</v>
      </c>
      <c r="V91">
        <f t="shared" ref="V91" si="1309">U8</f>
        <v>-2.4234820903144261</v>
      </c>
      <c r="W91">
        <f t="shared" ref="W91" si="1310">$E91+$D$3*V91</f>
        <v>-2.1136470045428464</v>
      </c>
      <c r="X91">
        <f t="shared" ref="X91" si="1311">W8</f>
        <v>-2.4409593065309494</v>
      </c>
      <c r="Y91">
        <f t="shared" ref="Y91" si="1312">$E91+$D$3*X91</f>
        <v>-2.1241333342727602</v>
      </c>
      <c r="Z91">
        <f t="shared" ref="Z91" si="1313">Y8</f>
        <v>-2.4514456362608632</v>
      </c>
      <c r="AA91">
        <f t="shared" ref="AA91" si="1314">$E91+$D$3*Z91</f>
        <v>-2.1304251321107088</v>
      </c>
      <c r="AB91">
        <f t="shared" ref="AB91:AD91" si="1315">AA8</f>
        <v>-2.4577374340988114</v>
      </c>
      <c r="AC91">
        <f t="shared" ref="AC91" si="1316">$E91+$D$3*AB91</f>
        <v>-2.1342002108134777</v>
      </c>
      <c r="AD91">
        <f t="shared" si="1315"/>
        <v>-2.4615125128015802</v>
      </c>
      <c r="AE91">
        <f t="shared" ref="AE91" si="1317">$E91+$D$3*AD91</f>
        <v>-2.1364652580351389</v>
      </c>
      <c r="AF91">
        <f t="shared" ref="AF91" si="1318">AE8</f>
        <v>-2.4637775600232414</v>
      </c>
      <c r="AG91">
        <f t="shared" ref="AG91" si="1319">$E91+$D$3*AF91</f>
        <v>-2.1378242863681356</v>
      </c>
      <c r="AH91">
        <f t="shared" ref="AH91" si="1320">AG8</f>
        <v>-2.4651365883562386</v>
      </c>
    </row>
    <row r="92" spans="1:34" x14ac:dyDescent="0.25">
      <c r="A92">
        <v>74</v>
      </c>
      <c r="B92">
        <f t="shared" si="1276"/>
        <v>0.16</v>
      </c>
      <c r="C92">
        <f t="shared" si="1277"/>
        <v>0.08</v>
      </c>
      <c r="D92">
        <f t="shared" si="1156"/>
        <v>0.49707996236288537</v>
      </c>
      <c r="E92">
        <f t="shared" si="1157"/>
        <v>-0.69900437576075913</v>
      </c>
      <c r="F92">
        <f t="shared" si="1278"/>
        <v>0</v>
      </c>
      <c r="G92">
        <f t="shared" si="1158"/>
        <v>-0.69900437576075913</v>
      </c>
      <c r="H92">
        <f t="shared" ref="H92:J92" si="1321">G9</f>
        <v>-0.80132369672045844</v>
      </c>
      <c r="I92">
        <f t="shared" si="1160"/>
        <v>-1.1797985937930342</v>
      </c>
      <c r="J92">
        <f t="shared" si="1321"/>
        <v>-1.4256526939385066</v>
      </c>
      <c r="K92">
        <f t="shared" si="1160"/>
        <v>-1.554395992123863</v>
      </c>
      <c r="L92">
        <f t="shared" ref="L92:N92" si="1322">K9</f>
        <v>-1.8002500922693354</v>
      </c>
      <c r="M92">
        <f t="shared" ref="M92" si="1323">$E92+$D$3*L92</f>
        <v>-1.7791544311223604</v>
      </c>
      <c r="N92">
        <f t="shared" si="1322"/>
        <v>-2.025008531267833</v>
      </c>
      <c r="O92">
        <f t="shared" ref="O92" si="1324">$E92+$D$3*N92</f>
        <v>-1.914009494521459</v>
      </c>
      <c r="P92">
        <f t="shared" ref="P92" si="1325">O9</f>
        <v>-2.1598635946669313</v>
      </c>
      <c r="Q92">
        <f t="shared" ref="Q92" si="1326">$E92+$D$3*P92</f>
        <v>-1.9949225325609179</v>
      </c>
      <c r="R92">
        <f t="shared" ref="R92:T92" si="1327">Q9</f>
        <v>-2.2407766327063903</v>
      </c>
      <c r="S92">
        <f t="shared" ref="S92" si="1328">$E92+$D$3*R92</f>
        <v>-2.043470355384593</v>
      </c>
      <c r="T92">
        <f t="shared" si="1327"/>
        <v>-2.2893244555300658</v>
      </c>
      <c r="U92">
        <f t="shared" ref="U92" si="1329">$E92+$D$3*T92</f>
        <v>-2.0725990490787987</v>
      </c>
      <c r="V92">
        <f t="shared" ref="V92" si="1330">U9</f>
        <v>-2.318453149224271</v>
      </c>
      <c r="W92">
        <f t="shared" ref="W92" si="1331">$E92+$D$3*V92</f>
        <v>-2.0900762652953215</v>
      </c>
      <c r="X92">
        <f t="shared" ref="X92" si="1332">W9</f>
        <v>-2.3359303654407944</v>
      </c>
      <c r="Y92">
        <f t="shared" ref="Y92" si="1333">$E92+$D$3*X92</f>
        <v>-2.1005625950252358</v>
      </c>
      <c r="Z92">
        <f t="shared" ref="Z92" si="1334">Y9</f>
        <v>-2.3464166951707082</v>
      </c>
      <c r="AA92">
        <f t="shared" ref="AA92" si="1335">$E92+$D$3*Z92</f>
        <v>-2.106854392863184</v>
      </c>
      <c r="AB92">
        <f t="shared" ref="AB92:AD92" si="1336">AA9</f>
        <v>-2.3527084930086564</v>
      </c>
      <c r="AC92">
        <f t="shared" ref="AC92" si="1337">$E92+$D$3*AB92</f>
        <v>-2.1106294715659528</v>
      </c>
      <c r="AD92">
        <f t="shared" si="1336"/>
        <v>-2.3564835717114252</v>
      </c>
      <c r="AE92">
        <f t="shared" ref="AE92" si="1338">$E92+$D$3*AD92</f>
        <v>-2.1128945187876145</v>
      </c>
      <c r="AF92">
        <f t="shared" ref="AF92" si="1339">AE9</f>
        <v>-2.3587486189330864</v>
      </c>
      <c r="AG92">
        <f t="shared" ref="AG92" si="1340">$E92+$D$3*AF92</f>
        <v>-2.1142535471206108</v>
      </c>
      <c r="AH92">
        <f t="shared" ref="AH92" si="1341">AG9</f>
        <v>-2.3601076472660836</v>
      </c>
    </row>
    <row r="93" spans="1:34" x14ac:dyDescent="0.25">
      <c r="A93">
        <v>75</v>
      </c>
      <c r="B93">
        <f t="shared" si="1276"/>
        <v>0.16</v>
      </c>
      <c r="C93">
        <f t="shared" si="1277"/>
        <v>0.1</v>
      </c>
      <c r="D93">
        <f t="shared" si="1156"/>
        <v>0.47707996236288541</v>
      </c>
      <c r="E93">
        <f t="shared" si="1157"/>
        <v>-0.74007116616224489</v>
      </c>
      <c r="F93">
        <f t="shared" si="1278"/>
        <v>0</v>
      </c>
      <c r="G93">
        <f t="shared" si="1158"/>
        <v>-0.74007116616224489</v>
      </c>
      <c r="H93">
        <f t="shared" ref="H93:J93" si="1342">G10</f>
        <v>-0.73149882551768641</v>
      </c>
      <c r="I93">
        <f t="shared" si="1160"/>
        <v>-1.1789704614728567</v>
      </c>
      <c r="J93">
        <f t="shared" si="1342"/>
        <v>-1.3454720267408284</v>
      </c>
      <c r="K93">
        <f t="shared" si="1160"/>
        <v>-1.5473543822067419</v>
      </c>
      <c r="L93">
        <f t="shared" ref="L93:N93" si="1343">K10</f>
        <v>-1.7200694250716573</v>
      </c>
      <c r="M93">
        <f t="shared" ref="M93" si="1344">$E93+$D$3*L93</f>
        <v>-1.7721128212052393</v>
      </c>
      <c r="N93">
        <f t="shared" si="1343"/>
        <v>-1.9448278640701546</v>
      </c>
      <c r="O93">
        <f t="shared" ref="O93" si="1345">$E93+$D$3*N93</f>
        <v>-1.9069678846043376</v>
      </c>
      <c r="P93">
        <f t="shared" ref="P93" si="1346">O10</f>
        <v>-2.0796829274692534</v>
      </c>
      <c r="Q93">
        <f t="shared" ref="Q93" si="1347">$E93+$D$3*P93</f>
        <v>-1.987880922643797</v>
      </c>
      <c r="R93">
        <f t="shared" ref="R93:T93" si="1348">Q10</f>
        <v>-2.1605959655087119</v>
      </c>
      <c r="S93">
        <f t="shared" ref="S93" si="1349">$E93+$D$3*R93</f>
        <v>-2.0364287454674721</v>
      </c>
      <c r="T93">
        <f t="shared" si="1348"/>
        <v>-2.2091437883323874</v>
      </c>
      <c r="U93">
        <f t="shared" ref="U93" si="1350">$E93+$D$3*T93</f>
        <v>-2.0655574391616773</v>
      </c>
      <c r="V93">
        <f t="shared" ref="V93" si="1351">U10</f>
        <v>-2.2382724820265931</v>
      </c>
      <c r="W93">
        <f t="shared" ref="W93" si="1352">$E93+$D$3*V93</f>
        <v>-2.0830346553782007</v>
      </c>
      <c r="X93">
        <f t="shared" ref="X93" si="1353">W10</f>
        <v>-2.255749698243116</v>
      </c>
      <c r="Y93">
        <f t="shared" ref="Y93" si="1354">$E93+$D$3*X93</f>
        <v>-2.0935209851081145</v>
      </c>
      <c r="Z93">
        <f t="shared" ref="Z93" si="1355">Y10</f>
        <v>-2.2662360279730303</v>
      </c>
      <c r="AA93">
        <f t="shared" ref="AA93" si="1356">$E93+$D$3*Z93</f>
        <v>-2.0998127829460631</v>
      </c>
      <c r="AB93">
        <f t="shared" ref="AB93:AD93" si="1357">AA10</f>
        <v>-2.272527825810978</v>
      </c>
      <c r="AC93">
        <f t="shared" ref="AC93" si="1358">$E93+$D$3*AB93</f>
        <v>-2.1035878616488315</v>
      </c>
      <c r="AD93">
        <f t="shared" si="1357"/>
        <v>-2.2763029045137468</v>
      </c>
      <c r="AE93">
        <f t="shared" ref="AE93" si="1359">$E93+$D$3*AD93</f>
        <v>-2.1058529088704931</v>
      </c>
      <c r="AF93">
        <f t="shared" ref="AF93" si="1360">AE10</f>
        <v>-2.2785679517354085</v>
      </c>
      <c r="AG93">
        <f t="shared" ref="AG93" si="1361">$E93+$D$3*AF93</f>
        <v>-2.1072119372034899</v>
      </c>
      <c r="AH93">
        <f t="shared" ref="AH93" si="1362">AG10</f>
        <v>-2.2799269800684052</v>
      </c>
    </row>
    <row r="94" spans="1:34" x14ac:dyDescent="0.25">
      <c r="A94">
        <v>76</v>
      </c>
      <c r="B94">
        <f t="shared" si="1276"/>
        <v>0.16</v>
      </c>
      <c r="C94">
        <f t="shared" si="1277"/>
        <v>0.12</v>
      </c>
      <c r="D94">
        <f t="shared" si="1156"/>
        <v>0.45707996236288539</v>
      </c>
      <c r="E94">
        <f t="shared" si="1157"/>
        <v>-0.78289693104613778</v>
      </c>
      <c r="F94">
        <f t="shared" si="1278"/>
        <v>0</v>
      </c>
      <c r="G94">
        <f t="shared" si="1158"/>
        <v>-0.78289693104613778</v>
      </c>
      <c r="H94">
        <f t="shared" ref="H94:J94" si="1363">G11</f>
        <v>-0.67459246082376068</v>
      </c>
      <c r="I94">
        <f t="shared" si="1160"/>
        <v>-1.1876524075403943</v>
      </c>
      <c r="J94">
        <f t="shared" si="1363"/>
        <v>-1.2807163272073794</v>
      </c>
      <c r="K94">
        <f t="shared" si="1160"/>
        <v>-1.5513267273705655</v>
      </c>
      <c r="L94">
        <f t="shared" ref="L94:N94" si="1364">K11</f>
        <v>-1.6527335346593239</v>
      </c>
      <c r="M94">
        <f t="shared" ref="M94" si="1365">$E94+$D$3*L94</f>
        <v>-1.774537051841732</v>
      </c>
      <c r="N94">
        <f t="shared" si="1364"/>
        <v>-1.8774919736578213</v>
      </c>
      <c r="O94">
        <f t="shared" ref="O94" si="1366">$E94+$D$3*N94</f>
        <v>-1.9093921152408304</v>
      </c>
      <c r="P94">
        <f t="shared" ref="P94" si="1367">O11</f>
        <v>-2.0123470370569194</v>
      </c>
      <c r="Q94">
        <f t="shared" ref="Q94" si="1368">$E94+$D$3*P94</f>
        <v>-1.9903051532802893</v>
      </c>
      <c r="R94">
        <f t="shared" ref="R94:T94" si="1369">Q11</f>
        <v>-2.0932600750963788</v>
      </c>
      <c r="S94">
        <f t="shared" ref="S94" si="1370">$E94+$D$3*R94</f>
        <v>-2.0388529761039651</v>
      </c>
      <c r="T94">
        <f t="shared" si="1369"/>
        <v>-2.1418078979200539</v>
      </c>
      <c r="U94">
        <f t="shared" ref="U94" si="1371">$E94+$D$3*T94</f>
        <v>-2.0679816697981703</v>
      </c>
      <c r="V94">
        <f t="shared" ref="V94" si="1372">U11</f>
        <v>-2.1709365916142591</v>
      </c>
      <c r="W94">
        <f t="shared" ref="W94" si="1373">$E94+$D$3*V94</f>
        <v>-2.0854588860146932</v>
      </c>
      <c r="X94">
        <f t="shared" ref="X94" si="1374">W11</f>
        <v>-2.1884138078307829</v>
      </c>
      <c r="Y94">
        <f t="shared" ref="Y94" si="1375">$E94+$D$3*X94</f>
        <v>-2.0959452157446075</v>
      </c>
      <c r="Z94">
        <f t="shared" ref="Z94" si="1376">Y11</f>
        <v>-2.1989001375606962</v>
      </c>
      <c r="AA94">
        <f t="shared" ref="AA94" si="1377">$E94+$D$3*Z94</f>
        <v>-2.1022370135825552</v>
      </c>
      <c r="AB94">
        <f t="shared" ref="AB94:AD94" si="1378">AA11</f>
        <v>-2.2051919353986449</v>
      </c>
      <c r="AC94">
        <f t="shared" ref="AC94" si="1379">$E94+$D$3*AB94</f>
        <v>-2.1060120922853249</v>
      </c>
      <c r="AD94">
        <f t="shared" si="1378"/>
        <v>-2.2089670141014137</v>
      </c>
      <c r="AE94">
        <f t="shared" ref="AE94" si="1380">$E94+$D$3*AD94</f>
        <v>-2.1082771395069857</v>
      </c>
      <c r="AF94">
        <f t="shared" ref="AF94" si="1381">AE11</f>
        <v>-2.2112320613230754</v>
      </c>
      <c r="AG94">
        <f t="shared" ref="AG94" si="1382">$E94+$D$3*AF94</f>
        <v>-2.1096361678399829</v>
      </c>
      <c r="AH94">
        <f t="shared" ref="AH94" si="1383">AG11</f>
        <v>-2.2125910896560721</v>
      </c>
    </row>
    <row r="95" spans="1:34" x14ac:dyDescent="0.25">
      <c r="A95">
        <v>77</v>
      </c>
      <c r="B95">
        <f t="shared" si="1276"/>
        <v>0.16</v>
      </c>
      <c r="C95">
        <f t="shared" si="1277"/>
        <v>0.14000000000000001</v>
      </c>
      <c r="D95">
        <f t="shared" si="1156"/>
        <v>0.43707996236288538</v>
      </c>
      <c r="E95">
        <f t="shared" si="1157"/>
        <v>-0.82763912038995269</v>
      </c>
      <c r="F95">
        <f t="shared" si="1278"/>
        <v>0</v>
      </c>
      <c r="G95">
        <f t="shared" si="1158"/>
        <v>-0.82763912038995269</v>
      </c>
      <c r="H95">
        <f t="shared" ref="H95:J95" si="1384">G12</f>
        <v>-0.6265743736743844</v>
      </c>
      <c r="I95">
        <f t="shared" si="1160"/>
        <v>-1.2035837445945834</v>
      </c>
      <c r="J95">
        <f t="shared" si="1384"/>
        <v>-1.2264577774162566</v>
      </c>
      <c r="K95">
        <f t="shared" si="1160"/>
        <v>-1.5635137868397067</v>
      </c>
      <c r="L95">
        <f t="shared" ref="L95:N95" si="1385">K12</f>
        <v>-1.5960179568035284</v>
      </c>
      <c r="M95">
        <f t="shared" ref="M95" si="1386">$E95+$D$3*L95</f>
        <v>-1.7852498944720696</v>
      </c>
      <c r="N95">
        <f t="shared" si="1385"/>
        <v>-1.8207763958020258</v>
      </c>
      <c r="O95">
        <f t="shared" ref="O95" si="1387">$E95+$D$3*N95</f>
        <v>-1.9201049578711682</v>
      </c>
      <c r="P95">
        <f t="shared" ref="P95" si="1388">O12</f>
        <v>-1.9556314592011241</v>
      </c>
      <c r="Q95">
        <f t="shared" ref="Q95" si="1389">$E95+$D$3*P95</f>
        <v>-2.0010179959106269</v>
      </c>
      <c r="R95">
        <f t="shared" ref="R95:T95" si="1390">Q12</f>
        <v>-2.0365444972405835</v>
      </c>
      <c r="S95">
        <f t="shared" ref="S95" si="1391">$E95+$D$3*R95</f>
        <v>-2.0495658187343029</v>
      </c>
      <c r="T95">
        <f t="shared" si="1390"/>
        <v>-2.0850923200642586</v>
      </c>
      <c r="U95">
        <f t="shared" ref="U95" si="1392">$E95+$D$3*T95</f>
        <v>-2.0786945124285081</v>
      </c>
      <c r="V95">
        <f t="shared" ref="V95" si="1393">U12</f>
        <v>-2.1142210137584638</v>
      </c>
      <c r="W95">
        <f t="shared" ref="W95" si="1394">$E95+$D$3*V95</f>
        <v>-2.096171728645031</v>
      </c>
      <c r="X95">
        <f t="shared" ref="X95" si="1395">W12</f>
        <v>-2.1316982299749871</v>
      </c>
      <c r="Y95">
        <f t="shared" ref="Y95" si="1396">$E95+$D$3*X95</f>
        <v>-2.1066580583749452</v>
      </c>
      <c r="Z95">
        <f t="shared" ref="Z95" si="1397">Y12</f>
        <v>-2.142184559704901</v>
      </c>
      <c r="AA95">
        <f t="shared" ref="AA95" si="1398">$E95+$D$3*Z95</f>
        <v>-2.112949856212893</v>
      </c>
      <c r="AB95">
        <f t="shared" ref="AB95:AD95" si="1399">AA12</f>
        <v>-2.1484763575428496</v>
      </c>
      <c r="AC95">
        <f t="shared" ref="AC95" si="1400">$E95+$D$3*AB95</f>
        <v>-2.1167249349156627</v>
      </c>
      <c r="AD95">
        <f t="shared" si="1399"/>
        <v>-2.152251436245618</v>
      </c>
      <c r="AE95">
        <f t="shared" ref="AE95" si="1401">$E95+$D$3*AD95</f>
        <v>-2.1189899821373235</v>
      </c>
      <c r="AF95">
        <f t="shared" ref="AF95" si="1402">AE12</f>
        <v>-2.1545164834672796</v>
      </c>
      <c r="AG95">
        <f t="shared" ref="AG95" si="1403">$E95+$D$3*AF95</f>
        <v>-2.1203490104703206</v>
      </c>
      <c r="AH95">
        <f t="shared" ref="AH95" si="1404">AG12</f>
        <v>-2.1558755118002764</v>
      </c>
    </row>
    <row r="96" spans="1:34" x14ac:dyDescent="0.25">
      <c r="A96">
        <v>78</v>
      </c>
      <c r="B96">
        <f t="shared" si="1276"/>
        <v>0.16</v>
      </c>
      <c r="C96">
        <f t="shared" si="1277"/>
        <v>0.16</v>
      </c>
      <c r="D96">
        <f t="shared" si="1156"/>
        <v>0.41707996236288536</v>
      </c>
      <c r="E96">
        <f t="shared" si="1157"/>
        <v>-0.87447731930030626</v>
      </c>
      <c r="F96">
        <f t="shared" si="1278"/>
        <v>0</v>
      </c>
      <c r="G96">
        <f t="shared" si="1158"/>
        <v>-0.87447731930030626</v>
      </c>
      <c r="H96">
        <f t="shared" ref="H96:J96" si="1405">G13</f>
        <v>-0.58504649035866596</v>
      </c>
      <c r="I96">
        <f t="shared" si="1160"/>
        <v>-1.2255052135155058</v>
      </c>
      <c r="J96">
        <f t="shared" si="1405"/>
        <v>-1.1789704614728567</v>
      </c>
      <c r="K96">
        <f t="shared" si="1160"/>
        <v>-1.5818595961840203</v>
      </c>
      <c r="L96">
        <f t="shared" ref="L96:N96" si="1406">K13</f>
        <v>-1.5473543822067419</v>
      </c>
      <c r="M96">
        <f t="shared" ref="M96" si="1407">$E96+$D$3*L96</f>
        <v>-1.8028899486243515</v>
      </c>
      <c r="N96">
        <f t="shared" si="1406"/>
        <v>-1.7721128212052393</v>
      </c>
      <c r="O96">
        <f t="shared" ref="O96" si="1408">$E96+$D$3*N96</f>
        <v>-1.9377450120234498</v>
      </c>
      <c r="P96">
        <f t="shared" ref="P96" si="1409">O13</f>
        <v>-1.9069678846043376</v>
      </c>
      <c r="Q96">
        <f t="shared" ref="Q96" si="1410">$E96+$D$3*P96</f>
        <v>-2.0186580500629088</v>
      </c>
      <c r="R96">
        <f t="shared" ref="R96:T96" si="1411">Q13</f>
        <v>-1.987880922643797</v>
      </c>
      <c r="S96">
        <f t="shared" ref="S96" si="1412">$E96+$D$3*R96</f>
        <v>-2.0672058728865843</v>
      </c>
      <c r="T96">
        <f t="shared" si="1411"/>
        <v>-2.0364287454674721</v>
      </c>
      <c r="U96">
        <f t="shared" ref="U96" si="1413">$E96+$D$3*T96</f>
        <v>-2.0963345665807895</v>
      </c>
      <c r="V96">
        <f t="shared" ref="V96" si="1414">U13</f>
        <v>-2.0655574391616773</v>
      </c>
      <c r="W96">
        <f t="shared" ref="W96" si="1415">$E96+$D$3*V96</f>
        <v>-2.1138117827973124</v>
      </c>
      <c r="X96">
        <f t="shared" ref="X96" si="1416">W13</f>
        <v>-2.0830346553782007</v>
      </c>
      <c r="Y96">
        <f t="shared" ref="Y96" si="1417">$E96+$D$3*X96</f>
        <v>-2.1242981125272267</v>
      </c>
      <c r="Z96">
        <f t="shared" ref="Z96" si="1418">Y13</f>
        <v>-2.0935209851081145</v>
      </c>
      <c r="AA96">
        <f t="shared" ref="AA96" si="1419">$E96+$D$3*Z96</f>
        <v>-2.1305899103651749</v>
      </c>
      <c r="AB96">
        <f t="shared" ref="AB96:AD96" si="1420">AA13</f>
        <v>-2.0998127829460631</v>
      </c>
      <c r="AC96">
        <f t="shared" ref="AC96" si="1421">$E96+$D$3*AB96</f>
        <v>-2.1343649890679441</v>
      </c>
      <c r="AD96">
        <f t="shared" si="1420"/>
        <v>-2.1035878616488315</v>
      </c>
      <c r="AE96">
        <f t="shared" ref="AE96" si="1422">$E96+$D$3*AD96</f>
        <v>-2.1366300362896049</v>
      </c>
      <c r="AF96">
        <f t="shared" ref="AF96" si="1423">AE13</f>
        <v>-2.1058529088704931</v>
      </c>
      <c r="AG96">
        <f t="shared" ref="AG96" si="1424">$E96+$D$3*AF96</f>
        <v>-2.1379890646226021</v>
      </c>
      <c r="AH96">
        <f t="shared" ref="AH96" si="1425">AG13</f>
        <v>-2.1072119372034899</v>
      </c>
    </row>
    <row r="97" spans="1:34" x14ac:dyDescent="0.25">
      <c r="A97">
        <v>79</v>
      </c>
      <c r="B97">
        <f t="shared" si="1276"/>
        <v>0.16</v>
      </c>
      <c r="C97">
        <f t="shared" si="1277"/>
        <v>0.18</v>
      </c>
      <c r="D97">
        <f t="shared" si="1156"/>
        <v>0.3970799623628854</v>
      </c>
      <c r="E97">
        <f t="shared" si="1157"/>
        <v>-0.92361760204533538</v>
      </c>
      <c r="F97">
        <f t="shared" si="1278"/>
        <v>0</v>
      </c>
      <c r="G97">
        <f t="shared" si="1158"/>
        <v>-0.92361760204533538</v>
      </c>
      <c r="H97">
        <f t="shared" ref="H97:J97" si="1426">G14</f>
        <v>-0.5484659307481079</v>
      </c>
      <c r="I97">
        <f t="shared" si="1160"/>
        <v>-1.2526971604942001</v>
      </c>
      <c r="J97">
        <f t="shared" si="1426"/>
        <v>-1.1363847313485864</v>
      </c>
      <c r="K97">
        <f t="shared" si="1160"/>
        <v>-1.6054484408544871</v>
      </c>
      <c r="L97">
        <f t="shared" ref="L97:N97" si="1427">K14</f>
        <v>-1.5047686520824715</v>
      </c>
      <c r="M97">
        <f t="shared" ref="M97" si="1428">$E97+$D$3*L97</f>
        <v>-1.8264787932948181</v>
      </c>
      <c r="N97">
        <f t="shared" si="1427"/>
        <v>-1.7295270910809688</v>
      </c>
      <c r="O97">
        <f t="shared" ref="O97" si="1429">$E97+$D$3*N97</f>
        <v>-1.9613338566939165</v>
      </c>
      <c r="P97">
        <f t="shared" ref="P97" si="1430">O14</f>
        <v>-1.8643821544800672</v>
      </c>
      <c r="Q97">
        <f t="shared" ref="Q97" si="1431">$E97+$D$3*P97</f>
        <v>-2.0422468947333758</v>
      </c>
      <c r="R97">
        <f t="shared" ref="R97:T97" si="1432">Q14</f>
        <v>-1.9452951925195265</v>
      </c>
      <c r="S97">
        <f t="shared" ref="S97" si="1433">$E97+$D$3*R97</f>
        <v>-2.0907947175570514</v>
      </c>
      <c r="T97">
        <f t="shared" si="1432"/>
        <v>-1.9938430153432016</v>
      </c>
      <c r="U97">
        <f t="shared" ref="U97" si="1434">$E97+$D$3*T97</f>
        <v>-2.1199234112512562</v>
      </c>
      <c r="V97">
        <f t="shared" ref="V97" si="1435">U14</f>
        <v>-2.0229717090374066</v>
      </c>
      <c r="W97">
        <f t="shared" ref="W97" si="1436">$E97+$D$3*V97</f>
        <v>-2.1374006274677795</v>
      </c>
      <c r="X97">
        <f t="shared" ref="X97" si="1437">W14</f>
        <v>-2.0404489252539304</v>
      </c>
      <c r="Y97">
        <f t="shared" ref="Y97" si="1438">$E97+$D$3*X97</f>
        <v>-2.1478869571976937</v>
      </c>
      <c r="Z97">
        <f t="shared" ref="Z97" si="1439">Y14</f>
        <v>-2.0509352549838438</v>
      </c>
      <c r="AA97">
        <f t="shared" ref="AA97" si="1440">$E97+$D$3*Z97</f>
        <v>-2.1541787550356415</v>
      </c>
      <c r="AB97">
        <f t="shared" ref="AB97:AD97" si="1441">AA14</f>
        <v>-2.0572270528217924</v>
      </c>
      <c r="AC97">
        <f t="shared" ref="AC97" si="1442">$E97+$D$3*AB97</f>
        <v>-2.1579538337384108</v>
      </c>
      <c r="AD97">
        <f t="shared" si="1441"/>
        <v>-2.0610021315245612</v>
      </c>
      <c r="AE97">
        <f t="shared" ref="AE97" si="1443">$E97+$D$3*AD97</f>
        <v>-2.160218880960072</v>
      </c>
      <c r="AF97">
        <f t="shared" ref="AF97" si="1444">AE14</f>
        <v>-2.0632671787462229</v>
      </c>
      <c r="AG97">
        <f t="shared" ref="AG97" si="1445">$E97+$D$3*AF97</f>
        <v>-2.1615779092930691</v>
      </c>
      <c r="AH97">
        <f t="shared" ref="AH97" si="1446">AG14</f>
        <v>-2.0646262070792196</v>
      </c>
    </row>
    <row r="98" spans="1:34" x14ac:dyDescent="0.25">
      <c r="A98">
        <v>80</v>
      </c>
      <c r="B98">
        <f t="shared" si="1276"/>
        <v>0.16</v>
      </c>
      <c r="C98">
        <f t="shared" si="1277"/>
        <v>0.2</v>
      </c>
      <c r="D98">
        <f t="shared" si="1156"/>
        <v>0.37707996236288538</v>
      </c>
      <c r="E98">
        <f t="shared" si="1157"/>
        <v>-0.97529801226620749</v>
      </c>
      <c r="F98">
        <f t="shared" si="1278"/>
        <v>0</v>
      </c>
      <c r="G98">
        <f t="shared" si="1158"/>
        <v>-0.97529801226620749</v>
      </c>
      <c r="H98">
        <f t="shared" ref="H98:J98" si="1447">G15</f>
        <v>-0.51578144572408391</v>
      </c>
      <c r="I98">
        <f t="shared" si="1160"/>
        <v>-1.2847668797006579</v>
      </c>
      <c r="J98">
        <f t="shared" si="1447"/>
        <v>-1.0985462034379376</v>
      </c>
      <c r="K98">
        <f t="shared" si="1160"/>
        <v>-1.6344257343289701</v>
      </c>
      <c r="L98">
        <f t="shared" ref="L98:N98" si="1448">K15</f>
        <v>-1.4669301241718227</v>
      </c>
      <c r="M98">
        <f t="shared" ref="M98" si="1449">$E98+$D$3*L98</f>
        <v>-1.8554560867693011</v>
      </c>
      <c r="N98">
        <f t="shared" si="1448"/>
        <v>-1.6907372417566426</v>
      </c>
      <c r="O98">
        <f t="shared" ref="O98" si="1450">$E98+$D$3*N98</f>
        <v>-1.9897403573201928</v>
      </c>
      <c r="P98">
        <f t="shared" ref="P98" si="1451">O15</f>
        <v>-1.825592305155741</v>
      </c>
      <c r="Q98">
        <f t="shared" ref="Q98" si="1452">$E98+$D$3*P98</f>
        <v>-2.0706533953596522</v>
      </c>
      <c r="R98">
        <f t="shared" ref="R98:T98" si="1453">Q15</f>
        <v>-1.9065053431951999</v>
      </c>
      <c r="S98">
        <f t="shared" ref="S98" si="1454">$E98+$D$3*R98</f>
        <v>-2.1192012181833273</v>
      </c>
      <c r="T98">
        <f t="shared" si="1453"/>
        <v>-1.9550531660188755</v>
      </c>
      <c r="U98">
        <f t="shared" ref="U98" si="1455">$E98+$D$3*T98</f>
        <v>-2.1483299118775325</v>
      </c>
      <c r="V98">
        <f t="shared" ref="V98" si="1456">U15</f>
        <v>-1.9841818597130807</v>
      </c>
      <c r="W98">
        <f t="shared" ref="W98" si="1457">$E98+$D$3*V98</f>
        <v>-2.1658071280940558</v>
      </c>
      <c r="X98">
        <f t="shared" ref="X98" si="1458">W15</f>
        <v>-2.0016590759296036</v>
      </c>
      <c r="Y98">
        <f t="shared" ref="Y98" si="1459">$E98+$D$3*X98</f>
        <v>-2.1762934578239697</v>
      </c>
      <c r="Z98">
        <f t="shared" ref="Z98" si="1460">Y15</f>
        <v>-2.0121454056595178</v>
      </c>
      <c r="AA98">
        <f t="shared" ref="AA98" si="1461">$E98+$D$3*Z98</f>
        <v>-2.1825852556619183</v>
      </c>
      <c r="AB98">
        <f t="shared" ref="AB98:AD98" si="1462">AA15</f>
        <v>-2.018437203497466</v>
      </c>
      <c r="AC98">
        <f t="shared" ref="AC98" si="1463">$E98+$D$3*AB98</f>
        <v>-2.1863603343646871</v>
      </c>
      <c r="AD98">
        <f t="shared" si="1462"/>
        <v>-2.0222122822002353</v>
      </c>
      <c r="AE98">
        <f t="shared" ref="AE98" si="1464">$E98+$D$3*AD98</f>
        <v>-2.1886253815863488</v>
      </c>
      <c r="AF98">
        <f t="shared" ref="AF98" si="1465">AE15</f>
        <v>-2.0244773294218965</v>
      </c>
      <c r="AG98">
        <f t="shared" ref="AG98" si="1466">$E98+$D$3*AF98</f>
        <v>-2.1899844099193455</v>
      </c>
      <c r="AH98">
        <f t="shared" ref="AH98" si="1467">AG15</f>
        <v>-2.0258363577548932</v>
      </c>
    </row>
    <row r="99" spans="1:34" x14ac:dyDescent="0.25">
      <c r="A99">
        <v>81</v>
      </c>
      <c r="B99">
        <f>$C$14</f>
        <v>0.18</v>
      </c>
      <c r="C99">
        <f>D6</f>
        <v>0.02</v>
      </c>
      <c r="D99">
        <f t="shared" si="1156"/>
        <v>0.57783557057950929</v>
      </c>
      <c r="E99">
        <f t="shared" si="1157"/>
        <v>-0.5484659307481079</v>
      </c>
      <c r="F99">
        <f>E6</f>
        <v>0</v>
      </c>
      <c r="G99">
        <f t="shared" si="1158"/>
        <v>-0.5484659307481079</v>
      </c>
      <c r="H99">
        <f>G6</f>
        <v>-1.2404656598035961</v>
      </c>
      <c r="I99">
        <f t="shared" si="1160"/>
        <v>-1.2927453266302655</v>
      </c>
      <c r="J99">
        <f>I6</f>
        <v>-1.9238908431064008</v>
      </c>
      <c r="K99">
        <f t="shared" si="1160"/>
        <v>-1.7028004366119482</v>
      </c>
      <c r="L99">
        <f>K6</f>
        <v>-2.3068847075706134</v>
      </c>
      <c r="M99">
        <f t="shared" ref="M99" si="1468">$E99+$D$3*L99</f>
        <v>-1.9325967552904759</v>
      </c>
      <c r="N99">
        <f>M6</f>
        <v>-2.5324683173956846</v>
      </c>
      <c r="O99">
        <f t="shared" ref="O99" si="1469">$E99+$D$3*N99</f>
        <v>-2.0679469211855186</v>
      </c>
      <c r="P99">
        <f>O6</f>
        <v>-2.6673233807947834</v>
      </c>
      <c r="Q99">
        <f t="shared" ref="Q99" si="1470">$E99+$D$3*P99</f>
        <v>-2.148859959224978</v>
      </c>
      <c r="R99">
        <f>Q6</f>
        <v>-2.7482364188342423</v>
      </c>
      <c r="S99">
        <f t="shared" ref="S99" si="1471">$E99+$D$3*R99</f>
        <v>-2.1974077820486535</v>
      </c>
      <c r="T99">
        <f>S6</f>
        <v>-2.7967842416579174</v>
      </c>
      <c r="U99">
        <f t="shared" ref="U99" si="1472">$E99+$D$3*T99</f>
        <v>-2.2265364757428583</v>
      </c>
      <c r="V99">
        <f>U6</f>
        <v>-2.8259129353521231</v>
      </c>
      <c r="W99">
        <f t="shared" ref="W99" si="1473">$E99+$D$3*V99</f>
        <v>-2.2440136919593816</v>
      </c>
      <c r="X99">
        <f>W6</f>
        <v>-2.8433901515686459</v>
      </c>
      <c r="Y99">
        <f t="shared" ref="Y99" si="1474">$E99+$D$3*X99</f>
        <v>-2.2545000216892954</v>
      </c>
      <c r="Z99">
        <f>Y6</f>
        <v>-2.8538764812985602</v>
      </c>
      <c r="AA99">
        <f t="shared" ref="AA99" si="1475">$E99+$D$3*Z99</f>
        <v>-2.2607918195272441</v>
      </c>
      <c r="AB99">
        <f>AA6</f>
        <v>-2.8601682791365084</v>
      </c>
      <c r="AC99">
        <f t="shared" ref="AC99" si="1476">$E99+$D$3*AB99</f>
        <v>-2.2645668982300129</v>
      </c>
      <c r="AD99">
        <f>AC6</f>
        <v>-2.8639433578392772</v>
      </c>
      <c r="AE99">
        <f t="shared" ref="AE99" si="1477">$E99+$D$3*AD99</f>
        <v>-2.2668319454516741</v>
      </c>
      <c r="AF99">
        <f>AE6</f>
        <v>-2.8662084050609389</v>
      </c>
      <c r="AG99">
        <f t="shared" ref="AG99" si="1478">$E99+$D$3*AF99</f>
        <v>-2.2681909737846713</v>
      </c>
      <c r="AH99">
        <f>AG6</f>
        <v>-2.8675674333939352</v>
      </c>
    </row>
    <row r="100" spans="1:34" x14ac:dyDescent="0.25">
      <c r="A100">
        <v>82</v>
      </c>
      <c r="B100">
        <f t="shared" ref="B100:B108" si="1479">$C$14</f>
        <v>0.18</v>
      </c>
      <c r="C100">
        <f t="shared" ref="C100:C108" si="1480">D7</f>
        <v>0.04</v>
      </c>
      <c r="D100">
        <f t="shared" si="1156"/>
        <v>0.55783557057950928</v>
      </c>
      <c r="E100">
        <f t="shared" si="1157"/>
        <v>-0.58369103640724973</v>
      </c>
      <c r="F100">
        <f t="shared" ref="F100:F108" si="1481">E7</f>
        <v>0</v>
      </c>
      <c r="G100">
        <f t="shared" si="1158"/>
        <v>-0.58369103640724973</v>
      </c>
      <c r="H100">
        <f t="shared" ref="H100:J100" si="1482">G7</f>
        <v>-1.0196233391755041</v>
      </c>
      <c r="I100">
        <f t="shared" si="1160"/>
        <v>-1.1954650399125522</v>
      </c>
      <c r="J100">
        <f t="shared" si="1482"/>
        <v>-1.6721454891064989</v>
      </c>
      <c r="K100">
        <f t="shared" si="1160"/>
        <v>-1.5869783298711488</v>
      </c>
      <c r="L100">
        <f t="shared" ref="L100:N100" si="1483">K7</f>
        <v>-2.054736985387799</v>
      </c>
      <c r="M100">
        <f t="shared" ref="M100" si="1484">$E100+$D$3*L100</f>
        <v>-1.8165332276399293</v>
      </c>
      <c r="N100">
        <f t="shared" si="1483"/>
        <v>-2.2803205952128707</v>
      </c>
      <c r="O100">
        <f t="shared" ref="O100" si="1485">$E100+$D$3*N100</f>
        <v>-1.9518833935349722</v>
      </c>
      <c r="P100">
        <f t="shared" ref="P100" si="1486">O7</f>
        <v>-2.415175658611969</v>
      </c>
      <c r="Q100">
        <f t="shared" ref="Q100" si="1487">$E100+$D$3*P100</f>
        <v>-2.0327964315744311</v>
      </c>
      <c r="R100">
        <f t="shared" ref="R100:T100" si="1488">Q7</f>
        <v>-2.496088696651428</v>
      </c>
      <c r="S100">
        <f t="shared" ref="S100" si="1489">$E100+$D$3*R100</f>
        <v>-2.0813442543981067</v>
      </c>
      <c r="T100">
        <f t="shared" si="1488"/>
        <v>-2.5446365194751035</v>
      </c>
      <c r="U100">
        <f t="shared" ref="U100" si="1490">$E100+$D$3*T100</f>
        <v>-2.1104729480923119</v>
      </c>
      <c r="V100">
        <f t="shared" ref="V100" si="1491">U7</f>
        <v>-2.5737652131693087</v>
      </c>
      <c r="W100">
        <f t="shared" ref="W100" si="1492">$E100+$D$3*V100</f>
        <v>-2.1279501643088348</v>
      </c>
      <c r="X100">
        <f t="shared" ref="X100" si="1493">W7</f>
        <v>-2.591242429385832</v>
      </c>
      <c r="Y100">
        <f t="shared" ref="Y100" si="1494">$E100+$D$3*X100</f>
        <v>-2.138436494038749</v>
      </c>
      <c r="Z100">
        <f t="shared" ref="Z100" si="1495">Y7</f>
        <v>-2.6017287591157459</v>
      </c>
      <c r="AA100">
        <f t="shared" ref="AA100" si="1496">$E100+$D$3*Z100</f>
        <v>-2.1447282918766972</v>
      </c>
      <c r="AB100">
        <f t="shared" ref="AB100:AD100" si="1497">AA7</f>
        <v>-2.6080205569536941</v>
      </c>
      <c r="AC100">
        <f t="shared" ref="AC100" si="1498">$E100+$D$3*AB100</f>
        <v>-2.1485033705794661</v>
      </c>
      <c r="AD100">
        <f t="shared" si="1497"/>
        <v>-2.6117956356564629</v>
      </c>
      <c r="AE100">
        <f t="shared" ref="AE100" si="1499">$E100+$D$3*AD100</f>
        <v>-2.1507684178011273</v>
      </c>
      <c r="AF100">
        <f t="shared" ref="AF100" si="1500">AE7</f>
        <v>-2.6140606828781241</v>
      </c>
      <c r="AG100">
        <f t="shared" ref="AG100" si="1501">$E100+$D$3*AF100</f>
        <v>-2.152127446134124</v>
      </c>
      <c r="AH100">
        <f t="shared" ref="AH100" si="1502">AG7</f>
        <v>-2.6154197112111213</v>
      </c>
    </row>
    <row r="101" spans="1:34" x14ac:dyDescent="0.25">
      <c r="A101">
        <v>83</v>
      </c>
      <c r="B101">
        <f t="shared" si="1479"/>
        <v>0.18</v>
      </c>
      <c r="C101">
        <f t="shared" si="1480"/>
        <v>0.06</v>
      </c>
      <c r="D101">
        <f t="shared" si="1156"/>
        <v>0.53783557057950926</v>
      </c>
      <c r="E101">
        <f t="shared" si="1157"/>
        <v>-0.62020239642809805</v>
      </c>
      <c r="F101">
        <f t="shared" si="1481"/>
        <v>0</v>
      </c>
      <c r="G101">
        <f t="shared" si="1158"/>
        <v>-0.62020239642809805</v>
      </c>
      <c r="H101">
        <f t="shared" ref="H101:J101" si="1503">G8</f>
        <v>-0.89165385651553775</v>
      </c>
      <c r="I101">
        <f t="shared" si="1160"/>
        <v>-1.1551947103374207</v>
      </c>
      <c r="J101">
        <f t="shared" si="1503"/>
        <v>-1.5293063503177047</v>
      </c>
      <c r="K101">
        <f t="shared" si="1160"/>
        <v>-1.5377862066187209</v>
      </c>
      <c r="L101">
        <f t="shared" ref="L101:N101" si="1504">K8</f>
        <v>-1.9052790333594904</v>
      </c>
      <c r="M101">
        <f t="shared" ref="M101" si="1505">$E101+$D$3*L101</f>
        <v>-1.7633698164437923</v>
      </c>
      <c r="N101">
        <f t="shared" si="1504"/>
        <v>-2.130037472357988</v>
      </c>
      <c r="O101">
        <f t="shared" ref="O101" si="1506">$E101+$D$3*N101</f>
        <v>-1.8982248798428909</v>
      </c>
      <c r="P101">
        <f t="shared" ref="P101" si="1507">O8</f>
        <v>-2.2648925357570864</v>
      </c>
      <c r="Q101">
        <f t="shared" ref="Q101" si="1508">$E101+$D$3*P101</f>
        <v>-1.9791379178823498</v>
      </c>
      <c r="R101">
        <f t="shared" ref="R101:T101" si="1509">Q8</f>
        <v>-2.3458055737965453</v>
      </c>
      <c r="S101">
        <f t="shared" ref="S101" si="1510">$E101+$D$3*R101</f>
        <v>-2.0276857407060254</v>
      </c>
      <c r="T101">
        <f t="shared" si="1509"/>
        <v>-2.3943533966202208</v>
      </c>
      <c r="U101">
        <f t="shared" ref="U101" si="1511">$E101+$D$3*T101</f>
        <v>-2.0568144344002306</v>
      </c>
      <c r="V101">
        <f t="shared" ref="V101" si="1512">U8</f>
        <v>-2.4234820903144261</v>
      </c>
      <c r="W101">
        <f t="shared" ref="W101" si="1513">$E101+$D$3*V101</f>
        <v>-2.0742916506167539</v>
      </c>
      <c r="X101">
        <f t="shared" ref="X101" si="1514">W8</f>
        <v>-2.4409593065309494</v>
      </c>
      <c r="Y101">
        <f t="shared" ref="Y101" si="1515">$E101+$D$3*X101</f>
        <v>-2.0847779803466677</v>
      </c>
      <c r="Z101">
        <f t="shared" ref="Z101" si="1516">Y8</f>
        <v>-2.4514456362608632</v>
      </c>
      <c r="AA101">
        <f t="shared" ref="AA101" si="1517">$E101+$D$3*Z101</f>
        <v>-2.0910697781846159</v>
      </c>
      <c r="AB101">
        <f t="shared" ref="AB101:AD101" si="1518">AA8</f>
        <v>-2.4577374340988114</v>
      </c>
      <c r="AC101">
        <f t="shared" ref="AC101" si="1519">$E101+$D$3*AB101</f>
        <v>-2.0948448568873848</v>
      </c>
      <c r="AD101">
        <f t="shared" si="1518"/>
        <v>-2.4615125128015802</v>
      </c>
      <c r="AE101">
        <f t="shared" ref="AE101" si="1520">$E101+$D$3*AD101</f>
        <v>-2.097109904109046</v>
      </c>
      <c r="AF101">
        <f t="shared" ref="AF101" si="1521">AE8</f>
        <v>-2.4637775600232414</v>
      </c>
      <c r="AG101">
        <f t="shared" ref="AG101" si="1522">$E101+$D$3*AF101</f>
        <v>-2.0984689324420431</v>
      </c>
      <c r="AH101">
        <f t="shared" ref="AH101" si="1523">AG8</f>
        <v>-2.4651365883562386</v>
      </c>
    </row>
    <row r="102" spans="1:34" x14ac:dyDescent="0.25">
      <c r="A102">
        <v>84</v>
      </c>
      <c r="B102">
        <f t="shared" si="1479"/>
        <v>0.18</v>
      </c>
      <c r="C102">
        <f t="shared" si="1480"/>
        <v>0.08</v>
      </c>
      <c r="D102">
        <f t="shared" si="1156"/>
        <v>0.51783557057950935</v>
      </c>
      <c r="E102">
        <f t="shared" si="1157"/>
        <v>-0.6580975184283262</v>
      </c>
      <c r="F102">
        <f t="shared" si="1481"/>
        <v>0</v>
      </c>
      <c r="G102">
        <f t="shared" si="1158"/>
        <v>-0.6580975184283262</v>
      </c>
      <c r="H102">
        <f t="shared" ref="H102:J102" si="1524">G9</f>
        <v>-0.80132369672045844</v>
      </c>
      <c r="I102">
        <f t="shared" si="1160"/>
        <v>-1.1388917364606013</v>
      </c>
      <c r="J102">
        <f t="shared" si="1524"/>
        <v>-1.4256526939385066</v>
      </c>
      <c r="K102">
        <f t="shared" si="1160"/>
        <v>-1.5134891347914301</v>
      </c>
      <c r="L102">
        <f t="shared" ref="L102:N102" si="1525">K9</f>
        <v>-1.8002500922693354</v>
      </c>
      <c r="M102">
        <f t="shared" ref="M102" si="1526">$E102+$D$3*L102</f>
        <v>-1.7382475737899274</v>
      </c>
      <c r="N102">
        <f t="shared" si="1525"/>
        <v>-2.025008531267833</v>
      </c>
      <c r="O102">
        <f t="shared" ref="O102" si="1527">$E102+$D$3*N102</f>
        <v>-1.873102637189026</v>
      </c>
      <c r="P102">
        <f t="shared" ref="P102" si="1528">O9</f>
        <v>-2.1598635946669313</v>
      </c>
      <c r="Q102">
        <f t="shared" ref="Q102" si="1529">$E102+$D$3*P102</f>
        <v>-1.954015675228485</v>
      </c>
      <c r="R102">
        <f t="shared" ref="R102:T102" si="1530">Q9</f>
        <v>-2.2407766327063903</v>
      </c>
      <c r="S102">
        <f t="shared" ref="S102" si="1531">$E102+$D$3*R102</f>
        <v>-2.0025634980521603</v>
      </c>
      <c r="T102">
        <f t="shared" si="1530"/>
        <v>-2.2893244555300658</v>
      </c>
      <c r="U102">
        <f t="shared" ref="U102" si="1532">$E102+$D$3*T102</f>
        <v>-2.0316921917463659</v>
      </c>
      <c r="V102">
        <f t="shared" ref="V102" si="1533">U9</f>
        <v>-2.318453149224271</v>
      </c>
      <c r="W102">
        <f t="shared" ref="W102" si="1534">$E102+$D$3*V102</f>
        <v>-2.0491694079628888</v>
      </c>
      <c r="X102">
        <f t="shared" ref="X102" si="1535">W9</f>
        <v>-2.3359303654407944</v>
      </c>
      <c r="Y102">
        <f t="shared" ref="Y102" si="1536">$E102+$D$3*X102</f>
        <v>-2.0596557376928031</v>
      </c>
      <c r="Z102">
        <f t="shared" ref="Z102" si="1537">Y9</f>
        <v>-2.3464166951707082</v>
      </c>
      <c r="AA102">
        <f t="shared" ref="AA102" si="1538">$E102+$D$3*Z102</f>
        <v>-2.0659475355307508</v>
      </c>
      <c r="AB102">
        <f t="shared" ref="AB102:AD102" si="1539">AA9</f>
        <v>-2.3527084930086564</v>
      </c>
      <c r="AC102">
        <f t="shared" ref="AC102" si="1540">$E102+$D$3*AB102</f>
        <v>-2.0697226142335197</v>
      </c>
      <c r="AD102">
        <f t="shared" si="1539"/>
        <v>-2.3564835717114252</v>
      </c>
      <c r="AE102">
        <f t="shared" ref="AE102" si="1541">$E102+$D$3*AD102</f>
        <v>-2.0719876614551813</v>
      </c>
      <c r="AF102">
        <f t="shared" ref="AF102" si="1542">AE9</f>
        <v>-2.3587486189330864</v>
      </c>
      <c r="AG102">
        <f t="shared" ref="AG102" si="1543">$E102+$D$3*AF102</f>
        <v>-2.073346689788178</v>
      </c>
      <c r="AH102">
        <f t="shared" ref="AH102" si="1544">AG9</f>
        <v>-2.3601076472660836</v>
      </c>
    </row>
    <row r="103" spans="1:34" x14ac:dyDescent="0.25">
      <c r="A103">
        <v>85</v>
      </c>
      <c r="B103">
        <f t="shared" si="1479"/>
        <v>0.18</v>
      </c>
      <c r="C103">
        <f t="shared" si="1480"/>
        <v>0.1</v>
      </c>
      <c r="D103">
        <f t="shared" si="1156"/>
        <v>0.49783557057950933</v>
      </c>
      <c r="E103">
        <f t="shared" si="1157"/>
        <v>-0.69748543603797453</v>
      </c>
      <c r="F103">
        <f t="shared" si="1481"/>
        <v>0</v>
      </c>
      <c r="G103">
        <f t="shared" si="1158"/>
        <v>-0.69748543603797453</v>
      </c>
      <c r="H103">
        <f t="shared" ref="H103:J103" si="1545">G10</f>
        <v>-0.73149882551768641</v>
      </c>
      <c r="I103">
        <f t="shared" si="1160"/>
        <v>-1.1363847313485864</v>
      </c>
      <c r="J103">
        <f t="shared" si="1545"/>
        <v>-1.3454720267408284</v>
      </c>
      <c r="K103">
        <f t="shared" si="1160"/>
        <v>-1.5047686520824715</v>
      </c>
      <c r="L103">
        <f t="shared" ref="L103:N103" si="1546">K10</f>
        <v>-1.7200694250716573</v>
      </c>
      <c r="M103">
        <f t="shared" ref="M103" si="1547">$E103+$D$3*L103</f>
        <v>-1.7295270910809688</v>
      </c>
      <c r="N103">
        <f t="shared" si="1546"/>
        <v>-1.9448278640701546</v>
      </c>
      <c r="O103">
        <f t="shared" ref="O103" si="1548">$E103+$D$3*N103</f>
        <v>-1.8643821544800672</v>
      </c>
      <c r="P103">
        <f t="shared" ref="P103" si="1549">O10</f>
        <v>-2.0796829274692534</v>
      </c>
      <c r="Q103">
        <f t="shared" ref="Q103" si="1550">$E103+$D$3*P103</f>
        <v>-1.9452951925195265</v>
      </c>
      <c r="R103">
        <f t="shared" ref="R103:T103" si="1551">Q10</f>
        <v>-2.1605959655087119</v>
      </c>
      <c r="S103">
        <f t="shared" ref="S103" si="1552">$E103+$D$3*R103</f>
        <v>-1.9938430153432016</v>
      </c>
      <c r="T103">
        <f t="shared" si="1551"/>
        <v>-2.2091437883323874</v>
      </c>
      <c r="U103">
        <f t="shared" ref="U103" si="1553">$E103+$D$3*T103</f>
        <v>-2.0229717090374066</v>
      </c>
      <c r="V103">
        <f t="shared" ref="V103" si="1554">U10</f>
        <v>-2.2382724820265931</v>
      </c>
      <c r="W103">
        <f t="shared" ref="W103" si="1555">$E103+$D$3*V103</f>
        <v>-2.0404489252539304</v>
      </c>
      <c r="X103">
        <f t="shared" ref="X103" si="1556">W10</f>
        <v>-2.255749698243116</v>
      </c>
      <c r="Y103">
        <f t="shared" ref="Y103" si="1557">$E103+$D$3*X103</f>
        <v>-2.0509352549838438</v>
      </c>
      <c r="Z103">
        <f t="shared" ref="Z103" si="1558">Y10</f>
        <v>-2.2662360279730303</v>
      </c>
      <c r="AA103">
        <f t="shared" ref="AA103" si="1559">$E103+$D$3*Z103</f>
        <v>-2.0572270528217924</v>
      </c>
      <c r="AB103">
        <f t="shared" ref="AB103:AD103" si="1560">AA10</f>
        <v>-2.272527825810978</v>
      </c>
      <c r="AC103">
        <f t="shared" ref="AC103" si="1561">$E103+$D$3*AB103</f>
        <v>-2.0610021315245612</v>
      </c>
      <c r="AD103">
        <f t="shared" si="1560"/>
        <v>-2.2763029045137468</v>
      </c>
      <c r="AE103">
        <f t="shared" ref="AE103" si="1562">$E103+$D$3*AD103</f>
        <v>-2.0632671787462229</v>
      </c>
      <c r="AF103">
        <f t="shared" ref="AF103" si="1563">AE10</f>
        <v>-2.2785679517354085</v>
      </c>
      <c r="AG103">
        <f t="shared" ref="AG103" si="1564">$E103+$D$3*AF103</f>
        <v>-2.0646262070792196</v>
      </c>
      <c r="AH103">
        <f t="shared" ref="AH103" si="1565">AG10</f>
        <v>-2.2799269800684052</v>
      </c>
    </row>
    <row r="104" spans="1:34" x14ac:dyDescent="0.25">
      <c r="A104">
        <v>86</v>
      </c>
      <c r="B104">
        <f t="shared" si="1479"/>
        <v>0.18</v>
      </c>
      <c r="C104">
        <f t="shared" si="1480"/>
        <v>0.12</v>
      </c>
      <c r="D104">
        <f t="shared" si="1156"/>
        <v>0.47783557057950932</v>
      </c>
      <c r="E104">
        <f t="shared" si="1157"/>
        <v>-0.7384886002739337</v>
      </c>
      <c r="F104">
        <f t="shared" si="1481"/>
        <v>0</v>
      </c>
      <c r="G104">
        <f t="shared" si="1158"/>
        <v>-0.7384886002739337</v>
      </c>
      <c r="H104">
        <f t="shared" ref="H104:J104" si="1566">G11</f>
        <v>-0.67459246082376068</v>
      </c>
      <c r="I104">
        <f t="shared" si="1160"/>
        <v>-1.1432440767681902</v>
      </c>
      <c r="J104">
        <f t="shared" si="1566"/>
        <v>-1.2807163272073794</v>
      </c>
      <c r="K104">
        <f t="shared" si="1160"/>
        <v>-1.5069183965983615</v>
      </c>
      <c r="L104">
        <f t="shared" ref="L104:N104" si="1567">K11</f>
        <v>-1.6527335346593239</v>
      </c>
      <c r="M104">
        <f t="shared" ref="M104" si="1568">$E104+$D$3*L104</f>
        <v>-1.730128721069528</v>
      </c>
      <c r="N104">
        <f t="shared" si="1567"/>
        <v>-1.8774919736578213</v>
      </c>
      <c r="O104">
        <f t="shared" ref="O104" si="1569">$E104+$D$3*N104</f>
        <v>-1.8649837844686263</v>
      </c>
      <c r="P104">
        <f t="shared" ref="P104" si="1570">O11</f>
        <v>-2.0123470370569194</v>
      </c>
      <c r="Q104">
        <f t="shared" ref="Q104" si="1571">$E104+$D$3*P104</f>
        <v>-1.9458968225080853</v>
      </c>
      <c r="R104">
        <f t="shared" ref="R104:T104" si="1572">Q11</f>
        <v>-2.0932600750963788</v>
      </c>
      <c r="S104">
        <f t="shared" ref="S104" si="1573">$E104+$D$3*R104</f>
        <v>-1.994444645331761</v>
      </c>
      <c r="T104">
        <f t="shared" si="1572"/>
        <v>-2.1418078979200539</v>
      </c>
      <c r="U104">
        <f t="shared" ref="U104" si="1574">$E104+$D$3*T104</f>
        <v>-2.0235733390259663</v>
      </c>
      <c r="V104">
        <f t="shared" ref="V104" si="1575">U11</f>
        <v>-2.1709365916142591</v>
      </c>
      <c r="W104">
        <f t="shared" ref="W104" si="1576">$E104+$D$3*V104</f>
        <v>-2.0410505552424891</v>
      </c>
      <c r="X104">
        <f t="shared" ref="X104" si="1577">W11</f>
        <v>-2.1884138078307829</v>
      </c>
      <c r="Y104">
        <f t="shared" ref="Y104" si="1578">$E104+$D$3*X104</f>
        <v>-2.0515368849724034</v>
      </c>
      <c r="Z104">
        <f t="shared" ref="Z104" si="1579">Y11</f>
        <v>-2.1989001375606962</v>
      </c>
      <c r="AA104">
        <f t="shared" ref="AA104" si="1580">$E104+$D$3*Z104</f>
        <v>-2.0578286828103511</v>
      </c>
      <c r="AB104">
        <f t="shared" ref="AB104:AD104" si="1581">AA11</f>
        <v>-2.2051919353986449</v>
      </c>
      <c r="AC104">
        <f t="shared" ref="AC104" si="1582">$E104+$D$3*AB104</f>
        <v>-2.0616037615131209</v>
      </c>
      <c r="AD104">
        <f t="shared" si="1581"/>
        <v>-2.2089670141014137</v>
      </c>
      <c r="AE104">
        <f t="shared" ref="AE104" si="1583">$E104+$D$3*AD104</f>
        <v>-2.0638688087347816</v>
      </c>
      <c r="AF104">
        <f t="shared" ref="AF104" si="1584">AE11</f>
        <v>-2.2112320613230754</v>
      </c>
      <c r="AG104">
        <f t="shared" ref="AG104" si="1585">$E104+$D$3*AF104</f>
        <v>-2.0652278370677788</v>
      </c>
      <c r="AH104">
        <f t="shared" ref="AH104" si="1586">AG11</f>
        <v>-2.2125910896560721</v>
      </c>
    </row>
    <row r="105" spans="1:34" x14ac:dyDescent="0.25">
      <c r="A105">
        <v>87</v>
      </c>
      <c r="B105">
        <f t="shared" si="1479"/>
        <v>0.18</v>
      </c>
      <c r="C105">
        <f t="shared" si="1480"/>
        <v>0.14000000000000001</v>
      </c>
      <c r="D105">
        <f t="shared" si="1156"/>
        <v>0.4578355705795093</v>
      </c>
      <c r="E105">
        <f t="shared" si="1157"/>
        <v>-0.78124517553164252</v>
      </c>
      <c r="F105">
        <f t="shared" si="1481"/>
        <v>0</v>
      </c>
      <c r="G105">
        <f t="shared" si="1158"/>
        <v>-0.78124517553164252</v>
      </c>
      <c r="H105">
        <f t="shared" ref="H105:J105" si="1587">G12</f>
        <v>-0.6265743736743844</v>
      </c>
      <c r="I105">
        <f t="shared" si="1160"/>
        <v>-1.1571897997362732</v>
      </c>
      <c r="J105">
        <f t="shared" si="1587"/>
        <v>-1.2264577774162566</v>
      </c>
      <c r="K105">
        <f t="shared" si="1160"/>
        <v>-1.5171198419813965</v>
      </c>
      <c r="L105">
        <f t="shared" ref="L105:N105" si="1588">K12</f>
        <v>-1.5960179568035284</v>
      </c>
      <c r="M105">
        <f t="shared" ref="M105" si="1589">$E105+$D$3*L105</f>
        <v>-1.7388559496137597</v>
      </c>
      <c r="N105">
        <f t="shared" si="1588"/>
        <v>-1.8207763958020258</v>
      </c>
      <c r="O105">
        <f t="shared" ref="O105" si="1590">$E105+$D$3*N105</f>
        <v>-1.873711013012858</v>
      </c>
      <c r="P105">
        <f t="shared" ref="P105" si="1591">O12</f>
        <v>-1.9556314592011241</v>
      </c>
      <c r="Q105">
        <f t="shared" ref="Q105" si="1592">$E105+$D$3*P105</f>
        <v>-1.954624051052317</v>
      </c>
      <c r="R105">
        <f t="shared" ref="R105:T105" si="1593">Q12</f>
        <v>-2.0365444972405835</v>
      </c>
      <c r="S105">
        <f t="shared" ref="S105" si="1594">$E105+$D$3*R105</f>
        <v>-2.0031718738759925</v>
      </c>
      <c r="T105">
        <f t="shared" si="1593"/>
        <v>-2.0850923200642586</v>
      </c>
      <c r="U105">
        <f t="shared" ref="U105" si="1595">$E105+$D$3*T105</f>
        <v>-2.0323005675701977</v>
      </c>
      <c r="V105">
        <f t="shared" ref="V105" si="1596">U12</f>
        <v>-2.1142210137584638</v>
      </c>
      <c r="W105">
        <f t="shared" ref="W105" si="1597">$E105+$D$3*V105</f>
        <v>-2.0497777837867206</v>
      </c>
      <c r="X105">
        <f t="shared" ref="X105" si="1598">W12</f>
        <v>-2.1316982299749871</v>
      </c>
      <c r="Y105">
        <f t="shared" ref="Y105" si="1599">$E105+$D$3*X105</f>
        <v>-2.0602641135166349</v>
      </c>
      <c r="Z105">
        <f t="shared" ref="Z105" si="1600">Y12</f>
        <v>-2.142184559704901</v>
      </c>
      <c r="AA105">
        <f t="shared" ref="AA105" si="1601">$E105+$D$3*Z105</f>
        <v>-2.0665559113545831</v>
      </c>
      <c r="AB105">
        <f t="shared" ref="AB105:AD105" si="1602">AA12</f>
        <v>-2.1484763575428496</v>
      </c>
      <c r="AC105">
        <f t="shared" ref="AC105" si="1603">$E105+$D$3*AB105</f>
        <v>-2.0703309900573523</v>
      </c>
      <c r="AD105">
        <f t="shared" si="1602"/>
        <v>-2.152251436245618</v>
      </c>
      <c r="AE105">
        <f t="shared" ref="AE105" si="1604">$E105+$D$3*AD105</f>
        <v>-2.0725960372790135</v>
      </c>
      <c r="AF105">
        <f t="shared" ref="AF105" si="1605">AE12</f>
        <v>-2.1545164834672796</v>
      </c>
      <c r="AG105">
        <f t="shared" ref="AG105" si="1606">$E105+$D$3*AF105</f>
        <v>-2.0739550656120103</v>
      </c>
      <c r="AH105">
        <f t="shared" ref="AH105" si="1607">AG12</f>
        <v>-2.1558755118002764</v>
      </c>
    </row>
    <row r="106" spans="1:34" x14ac:dyDescent="0.25">
      <c r="A106">
        <v>88</v>
      </c>
      <c r="B106">
        <f t="shared" si="1479"/>
        <v>0.18</v>
      </c>
      <c r="C106">
        <f t="shared" si="1480"/>
        <v>0.16</v>
      </c>
      <c r="D106">
        <f t="shared" si="1156"/>
        <v>0.43783557057950928</v>
      </c>
      <c r="E106">
        <f t="shared" si="1157"/>
        <v>-0.82591184872535262</v>
      </c>
      <c r="F106">
        <f t="shared" si="1481"/>
        <v>0</v>
      </c>
      <c r="G106">
        <f t="shared" si="1158"/>
        <v>-0.82591184872535262</v>
      </c>
      <c r="H106">
        <f t="shared" ref="H106:J106" si="1608">G13</f>
        <v>-0.58504649035866596</v>
      </c>
      <c r="I106">
        <f t="shared" si="1160"/>
        <v>-1.1769397429405521</v>
      </c>
      <c r="J106">
        <f t="shared" si="1608"/>
        <v>-1.1789704614728567</v>
      </c>
      <c r="K106">
        <f t="shared" si="1160"/>
        <v>-1.5332941256090666</v>
      </c>
      <c r="L106">
        <f t="shared" ref="L106:N106" si="1609">K13</f>
        <v>-1.5473543822067419</v>
      </c>
      <c r="M106">
        <f t="shared" ref="M106" si="1610">$E106+$D$3*L106</f>
        <v>-1.7543244780493978</v>
      </c>
      <c r="N106">
        <f t="shared" si="1609"/>
        <v>-1.7721128212052393</v>
      </c>
      <c r="O106">
        <f t="shared" ref="O106" si="1611">$E106+$D$3*N106</f>
        <v>-1.8891795414484962</v>
      </c>
      <c r="P106">
        <f t="shared" ref="P106" si="1612">O13</f>
        <v>-1.9069678846043376</v>
      </c>
      <c r="Q106">
        <f t="shared" ref="Q106" si="1613">$E106+$D$3*P106</f>
        <v>-1.9700925794879551</v>
      </c>
      <c r="R106">
        <f t="shared" ref="R106:T106" si="1614">Q13</f>
        <v>-1.987880922643797</v>
      </c>
      <c r="S106">
        <f t="shared" ref="S106" si="1615">$E106+$D$3*R106</f>
        <v>-2.0186404023116307</v>
      </c>
      <c r="T106">
        <f t="shared" si="1614"/>
        <v>-2.0364287454674721</v>
      </c>
      <c r="U106">
        <f t="shared" ref="U106" si="1616">$E106+$D$3*T106</f>
        <v>-2.0477690960058359</v>
      </c>
      <c r="V106">
        <f t="shared" ref="V106" si="1617">U13</f>
        <v>-2.0655574391616773</v>
      </c>
      <c r="W106">
        <f t="shared" ref="W106" si="1618">$E106+$D$3*V106</f>
        <v>-2.0652463122223588</v>
      </c>
      <c r="X106">
        <f t="shared" ref="X106" si="1619">W13</f>
        <v>-2.0830346553782007</v>
      </c>
      <c r="Y106">
        <f t="shared" ref="Y106" si="1620">$E106+$D$3*X106</f>
        <v>-2.075732641952273</v>
      </c>
      <c r="Z106">
        <f t="shared" ref="Z106" si="1621">Y13</f>
        <v>-2.0935209851081145</v>
      </c>
      <c r="AA106">
        <f t="shared" ref="AA106" si="1622">$E106+$D$3*Z106</f>
        <v>-2.0820244397902212</v>
      </c>
      <c r="AB106">
        <f t="shared" ref="AB106:AD106" si="1623">AA13</f>
        <v>-2.0998127829460631</v>
      </c>
      <c r="AC106">
        <f t="shared" ref="AC106" si="1624">$E106+$D$3*AB106</f>
        <v>-2.0857995184929905</v>
      </c>
      <c r="AD106">
        <f t="shared" si="1623"/>
        <v>-2.1035878616488315</v>
      </c>
      <c r="AE106">
        <f t="shared" ref="AE106" si="1625">$E106+$D$3*AD106</f>
        <v>-2.0880645657146513</v>
      </c>
      <c r="AF106">
        <f t="shared" ref="AF106" si="1626">AE13</f>
        <v>-2.1058529088704931</v>
      </c>
      <c r="AG106">
        <f t="shared" ref="AG106" si="1627">$E106+$D$3*AF106</f>
        <v>-2.0894235940476484</v>
      </c>
      <c r="AH106">
        <f t="shared" ref="AH106" si="1628">AG13</f>
        <v>-2.1072119372034899</v>
      </c>
    </row>
    <row r="107" spans="1:34" x14ac:dyDescent="0.25">
      <c r="A107">
        <v>89</v>
      </c>
      <c r="B107">
        <f t="shared" si="1479"/>
        <v>0.18</v>
      </c>
      <c r="C107">
        <f t="shared" si="1480"/>
        <v>0.18</v>
      </c>
      <c r="D107">
        <f t="shared" si="1156"/>
        <v>0.41783557057950932</v>
      </c>
      <c r="E107">
        <f t="shared" si="1157"/>
        <v>-0.87266729566772683</v>
      </c>
      <c r="F107">
        <f t="shared" si="1481"/>
        <v>0</v>
      </c>
      <c r="G107">
        <f t="shared" si="1158"/>
        <v>-0.87266729566772683</v>
      </c>
      <c r="H107">
        <f t="shared" ref="H107:J107" si="1629">G14</f>
        <v>-0.5484659307481079</v>
      </c>
      <c r="I107">
        <f t="shared" si="1160"/>
        <v>-1.2017468541165917</v>
      </c>
      <c r="J107">
        <f t="shared" si="1629"/>
        <v>-1.1363847313485864</v>
      </c>
      <c r="K107">
        <f t="shared" si="1160"/>
        <v>-1.5544981344768787</v>
      </c>
      <c r="L107">
        <f t="shared" ref="L107:N107" si="1630">K14</f>
        <v>-1.5047686520824715</v>
      </c>
      <c r="M107">
        <f t="shared" ref="M107" si="1631">$E107+$D$3*L107</f>
        <v>-1.7755284869172097</v>
      </c>
      <c r="N107">
        <f t="shared" si="1630"/>
        <v>-1.7295270910809688</v>
      </c>
      <c r="O107">
        <f t="shared" ref="O107" si="1632">$E107+$D$3*N107</f>
        <v>-1.910383550316308</v>
      </c>
      <c r="P107">
        <f t="shared" ref="P107" si="1633">O14</f>
        <v>-1.8643821544800672</v>
      </c>
      <c r="Q107">
        <f t="shared" ref="Q107" si="1634">$E107+$D$3*P107</f>
        <v>-1.9912965883557672</v>
      </c>
      <c r="R107">
        <f t="shared" ref="R107:T107" si="1635">Q14</f>
        <v>-1.9452951925195265</v>
      </c>
      <c r="S107">
        <f t="shared" ref="S107" si="1636">$E107+$D$3*R107</f>
        <v>-2.0398444111794429</v>
      </c>
      <c r="T107">
        <f t="shared" si="1635"/>
        <v>-1.9938430153432016</v>
      </c>
      <c r="U107">
        <f t="shared" ref="U107" si="1637">$E107+$D$3*T107</f>
        <v>-2.0689731048736477</v>
      </c>
      <c r="V107">
        <f t="shared" ref="V107" si="1638">U14</f>
        <v>-2.0229717090374066</v>
      </c>
      <c r="W107">
        <f t="shared" ref="W107" si="1639">$E107+$D$3*V107</f>
        <v>-2.0864503210901706</v>
      </c>
      <c r="X107">
        <f t="shared" ref="X107" si="1640">W14</f>
        <v>-2.0404489252539304</v>
      </c>
      <c r="Y107">
        <f t="shared" ref="Y107" si="1641">$E107+$D$3*X107</f>
        <v>-2.0969366508200853</v>
      </c>
      <c r="Z107">
        <f t="shared" ref="Z107" si="1642">Y14</f>
        <v>-2.0509352549838438</v>
      </c>
      <c r="AA107">
        <f t="shared" ref="AA107" si="1643">$E107+$D$3*Z107</f>
        <v>-2.103228448658033</v>
      </c>
      <c r="AB107">
        <f t="shared" ref="AB107:AD107" si="1644">AA14</f>
        <v>-2.0572270528217924</v>
      </c>
      <c r="AC107">
        <f t="shared" ref="AC107" si="1645">$E107+$D$3*AB107</f>
        <v>-2.1070035273608023</v>
      </c>
      <c r="AD107">
        <f t="shared" si="1644"/>
        <v>-2.0610021315245612</v>
      </c>
      <c r="AE107">
        <f t="shared" ref="AE107" si="1646">$E107+$D$3*AD107</f>
        <v>-2.1092685745824635</v>
      </c>
      <c r="AF107">
        <f t="shared" ref="AF107" si="1647">AE14</f>
        <v>-2.0632671787462229</v>
      </c>
      <c r="AG107">
        <f t="shared" ref="AG107" si="1648">$E107+$D$3*AF107</f>
        <v>-2.1106276029154607</v>
      </c>
      <c r="AH107">
        <f t="shared" ref="AH107" si="1649">AG14</f>
        <v>-2.0646262070792196</v>
      </c>
    </row>
    <row r="108" spans="1:34" x14ac:dyDescent="0.25">
      <c r="A108">
        <v>90</v>
      </c>
      <c r="B108">
        <f t="shared" si="1479"/>
        <v>0.18</v>
      </c>
      <c r="C108">
        <f t="shared" si="1480"/>
        <v>0.2</v>
      </c>
      <c r="D108">
        <f t="shared" si="1156"/>
        <v>0.3978355705795093</v>
      </c>
      <c r="E108">
        <f t="shared" si="1157"/>
        <v>-0.92171649831069502</v>
      </c>
      <c r="F108">
        <f t="shared" si="1481"/>
        <v>0</v>
      </c>
      <c r="G108">
        <f t="shared" si="1158"/>
        <v>-0.92171649831069502</v>
      </c>
      <c r="H108">
        <f t="shared" ref="H108:J108" si="1650">G15</f>
        <v>-0.51578144572408391</v>
      </c>
      <c r="I108">
        <f t="shared" si="1160"/>
        <v>-1.2311853657451453</v>
      </c>
      <c r="J108">
        <f t="shared" si="1650"/>
        <v>-1.0985462034379376</v>
      </c>
      <c r="K108">
        <f t="shared" si="1160"/>
        <v>-1.5808442203734576</v>
      </c>
      <c r="L108">
        <f t="shared" ref="L108:N108" si="1651">K15</f>
        <v>-1.4669301241718227</v>
      </c>
      <c r="M108">
        <f t="shared" ref="M108" si="1652">$E108+$D$3*L108</f>
        <v>-1.8018745728137886</v>
      </c>
      <c r="N108">
        <f t="shared" si="1651"/>
        <v>-1.6907372417566426</v>
      </c>
      <c r="O108">
        <f t="shared" ref="O108" si="1653">$E108+$D$3*N108</f>
        <v>-1.9361588433646806</v>
      </c>
      <c r="P108">
        <f t="shared" ref="P108" si="1654">O15</f>
        <v>-1.825592305155741</v>
      </c>
      <c r="Q108">
        <f t="shared" ref="Q108" si="1655">$E108+$D$3*P108</f>
        <v>-2.0170718814041395</v>
      </c>
      <c r="R108">
        <f t="shared" ref="R108:T108" si="1656">Q15</f>
        <v>-1.9065053431951999</v>
      </c>
      <c r="S108">
        <f t="shared" ref="S108" si="1657">$E108+$D$3*R108</f>
        <v>-2.065619704227815</v>
      </c>
      <c r="T108">
        <f t="shared" si="1656"/>
        <v>-1.9550531660188755</v>
      </c>
      <c r="U108">
        <f t="shared" ref="U108" si="1658">$E108+$D$3*T108</f>
        <v>-2.0947483979220203</v>
      </c>
      <c r="V108">
        <f t="shared" ref="V108" si="1659">U15</f>
        <v>-1.9841818597130807</v>
      </c>
      <c r="W108">
        <f t="shared" ref="W108" si="1660">$E108+$D$3*V108</f>
        <v>-2.1122256141385436</v>
      </c>
      <c r="X108">
        <f t="shared" ref="X108" si="1661">W15</f>
        <v>-2.0016590759296036</v>
      </c>
      <c r="Y108">
        <f t="shared" ref="Y108" si="1662">$E108+$D$3*X108</f>
        <v>-2.122711943868457</v>
      </c>
      <c r="Z108">
        <f t="shared" ref="Z108" si="1663">Y15</f>
        <v>-2.0121454056595178</v>
      </c>
      <c r="AA108">
        <f t="shared" ref="AA108" si="1664">$E108+$D$3*Z108</f>
        <v>-2.1290037417064056</v>
      </c>
      <c r="AB108">
        <f t="shared" ref="AB108:AD108" si="1665">AA15</f>
        <v>-2.018437203497466</v>
      </c>
      <c r="AC108">
        <f t="shared" ref="AC108" si="1666">$E108+$D$3*AB108</f>
        <v>-2.1327788204091744</v>
      </c>
      <c r="AD108">
        <f t="shared" si="1665"/>
        <v>-2.0222122822002353</v>
      </c>
      <c r="AE108">
        <f t="shared" ref="AE108" si="1667">$E108+$D$3*AD108</f>
        <v>-2.1350438676308361</v>
      </c>
      <c r="AF108">
        <f t="shared" ref="AF108" si="1668">AE15</f>
        <v>-2.0244773294218965</v>
      </c>
      <c r="AG108">
        <f t="shared" ref="AG108" si="1669">$E108+$D$3*AF108</f>
        <v>-2.1364028959638328</v>
      </c>
      <c r="AH108">
        <f t="shared" ref="AH108" si="1670">AG15</f>
        <v>-2.0258363577548932</v>
      </c>
    </row>
    <row r="109" spans="1:34" x14ac:dyDescent="0.25">
      <c r="A109">
        <v>91</v>
      </c>
      <c r="B109">
        <f>$C$15</f>
        <v>0.2</v>
      </c>
      <c r="C109">
        <f>D6</f>
        <v>0.02</v>
      </c>
      <c r="D109">
        <f t="shared" si="1156"/>
        <v>0.59703386272000969</v>
      </c>
      <c r="E109">
        <f t="shared" si="1157"/>
        <v>-0.51578144572408391</v>
      </c>
      <c r="F109">
        <f>E6</f>
        <v>0</v>
      </c>
      <c r="G109">
        <f t="shared" si="1158"/>
        <v>-0.51578144572408391</v>
      </c>
      <c r="H109">
        <f>G6</f>
        <v>-1.2404656598035961</v>
      </c>
      <c r="I109">
        <f t="shared" si="1160"/>
        <v>-1.2600608416062415</v>
      </c>
      <c r="J109">
        <f>I6</f>
        <v>-1.9238908431064008</v>
      </c>
      <c r="K109">
        <f t="shared" si="1160"/>
        <v>-1.6701159515879243</v>
      </c>
      <c r="L109">
        <f>K6</f>
        <v>-2.3068847075706134</v>
      </c>
      <c r="M109">
        <f t="shared" ref="M109" si="1671">$E109+$D$3*L109</f>
        <v>-1.8999122702664519</v>
      </c>
      <c r="N109">
        <f>M6</f>
        <v>-2.5324683173956846</v>
      </c>
      <c r="O109">
        <f t="shared" ref="O109" si="1672">$E109+$D$3*N109</f>
        <v>-2.0352624361614948</v>
      </c>
      <c r="P109">
        <f>O6</f>
        <v>-2.6673233807947834</v>
      </c>
      <c r="Q109">
        <f t="shared" ref="Q109" si="1673">$E109+$D$3*P109</f>
        <v>-2.1161754742009542</v>
      </c>
      <c r="R109">
        <f>Q6</f>
        <v>-2.7482364188342423</v>
      </c>
      <c r="S109">
        <f t="shared" ref="S109" si="1674">$E109+$D$3*R109</f>
        <v>-2.1647232970246293</v>
      </c>
      <c r="T109">
        <f>S6</f>
        <v>-2.7967842416579174</v>
      </c>
      <c r="U109">
        <f t="shared" ref="U109" si="1675">$E109+$D$3*T109</f>
        <v>-2.1938519907188345</v>
      </c>
      <c r="V109">
        <f>U6</f>
        <v>-2.8259129353521231</v>
      </c>
      <c r="W109">
        <f t="shared" ref="W109" si="1676">$E109+$D$3*V109</f>
        <v>-2.2113292069353578</v>
      </c>
      <c r="X109">
        <f>W6</f>
        <v>-2.8433901515686459</v>
      </c>
      <c r="Y109">
        <f t="shared" ref="Y109" si="1677">$E109+$D$3*X109</f>
        <v>-2.2218155366652717</v>
      </c>
      <c r="Z109">
        <f>Y6</f>
        <v>-2.8538764812985602</v>
      </c>
      <c r="AA109">
        <f t="shared" ref="AA109" si="1678">$E109+$D$3*Z109</f>
        <v>-2.2281073345032203</v>
      </c>
      <c r="AB109">
        <f>AA6</f>
        <v>-2.8601682791365084</v>
      </c>
      <c r="AC109">
        <f t="shared" ref="AC109" si="1679">$E109+$D$3*AB109</f>
        <v>-2.2318824132059891</v>
      </c>
      <c r="AD109">
        <f>AC6</f>
        <v>-2.8639433578392772</v>
      </c>
      <c r="AE109">
        <f t="shared" ref="AE109" si="1680">$E109+$D$3*AD109</f>
        <v>-2.2341474604276499</v>
      </c>
      <c r="AF109">
        <f>AE6</f>
        <v>-2.8662084050609389</v>
      </c>
      <c r="AG109">
        <f t="shared" ref="AG109" si="1681">$E109+$D$3*AF109</f>
        <v>-2.2355064887606471</v>
      </c>
      <c r="AH109">
        <f>AG6</f>
        <v>-2.8675674333939352</v>
      </c>
    </row>
    <row r="110" spans="1:34" x14ac:dyDescent="0.25">
      <c r="A110">
        <v>92</v>
      </c>
      <c r="B110">
        <f t="shared" ref="B110:B118" si="1682">$C$15</f>
        <v>0.2</v>
      </c>
      <c r="C110">
        <f t="shared" ref="C110:C118" si="1683">D7</f>
        <v>0.04</v>
      </c>
      <c r="D110">
        <f t="shared" si="1156"/>
        <v>0.57703386272000967</v>
      </c>
      <c r="E110">
        <f t="shared" si="1157"/>
        <v>-0.54985432663974221</v>
      </c>
      <c r="F110">
        <f t="shared" ref="F110:F118" si="1684">E7</f>
        <v>0</v>
      </c>
      <c r="G110">
        <f t="shared" si="1158"/>
        <v>-0.54985432663974221</v>
      </c>
      <c r="H110">
        <f t="shared" ref="H110:J110" si="1685">G7</f>
        <v>-1.0196233391755041</v>
      </c>
      <c r="I110">
        <f t="shared" si="1160"/>
        <v>-1.1616283301450445</v>
      </c>
      <c r="J110">
        <f t="shared" si="1685"/>
        <v>-1.6721454891064989</v>
      </c>
      <c r="K110">
        <f t="shared" si="1160"/>
        <v>-1.5531416201036414</v>
      </c>
      <c r="L110">
        <f t="shared" ref="L110:N110" si="1686">K7</f>
        <v>-2.054736985387799</v>
      </c>
      <c r="M110">
        <f t="shared" ref="M110" si="1687">$E110+$D$3*L110</f>
        <v>-1.7826965178724217</v>
      </c>
      <c r="N110">
        <f t="shared" si="1686"/>
        <v>-2.2803205952128707</v>
      </c>
      <c r="O110">
        <f t="shared" ref="O110" si="1688">$E110+$D$3*N110</f>
        <v>-1.9180466837674646</v>
      </c>
      <c r="P110">
        <f t="shared" ref="P110" si="1689">O7</f>
        <v>-2.415175658611969</v>
      </c>
      <c r="Q110">
        <f t="shared" ref="Q110" si="1690">$E110+$D$3*P110</f>
        <v>-1.9989597218069235</v>
      </c>
      <c r="R110">
        <f t="shared" ref="R110:T110" si="1691">Q7</f>
        <v>-2.496088696651428</v>
      </c>
      <c r="S110">
        <f t="shared" ref="S110" si="1692">$E110+$D$3*R110</f>
        <v>-2.0475075446305988</v>
      </c>
      <c r="T110">
        <f t="shared" si="1691"/>
        <v>-2.5446365194751035</v>
      </c>
      <c r="U110">
        <f t="shared" ref="U110" si="1693">$E110+$D$3*T110</f>
        <v>-2.076636238324804</v>
      </c>
      <c r="V110">
        <f t="shared" ref="V110" si="1694">U7</f>
        <v>-2.5737652131693087</v>
      </c>
      <c r="W110">
        <f t="shared" ref="W110" si="1695">$E110+$D$3*V110</f>
        <v>-2.0941134545413274</v>
      </c>
      <c r="X110">
        <f t="shared" ref="X110" si="1696">W7</f>
        <v>-2.591242429385832</v>
      </c>
      <c r="Y110">
        <f t="shared" ref="Y110" si="1697">$E110+$D$3*X110</f>
        <v>-2.1045997842712412</v>
      </c>
      <c r="Z110">
        <f t="shared" ref="Z110" si="1698">Y7</f>
        <v>-2.6017287591157459</v>
      </c>
      <c r="AA110">
        <f t="shared" ref="AA110" si="1699">$E110+$D$3*Z110</f>
        <v>-2.1108915821091898</v>
      </c>
      <c r="AB110">
        <f t="shared" ref="AB110:AD110" si="1700">AA7</f>
        <v>-2.6080205569536941</v>
      </c>
      <c r="AC110">
        <f t="shared" ref="AC110" si="1701">$E110+$D$3*AB110</f>
        <v>-2.1146666608119586</v>
      </c>
      <c r="AD110">
        <f t="shared" si="1700"/>
        <v>-2.6117956356564629</v>
      </c>
      <c r="AE110">
        <f t="shared" ref="AE110" si="1702">$E110+$D$3*AD110</f>
        <v>-2.1169317080336199</v>
      </c>
      <c r="AF110">
        <f t="shared" ref="AF110" si="1703">AE7</f>
        <v>-2.6140606828781241</v>
      </c>
      <c r="AG110">
        <f t="shared" ref="AG110" si="1704">$E110+$D$3*AF110</f>
        <v>-2.1182907363666166</v>
      </c>
      <c r="AH110">
        <f t="shared" ref="AH110" si="1705">AG7</f>
        <v>-2.6154197112111213</v>
      </c>
    </row>
    <row r="111" spans="1:34" x14ac:dyDescent="0.25">
      <c r="A111">
        <v>93</v>
      </c>
      <c r="B111">
        <f t="shared" si="1682"/>
        <v>0.2</v>
      </c>
      <c r="C111">
        <f t="shared" si="1683"/>
        <v>0.06</v>
      </c>
      <c r="D111">
        <f t="shared" si="1156"/>
        <v>0.55703386272000976</v>
      </c>
      <c r="E111">
        <f t="shared" si="1157"/>
        <v>-0.58512924607332284</v>
      </c>
      <c r="F111">
        <f t="shared" si="1684"/>
        <v>0</v>
      </c>
      <c r="G111">
        <f t="shared" si="1158"/>
        <v>-0.58512924607332284</v>
      </c>
      <c r="H111">
        <f t="shared" ref="H111:J111" si="1706">G8</f>
        <v>-0.89165385651553775</v>
      </c>
      <c r="I111">
        <f t="shared" si="1160"/>
        <v>-1.1201215599826455</v>
      </c>
      <c r="J111">
        <f t="shared" si="1706"/>
        <v>-1.5293063503177047</v>
      </c>
      <c r="K111">
        <f t="shared" si="1160"/>
        <v>-1.5027130562639455</v>
      </c>
      <c r="L111">
        <f t="shared" ref="L111:N111" si="1707">K8</f>
        <v>-1.9052790333594904</v>
      </c>
      <c r="M111">
        <f t="shared" ref="M111" si="1708">$E111+$D$3*L111</f>
        <v>-1.7282966660890171</v>
      </c>
      <c r="N111">
        <f t="shared" si="1707"/>
        <v>-2.130037472357988</v>
      </c>
      <c r="O111">
        <f t="shared" ref="O111" si="1709">$E111+$D$3*N111</f>
        <v>-1.8631517294881157</v>
      </c>
      <c r="P111">
        <f t="shared" ref="P111" si="1710">O8</f>
        <v>-2.2648925357570864</v>
      </c>
      <c r="Q111">
        <f t="shared" ref="Q111" si="1711">$E111+$D$3*P111</f>
        <v>-1.9440647675275746</v>
      </c>
      <c r="R111">
        <f t="shared" ref="R111:T111" si="1712">Q8</f>
        <v>-2.3458055737965453</v>
      </c>
      <c r="S111">
        <f t="shared" ref="S111" si="1713">$E111+$D$3*R111</f>
        <v>-1.9926125903512499</v>
      </c>
      <c r="T111">
        <f t="shared" si="1712"/>
        <v>-2.3943533966202208</v>
      </c>
      <c r="U111">
        <f t="shared" ref="U111" si="1714">$E111+$D$3*T111</f>
        <v>-2.0217412840454552</v>
      </c>
      <c r="V111">
        <f t="shared" ref="V111" si="1715">U8</f>
        <v>-2.4234820903144261</v>
      </c>
      <c r="W111">
        <f t="shared" ref="W111" si="1716">$E111+$D$3*V111</f>
        <v>-2.0392185002619785</v>
      </c>
      <c r="X111">
        <f t="shared" ref="X111" si="1717">W8</f>
        <v>-2.4409593065309494</v>
      </c>
      <c r="Y111">
        <f t="shared" ref="Y111" si="1718">$E111+$D$3*X111</f>
        <v>-2.0497048299918923</v>
      </c>
      <c r="Z111">
        <f t="shared" ref="Z111" si="1719">Y8</f>
        <v>-2.4514456362608632</v>
      </c>
      <c r="AA111">
        <f t="shared" ref="AA111" si="1720">$E111+$D$3*Z111</f>
        <v>-2.0559966278298409</v>
      </c>
      <c r="AB111">
        <f t="shared" ref="AB111:AD111" si="1721">AA8</f>
        <v>-2.4577374340988114</v>
      </c>
      <c r="AC111">
        <f t="shared" ref="AC111" si="1722">$E111+$D$3*AB111</f>
        <v>-2.0597717065326098</v>
      </c>
      <c r="AD111">
        <f t="shared" si="1721"/>
        <v>-2.4615125128015802</v>
      </c>
      <c r="AE111">
        <f t="shared" ref="AE111" si="1723">$E111+$D$3*AD111</f>
        <v>-2.062036753754271</v>
      </c>
      <c r="AF111">
        <f t="shared" ref="AF111" si="1724">AE8</f>
        <v>-2.4637775600232414</v>
      </c>
      <c r="AG111">
        <f t="shared" ref="AG111" si="1725">$E111+$D$3*AF111</f>
        <v>-2.0633957820872677</v>
      </c>
      <c r="AH111">
        <f t="shared" ref="AH111" si="1726">AG8</f>
        <v>-2.4651365883562386</v>
      </c>
    </row>
    <row r="112" spans="1:34" x14ac:dyDescent="0.25">
      <c r="A112">
        <v>94</v>
      </c>
      <c r="B112">
        <f t="shared" si="1682"/>
        <v>0.2</v>
      </c>
      <c r="C112">
        <f t="shared" si="1683"/>
        <v>0.08</v>
      </c>
      <c r="D112">
        <f t="shared" si="1156"/>
        <v>0.53703386272000975</v>
      </c>
      <c r="E112">
        <f t="shared" si="1157"/>
        <v>-0.62169412739249241</v>
      </c>
      <c r="F112">
        <f t="shared" si="1684"/>
        <v>0</v>
      </c>
      <c r="G112">
        <f t="shared" si="1158"/>
        <v>-0.62169412739249241</v>
      </c>
      <c r="H112">
        <f t="shared" ref="H112:J112" si="1727">G9</f>
        <v>-0.80132369672045844</v>
      </c>
      <c r="I112">
        <f t="shared" si="1160"/>
        <v>-1.1024883454247676</v>
      </c>
      <c r="J112">
        <f t="shared" si="1727"/>
        <v>-1.4256526939385066</v>
      </c>
      <c r="K112">
        <f t="shared" si="1160"/>
        <v>-1.4770857437555964</v>
      </c>
      <c r="L112">
        <f t="shared" ref="L112:N112" si="1728">K9</f>
        <v>-1.8002500922693354</v>
      </c>
      <c r="M112">
        <f t="shared" ref="M112" si="1729">$E112+$D$3*L112</f>
        <v>-1.7018441827540935</v>
      </c>
      <c r="N112">
        <f t="shared" si="1728"/>
        <v>-2.025008531267833</v>
      </c>
      <c r="O112">
        <f t="shared" ref="O112" si="1730">$E112+$D$3*N112</f>
        <v>-1.8366992461531924</v>
      </c>
      <c r="P112">
        <f t="shared" ref="P112" si="1731">O9</f>
        <v>-2.1598635946669313</v>
      </c>
      <c r="Q112">
        <f t="shared" ref="Q112" si="1732">$E112+$D$3*P112</f>
        <v>-1.9176122841926513</v>
      </c>
      <c r="R112">
        <f t="shared" ref="R112:T112" si="1733">Q9</f>
        <v>-2.2407766327063903</v>
      </c>
      <c r="S112">
        <f t="shared" ref="S112" si="1734">$E112+$D$3*R112</f>
        <v>-1.9661601070163264</v>
      </c>
      <c r="T112">
        <f t="shared" si="1733"/>
        <v>-2.2893244555300658</v>
      </c>
      <c r="U112">
        <f t="shared" ref="U112" si="1735">$E112+$D$3*T112</f>
        <v>-1.9952888007105321</v>
      </c>
      <c r="V112">
        <f t="shared" ref="V112" si="1736">U9</f>
        <v>-2.318453149224271</v>
      </c>
      <c r="W112">
        <f t="shared" ref="W112" si="1737">$E112+$D$3*V112</f>
        <v>-2.0127660169270549</v>
      </c>
      <c r="X112">
        <f t="shared" ref="X112" si="1738">W9</f>
        <v>-2.3359303654407944</v>
      </c>
      <c r="Y112">
        <f t="shared" ref="Y112" si="1739">$E112+$D$3*X112</f>
        <v>-2.0232523466569692</v>
      </c>
      <c r="Z112">
        <f t="shared" ref="Z112" si="1740">Y9</f>
        <v>-2.3464166951707082</v>
      </c>
      <c r="AA112">
        <f t="shared" ref="AA112" si="1741">$E112+$D$3*Z112</f>
        <v>-2.0295441444949174</v>
      </c>
      <c r="AB112">
        <f t="shared" ref="AB112:AD112" si="1742">AA9</f>
        <v>-2.3527084930086564</v>
      </c>
      <c r="AC112">
        <f t="shared" ref="AC112" si="1743">$E112+$D$3*AB112</f>
        <v>-2.0333192231976862</v>
      </c>
      <c r="AD112">
        <f t="shared" si="1742"/>
        <v>-2.3564835717114252</v>
      </c>
      <c r="AE112">
        <f t="shared" ref="AE112" si="1744">$E112+$D$3*AD112</f>
        <v>-2.0355842704193474</v>
      </c>
      <c r="AF112">
        <f t="shared" ref="AF112" si="1745">AE9</f>
        <v>-2.3587486189330864</v>
      </c>
      <c r="AG112">
        <f t="shared" ref="AG112" si="1746">$E112+$D$3*AF112</f>
        <v>-2.0369432987523441</v>
      </c>
      <c r="AH112">
        <f t="shared" ref="AH112" si="1747">AG9</f>
        <v>-2.3601076472660836</v>
      </c>
    </row>
    <row r="113" spans="1:34" x14ac:dyDescent="0.25">
      <c r="A113">
        <v>95</v>
      </c>
      <c r="B113">
        <f t="shared" si="1682"/>
        <v>0.2</v>
      </c>
      <c r="C113">
        <f t="shared" si="1683"/>
        <v>0.1</v>
      </c>
      <c r="D113">
        <f t="shared" si="1156"/>
        <v>0.51703386272000973</v>
      </c>
      <c r="E113">
        <f t="shared" si="1157"/>
        <v>-0.65964690812732574</v>
      </c>
      <c r="F113">
        <f t="shared" si="1684"/>
        <v>0</v>
      </c>
      <c r="G113">
        <f t="shared" si="1158"/>
        <v>-0.65964690812732574</v>
      </c>
      <c r="H113">
        <f t="shared" ref="H113:J113" si="1748">G10</f>
        <v>-0.73149882551768641</v>
      </c>
      <c r="I113">
        <f t="shared" si="1160"/>
        <v>-1.0985462034379376</v>
      </c>
      <c r="J113">
        <f t="shared" si="1748"/>
        <v>-1.3454720267408284</v>
      </c>
      <c r="K113">
        <f t="shared" si="1160"/>
        <v>-1.4669301241718227</v>
      </c>
      <c r="L113">
        <f t="shared" ref="L113:N113" si="1749">K10</f>
        <v>-1.7200694250716573</v>
      </c>
      <c r="M113">
        <f t="shared" ref="M113" si="1750">$E113+$D$3*L113</f>
        <v>-1.69168856317032</v>
      </c>
      <c r="N113">
        <f t="shared" si="1749"/>
        <v>-1.9448278640701546</v>
      </c>
      <c r="O113">
        <f t="shared" ref="O113" si="1751">$E113+$D$3*N113</f>
        <v>-1.8265436265694184</v>
      </c>
      <c r="P113">
        <f t="shared" ref="P113" si="1752">O10</f>
        <v>-2.0796829274692534</v>
      </c>
      <c r="Q113">
        <f t="shared" ref="Q113" si="1753">$E113+$D$3*P113</f>
        <v>-1.9074566646088777</v>
      </c>
      <c r="R113">
        <f t="shared" ref="R113:T113" si="1754">Q10</f>
        <v>-2.1605959655087119</v>
      </c>
      <c r="S113">
        <f t="shared" ref="S113" si="1755">$E113+$D$3*R113</f>
        <v>-1.9560044874325528</v>
      </c>
      <c r="T113">
        <f t="shared" si="1754"/>
        <v>-2.2091437883323874</v>
      </c>
      <c r="U113">
        <f t="shared" ref="U113" si="1756">$E113+$D$3*T113</f>
        <v>-1.9851331811267581</v>
      </c>
      <c r="V113">
        <f t="shared" ref="V113" si="1757">U10</f>
        <v>-2.2382724820265931</v>
      </c>
      <c r="W113">
        <f t="shared" ref="W113" si="1758">$E113+$D$3*V113</f>
        <v>-2.0026103973432816</v>
      </c>
      <c r="X113">
        <f t="shared" ref="X113" si="1759">W10</f>
        <v>-2.255749698243116</v>
      </c>
      <c r="Y113">
        <f t="shared" ref="Y113" si="1760">$E113+$D$3*X113</f>
        <v>-2.0130967270731954</v>
      </c>
      <c r="Z113">
        <f t="shared" ref="Z113" si="1761">Y10</f>
        <v>-2.2662360279730303</v>
      </c>
      <c r="AA113">
        <f t="shared" ref="AA113" si="1762">$E113+$D$3*Z113</f>
        <v>-2.0193885249111441</v>
      </c>
      <c r="AB113">
        <f t="shared" ref="AB113:AD113" si="1763">AA10</f>
        <v>-2.272527825810978</v>
      </c>
      <c r="AC113">
        <f t="shared" ref="AC113" si="1764">$E113+$D$3*AB113</f>
        <v>-2.0231636036139125</v>
      </c>
      <c r="AD113">
        <f t="shared" si="1763"/>
        <v>-2.2763029045137468</v>
      </c>
      <c r="AE113">
        <f t="shared" ref="AE113" si="1765">$E113+$D$3*AD113</f>
        <v>-2.0254286508355737</v>
      </c>
      <c r="AF113">
        <f t="shared" ref="AF113" si="1766">AE10</f>
        <v>-2.2785679517354085</v>
      </c>
      <c r="AG113">
        <f t="shared" ref="AG113" si="1767">$E113+$D$3*AF113</f>
        <v>-2.0267876791685708</v>
      </c>
      <c r="AH113">
        <f t="shared" ref="AH113" si="1768">AG10</f>
        <v>-2.2799269800684052</v>
      </c>
    </row>
    <row r="114" spans="1:34" x14ac:dyDescent="0.25">
      <c r="A114">
        <v>96</v>
      </c>
      <c r="B114">
        <f t="shared" si="1682"/>
        <v>0.2</v>
      </c>
      <c r="C114">
        <f t="shared" si="1683"/>
        <v>0.12</v>
      </c>
      <c r="D114">
        <f t="shared" si="1156"/>
        <v>0.49703386272000971</v>
      </c>
      <c r="E114">
        <f t="shared" si="1157"/>
        <v>-0.69909712096104826</v>
      </c>
      <c r="F114">
        <f t="shared" si="1684"/>
        <v>0</v>
      </c>
      <c r="G114">
        <f t="shared" si="1158"/>
        <v>-0.69909712096104826</v>
      </c>
      <c r="H114">
        <f t="shared" ref="H114:J114" si="1769">G11</f>
        <v>-0.67459246082376068</v>
      </c>
      <c r="I114">
        <f t="shared" si="1160"/>
        <v>-1.1038525974553046</v>
      </c>
      <c r="J114">
        <f t="shared" si="1769"/>
        <v>-1.2807163272073794</v>
      </c>
      <c r="K114">
        <f t="shared" si="1160"/>
        <v>-1.4675269172854759</v>
      </c>
      <c r="L114">
        <f t="shared" ref="L114:N114" si="1770">K11</f>
        <v>-1.6527335346593239</v>
      </c>
      <c r="M114">
        <f t="shared" ref="M114" si="1771">$E114+$D$3*L114</f>
        <v>-1.6907372417566426</v>
      </c>
      <c r="N114">
        <f t="shared" si="1770"/>
        <v>-1.8774919736578213</v>
      </c>
      <c r="O114">
        <f t="shared" ref="O114" si="1772">$E114+$D$3*N114</f>
        <v>-1.825592305155741</v>
      </c>
      <c r="P114">
        <f t="shared" ref="P114" si="1773">O11</f>
        <v>-2.0123470370569194</v>
      </c>
      <c r="Q114">
        <f t="shared" ref="Q114" si="1774">$E114+$D$3*P114</f>
        <v>-1.9065053431951999</v>
      </c>
      <c r="R114">
        <f t="shared" ref="R114:T114" si="1775">Q11</f>
        <v>-2.0932600750963788</v>
      </c>
      <c r="S114">
        <f t="shared" ref="S114" si="1776">$E114+$D$3*R114</f>
        <v>-1.9550531660188755</v>
      </c>
      <c r="T114">
        <f t="shared" si="1775"/>
        <v>-2.1418078979200539</v>
      </c>
      <c r="U114">
        <f t="shared" ref="U114" si="1777">$E114+$D$3*T114</f>
        <v>-1.9841818597130807</v>
      </c>
      <c r="V114">
        <f t="shared" ref="V114" si="1778">U11</f>
        <v>-2.1709365916142591</v>
      </c>
      <c r="W114">
        <f t="shared" ref="W114" si="1779">$E114+$D$3*V114</f>
        <v>-2.0016590759296036</v>
      </c>
      <c r="X114">
        <f t="shared" ref="X114" si="1780">W11</f>
        <v>-2.1884138078307829</v>
      </c>
      <c r="Y114">
        <f t="shared" ref="Y114" si="1781">$E114+$D$3*X114</f>
        <v>-2.0121454056595178</v>
      </c>
      <c r="Z114">
        <f t="shared" ref="Z114" si="1782">Y11</f>
        <v>-2.1989001375606962</v>
      </c>
      <c r="AA114">
        <f t="shared" ref="AA114" si="1783">$E114+$D$3*Z114</f>
        <v>-2.018437203497466</v>
      </c>
      <c r="AB114">
        <f t="shared" ref="AB114:AD114" si="1784">AA11</f>
        <v>-2.2051919353986449</v>
      </c>
      <c r="AC114">
        <f t="shared" ref="AC114" si="1785">$E114+$D$3*AB114</f>
        <v>-2.0222122822002353</v>
      </c>
      <c r="AD114">
        <f t="shared" si="1784"/>
        <v>-2.2089670141014137</v>
      </c>
      <c r="AE114">
        <f t="shared" ref="AE114" si="1786">$E114+$D$3*AD114</f>
        <v>-2.0244773294218965</v>
      </c>
      <c r="AF114">
        <f t="shared" ref="AF114" si="1787">AE11</f>
        <v>-2.2112320613230754</v>
      </c>
      <c r="AG114">
        <f t="shared" ref="AG114" si="1788">$E114+$D$3*AF114</f>
        <v>-2.0258363577548932</v>
      </c>
      <c r="AH114">
        <f t="shared" ref="AH114" si="1789">AG11</f>
        <v>-2.2125910896560721</v>
      </c>
    </row>
    <row r="115" spans="1:34" x14ac:dyDescent="0.25">
      <c r="A115">
        <v>97</v>
      </c>
      <c r="B115">
        <f t="shared" si="1682"/>
        <v>0.2</v>
      </c>
      <c r="C115">
        <f t="shared" si="1683"/>
        <v>0.14000000000000001</v>
      </c>
      <c r="D115">
        <f t="shared" si="1156"/>
        <v>0.47703386272000969</v>
      </c>
      <c r="E115">
        <f t="shared" si="1157"/>
        <v>-0.74016779958626555</v>
      </c>
      <c r="F115">
        <f t="shared" si="1684"/>
        <v>0</v>
      </c>
      <c r="G115">
        <f t="shared" si="1158"/>
        <v>-0.74016779958626555</v>
      </c>
      <c r="H115">
        <f t="shared" ref="H115:J115" si="1790">G12</f>
        <v>-0.6265743736743844</v>
      </c>
      <c r="I115">
        <f t="shared" si="1160"/>
        <v>-1.1161124237908961</v>
      </c>
      <c r="J115">
        <f t="shared" si="1790"/>
        <v>-1.2264577774162566</v>
      </c>
      <c r="K115">
        <f t="shared" si="1160"/>
        <v>-1.4760424660360196</v>
      </c>
      <c r="L115">
        <f t="shared" ref="L115:N115" si="1791">K12</f>
        <v>-1.5960179568035284</v>
      </c>
      <c r="M115">
        <f t="shared" ref="M115" si="1792">$E115+$D$3*L115</f>
        <v>-1.6977785736683826</v>
      </c>
      <c r="N115">
        <f t="shared" si="1791"/>
        <v>-1.8207763958020258</v>
      </c>
      <c r="O115">
        <f t="shared" ref="O115" si="1793">$E115+$D$3*N115</f>
        <v>-1.8326336370674809</v>
      </c>
      <c r="P115">
        <f t="shared" ref="P115" si="1794">O12</f>
        <v>-1.9556314592011241</v>
      </c>
      <c r="Q115">
        <f t="shared" ref="Q115" si="1795">$E115+$D$3*P115</f>
        <v>-1.9135466751069399</v>
      </c>
      <c r="R115">
        <f t="shared" ref="R115:T115" si="1796">Q12</f>
        <v>-2.0365444972405835</v>
      </c>
      <c r="S115">
        <f t="shared" ref="S115" si="1797">$E115+$D$3*R115</f>
        <v>-1.9620944979306154</v>
      </c>
      <c r="T115">
        <f t="shared" si="1796"/>
        <v>-2.0850923200642586</v>
      </c>
      <c r="U115">
        <f t="shared" ref="U115" si="1798">$E115+$D$3*T115</f>
        <v>-1.9912231916248206</v>
      </c>
      <c r="V115">
        <f t="shared" ref="V115" si="1799">U12</f>
        <v>-2.1142210137584638</v>
      </c>
      <c r="W115">
        <f t="shared" ref="W115" si="1800">$E115+$D$3*V115</f>
        <v>-2.008700407841344</v>
      </c>
      <c r="X115">
        <f t="shared" ref="X115" si="1801">W12</f>
        <v>-2.1316982299749871</v>
      </c>
      <c r="Y115">
        <f t="shared" ref="Y115" si="1802">$E115+$D$3*X115</f>
        <v>-2.0191867375712578</v>
      </c>
      <c r="Z115">
        <f t="shared" ref="Z115" si="1803">Y12</f>
        <v>-2.142184559704901</v>
      </c>
      <c r="AA115">
        <f t="shared" ref="AA115" si="1804">$E115+$D$3*Z115</f>
        <v>-2.025478535409206</v>
      </c>
      <c r="AB115">
        <f t="shared" ref="AB115:AD115" si="1805">AA12</f>
        <v>-2.1484763575428496</v>
      </c>
      <c r="AC115">
        <f t="shared" ref="AC115" si="1806">$E115+$D$3*AB115</f>
        <v>-2.0292536141119752</v>
      </c>
      <c r="AD115">
        <f t="shared" si="1805"/>
        <v>-2.152251436245618</v>
      </c>
      <c r="AE115">
        <f t="shared" ref="AE115" si="1807">$E115+$D$3*AD115</f>
        <v>-2.0315186613336365</v>
      </c>
      <c r="AF115">
        <f t="shared" ref="AF115" si="1808">AE12</f>
        <v>-2.1545164834672796</v>
      </c>
      <c r="AG115">
        <f t="shared" ref="AG115" si="1809">$E115+$D$3*AF115</f>
        <v>-2.0328776896666332</v>
      </c>
      <c r="AH115">
        <f t="shared" ref="AH115" si="1810">AG12</f>
        <v>-2.1558755118002764</v>
      </c>
    </row>
    <row r="116" spans="1:34" x14ac:dyDescent="0.25">
      <c r="A116">
        <v>98</v>
      </c>
      <c r="B116">
        <f t="shared" si="1682"/>
        <v>0.2</v>
      </c>
      <c r="C116">
        <f t="shared" si="1683"/>
        <v>0.16</v>
      </c>
      <c r="D116">
        <f t="shared" si="1156"/>
        <v>0.45703386272000968</v>
      </c>
      <c r="E116">
        <f t="shared" si="1157"/>
        <v>-0.78299779297744176</v>
      </c>
      <c r="F116">
        <f t="shared" si="1684"/>
        <v>0</v>
      </c>
      <c r="G116">
        <f t="shared" si="1158"/>
        <v>-0.78299779297744176</v>
      </c>
      <c r="H116">
        <f t="shared" ref="H116:J116" si="1811">G13</f>
        <v>-0.58504649035866596</v>
      </c>
      <c r="I116">
        <f t="shared" si="1160"/>
        <v>-1.1340256871926413</v>
      </c>
      <c r="J116">
        <f t="shared" si="1811"/>
        <v>-1.1789704614728567</v>
      </c>
      <c r="K116">
        <f t="shared" si="1160"/>
        <v>-1.4903800698611558</v>
      </c>
      <c r="L116">
        <f t="shared" ref="L116:N116" si="1812">K13</f>
        <v>-1.5473543822067419</v>
      </c>
      <c r="M116">
        <f t="shared" ref="M116" si="1813">$E116+$D$3*L116</f>
        <v>-1.711410422301487</v>
      </c>
      <c r="N116">
        <f t="shared" si="1812"/>
        <v>-1.7721128212052393</v>
      </c>
      <c r="O116">
        <f t="shared" ref="O116" si="1814">$E116+$D$3*N116</f>
        <v>-1.8462654857005854</v>
      </c>
      <c r="P116">
        <f t="shared" ref="P116" si="1815">O13</f>
        <v>-1.9069678846043376</v>
      </c>
      <c r="Q116">
        <f t="shared" ref="Q116" si="1816">$E116+$D$3*P116</f>
        <v>-1.9271785237400443</v>
      </c>
      <c r="R116">
        <f t="shared" ref="R116:T116" si="1817">Q13</f>
        <v>-1.987880922643797</v>
      </c>
      <c r="S116">
        <f t="shared" ref="S116" si="1818">$E116+$D$3*R116</f>
        <v>-1.9757263465637198</v>
      </c>
      <c r="T116">
        <f t="shared" si="1817"/>
        <v>-2.0364287454674721</v>
      </c>
      <c r="U116">
        <f t="shared" ref="U116" si="1819">$E116+$D$3*T116</f>
        <v>-2.004855040257925</v>
      </c>
      <c r="V116">
        <f t="shared" ref="V116" si="1820">U13</f>
        <v>-2.0655574391616773</v>
      </c>
      <c r="W116">
        <f t="shared" ref="W116" si="1821">$E116+$D$3*V116</f>
        <v>-2.0223322564744479</v>
      </c>
      <c r="X116">
        <f t="shared" ref="X116" si="1822">W13</f>
        <v>-2.0830346553782007</v>
      </c>
      <c r="Y116">
        <f t="shared" ref="Y116" si="1823">$E116+$D$3*X116</f>
        <v>-2.0328185862043622</v>
      </c>
      <c r="Z116">
        <f t="shared" ref="Z116" si="1824">Y13</f>
        <v>-2.0935209851081145</v>
      </c>
      <c r="AA116">
        <f t="shared" ref="AA116" si="1825">$E116+$D$3*Z116</f>
        <v>-2.0391103840423104</v>
      </c>
      <c r="AB116">
        <f t="shared" ref="AB116:AD116" si="1826">AA13</f>
        <v>-2.0998127829460631</v>
      </c>
      <c r="AC116">
        <f t="shared" ref="AC116" si="1827">$E116+$D$3*AB116</f>
        <v>-2.0428854627450796</v>
      </c>
      <c r="AD116">
        <f t="shared" si="1826"/>
        <v>-2.1035878616488315</v>
      </c>
      <c r="AE116">
        <f t="shared" ref="AE116" si="1828">$E116+$D$3*AD116</f>
        <v>-2.0451505099667404</v>
      </c>
      <c r="AF116">
        <f t="shared" ref="AF116" si="1829">AE13</f>
        <v>-2.1058529088704931</v>
      </c>
      <c r="AG116">
        <f t="shared" ref="AG116" si="1830">$E116+$D$3*AF116</f>
        <v>-2.0465095382997376</v>
      </c>
      <c r="AH116">
        <f t="shared" ref="AH116" si="1831">AG13</f>
        <v>-2.1072119372034899</v>
      </c>
    </row>
    <row r="117" spans="1:34" x14ac:dyDescent="0.25">
      <c r="A117">
        <v>99</v>
      </c>
      <c r="B117">
        <f t="shared" si="1682"/>
        <v>0.2</v>
      </c>
      <c r="C117">
        <f t="shared" si="1683"/>
        <v>0.18</v>
      </c>
      <c r="D117">
        <f t="shared" si="1156"/>
        <v>0.43703386272000971</v>
      </c>
      <c r="E117">
        <f t="shared" si="1157"/>
        <v>-0.82774459782686205</v>
      </c>
      <c r="F117">
        <f t="shared" si="1684"/>
        <v>0</v>
      </c>
      <c r="G117">
        <f t="shared" si="1158"/>
        <v>-0.82774459782686205</v>
      </c>
      <c r="H117">
        <f t="shared" ref="H117:J117" si="1832">G14</f>
        <v>-0.5484659307481079</v>
      </c>
      <c r="I117">
        <f t="shared" si="1160"/>
        <v>-1.1568241562757269</v>
      </c>
      <c r="J117">
        <f t="shared" si="1832"/>
        <v>-1.1363847313485864</v>
      </c>
      <c r="K117">
        <f t="shared" si="1160"/>
        <v>-1.5095754366360139</v>
      </c>
      <c r="L117">
        <f t="shared" ref="L117:N117" si="1833">K14</f>
        <v>-1.5047686520824715</v>
      </c>
      <c r="M117">
        <f t="shared" ref="M117" si="1834">$E117+$D$3*L117</f>
        <v>-1.7306057890763449</v>
      </c>
      <c r="N117">
        <f t="shared" si="1833"/>
        <v>-1.7295270910809688</v>
      </c>
      <c r="O117">
        <f t="shared" ref="O117" si="1835">$E117+$D$3*N117</f>
        <v>-1.8654608524754432</v>
      </c>
      <c r="P117">
        <f t="shared" ref="P117" si="1836">O14</f>
        <v>-1.8643821544800672</v>
      </c>
      <c r="Q117">
        <f t="shared" ref="Q117" si="1837">$E117+$D$3*P117</f>
        <v>-1.9463738905149024</v>
      </c>
      <c r="R117">
        <f t="shared" ref="R117:T117" si="1838">Q14</f>
        <v>-1.9452951925195265</v>
      </c>
      <c r="S117">
        <f t="shared" ref="S117" si="1839">$E117+$D$3*R117</f>
        <v>-1.9949217133385779</v>
      </c>
      <c r="T117">
        <f t="shared" si="1838"/>
        <v>-1.9938430153432016</v>
      </c>
      <c r="U117">
        <f t="shared" ref="U117" si="1840">$E117+$D$3*T117</f>
        <v>-2.0240504070327829</v>
      </c>
      <c r="V117">
        <f t="shared" ref="V117" si="1841">U14</f>
        <v>-2.0229717090374066</v>
      </c>
      <c r="W117">
        <f t="shared" ref="W117" si="1842">$E117+$D$3*V117</f>
        <v>-2.0415276232493058</v>
      </c>
      <c r="X117">
        <f t="shared" ref="X117" si="1843">W14</f>
        <v>-2.0404489252539304</v>
      </c>
      <c r="Y117">
        <f t="shared" ref="Y117" si="1844">$E117+$D$3*X117</f>
        <v>-2.0520139529792205</v>
      </c>
      <c r="Z117">
        <f t="shared" ref="Z117" si="1845">Y14</f>
        <v>-2.0509352549838438</v>
      </c>
      <c r="AA117">
        <f t="shared" ref="AA117" si="1846">$E117+$D$3*Z117</f>
        <v>-2.0583057508171683</v>
      </c>
      <c r="AB117">
        <f t="shared" ref="AB117:AD117" si="1847">AA14</f>
        <v>-2.0572270528217924</v>
      </c>
      <c r="AC117">
        <f t="shared" ref="AC117" si="1848">$E117+$D$3*AB117</f>
        <v>-2.0620808295199375</v>
      </c>
      <c r="AD117">
        <f t="shared" si="1847"/>
        <v>-2.0610021315245612</v>
      </c>
      <c r="AE117">
        <f t="shared" ref="AE117" si="1849">$E117+$D$3*AD117</f>
        <v>-2.0643458767415988</v>
      </c>
      <c r="AF117">
        <f t="shared" ref="AF117" si="1850">AE14</f>
        <v>-2.0632671787462229</v>
      </c>
      <c r="AG117">
        <f t="shared" ref="AG117" si="1851">$E117+$D$3*AF117</f>
        <v>-2.0657049050745959</v>
      </c>
      <c r="AH117">
        <f t="shared" ref="AH117" si="1852">AG14</f>
        <v>-2.0646262070792196</v>
      </c>
    </row>
    <row r="118" spans="1:34" x14ac:dyDescent="0.25">
      <c r="A118">
        <v>100</v>
      </c>
      <c r="B118">
        <f t="shared" si="1682"/>
        <v>0.2</v>
      </c>
      <c r="C118">
        <f t="shared" si="1683"/>
        <v>0.2</v>
      </c>
      <c r="D118">
        <f t="shared" si="1156"/>
        <v>0.4170338627200097</v>
      </c>
      <c r="E118">
        <f t="shared" si="1157"/>
        <v>-0.8745878549167565</v>
      </c>
      <c r="F118">
        <f t="shared" si="1684"/>
        <v>0</v>
      </c>
      <c r="G118">
        <f t="shared" si="1158"/>
        <v>-0.8745878549167565</v>
      </c>
      <c r="H118">
        <f t="shared" ref="H118:J118" si="1853">G15</f>
        <v>-0.51578144572408391</v>
      </c>
      <c r="I118">
        <f t="shared" si="1160"/>
        <v>-1.1840567223512068</v>
      </c>
      <c r="J118">
        <f t="shared" si="1853"/>
        <v>-1.0985462034379376</v>
      </c>
      <c r="K118">
        <f t="shared" si="1160"/>
        <v>-1.5337155769795192</v>
      </c>
      <c r="L118">
        <f t="shared" ref="L118:N118" si="1854">K15</f>
        <v>-1.4669301241718227</v>
      </c>
      <c r="M118">
        <f t="shared" ref="M118" si="1855">$E118+$D$3*L118</f>
        <v>-1.7547459294198502</v>
      </c>
      <c r="N118">
        <f t="shared" si="1854"/>
        <v>-1.6907372417566426</v>
      </c>
      <c r="O118">
        <f t="shared" ref="O118" si="1856">$E118+$D$3*N118</f>
        <v>-1.889030199970742</v>
      </c>
      <c r="P118">
        <f t="shared" ref="P118" si="1857">O15</f>
        <v>-1.825592305155741</v>
      </c>
      <c r="Q118">
        <f t="shared" ref="Q118" si="1858">$E118+$D$3*P118</f>
        <v>-1.9699432380102011</v>
      </c>
      <c r="R118">
        <f t="shared" ref="R118:T118" si="1859">Q15</f>
        <v>-1.9065053431951999</v>
      </c>
      <c r="S118">
        <f t="shared" ref="S118" si="1860">$E118+$D$3*R118</f>
        <v>-2.0184910608338766</v>
      </c>
      <c r="T118">
        <f t="shared" si="1859"/>
        <v>-1.9550531660188755</v>
      </c>
      <c r="U118">
        <f t="shared" ref="U118" si="1861">$E118+$D$3*T118</f>
        <v>-2.0476197545280819</v>
      </c>
      <c r="V118">
        <f t="shared" ref="V118" si="1862">U15</f>
        <v>-1.9841818597130807</v>
      </c>
      <c r="W118">
        <f t="shared" ref="W118" si="1863">$E118+$D$3*V118</f>
        <v>-2.0650969707446052</v>
      </c>
      <c r="X118">
        <f t="shared" ref="X118" si="1864">W15</f>
        <v>-2.0016590759296036</v>
      </c>
      <c r="Y118">
        <f t="shared" ref="Y118" si="1865">$E118+$D$3*X118</f>
        <v>-2.0755833004745186</v>
      </c>
      <c r="Z118">
        <f t="shared" ref="Z118" si="1866">Y15</f>
        <v>-2.0121454056595178</v>
      </c>
      <c r="AA118">
        <f t="shared" ref="AA118" si="1867">$E118+$D$3*Z118</f>
        <v>-2.0818750983124672</v>
      </c>
      <c r="AB118">
        <f t="shared" ref="AB118:AD118" si="1868">AA15</f>
        <v>-2.018437203497466</v>
      </c>
      <c r="AC118">
        <f t="shared" ref="AC118" si="1869">$E118+$D$3*AB118</f>
        <v>-2.085650177015236</v>
      </c>
      <c r="AD118">
        <f t="shared" si="1868"/>
        <v>-2.0222122822002353</v>
      </c>
      <c r="AE118">
        <f t="shared" ref="AE118" si="1870">$E118+$D$3*AD118</f>
        <v>-2.0879152242368977</v>
      </c>
      <c r="AF118">
        <f t="shared" ref="AF118" si="1871">AE15</f>
        <v>-2.0244773294218965</v>
      </c>
      <c r="AG118">
        <f t="shared" ref="AG118" si="1872">$E118+$D$3*AF118</f>
        <v>-2.0892742525698944</v>
      </c>
      <c r="AH118">
        <f t="shared" ref="AH118" si="1873">AG15</f>
        <v>-2.0258363577548932</v>
      </c>
    </row>
  </sheetData>
  <phoneticPr fontId="1" type="noConversion"/>
  <pageMargins left="0.7" right="0.7" top="0.75" bottom="0.75" header="0.3" footer="0.3"/>
  <ignoredErrors>
    <ignoredError sqref="G24:AH118 G22:AH23 G19:AH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DAAD1-391C-8946-BFA4-4CA326E6C3DF}">
  <dimension ref="A3:P30"/>
  <sheetViews>
    <sheetView zoomScale="80" zoomScaleNormal="80" workbookViewId="0"/>
  </sheetViews>
  <sheetFormatPr baseColWidth="10" defaultRowHeight="15.75" x14ac:dyDescent="0.25"/>
  <sheetData>
    <row r="3" spans="1:16" x14ac:dyDescent="0.25">
      <c r="A3" t="s">
        <v>0</v>
      </c>
      <c r="B3" t="s">
        <v>39</v>
      </c>
      <c r="C3" t="s">
        <v>11</v>
      </c>
      <c r="D3" t="s">
        <v>13</v>
      </c>
      <c r="E3" t="s">
        <v>16</v>
      </c>
      <c r="F3" t="s">
        <v>17</v>
      </c>
      <c r="G3" t="s">
        <v>18</v>
      </c>
      <c r="H3" t="s">
        <v>19</v>
      </c>
      <c r="I3" t="s">
        <v>24</v>
      </c>
      <c r="J3" t="s">
        <v>26</v>
      </c>
      <c r="K3" t="s">
        <v>28</v>
      </c>
      <c r="L3" t="s">
        <v>30</v>
      </c>
      <c r="M3" t="s">
        <v>32</v>
      </c>
      <c r="N3" t="s">
        <v>34</v>
      </c>
      <c r="O3" t="s">
        <v>36</v>
      </c>
      <c r="P3" t="s">
        <v>38</v>
      </c>
    </row>
    <row r="4" spans="1:16" x14ac:dyDescent="0.25">
      <c r="A4">
        <v>0.02</v>
      </c>
      <c r="B4">
        <v>0</v>
      </c>
      <c r="C4">
        <v>-1.2404656598035961</v>
      </c>
      <c r="D4">
        <v>-1.9238908431064008</v>
      </c>
      <c r="E4">
        <v>-2.3068847075706134</v>
      </c>
      <c r="F4">
        <v>-2.5324683173956846</v>
      </c>
      <c r="G4">
        <v>-2.6673233807947834</v>
      </c>
      <c r="H4">
        <v>-2.7482364188342423</v>
      </c>
      <c r="I4">
        <v>-2.7967842416579174</v>
      </c>
      <c r="J4">
        <v>-2.8259129353521231</v>
      </c>
      <c r="K4">
        <v>-2.8433901515686459</v>
      </c>
      <c r="L4">
        <v>-2.8538764812985602</v>
      </c>
      <c r="M4">
        <v>-2.8601682791365084</v>
      </c>
      <c r="N4">
        <v>-2.8639433578392772</v>
      </c>
      <c r="O4">
        <v>-2.8662084050609389</v>
      </c>
      <c r="P4">
        <v>-2.8675674333939352</v>
      </c>
    </row>
    <row r="5" spans="1:16" x14ac:dyDescent="0.25">
      <c r="A5">
        <v>0.04</v>
      </c>
      <c r="B5">
        <v>0</v>
      </c>
      <c r="C5">
        <v>-1.0196233391755041</v>
      </c>
      <c r="D5">
        <v>-1.6721454891064989</v>
      </c>
      <c r="E5">
        <v>-2.054736985387799</v>
      </c>
      <c r="F5">
        <v>-2.2803205952128707</v>
      </c>
      <c r="G5">
        <v>-2.415175658611969</v>
      </c>
      <c r="H5">
        <v>-2.496088696651428</v>
      </c>
      <c r="I5">
        <v>-2.5446365194751035</v>
      </c>
      <c r="J5">
        <v>-2.5737652131693087</v>
      </c>
      <c r="K5">
        <v>-2.591242429385832</v>
      </c>
      <c r="L5">
        <v>-2.6017287591157459</v>
      </c>
      <c r="M5">
        <v>-2.6080205569536941</v>
      </c>
      <c r="N5">
        <v>-2.6117956356564629</v>
      </c>
      <c r="O5">
        <v>-2.6140606828781241</v>
      </c>
      <c r="P5">
        <v>-2.6154197112111213</v>
      </c>
    </row>
    <row r="6" spans="1:16" x14ac:dyDescent="0.25">
      <c r="A6">
        <v>0.06</v>
      </c>
      <c r="B6">
        <v>0</v>
      </c>
      <c r="C6">
        <v>-0.89165385651553775</v>
      </c>
      <c r="D6">
        <v>-1.5293063503177047</v>
      </c>
      <c r="E6">
        <v>-1.9052790333594904</v>
      </c>
      <c r="F6">
        <v>-2.130037472357988</v>
      </c>
      <c r="G6">
        <v>-2.2648925357570864</v>
      </c>
      <c r="H6">
        <v>-2.3458055737965453</v>
      </c>
      <c r="I6">
        <v>-2.3943533966202208</v>
      </c>
      <c r="J6">
        <v>-2.4234820903144261</v>
      </c>
      <c r="K6">
        <v>-2.4409593065309494</v>
      </c>
      <c r="L6">
        <v>-2.4514456362608632</v>
      </c>
      <c r="M6">
        <v>-2.4577374340988114</v>
      </c>
      <c r="N6">
        <v>-2.4615125128015802</v>
      </c>
      <c r="O6">
        <v>-2.4637775600232414</v>
      </c>
      <c r="P6">
        <v>-2.4651365883562386</v>
      </c>
    </row>
    <row r="7" spans="1:16" x14ac:dyDescent="0.25">
      <c r="A7">
        <v>0.08</v>
      </c>
      <c r="B7">
        <v>0</v>
      </c>
      <c r="C7">
        <v>-0.80132369672045844</v>
      </c>
      <c r="D7">
        <v>-1.4256526939385066</v>
      </c>
      <c r="E7">
        <v>-1.8002500922693354</v>
      </c>
      <c r="F7">
        <v>-2.025008531267833</v>
      </c>
      <c r="G7">
        <v>-2.1598635946669313</v>
      </c>
      <c r="H7">
        <v>-2.2407766327063903</v>
      </c>
      <c r="I7">
        <v>-2.2893244555300658</v>
      </c>
      <c r="J7">
        <v>-2.318453149224271</v>
      </c>
      <c r="K7">
        <v>-2.3359303654407944</v>
      </c>
      <c r="L7">
        <v>-2.3464166951707082</v>
      </c>
      <c r="M7">
        <v>-2.3527084930086564</v>
      </c>
      <c r="N7">
        <v>-2.3564835717114252</v>
      </c>
      <c r="O7">
        <v>-2.3587486189330864</v>
      </c>
      <c r="P7">
        <v>-2.3601076472660836</v>
      </c>
    </row>
    <row r="8" spans="1:16" x14ac:dyDescent="0.25">
      <c r="A8">
        <v>0.1</v>
      </c>
      <c r="B8">
        <v>0</v>
      </c>
      <c r="C8">
        <v>-0.73149882551768641</v>
      </c>
      <c r="D8">
        <v>-1.3454720267408284</v>
      </c>
      <c r="E8">
        <v>-1.7200694250716573</v>
      </c>
      <c r="F8">
        <v>-1.9448278640701546</v>
      </c>
      <c r="G8">
        <v>-2.0796829274692534</v>
      </c>
      <c r="H8">
        <v>-2.1605959655087119</v>
      </c>
      <c r="I8">
        <v>-2.2091437883323874</v>
      </c>
      <c r="J8">
        <v>-2.2382724820265931</v>
      </c>
      <c r="K8">
        <v>-2.255749698243116</v>
      </c>
      <c r="L8">
        <v>-2.2662360279730303</v>
      </c>
      <c r="M8">
        <v>-2.272527825810978</v>
      </c>
      <c r="N8">
        <v>-2.2763029045137468</v>
      </c>
      <c r="O8">
        <v>-2.2785679517354085</v>
      </c>
      <c r="P8">
        <v>-2.2799269800684052</v>
      </c>
    </row>
    <row r="9" spans="1:16" x14ac:dyDescent="0.25">
      <c r="A9">
        <v>0.12</v>
      </c>
      <c r="B9">
        <v>0</v>
      </c>
      <c r="C9">
        <v>-0.67459246082376068</v>
      </c>
      <c r="D9">
        <v>-1.2807163272073794</v>
      </c>
      <c r="E9">
        <v>-1.6527335346593239</v>
      </c>
      <c r="F9">
        <v>-1.8774919736578213</v>
      </c>
      <c r="G9">
        <v>-2.0123470370569194</v>
      </c>
      <c r="H9">
        <v>-2.0932600750963788</v>
      </c>
      <c r="I9">
        <v>-2.1418078979200539</v>
      </c>
      <c r="J9">
        <v>-2.1709365916142591</v>
      </c>
      <c r="K9">
        <v>-2.1884138078307829</v>
      </c>
      <c r="L9">
        <v>-2.1989001375606962</v>
      </c>
      <c r="M9">
        <v>-2.2051919353986449</v>
      </c>
      <c r="N9">
        <v>-2.2089670141014137</v>
      </c>
      <c r="O9">
        <v>-2.2112320613230754</v>
      </c>
      <c r="P9">
        <v>-2.2125910896560721</v>
      </c>
    </row>
    <row r="10" spans="1:16" x14ac:dyDescent="0.25">
      <c r="A10">
        <v>0.14000000000000001</v>
      </c>
      <c r="B10">
        <v>0</v>
      </c>
      <c r="C10">
        <v>-0.6265743736743844</v>
      </c>
      <c r="D10">
        <v>-1.2264577774162566</v>
      </c>
      <c r="E10">
        <v>-1.5960179568035284</v>
      </c>
      <c r="F10">
        <v>-1.8207763958020258</v>
      </c>
      <c r="G10">
        <v>-1.9556314592011241</v>
      </c>
      <c r="H10">
        <v>-2.0365444972405835</v>
      </c>
      <c r="I10">
        <v>-2.0850923200642586</v>
      </c>
      <c r="J10">
        <v>-2.1142210137584638</v>
      </c>
      <c r="K10">
        <v>-2.1316982299749871</v>
      </c>
      <c r="L10">
        <v>-2.142184559704901</v>
      </c>
      <c r="M10">
        <v>-2.1484763575428496</v>
      </c>
      <c r="N10">
        <v>-2.152251436245618</v>
      </c>
      <c r="O10">
        <v>-2.1545164834672796</v>
      </c>
      <c r="P10">
        <v>-2.1558755118002764</v>
      </c>
    </row>
    <row r="11" spans="1:16" x14ac:dyDescent="0.25">
      <c r="A11">
        <v>0.16</v>
      </c>
      <c r="B11">
        <v>0</v>
      </c>
      <c r="C11">
        <v>-0.58504649035866596</v>
      </c>
      <c r="D11">
        <v>-1.1789704614728567</v>
      </c>
      <c r="E11">
        <v>-1.5473543822067419</v>
      </c>
      <c r="F11">
        <v>-1.7721128212052393</v>
      </c>
      <c r="G11">
        <v>-1.9069678846043376</v>
      </c>
      <c r="H11">
        <v>-1.987880922643797</v>
      </c>
      <c r="I11">
        <v>-2.0364287454674721</v>
      </c>
      <c r="J11">
        <v>-2.0655574391616773</v>
      </c>
      <c r="K11">
        <v>-2.0830346553782007</v>
      </c>
      <c r="L11">
        <v>-2.0935209851081145</v>
      </c>
      <c r="M11">
        <v>-2.0998127829460631</v>
      </c>
      <c r="N11">
        <v>-2.1035878616488315</v>
      </c>
      <c r="O11">
        <v>-2.1058529088704931</v>
      </c>
      <c r="P11">
        <v>-2.1072119372034899</v>
      </c>
    </row>
    <row r="12" spans="1:16" x14ac:dyDescent="0.25">
      <c r="A12">
        <v>0.18</v>
      </c>
      <c r="B12">
        <v>0</v>
      </c>
      <c r="C12">
        <v>-0.5484659307481079</v>
      </c>
      <c r="D12">
        <v>-1.1363847313485864</v>
      </c>
      <c r="E12">
        <v>-1.5047686520824715</v>
      </c>
      <c r="F12">
        <v>-1.7295270910809688</v>
      </c>
      <c r="G12">
        <v>-1.8643821544800672</v>
      </c>
      <c r="H12">
        <v>-1.9452951925195265</v>
      </c>
      <c r="I12">
        <v>-1.9938430153432016</v>
      </c>
      <c r="J12">
        <v>-2.0229717090374066</v>
      </c>
      <c r="K12">
        <v>-2.0404489252539304</v>
      </c>
      <c r="L12">
        <v>-2.0509352549838438</v>
      </c>
      <c r="M12">
        <v>-2.0572270528217924</v>
      </c>
      <c r="N12">
        <v>-2.0610021315245612</v>
      </c>
      <c r="O12">
        <v>-2.0632671787462229</v>
      </c>
      <c r="P12">
        <v>-2.0646262070792196</v>
      </c>
    </row>
    <row r="13" spans="1:16" x14ac:dyDescent="0.25">
      <c r="A13">
        <v>0.2</v>
      </c>
      <c r="B13">
        <v>0</v>
      </c>
      <c r="C13">
        <v>-0.51578144572408391</v>
      </c>
      <c r="D13">
        <v>-1.0985462034379376</v>
      </c>
      <c r="E13">
        <v>-1.4669301241718227</v>
      </c>
      <c r="F13">
        <v>-1.6907372417566426</v>
      </c>
      <c r="G13">
        <v>-1.825592305155741</v>
      </c>
      <c r="H13">
        <v>-1.9065053431951999</v>
      </c>
      <c r="I13">
        <v>-1.9550531660188755</v>
      </c>
      <c r="J13">
        <v>-1.9841818597130807</v>
      </c>
      <c r="K13">
        <v>-2.0016590759296036</v>
      </c>
      <c r="L13">
        <v>-2.0121454056595178</v>
      </c>
      <c r="M13">
        <v>-2.018437203497466</v>
      </c>
      <c r="N13">
        <v>-2.0222122822002353</v>
      </c>
      <c r="O13">
        <v>-2.0244773294218965</v>
      </c>
      <c r="P13">
        <v>-2.0258363577548932</v>
      </c>
    </row>
    <row r="20" spans="2:5" x14ac:dyDescent="0.25">
      <c r="B20">
        <v>0.02</v>
      </c>
      <c r="C20">
        <v>-2.8675674333939352</v>
      </c>
    </row>
    <row r="21" spans="2:5" x14ac:dyDescent="0.25">
      <c r="B21">
        <v>3.5000000000000003E-2</v>
      </c>
      <c r="C21">
        <f>(1-E21)*C20+E21*C22</f>
        <v>-2.6784566417568247</v>
      </c>
      <c r="D21" t="s">
        <v>4</v>
      </c>
      <c r="E21">
        <f>+(B21-B20)/(B22-B20)</f>
        <v>0.75000000000000011</v>
      </c>
    </row>
    <row r="22" spans="2:5" x14ac:dyDescent="0.25">
      <c r="B22">
        <v>0.04</v>
      </c>
      <c r="C22">
        <v>-2.6154197112111213</v>
      </c>
    </row>
    <row r="23" spans="2:5" x14ac:dyDescent="0.25">
      <c r="B23">
        <v>0.06</v>
      </c>
      <c r="C23">
        <v>-2.4651365883562386</v>
      </c>
    </row>
    <row r="24" spans="2:5" x14ac:dyDescent="0.25">
      <c r="B24">
        <v>0.08</v>
      </c>
      <c r="C24">
        <v>-2.3601076472660836</v>
      </c>
    </row>
    <row r="25" spans="2:5" x14ac:dyDescent="0.25">
      <c r="B25">
        <v>0.1</v>
      </c>
      <c r="C25">
        <v>-2.2799269800684052</v>
      </c>
    </row>
    <row r="26" spans="2:5" x14ac:dyDescent="0.25">
      <c r="B26">
        <v>0.12</v>
      </c>
      <c r="C26">
        <v>-2.2125910896560721</v>
      </c>
    </row>
    <row r="27" spans="2:5" x14ac:dyDescent="0.25">
      <c r="B27">
        <v>0.14000000000000001</v>
      </c>
      <c r="C27">
        <v>-2.1558755118002764</v>
      </c>
    </row>
    <row r="28" spans="2:5" x14ac:dyDescent="0.25">
      <c r="B28">
        <v>0.16</v>
      </c>
      <c r="C28">
        <v>-2.1072119372034899</v>
      </c>
    </row>
    <row r="29" spans="2:5" x14ac:dyDescent="0.25">
      <c r="B29">
        <v>0.18</v>
      </c>
      <c r="C29">
        <v>-2.0646262070792196</v>
      </c>
    </row>
    <row r="30" spans="2:5" x14ac:dyDescent="0.25">
      <c r="B30">
        <v>0.2</v>
      </c>
      <c r="C30">
        <v>-2.0258363577548932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Cálculos</vt:lpstr>
      <vt:lpstr>Gráficos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Juan Menduiña</cp:lastModifiedBy>
  <dcterms:created xsi:type="dcterms:W3CDTF">2020-06-29T00:24:13Z</dcterms:created>
  <dcterms:modified xsi:type="dcterms:W3CDTF">2021-09-23T16:47:41Z</dcterms:modified>
</cp:coreProperties>
</file>