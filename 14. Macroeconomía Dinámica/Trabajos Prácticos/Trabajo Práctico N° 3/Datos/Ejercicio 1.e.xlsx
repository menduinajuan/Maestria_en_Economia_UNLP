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14. Macroeconomía Dinámica\Trabajos Prácticos\Trabajo Práctico N° 3\Datos\"/>
    </mc:Choice>
  </mc:AlternateContent>
  <xr:revisionPtr revIDLastSave="0" documentId="13_ncr:1_{8AA8FE63-A8D5-45C3-8C7A-5D7DBD341F22}" xr6:coauthVersionLast="47" xr6:coauthVersionMax="47" xr10:uidLastSave="{00000000-0000-0000-0000-000000000000}"/>
  <bookViews>
    <workbookView xWindow="-120" yWindow="-120" windowWidth="20730" windowHeight="11760" tabRatio="782" xr2:uid="{B03B75A7-C831-4F43-9E0A-C808F2E03295}"/>
  </bookViews>
  <sheets>
    <sheet name="Ejercicio 1.e (1)" sheetId="1" r:id="rId1"/>
    <sheet name="Ejercicio 1.e (2)" sheetId="13" r:id="rId2"/>
    <sheet name="Ejercicio 1.e (3)" sheetId="14" r:id="rId3"/>
    <sheet name="Ejercicio 1.e (4)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14" l="1"/>
  <c r="F202" i="14"/>
  <c r="B202" i="15" s="1"/>
  <c r="F201" i="14"/>
  <c r="B201" i="15" s="1"/>
  <c r="F200" i="14"/>
  <c r="B200" i="15" s="1"/>
  <c r="F199" i="14"/>
  <c r="B199" i="15" s="1"/>
  <c r="F198" i="14"/>
  <c r="B198" i="15" s="1"/>
  <c r="F197" i="14"/>
  <c r="B197" i="15" s="1"/>
  <c r="F196" i="14"/>
  <c r="B196" i="15" s="1"/>
  <c r="F195" i="14"/>
  <c r="B195" i="15" s="1"/>
  <c r="F194" i="14"/>
  <c r="B194" i="15" s="1"/>
  <c r="F193" i="14"/>
  <c r="B193" i="15" s="1"/>
  <c r="F192" i="14"/>
  <c r="B192" i="15" s="1"/>
  <c r="F191" i="14"/>
  <c r="B191" i="15" s="1"/>
  <c r="F190" i="14"/>
  <c r="B190" i="15" s="1"/>
  <c r="F189" i="14"/>
  <c r="B189" i="15" s="1"/>
  <c r="F188" i="14"/>
  <c r="B188" i="15" s="1"/>
  <c r="F187" i="14"/>
  <c r="B187" i="15" s="1"/>
  <c r="F186" i="14"/>
  <c r="B186" i="15" s="1"/>
  <c r="F185" i="14"/>
  <c r="B185" i="15" s="1"/>
  <c r="F184" i="14"/>
  <c r="B184" i="15" s="1"/>
  <c r="F183" i="14"/>
  <c r="B183" i="15" s="1"/>
  <c r="F182" i="14"/>
  <c r="B182" i="15" s="1"/>
  <c r="F181" i="14"/>
  <c r="B181" i="15" s="1"/>
  <c r="F180" i="14"/>
  <c r="B180" i="15" s="1"/>
  <c r="F179" i="14"/>
  <c r="B179" i="15" s="1"/>
  <c r="F178" i="14"/>
  <c r="B178" i="15" s="1"/>
  <c r="F177" i="14"/>
  <c r="B177" i="15" s="1"/>
  <c r="F176" i="14"/>
  <c r="B176" i="15" s="1"/>
  <c r="F175" i="14"/>
  <c r="B175" i="15" s="1"/>
  <c r="F174" i="14"/>
  <c r="B174" i="15" s="1"/>
  <c r="F173" i="14"/>
  <c r="B173" i="15" s="1"/>
  <c r="F172" i="14"/>
  <c r="B172" i="15" s="1"/>
  <c r="F171" i="14"/>
  <c r="B171" i="15" s="1"/>
  <c r="F170" i="14"/>
  <c r="B170" i="15" s="1"/>
  <c r="F169" i="14"/>
  <c r="B169" i="15" s="1"/>
  <c r="F168" i="14"/>
  <c r="B168" i="15" s="1"/>
  <c r="F167" i="14"/>
  <c r="B167" i="15" s="1"/>
  <c r="F166" i="14"/>
  <c r="B166" i="15" s="1"/>
  <c r="F165" i="14"/>
  <c r="B165" i="15" s="1"/>
  <c r="F164" i="14"/>
  <c r="B164" i="15" s="1"/>
  <c r="F163" i="14"/>
  <c r="B163" i="15" s="1"/>
  <c r="F162" i="14"/>
  <c r="B162" i="15" s="1"/>
  <c r="F161" i="14"/>
  <c r="B161" i="15" s="1"/>
  <c r="F160" i="14"/>
  <c r="B160" i="15" s="1"/>
  <c r="F159" i="14"/>
  <c r="B159" i="15" s="1"/>
  <c r="F158" i="14"/>
  <c r="B158" i="15" s="1"/>
  <c r="F157" i="14"/>
  <c r="B157" i="15" s="1"/>
  <c r="F156" i="14"/>
  <c r="B156" i="15" s="1"/>
  <c r="F155" i="14"/>
  <c r="B155" i="15" s="1"/>
  <c r="F154" i="14"/>
  <c r="B154" i="15" s="1"/>
  <c r="F153" i="14"/>
  <c r="B153" i="15" s="1"/>
  <c r="F152" i="14"/>
  <c r="B152" i="15" s="1"/>
  <c r="F151" i="14"/>
  <c r="B151" i="15" s="1"/>
  <c r="F150" i="14"/>
  <c r="B150" i="15" s="1"/>
  <c r="F149" i="14"/>
  <c r="B149" i="15" s="1"/>
  <c r="F148" i="14"/>
  <c r="B148" i="15" s="1"/>
  <c r="F147" i="14"/>
  <c r="B147" i="15" s="1"/>
  <c r="F146" i="14"/>
  <c r="B146" i="15" s="1"/>
  <c r="F145" i="14"/>
  <c r="B145" i="15" s="1"/>
  <c r="F144" i="14"/>
  <c r="B144" i="15" s="1"/>
  <c r="F143" i="14"/>
  <c r="B143" i="15" s="1"/>
  <c r="F142" i="14"/>
  <c r="B142" i="15" s="1"/>
  <c r="F141" i="14"/>
  <c r="B141" i="15" s="1"/>
  <c r="F140" i="14"/>
  <c r="B140" i="15" s="1"/>
  <c r="F139" i="14"/>
  <c r="B139" i="15" s="1"/>
  <c r="F138" i="14"/>
  <c r="B138" i="15" s="1"/>
  <c r="F137" i="14"/>
  <c r="B137" i="15" s="1"/>
  <c r="F136" i="14"/>
  <c r="B136" i="15" s="1"/>
  <c r="F135" i="14"/>
  <c r="B135" i="15" s="1"/>
  <c r="F134" i="14"/>
  <c r="B134" i="15" s="1"/>
  <c r="F133" i="14"/>
  <c r="B133" i="15" s="1"/>
  <c r="F132" i="14"/>
  <c r="B132" i="15" s="1"/>
  <c r="F131" i="14"/>
  <c r="B131" i="15" s="1"/>
  <c r="F130" i="14"/>
  <c r="B130" i="15" s="1"/>
  <c r="F129" i="14"/>
  <c r="B129" i="15" s="1"/>
  <c r="F128" i="14"/>
  <c r="B128" i="15" s="1"/>
  <c r="F127" i="14"/>
  <c r="B127" i="15" s="1"/>
  <c r="F126" i="14"/>
  <c r="B126" i="15" s="1"/>
  <c r="F125" i="14"/>
  <c r="B125" i="15" s="1"/>
  <c r="F124" i="14"/>
  <c r="B124" i="15" s="1"/>
  <c r="F123" i="14"/>
  <c r="B123" i="15" s="1"/>
  <c r="F122" i="14"/>
  <c r="B122" i="15" s="1"/>
  <c r="F121" i="14"/>
  <c r="B121" i="15" s="1"/>
  <c r="F120" i="14"/>
  <c r="B120" i="15" s="1"/>
  <c r="F119" i="14"/>
  <c r="B119" i="15" s="1"/>
  <c r="F118" i="14"/>
  <c r="B118" i="15" s="1"/>
  <c r="F117" i="14"/>
  <c r="B117" i="15" s="1"/>
  <c r="F116" i="14"/>
  <c r="B116" i="15" s="1"/>
  <c r="F115" i="14"/>
  <c r="B115" i="15" s="1"/>
  <c r="F114" i="14"/>
  <c r="B114" i="15" s="1"/>
  <c r="F113" i="14"/>
  <c r="B113" i="15" s="1"/>
  <c r="F112" i="14"/>
  <c r="B112" i="15" s="1"/>
  <c r="F111" i="14"/>
  <c r="B111" i="15" s="1"/>
  <c r="F110" i="14"/>
  <c r="B110" i="15" s="1"/>
  <c r="F109" i="14"/>
  <c r="B109" i="15" s="1"/>
  <c r="F108" i="14"/>
  <c r="B108" i="15" s="1"/>
  <c r="F107" i="14"/>
  <c r="B107" i="15" s="1"/>
  <c r="F106" i="14"/>
  <c r="B106" i="15" s="1"/>
  <c r="F105" i="14"/>
  <c r="B105" i="15" s="1"/>
  <c r="F104" i="14"/>
  <c r="B104" i="15" s="1"/>
  <c r="F103" i="14"/>
  <c r="B103" i="15" s="1"/>
  <c r="F102" i="14"/>
  <c r="B102" i="15" s="1"/>
  <c r="F101" i="14"/>
  <c r="B101" i="15" s="1"/>
  <c r="F100" i="14"/>
  <c r="B100" i="15" s="1"/>
  <c r="F99" i="14"/>
  <c r="B99" i="15" s="1"/>
  <c r="F98" i="14"/>
  <c r="B98" i="15" s="1"/>
  <c r="F97" i="14"/>
  <c r="B97" i="15" s="1"/>
  <c r="F96" i="14"/>
  <c r="B96" i="15" s="1"/>
  <c r="F95" i="14"/>
  <c r="B95" i="15" s="1"/>
  <c r="F94" i="14"/>
  <c r="B94" i="15" s="1"/>
  <c r="F93" i="14"/>
  <c r="B93" i="15" s="1"/>
  <c r="F92" i="14"/>
  <c r="B92" i="15" s="1"/>
  <c r="F91" i="14"/>
  <c r="B91" i="15" s="1"/>
  <c r="F90" i="14"/>
  <c r="B90" i="15" s="1"/>
  <c r="F89" i="14"/>
  <c r="B89" i="15" s="1"/>
  <c r="F88" i="14"/>
  <c r="B88" i="15" s="1"/>
  <c r="F87" i="14"/>
  <c r="B87" i="15" s="1"/>
  <c r="F86" i="14"/>
  <c r="B86" i="15" s="1"/>
  <c r="F85" i="14"/>
  <c r="B85" i="15" s="1"/>
  <c r="F84" i="14"/>
  <c r="B84" i="15" s="1"/>
  <c r="F83" i="14"/>
  <c r="B83" i="15" s="1"/>
  <c r="F82" i="14"/>
  <c r="B82" i="15" s="1"/>
  <c r="F81" i="14"/>
  <c r="B81" i="15" s="1"/>
  <c r="F80" i="14"/>
  <c r="B80" i="15" s="1"/>
  <c r="F79" i="14"/>
  <c r="B79" i="15" s="1"/>
  <c r="F78" i="14"/>
  <c r="B78" i="15" s="1"/>
  <c r="F77" i="14"/>
  <c r="B77" i="15" s="1"/>
  <c r="F76" i="14"/>
  <c r="B76" i="15" s="1"/>
  <c r="F75" i="14"/>
  <c r="B75" i="15" s="1"/>
  <c r="F74" i="14"/>
  <c r="B74" i="15" s="1"/>
  <c r="F73" i="14"/>
  <c r="B73" i="15" s="1"/>
  <c r="F72" i="14"/>
  <c r="B72" i="15" s="1"/>
  <c r="F71" i="14"/>
  <c r="B71" i="15" s="1"/>
  <c r="F70" i="14"/>
  <c r="B70" i="15" s="1"/>
  <c r="F69" i="14"/>
  <c r="B69" i="15" s="1"/>
  <c r="F68" i="14"/>
  <c r="B68" i="15" s="1"/>
  <c r="F67" i="14"/>
  <c r="B67" i="15" s="1"/>
  <c r="F66" i="14"/>
  <c r="B66" i="15" s="1"/>
  <c r="F65" i="14"/>
  <c r="B65" i="15" s="1"/>
  <c r="F64" i="14"/>
  <c r="B64" i="15" s="1"/>
  <c r="F63" i="14"/>
  <c r="B63" i="15" s="1"/>
  <c r="F62" i="14"/>
  <c r="B62" i="15" s="1"/>
  <c r="F61" i="14"/>
  <c r="B61" i="15" s="1"/>
  <c r="F60" i="14"/>
  <c r="B60" i="15" s="1"/>
  <c r="F59" i="14"/>
  <c r="B59" i="15" s="1"/>
  <c r="F58" i="14"/>
  <c r="B58" i="15" s="1"/>
  <c r="F57" i="14"/>
  <c r="B57" i="15" s="1"/>
  <c r="F56" i="14"/>
  <c r="B56" i="15" s="1"/>
  <c r="F55" i="14"/>
  <c r="B55" i="15" s="1"/>
  <c r="F54" i="14"/>
  <c r="B54" i="15" s="1"/>
  <c r="F53" i="14"/>
  <c r="B53" i="15" s="1"/>
  <c r="F52" i="14"/>
  <c r="B52" i="15" s="1"/>
  <c r="F51" i="14"/>
  <c r="B51" i="15" s="1"/>
  <c r="F50" i="14"/>
  <c r="B50" i="15" s="1"/>
  <c r="F49" i="14"/>
  <c r="B49" i="15" s="1"/>
  <c r="F48" i="14"/>
  <c r="B48" i="15" s="1"/>
  <c r="F47" i="14"/>
  <c r="B47" i="15" s="1"/>
  <c r="F46" i="14"/>
  <c r="B46" i="15" s="1"/>
  <c r="F45" i="14"/>
  <c r="B45" i="15" s="1"/>
  <c r="F44" i="14"/>
  <c r="B44" i="15" s="1"/>
  <c r="F43" i="14"/>
  <c r="B43" i="15" s="1"/>
  <c r="F42" i="14"/>
  <c r="B42" i="15" s="1"/>
  <c r="F41" i="14"/>
  <c r="B41" i="15" s="1"/>
  <c r="F40" i="14"/>
  <c r="B40" i="15" s="1"/>
  <c r="F39" i="14"/>
  <c r="B39" i="15" s="1"/>
  <c r="F38" i="14"/>
  <c r="B38" i="15" s="1"/>
  <c r="F37" i="14"/>
  <c r="B37" i="15" s="1"/>
  <c r="F36" i="14"/>
  <c r="B36" i="15" s="1"/>
  <c r="F35" i="14"/>
  <c r="B35" i="15" s="1"/>
  <c r="F34" i="14"/>
  <c r="B34" i="15" s="1"/>
  <c r="F33" i="14"/>
  <c r="B33" i="15" s="1"/>
  <c r="F32" i="14"/>
  <c r="B32" i="15" s="1"/>
  <c r="F31" i="14"/>
  <c r="B31" i="15" s="1"/>
  <c r="F30" i="14"/>
  <c r="B30" i="15" s="1"/>
  <c r="F29" i="14"/>
  <c r="B29" i="15" s="1"/>
  <c r="F28" i="14"/>
  <c r="B28" i="15" s="1"/>
  <c r="F27" i="14"/>
  <c r="B27" i="15" s="1"/>
  <c r="F26" i="14"/>
  <c r="B26" i="15" s="1"/>
  <c r="F25" i="14"/>
  <c r="B25" i="15" s="1"/>
  <c r="F24" i="14"/>
  <c r="B24" i="15" s="1"/>
  <c r="F23" i="14"/>
  <c r="B23" i="15" s="1"/>
  <c r="F22" i="14"/>
  <c r="B22" i="15" s="1"/>
  <c r="F21" i="14"/>
  <c r="B21" i="15" s="1"/>
  <c r="F20" i="14"/>
  <c r="B20" i="15" s="1"/>
  <c r="F19" i="14"/>
  <c r="B19" i="15" s="1"/>
  <c r="F18" i="14"/>
  <c r="B18" i="15" s="1"/>
  <c r="F17" i="14"/>
  <c r="B17" i="15" s="1"/>
  <c r="F16" i="14"/>
  <c r="B16" i="15" s="1"/>
  <c r="F15" i="14"/>
  <c r="B15" i="15" s="1"/>
  <c r="F14" i="14"/>
  <c r="B14" i="15" s="1"/>
  <c r="F13" i="14"/>
  <c r="B13" i="15" s="1"/>
  <c r="F12" i="14"/>
  <c r="B12" i="15" s="1"/>
  <c r="F11" i="14"/>
  <c r="B11" i="15" s="1"/>
  <c r="F10" i="14"/>
  <c r="B10" i="15" s="1"/>
  <c r="F9" i="14"/>
  <c r="B9" i="15" s="1"/>
  <c r="F8" i="14"/>
  <c r="B8" i="15" s="1"/>
  <c r="F7" i="14"/>
  <c r="B7" i="15" s="1"/>
  <c r="F6" i="14"/>
  <c r="B6" i="15" s="1"/>
  <c r="N5" i="14"/>
  <c r="F5" i="14"/>
  <c r="B5" i="15" s="1"/>
  <c r="F4" i="14"/>
  <c r="B4" i="15" s="1"/>
  <c r="F3" i="14"/>
  <c r="B3" i="15" s="1"/>
  <c r="D2" i="14"/>
  <c r="E2" i="14" s="1"/>
  <c r="D3" i="14" s="1"/>
  <c r="G2" i="14"/>
  <c r="F2" i="14"/>
  <c r="B2" i="15" s="1"/>
  <c r="C46" i="15" s="1"/>
  <c r="D2" i="15" l="1"/>
  <c r="E19" i="15" s="1"/>
  <c r="I2" i="14"/>
  <c r="E3" i="14"/>
  <c r="D4" i="14" s="1"/>
  <c r="C3" i="14"/>
  <c r="J2" i="14"/>
  <c r="H2" i="15" s="1"/>
  <c r="E11" i="15"/>
  <c r="K2" i="14"/>
  <c r="J2" i="15" s="1"/>
  <c r="E202" i="15"/>
  <c r="E200" i="15"/>
  <c r="E198" i="15"/>
  <c r="E196" i="15"/>
  <c r="E194" i="15"/>
  <c r="E192" i="15"/>
  <c r="E190" i="15"/>
  <c r="E188" i="15"/>
  <c r="E186" i="15"/>
  <c r="E184" i="15"/>
  <c r="E182" i="15"/>
  <c r="E180" i="15"/>
  <c r="E178" i="15"/>
  <c r="E176" i="15"/>
  <c r="E174" i="15"/>
  <c r="E172" i="15"/>
  <c r="E170" i="15"/>
  <c r="E197" i="15"/>
  <c r="E189" i="15"/>
  <c r="E181" i="15"/>
  <c r="E179" i="15"/>
  <c r="E177" i="15"/>
  <c r="E169" i="15"/>
  <c r="E168" i="15"/>
  <c r="E166" i="15"/>
  <c r="E164" i="15"/>
  <c r="E162" i="15"/>
  <c r="E160" i="15"/>
  <c r="E158" i="15"/>
  <c r="E156" i="15"/>
  <c r="E154" i="15"/>
  <c r="E152" i="15"/>
  <c r="E150" i="15"/>
  <c r="E195" i="15"/>
  <c r="E187" i="15"/>
  <c r="E171" i="15"/>
  <c r="E201" i="15"/>
  <c r="E193" i="15"/>
  <c r="E185" i="15"/>
  <c r="E173" i="15"/>
  <c r="E167" i="15"/>
  <c r="E165" i="15"/>
  <c r="E163" i="15"/>
  <c r="E161" i="15"/>
  <c r="E159" i="15"/>
  <c r="E157" i="15"/>
  <c r="E155" i="15"/>
  <c r="E153" i="15"/>
  <c r="E151" i="15"/>
  <c r="E199" i="15"/>
  <c r="E175" i="15"/>
  <c r="E147" i="15"/>
  <c r="E145" i="15"/>
  <c r="E143" i="15"/>
  <c r="E141" i="15"/>
  <c r="E139" i="15"/>
  <c r="E137" i="15"/>
  <c r="E135" i="15"/>
  <c r="E133" i="15"/>
  <c r="E131" i="15"/>
  <c r="E129" i="15"/>
  <c r="E127" i="15"/>
  <c r="E125" i="15"/>
  <c r="E123" i="15"/>
  <c r="E191" i="15"/>
  <c r="E142" i="15"/>
  <c r="E134" i="15"/>
  <c r="E126" i="15"/>
  <c r="E122" i="15"/>
  <c r="E121" i="15"/>
  <c r="E119" i="15"/>
  <c r="E117" i="15"/>
  <c r="E115" i="15"/>
  <c r="E113" i="15"/>
  <c r="E111" i="15"/>
  <c r="E109" i="15"/>
  <c r="E107" i="15"/>
  <c r="E105" i="15"/>
  <c r="E103" i="15"/>
  <c r="E101" i="15"/>
  <c r="E99" i="15"/>
  <c r="E97" i="15"/>
  <c r="E95" i="15"/>
  <c r="E93" i="15"/>
  <c r="E91" i="15"/>
  <c r="E89" i="15"/>
  <c r="E87" i="15"/>
  <c r="E85" i="15"/>
  <c r="E83" i="15"/>
  <c r="E81" i="15"/>
  <c r="E79" i="15"/>
  <c r="E77" i="15"/>
  <c r="E75" i="15"/>
  <c r="E73" i="15"/>
  <c r="E71" i="15"/>
  <c r="E69" i="15"/>
  <c r="E67" i="15"/>
  <c r="E65" i="15"/>
  <c r="E148" i="15"/>
  <c r="E140" i="15"/>
  <c r="E132" i="15"/>
  <c r="E183" i="15"/>
  <c r="E146" i="15"/>
  <c r="E138" i="15"/>
  <c r="E130" i="15"/>
  <c r="E124" i="15"/>
  <c r="E120" i="15"/>
  <c r="E118" i="15"/>
  <c r="E116" i="15"/>
  <c r="E114" i="15"/>
  <c r="E112" i="15"/>
  <c r="E110" i="15"/>
  <c r="E108" i="15"/>
  <c r="E106" i="15"/>
  <c r="E104" i="15"/>
  <c r="E102" i="15"/>
  <c r="E100" i="15"/>
  <c r="E98" i="15"/>
  <c r="E96" i="15"/>
  <c r="E94" i="15"/>
  <c r="E92" i="15"/>
  <c r="E90" i="15"/>
  <c r="E88" i="15"/>
  <c r="E86" i="15"/>
  <c r="E84" i="15"/>
  <c r="E82" i="15"/>
  <c r="E80" i="15"/>
  <c r="E72" i="15"/>
  <c r="E144" i="15"/>
  <c r="E74" i="15"/>
  <c r="E66" i="15"/>
  <c r="E64" i="15"/>
  <c r="E62" i="15"/>
  <c r="E60" i="15"/>
  <c r="E58" i="15"/>
  <c r="E56" i="15"/>
  <c r="E54" i="15"/>
  <c r="E52" i="15"/>
  <c r="E50" i="15"/>
  <c r="E48" i="15"/>
  <c r="E46" i="15"/>
  <c r="E44" i="15"/>
  <c r="E42" i="15"/>
  <c r="E40" i="15"/>
  <c r="E38" i="15"/>
  <c r="E36" i="15"/>
  <c r="E34" i="15"/>
  <c r="E32" i="15"/>
  <c r="E30" i="15"/>
  <c r="E28" i="15"/>
  <c r="E26" i="15"/>
  <c r="E24" i="15"/>
  <c r="E149" i="15"/>
  <c r="E136" i="15"/>
  <c r="E76" i="15"/>
  <c r="E68" i="15"/>
  <c r="E128" i="15"/>
  <c r="E63" i="15"/>
  <c r="E55" i="15"/>
  <c r="E47" i="15"/>
  <c r="E39" i="15"/>
  <c r="E31" i="15"/>
  <c r="E23" i="15"/>
  <c r="E61" i="15"/>
  <c r="E53" i="15"/>
  <c r="E45" i="15"/>
  <c r="E37" i="15"/>
  <c r="E25" i="15"/>
  <c r="E22" i="15"/>
  <c r="E20" i="15"/>
  <c r="E18" i="15"/>
  <c r="E16" i="15"/>
  <c r="E14" i="15"/>
  <c r="E12" i="15"/>
  <c r="E10" i="15"/>
  <c r="E8" i="15"/>
  <c r="E6" i="15"/>
  <c r="E4" i="15"/>
  <c r="E2" i="15"/>
  <c r="E70" i="15"/>
  <c r="E59" i="15"/>
  <c r="E51" i="15"/>
  <c r="E43" i="15"/>
  <c r="E35" i="15"/>
  <c r="E27" i="15"/>
  <c r="E57" i="15"/>
  <c r="E17" i="15"/>
  <c r="E9" i="15"/>
  <c r="E78" i="15"/>
  <c r="E49" i="15"/>
  <c r="E15" i="15"/>
  <c r="E7" i="15"/>
  <c r="E41" i="15"/>
  <c r="E29" i="15"/>
  <c r="E21" i="15"/>
  <c r="E13" i="15"/>
  <c r="E5" i="15"/>
  <c r="C201" i="15"/>
  <c r="C199" i="15"/>
  <c r="C197" i="15"/>
  <c r="C195" i="15"/>
  <c r="C193" i="15"/>
  <c r="C191" i="15"/>
  <c r="C189" i="15"/>
  <c r="C187" i="15"/>
  <c r="C185" i="15"/>
  <c r="C183" i="15"/>
  <c r="C181" i="15"/>
  <c r="C179" i="15"/>
  <c r="C177" i="15"/>
  <c r="C175" i="15"/>
  <c r="C173" i="15"/>
  <c r="C171" i="15"/>
  <c r="C169" i="15"/>
  <c r="C202" i="15"/>
  <c r="C194" i="15"/>
  <c r="C186" i="15"/>
  <c r="C180" i="15"/>
  <c r="C174" i="15"/>
  <c r="C167" i="15"/>
  <c r="C165" i="15"/>
  <c r="C163" i="15"/>
  <c r="C161" i="15"/>
  <c r="C159" i="15"/>
  <c r="C157" i="15"/>
  <c r="C155" i="15"/>
  <c r="C153" i="15"/>
  <c r="C151" i="15"/>
  <c r="C149" i="15"/>
  <c r="C200" i="15"/>
  <c r="C192" i="15"/>
  <c r="C184" i="15"/>
  <c r="C176" i="15"/>
  <c r="C198" i="15"/>
  <c r="C190" i="15"/>
  <c r="C182" i="15"/>
  <c r="C178" i="15"/>
  <c r="C170" i="15"/>
  <c r="C168" i="15"/>
  <c r="C166" i="15"/>
  <c r="C164" i="15"/>
  <c r="C162" i="15"/>
  <c r="C160" i="15"/>
  <c r="C158" i="15"/>
  <c r="C156" i="15"/>
  <c r="C154" i="15"/>
  <c r="C188" i="15"/>
  <c r="C150" i="15"/>
  <c r="C148" i="15"/>
  <c r="C146" i="15"/>
  <c r="C144" i="15"/>
  <c r="C142" i="15"/>
  <c r="C140" i="15"/>
  <c r="C138" i="15"/>
  <c r="C136" i="15"/>
  <c r="C134" i="15"/>
  <c r="C132" i="15"/>
  <c r="C130" i="15"/>
  <c r="C128" i="15"/>
  <c r="C126" i="15"/>
  <c r="C124" i="15"/>
  <c r="C122" i="15"/>
  <c r="C152" i="15"/>
  <c r="C196" i="15"/>
  <c r="C147" i="15"/>
  <c r="C139" i="15"/>
  <c r="C131" i="15"/>
  <c r="C123" i="15"/>
  <c r="C120" i="15"/>
  <c r="C118" i="15"/>
  <c r="C116" i="15"/>
  <c r="C114" i="15"/>
  <c r="C112" i="15"/>
  <c r="C110" i="15"/>
  <c r="C108" i="15"/>
  <c r="C106" i="15"/>
  <c r="C104" i="15"/>
  <c r="C102" i="15"/>
  <c r="C100" i="15"/>
  <c r="C98" i="15"/>
  <c r="C96" i="15"/>
  <c r="C94" i="15"/>
  <c r="C92" i="15"/>
  <c r="C90" i="15"/>
  <c r="C88" i="15"/>
  <c r="C86" i="15"/>
  <c r="C84" i="15"/>
  <c r="C82" i="15"/>
  <c r="C80" i="15"/>
  <c r="C78" i="15"/>
  <c r="C76" i="15"/>
  <c r="C74" i="15"/>
  <c r="C72" i="15"/>
  <c r="C70" i="15"/>
  <c r="C68" i="15"/>
  <c r="C66" i="15"/>
  <c r="C145" i="15"/>
  <c r="C137" i="15"/>
  <c r="C129" i="15"/>
  <c r="C172" i="15"/>
  <c r="C143" i="15"/>
  <c r="C135" i="15"/>
  <c r="C127" i="15"/>
  <c r="C125" i="15"/>
  <c r="C121" i="15"/>
  <c r="C119" i="15"/>
  <c r="C117" i="15"/>
  <c r="C115" i="15"/>
  <c r="C113" i="15"/>
  <c r="C111" i="15"/>
  <c r="C109" i="15"/>
  <c r="C107" i="15"/>
  <c r="C105" i="15"/>
  <c r="C103" i="15"/>
  <c r="C101" i="15"/>
  <c r="C99" i="15"/>
  <c r="C97" i="15"/>
  <c r="C95" i="15"/>
  <c r="C93" i="15"/>
  <c r="C91" i="15"/>
  <c r="C89" i="15"/>
  <c r="C87" i="15"/>
  <c r="C85" i="15"/>
  <c r="C83" i="15"/>
  <c r="C81" i="15"/>
  <c r="C79" i="15"/>
  <c r="C133" i="15"/>
  <c r="C77" i="15"/>
  <c r="C69" i="15"/>
  <c r="C71" i="15"/>
  <c r="C63" i="15"/>
  <c r="C61" i="15"/>
  <c r="C59" i="15"/>
  <c r="C57" i="15"/>
  <c r="C55" i="15"/>
  <c r="C53" i="15"/>
  <c r="C51" i="15"/>
  <c r="C49" i="15"/>
  <c r="C47" i="15"/>
  <c r="C45" i="15"/>
  <c r="C43" i="15"/>
  <c r="C41" i="15"/>
  <c r="C39" i="15"/>
  <c r="C37" i="15"/>
  <c r="C35" i="15"/>
  <c r="C33" i="15"/>
  <c r="C31" i="15"/>
  <c r="C29" i="15"/>
  <c r="C27" i="15"/>
  <c r="C25" i="15"/>
  <c r="C23" i="15"/>
  <c r="C73" i="15"/>
  <c r="C65" i="15"/>
  <c r="C67" i="15"/>
  <c r="C60" i="15"/>
  <c r="C52" i="15"/>
  <c r="C44" i="15"/>
  <c r="C36" i="15"/>
  <c r="C28" i="15"/>
  <c r="C75" i="15"/>
  <c r="C58" i="15"/>
  <c r="C50" i="15"/>
  <c r="C42" i="15"/>
  <c r="C34" i="15"/>
  <c r="C21" i="15"/>
  <c r="C19" i="15"/>
  <c r="C17" i="15"/>
  <c r="C15" i="15"/>
  <c r="C13" i="15"/>
  <c r="C11" i="15"/>
  <c r="C9" i="15"/>
  <c r="C7" i="15"/>
  <c r="C5" i="15"/>
  <c r="C3" i="15"/>
  <c r="C141" i="15"/>
  <c r="C64" i="15"/>
  <c r="C56" i="15"/>
  <c r="C48" i="15"/>
  <c r="C40" i="15"/>
  <c r="C32" i="15"/>
  <c r="C24" i="15"/>
  <c r="C38" i="15"/>
  <c r="C26" i="15"/>
  <c r="C22" i="15"/>
  <c r="C14" i="15"/>
  <c r="C6" i="15"/>
  <c r="C62" i="15"/>
  <c r="C30" i="15"/>
  <c r="C20" i="15"/>
  <c r="C12" i="15"/>
  <c r="C4" i="15"/>
  <c r="C54" i="15"/>
  <c r="C18" i="15"/>
  <c r="C10" i="15"/>
  <c r="C2" i="15"/>
  <c r="C8" i="15"/>
  <c r="G2" i="15"/>
  <c r="E3" i="15"/>
  <c r="C16" i="15"/>
  <c r="E33" i="15"/>
  <c r="I201" i="15" l="1"/>
  <c r="I199" i="15"/>
  <c r="I197" i="15"/>
  <c r="I195" i="15"/>
  <c r="I193" i="15"/>
  <c r="I191" i="15"/>
  <c r="I189" i="15"/>
  <c r="I187" i="15"/>
  <c r="I185" i="15"/>
  <c r="I183" i="15"/>
  <c r="I181" i="15"/>
  <c r="I179" i="15"/>
  <c r="I177" i="15"/>
  <c r="I175" i="15"/>
  <c r="I173" i="15"/>
  <c r="I171" i="15"/>
  <c r="I169" i="15"/>
  <c r="I196" i="15"/>
  <c r="I188" i="15"/>
  <c r="I176" i="15"/>
  <c r="I167" i="15"/>
  <c r="I165" i="15"/>
  <c r="I163" i="15"/>
  <c r="I161" i="15"/>
  <c r="I159" i="15"/>
  <c r="I157" i="15"/>
  <c r="I155" i="15"/>
  <c r="I153" i="15"/>
  <c r="I151" i="15"/>
  <c r="I149" i="15"/>
  <c r="I202" i="15"/>
  <c r="I194" i="15"/>
  <c r="I186" i="15"/>
  <c r="I178" i="15"/>
  <c r="I170" i="15"/>
  <c r="I200" i="15"/>
  <c r="I192" i="15"/>
  <c r="I184" i="15"/>
  <c r="I180" i="15"/>
  <c r="I172" i="15"/>
  <c r="I168" i="15"/>
  <c r="I166" i="15"/>
  <c r="I164" i="15"/>
  <c r="I162" i="15"/>
  <c r="I160" i="15"/>
  <c r="I158" i="15"/>
  <c r="I156" i="15"/>
  <c r="I154" i="15"/>
  <c r="I182" i="15"/>
  <c r="I174" i="15"/>
  <c r="I150" i="15"/>
  <c r="I152" i="15"/>
  <c r="I148" i="15"/>
  <c r="I146" i="15"/>
  <c r="I144" i="15"/>
  <c r="I142" i="15"/>
  <c r="I140" i="15"/>
  <c r="I138" i="15"/>
  <c r="I136" i="15"/>
  <c r="I134" i="15"/>
  <c r="I132" i="15"/>
  <c r="I130" i="15"/>
  <c r="I128" i="15"/>
  <c r="I126" i="15"/>
  <c r="I124" i="15"/>
  <c r="I122" i="15"/>
  <c r="I198" i="15"/>
  <c r="I141" i="15"/>
  <c r="I133" i="15"/>
  <c r="I125" i="15"/>
  <c r="I120" i="15"/>
  <c r="I118" i="15"/>
  <c r="I116" i="15"/>
  <c r="I114" i="15"/>
  <c r="I112" i="15"/>
  <c r="I110" i="15"/>
  <c r="I108" i="15"/>
  <c r="I106" i="15"/>
  <c r="I104" i="15"/>
  <c r="I102" i="15"/>
  <c r="I100" i="15"/>
  <c r="I98" i="15"/>
  <c r="I96" i="15"/>
  <c r="I94" i="15"/>
  <c r="I92" i="15"/>
  <c r="I90" i="15"/>
  <c r="I88" i="15"/>
  <c r="I86" i="15"/>
  <c r="I84" i="15"/>
  <c r="I82" i="15"/>
  <c r="I80" i="15"/>
  <c r="I78" i="15"/>
  <c r="I76" i="15"/>
  <c r="I74" i="15"/>
  <c r="I72" i="15"/>
  <c r="I70" i="15"/>
  <c r="I68" i="15"/>
  <c r="I66" i="15"/>
  <c r="I190" i="15"/>
  <c r="I147" i="15"/>
  <c r="I139" i="15"/>
  <c r="I131" i="15"/>
  <c r="I145" i="15"/>
  <c r="I137" i="15"/>
  <c r="I129" i="15"/>
  <c r="I123" i="15"/>
  <c r="I121" i="15"/>
  <c r="I119" i="15"/>
  <c r="I117" i="15"/>
  <c r="I115" i="15"/>
  <c r="I113" i="15"/>
  <c r="I111" i="15"/>
  <c r="I109" i="15"/>
  <c r="I107" i="15"/>
  <c r="I105" i="15"/>
  <c r="I103" i="15"/>
  <c r="I101" i="15"/>
  <c r="I99" i="15"/>
  <c r="I97" i="15"/>
  <c r="I95" i="15"/>
  <c r="I93" i="15"/>
  <c r="I91" i="15"/>
  <c r="I89" i="15"/>
  <c r="I87" i="15"/>
  <c r="I85" i="15"/>
  <c r="I83" i="15"/>
  <c r="I81" i="15"/>
  <c r="I127" i="15"/>
  <c r="I79" i="15"/>
  <c r="I71" i="15"/>
  <c r="I73" i="15"/>
  <c r="I65" i="15"/>
  <c r="I63" i="15"/>
  <c r="I61" i="15"/>
  <c r="I59" i="15"/>
  <c r="I57" i="15"/>
  <c r="I55" i="15"/>
  <c r="I53" i="15"/>
  <c r="I51" i="15"/>
  <c r="I49" i="15"/>
  <c r="I47" i="15"/>
  <c r="I45" i="15"/>
  <c r="I43" i="15"/>
  <c r="I41" i="15"/>
  <c r="I39" i="15"/>
  <c r="I37" i="15"/>
  <c r="I35" i="15"/>
  <c r="I33" i="15"/>
  <c r="I31" i="15"/>
  <c r="I29" i="15"/>
  <c r="I27" i="15"/>
  <c r="I25" i="15"/>
  <c r="I143" i="15"/>
  <c r="I75" i="15"/>
  <c r="I67" i="15"/>
  <c r="I62" i="15"/>
  <c r="I54" i="15"/>
  <c r="I46" i="15"/>
  <c r="I38" i="15"/>
  <c r="I30" i="15"/>
  <c r="I69" i="15"/>
  <c r="I60" i="15"/>
  <c r="I52" i="15"/>
  <c r="I44" i="15"/>
  <c r="I36" i="15"/>
  <c r="I24" i="15"/>
  <c r="I23" i="15"/>
  <c r="I21" i="15"/>
  <c r="I19" i="15"/>
  <c r="I17" i="15"/>
  <c r="I15" i="15"/>
  <c r="I13" i="15"/>
  <c r="I11" i="15"/>
  <c r="I9" i="15"/>
  <c r="I7" i="15"/>
  <c r="I5" i="15"/>
  <c r="I3" i="15"/>
  <c r="I77" i="15"/>
  <c r="I58" i="15"/>
  <c r="I50" i="15"/>
  <c r="I42" i="15"/>
  <c r="I34" i="15"/>
  <c r="I26" i="15"/>
  <c r="I135" i="15"/>
  <c r="I64" i="15"/>
  <c r="I32" i="15"/>
  <c r="I16" i="15"/>
  <c r="I8" i="15"/>
  <c r="I56" i="15"/>
  <c r="I28" i="15"/>
  <c r="I22" i="15"/>
  <c r="I14" i="15"/>
  <c r="I6" i="15"/>
  <c r="I48" i="15"/>
  <c r="I20" i="15"/>
  <c r="I12" i="15"/>
  <c r="I4" i="15"/>
  <c r="I10" i="15"/>
  <c r="I2" i="15"/>
  <c r="I40" i="15"/>
  <c r="I18" i="15"/>
  <c r="F202" i="15"/>
  <c r="F200" i="15"/>
  <c r="F198" i="15"/>
  <c r="F196" i="15"/>
  <c r="F194" i="15"/>
  <c r="F192" i="15"/>
  <c r="F190" i="15"/>
  <c r="F188" i="15"/>
  <c r="F186" i="15"/>
  <c r="F184" i="15"/>
  <c r="F182" i="15"/>
  <c r="F180" i="15"/>
  <c r="F178" i="15"/>
  <c r="F176" i="15"/>
  <c r="F174" i="15"/>
  <c r="F172" i="15"/>
  <c r="F170" i="15"/>
  <c r="F201" i="15"/>
  <c r="F193" i="15"/>
  <c r="F185" i="15"/>
  <c r="F179" i="15"/>
  <c r="F173" i="15"/>
  <c r="F168" i="15"/>
  <c r="F166" i="15"/>
  <c r="F164" i="15"/>
  <c r="F162" i="15"/>
  <c r="F160" i="15"/>
  <c r="F158" i="15"/>
  <c r="F156" i="15"/>
  <c r="F154" i="15"/>
  <c r="F152" i="15"/>
  <c r="F150" i="15"/>
  <c r="F199" i="15"/>
  <c r="F191" i="15"/>
  <c r="F183" i="15"/>
  <c r="F175" i="15"/>
  <c r="F197" i="15"/>
  <c r="F189" i="15"/>
  <c r="F181" i="15"/>
  <c r="F177" i="15"/>
  <c r="F169" i="15"/>
  <c r="F167" i="15"/>
  <c r="F165" i="15"/>
  <c r="F163" i="15"/>
  <c r="F161" i="15"/>
  <c r="F159" i="15"/>
  <c r="F157" i="15"/>
  <c r="F155" i="15"/>
  <c r="F195" i="15"/>
  <c r="F187" i="15"/>
  <c r="F149" i="15"/>
  <c r="F147" i="15"/>
  <c r="F145" i="15"/>
  <c r="F143" i="15"/>
  <c r="F141" i="15"/>
  <c r="F139" i="15"/>
  <c r="F137" i="15"/>
  <c r="F135" i="15"/>
  <c r="F133" i="15"/>
  <c r="F131" i="15"/>
  <c r="F129" i="15"/>
  <c r="F127" i="15"/>
  <c r="F125" i="15"/>
  <c r="F123" i="15"/>
  <c r="F171" i="15"/>
  <c r="F151" i="15"/>
  <c r="F146" i="15"/>
  <c r="F138" i="15"/>
  <c r="F130" i="15"/>
  <c r="F126" i="15"/>
  <c r="F121" i="15"/>
  <c r="F119" i="15"/>
  <c r="F117" i="15"/>
  <c r="F115" i="15"/>
  <c r="F113" i="15"/>
  <c r="F111" i="15"/>
  <c r="F109" i="15"/>
  <c r="F107" i="15"/>
  <c r="F105" i="15"/>
  <c r="F103" i="15"/>
  <c r="F101" i="15"/>
  <c r="F99" i="15"/>
  <c r="F97" i="15"/>
  <c r="F95" i="15"/>
  <c r="F93" i="15"/>
  <c r="F91" i="15"/>
  <c r="F89" i="15"/>
  <c r="F87" i="15"/>
  <c r="F85" i="15"/>
  <c r="F83" i="15"/>
  <c r="F81" i="15"/>
  <c r="F79" i="15"/>
  <c r="F77" i="15"/>
  <c r="F75" i="15"/>
  <c r="F73" i="15"/>
  <c r="F71" i="15"/>
  <c r="F69" i="15"/>
  <c r="F67" i="15"/>
  <c r="F153" i="15"/>
  <c r="F144" i="15"/>
  <c r="F136" i="15"/>
  <c r="F128" i="15"/>
  <c r="F142" i="15"/>
  <c r="F134" i="15"/>
  <c r="F124" i="15"/>
  <c r="F122" i="15"/>
  <c r="F120" i="15"/>
  <c r="F118" i="15"/>
  <c r="F116" i="15"/>
  <c r="F114" i="15"/>
  <c r="F112" i="15"/>
  <c r="F110" i="15"/>
  <c r="F108" i="15"/>
  <c r="F106" i="15"/>
  <c r="F104" i="15"/>
  <c r="F102" i="15"/>
  <c r="F100" i="15"/>
  <c r="F98" i="15"/>
  <c r="F96" i="15"/>
  <c r="F94" i="15"/>
  <c r="F92" i="15"/>
  <c r="F90" i="15"/>
  <c r="F88" i="15"/>
  <c r="F86" i="15"/>
  <c r="F84" i="15"/>
  <c r="F82" i="15"/>
  <c r="F80" i="15"/>
  <c r="F140" i="15"/>
  <c r="F76" i="15"/>
  <c r="F68" i="15"/>
  <c r="F132" i="15"/>
  <c r="F78" i="15"/>
  <c r="F70" i="15"/>
  <c r="F64" i="15"/>
  <c r="F62" i="15"/>
  <c r="F60" i="15"/>
  <c r="F58" i="15"/>
  <c r="F56" i="15"/>
  <c r="F54" i="15"/>
  <c r="F52" i="15"/>
  <c r="F50" i="15"/>
  <c r="F48" i="15"/>
  <c r="F46" i="15"/>
  <c r="F44" i="15"/>
  <c r="F42" i="15"/>
  <c r="F40" i="15"/>
  <c r="F38" i="15"/>
  <c r="F36" i="15"/>
  <c r="F34" i="15"/>
  <c r="F32" i="15"/>
  <c r="F30" i="15"/>
  <c r="F28" i="15"/>
  <c r="F26" i="15"/>
  <c r="F24" i="15"/>
  <c r="F72" i="15"/>
  <c r="F74" i="15"/>
  <c r="F59" i="15"/>
  <c r="F51" i="15"/>
  <c r="F43" i="15"/>
  <c r="F35" i="15"/>
  <c r="F27" i="15"/>
  <c r="F148" i="15"/>
  <c r="F65" i="15"/>
  <c r="F57" i="15"/>
  <c r="F49" i="15"/>
  <c r="F41" i="15"/>
  <c r="F33" i="15"/>
  <c r="F29" i="15"/>
  <c r="F22" i="15"/>
  <c r="F20" i="15"/>
  <c r="F18" i="15"/>
  <c r="F16" i="15"/>
  <c r="F14" i="15"/>
  <c r="F12" i="15"/>
  <c r="F10" i="15"/>
  <c r="F8" i="15"/>
  <c r="F6" i="15"/>
  <c r="F4" i="15"/>
  <c r="F2" i="15"/>
  <c r="F63" i="15"/>
  <c r="F55" i="15"/>
  <c r="F47" i="15"/>
  <c r="F39" i="15"/>
  <c r="F31" i="15"/>
  <c r="F45" i="15"/>
  <c r="F21" i="15"/>
  <c r="F13" i="15"/>
  <c r="F5" i="15"/>
  <c r="F37" i="15"/>
  <c r="F19" i="15"/>
  <c r="F11" i="15"/>
  <c r="F3" i="15"/>
  <c r="F61" i="15"/>
  <c r="F17" i="15"/>
  <c r="F9" i="15"/>
  <c r="F23" i="15"/>
  <c r="F53" i="15"/>
  <c r="F15" i="15"/>
  <c r="F7" i="15"/>
  <c r="F66" i="15"/>
  <c r="F25" i="15"/>
  <c r="G3" i="14"/>
  <c r="K3" i="14" s="1"/>
  <c r="J3" i="15" s="1"/>
  <c r="K202" i="15"/>
  <c r="K200" i="15"/>
  <c r="K198" i="15"/>
  <c r="K196" i="15"/>
  <c r="K194" i="15"/>
  <c r="K192" i="15"/>
  <c r="K190" i="15"/>
  <c r="K188" i="15"/>
  <c r="K186" i="15"/>
  <c r="K184" i="15"/>
  <c r="K182" i="15"/>
  <c r="K180" i="15"/>
  <c r="K178" i="15"/>
  <c r="K176" i="15"/>
  <c r="K174" i="15"/>
  <c r="K172" i="15"/>
  <c r="K170" i="15"/>
  <c r="K199" i="15"/>
  <c r="K191" i="15"/>
  <c r="K183" i="15"/>
  <c r="K171" i="15"/>
  <c r="K168" i="15"/>
  <c r="K166" i="15"/>
  <c r="K164" i="15"/>
  <c r="K162" i="15"/>
  <c r="K160" i="15"/>
  <c r="K158" i="15"/>
  <c r="K156" i="15"/>
  <c r="K154" i="15"/>
  <c r="K152" i="15"/>
  <c r="K150" i="15"/>
  <c r="K197" i="15"/>
  <c r="K189" i="15"/>
  <c r="K181" i="15"/>
  <c r="K173" i="15"/>
  <c r="K195" i="15"/>
  <c r="K187" i="15"/>
  <c r="K179" i="15"/>
  <c r="K175" i="15"/>
  <c r="K167" i="15"/>
  <c r="K165" i="15"/>
  <c r="K163" i="15"/>
  <c r="K161" i="15"/>
  <c r="K159" i="15"/>
  <c r="K157" i="15"/>
  <c r="K155" i="15"/>
  <c r="K201" i="15"/>
  <c r="K153" i="15"/>
  <c r="K193" i="15"/>
  <c r="K169" i="15"/>
  <c r="K147" i="15"/>
  <c r="K145" i="15"/>
  <c r="K143" i="15"/>
  <c r="K141" i="15"/>
  <c r="K139" i="15"/>
  <c r="K137" i="15"/>
  <c r="K135" i="15"/>
  <c r="K133" i="15"/>
  <c r="K131" i="15"/>
  <c r="K129" i="15"/>
  <c r="K127" i="15"/>
  <c r="K125" i="15"/>
  <c r="K123" i="15"/>
  <c r="K185" i="15"/>
  <c r="K177" i="15"/>
  <c r="K149" i="15"/>
  <c r="K151" i="15"/>
  <c r="K144" i="15"/>
  <c r="K136" i="15"/>
  <c r="K128" i="15"/>
  <c r="K124" i="15"/>
  <c r="K121" i="15"/>
  <c r="K119" i="15"/>
  <c r="K117" i="15"/>
  <c r="K115" i="15"/>
  <c r="K113" i="15"/>
  <c r="K111" i="15"/>
  <c r="K109" i="15"/>
  <c r="K107" i="15"/>
  <c r="K105" i="15"/>
  <c r="K103" i="15"/>
  <c r="K101" i="15"/>
  <c r="K99" i="15"/>
  <c r="K97" i="15"/>
  <c r="K95" i="15"/>
  <c r="K93" i="15"/>
  <c r="K91" i="15"/>
  <c r="K89" i="15"/>
  <c r="K87" i="15"/>
  <c r="K85" i="15"/>
  <c r="K83" i="15"/>
  <c r="K81" i="15"/>
  <c r="K79" i="15"/>
  <c r="K77" i="15"/>
  <c r="K75" i="15"/>
  <c r="K73" i="15"/>
  <c r="K71" i="15"/>
  <c r="K69" i="15"/>
  <c r="K67" i="15"/>
  <c r="K65" i="15"/>
  <c r="K142" i="15"/>
  <c r="K134" i="15"/>
  <c r="K148" i="15"/>
  <c r="K140" i="15"/>
  <c r="K132" i="15"/>
  <c r="K126" i="15"/>
  <c r="K120" i="15"/>
  <c r="K118" i="15"/>
  <c r="K116" i="15"/>
  <c r="K114" i="15"/>
  <c r="K112" i="15"/>
  <c r="K110" i="15"/>
  <c r="K108" i="15"/>
  <c r="K106" i="15"/>
  <c r="K104" i="15"/>
  <c r="K102" i="15"/>
  <c r="K100" i="15"/>
  <c r="K98" i="15"/>
  <c r="K96" i="15"/>
  <c r="K94" i="15"/>
  <c r="K92" i="15"/>
  <c r="K90" i="15"/>
  <c r="K88" i="15"/>
  <c r="K86" i="15"/>
  <c r="K84" i="15"/>
  <c r="K82" i="15"/>
  <c r="K80" i="15"/>
  <c r="K146" i="15"/>
  <c r="K74" i="15"/>
  <c r="K66" i="15"/>
  <c r="K138" i="15"/>
  <c r="K76" i="15"/>
  <c r="K68" i="15"/>
  <c r="K64" i="15"/>
  <c r="K62" i="15"/>
  <c r="K60" i="15"/>
  <c r="K58" i="15"/>
  <c r="K56" i="15"/>
  <c r="K54" i="15"/>
  <c r="K52" i="15"/>
  <c r="K50" i="15"/>
  <c r="K48" i="15"/>
  <c r="K46" i="15"/>
  <c r="K44" i="15"/>
  <c r="K42" i="15"/>
  <c r="K40" i="15"/>
  <c r="K38" i="15"/>
  <c r="K36" i="15"/>
  <c r="K34" i="15"/>
  <c r="K32" i="15"/>
  <c r="K30" i="15"/>
  <c r="K28" i="15"/>
  <c r="K26" i="15"/>
  <c r="K24" i="15"/>
  <c r="K130" i="15"/>
  <c r="K122" i="15"/>
  <c r="K78" i="15"/>
  <c r="K70" i="15"/>
  <c r="K57" i="15"/>
  <c r="K49" i="15"/>
  <c r="K41" i="15"/>
  <c r="K33" i="15"/>
  <c r="K25" i="15"/>
  <c r="K63" i="15"/>
  <c r="K55" i="15"/>
  <c r="K47" i="15"/>
  <c r="K39" i="15"/>
  <c r="K31" i="15"/>
  <c r="K27" i="15"/>
  <c r="K22" i="15"/>
  <c r="K20" i="15"/>
  <c r="K18" i="15"/>
  <c r="K16" i="15"/>
  <c r="K14" i="15"/>
  <c r="K12" i="15"/>
  <c r="K10" i="15"/>
  <c r="K8" i="15"/>
  <c r="K6" i="15"/>
  <c r="K4" i="15"/>
  <c r="K2" i="15"/>
  <c r="K61" i="15"/>
  <c r="K53" i="15"/>
  <c r="K45" i="15"/>
  <c r="K37" i="15"/>
  <c r="K29" i="15"/>
  <c r="K72" i="15"/>
  <c r="K51" i="15"/>
  <c r="K19" i="15"/>
  <c r="K11" i="15"/>
  <c r="K3" i="15"/>
  <c r="K43" i="15"/>
  <c r="K17" i="15"/>
  <c r="K9" i="15"/>
  <c r="K35" i="15"/>
  <c r="K23" i="15"/>
  <c r="K15" i="15"/>
  <c r="K7" i="15"/>
  <c r="K59" i="15"/>
  <c r="K21" i="15"/>
  <c r="K13" i="15"/>
  <c r="K5" i="15"/>
  <c r="E4" i="14"/>
  <c r="D5" i="14" s="1"/>
  <c r="C4" i="14"/>
  <c r="I3" i="14" l="1"/>
  <c r="G3" i="15" s="1"/>
  <c r="C5" i="14"/>
  <c r="E5" i="14"/>
  <c r="D6" i="14" s="1"/>
  <c r="D3" i="15"/>
  <c r="H2" i="14"/>
  <c r="G4" i="14"/>
  <c r="J4" i="14" s="1"/>
  <c r="H4" i="15" s="1"/>
  <c r="J3" i="14"/>
  <c r="H3" i="15" s="1"/>
  <c r="I4" i="14" l="1"/>
  <c r="D4" i="15"/>
  <c r="H3" i="14"/>
  <c r="E6" i="14"/>
  <c r="D7" i="14" s="1"/>
  <c r="C6" i="14"/>
  <c r="K4" i="14"/>
  <c r="J4" i="15" s="1"/>
  <c r="G4" i="15"/>
  <c r="G5" i="14"/>
  <c r="I5" i="14" s="1"/>
  <c r="D5" i="15" l="1"/>
  <c r="H4" i="14"/>
  <c r="K5" i="14"/>
  <c r="J5" i="15" s="1"/>
  <c r="E7" i="14"/>
  <c r="D8" i="14" s="1"/>
  <c r="C7" i="14"/>
  <c r="G6" i="14"/>
  <c r="I6" i="14" s="1"/>
  <c r="G5" i="15"/>
  <c r="J5" i="14"/>
  <c r="H5" i="15" s="1"/>
  <c r="D6" i="15" l="1"/>
  <c r="H5" i="14"/>
  <c r="C8" i="14"/>
  <c r="E8" i="14"/>
  <c r="D9" i="14" s="1"/>
  <c r="J6" i="14"/>
  <c r="H6" i="15" s="1"/>
  <c r="G6" i="15"/>
  <c r="K6" i="14"/>
  <c r="J6" i="15" s="1"/>
  <c r="G7" i="14"/>
  <c r="I7" i="14" l="1"/>
  <c r="G7" i="15" s="1"/>
  <c r="G8" i="14"/>
  <c r="J8" i="14" s="1"/>
  <c r="H8" i="15" s="1"/>
  <c r="D7" i="15"/>
  <c r="H6" i="14"/>
  <c r="E9" i="14"/>
  <c r="D10" i="14" s="1"/>
  <c r="C9" i="14"/>
  <c r="J7" i="14"/>
  <c r="H7" i="15" s="1"/>
  <c r="K7" i="14"/>
  <c r="J7" i="15" s="1"/>
  <c r="I8" i="14" l="1"/>
  <c r="G8" i="15" s="1"/>
  <c r="E10" i="14"/>
  <c r="D11" i="14" s="1"/>
  <c r="C10" i="14"/>
  <c r="G9" i="14"/>
  <c r="I9" i="14" s="1"/>
  <c r="D8" i="15"/>
  <c r="H7" i="14"/>
  <c r="K8" i="14"/>
  <c r="J8" i="15" s="1"/>
  <c r="D9" i="15" l="1"/>
  <c r="H8" i="14"/>
  <c r="J9" i="14"/>
  <c r="H9" i="15" s="1"/>
  <c r="G9" i="15"/>
  <c r="G10" i="14"/>
  <c r="K10" i="14" s="1"/>
  <c r="J10" i="15" s="1"/>
  <c r="K9" i="14"/>
  <c r="J9" i="15" s="1"/>
  <c r="E11" i="14"/>
  <c r="D12" i="14" s="1"/>
  <c r="C11" i="14"/>
  <c r="I10" i="14" l="1"/>
  <c r="G10" i="15" s="1"/>
  <c r="J10" i="14"/>
  <c r="H10" i="15" s="1"/>
  <c r="G11" i="14"/>
  <c r="J11" i="14" s="1"/>
  <c r="H11" i="15" s="1"/>
  <c r="D10" i="15"/>
  <c r="H9" i="14"/>
  <c r="C12" i="14"/>
  <c r="E12" i="14"/>
  <c r="D13" i="14" s="1"/>
  <c r="I11" i="14" l="1"/>
  <c r="C13" i="14"/>
  <c r="E13" i="14"/>
  <c r="D14" i="14" s="1"/>
  <c r="G12" i="14"/>
  <c r="I12" i="14" s="1"/>
  <c r="D11" i="15"/>
  <c r="H10" i="14"/>
  <c r="G11" i="15"/>
  <c r="K11" i="14"/>
  <c r="J11" i="15" s="1"/>
  <c r="D12" i="15" l="1"/>
  <c r="H11" i="14"/>
  <c r="K12" i="14"/>
  <c r="J12" i="15" s="1"/>
  <c r="G12" i="15"/>
  <c r="E14" i="14"/>
  <c r="D15" i="14" s="1"/>
  <c r="C14" i="14"/>
  <c r="J12" i="14"/>
  <c r="H12" i="15" s="1"/>
  <c r="G13" i="14"/>
  <c r="K13" i="14" s="1"/>
  <c r="J13" i="15" s="1"/>
  <c r="I13" i="14" l="1"/>
  <c r="G13" i="15" s="1"/>
  <c r="G14" i="14"/>
  <c r="J14" i="14" s="1"/>
  <c r="H14" i="15" s="1"/>
  <c r="D13" i="15"/>
  <c r="H12" i="14"/>
  <c r="J13" i="14"/>
  <c r="H13" i="15" s="1"/>
  <c r="E15" i="14"/>
  <c r="D16" i="14" s="1"/>
  <c r="C15" i="14"/>
  <c r="I14" i="14" l="1"/>
  <c r="G14" i="15" s="1"/>
  <c r="D14" i="15"/>
  <c r="H13" i="14"/>
  <c r="K14" i="14"/>
  <c r="J14" i="15" s="1"/>
  <c r="G15" i="14"/>
  <c r="K15" i="14" s="1"/>
  <c r="J15" i="15" s="1"/>
  <c r="C16" i="14"/>
  <c r="E16" i="14"/>
  <c r="D17" i="14" s="1"/>
  <c r="I15" i="14" l="1"/>
  <c r="G15" i="15" s="1"/>
  <c r="G16" i="14"/>
  <c r="J16" i="14" s="1"/>
  <c r="H16" i="15" s="1"/>
  <c r="D15" i="15"/>
  <c r="H14" i="14"/>
  <c r="J15" i="14"/>
  <c r="H15" i="15" s="1"/>
  <c r="E17" i="14"/>
  <c r="D18" i="14" s="1"/>
  <c r="C17" i="14"/>
  <c r="I16" i="14" l="1"/>
  <c r="G16" i="15"/>
  <c r="D16" i="15"/>
  <c r="H15" i="14"/>
  <c r="E18" i="14"/>
  <c r="D19" i="14" s="1"/>
  <c r="C18" i="14"/>
  <c r="G17" i="14"/>
  <c r="J17" i="14" s="1"/>
  <c r="H17" i="15" s="1"/>
  <c r="K16" i="14"/>
  <c r="J16" i="15" s="1"/>
  <c r="I17" i="14" l="1"/>
  <c r="K17" i="14"/>
  <c r="J17" i="15" s="1"/>
  <c r="G17" i="15"/>
  <c r="G18" i="14"/>
  <c r="K18" i="14" s="1"/>
  <c r="J18" i="15" s="1"/>
  <c r="E19" i="14"/>
  <c r="D20" i="14" s="1"/>
  <c r="C19" i="14"/>
  <c r="D17" i="15"/>
  <c r="H16" i="14"/>
  <c r="I18" i="14" l="1"/>
  <c r="G19" i="14"/>
  <c r="J19" i="14" s="1"/>
  <c r="H19" i="15" s="1"/>
  <c r="E20" i="14"/>
  <c r="D21" i="14" s="1"/>
  <c r="C20" i="14"/>
  <c r="J18" i="14"/>
  <c r="H18" i="15" s="1"/>
  <c r="D18" i="15"/>
  <c r="H17" i="14"/>
  <c r="G18" i="15"/>
  <c r="I19" i="14" l="1"/>
  <c r="G19" i="15"/>
  <c r="D19" i="15"/>
  <c r="H18" i="14"/>
  <c r="G20" i="14"/>
  <c r="K20" i="14" s="1"/>
  <c r="J20" i="15" s="1"/>
  <c r="C21" i="14"/>
  <c r="E21" i="14"/>
  <c r="D22" i="14" s="1"/>
  <c r="K19" i="14"/>
  <c r="J19" i="15" s="1"/>
  <c r="I20" i="14" l="1"/>
  <c r="E22" i="14"/>
  <c r="D23" i="14" s="1"/>
  <c r="C22" i="14"/>
  <c r="G21" i="14"/>
  <c r="D20" i="15"/>
  <c r="H19" i="14"/>
  <c r="G20" i="15"/>
  <c r="J20" i="14"/>
  <c r="H20" i="15" s="1"/>
  <c r="I21" i="14" l="1"/>
  <c r="G21" i="15" s="1"/>
  <c r="K21" i="14"/>
  <c r="J21" i="15" s="1"/>
  <c r="G22" i="14"/>
  <c r="J22" i="14" s="1"/>
  <c r="H22" i="15" s="1"/>
  <c r="D21" i="15"/>
  <c r="H20" i="14"/>
  <c r="J21" i="14"/>
  <c r="H21" i="15" s="1"/>
  <c r="E23" i="14"/>
  <c r="D24" i="14" s="1"/>
  <c r="C23" i="14"/>
  <c r="I22" i="14" l="1"/>
  <c r="G22" i="15"/>
  <c r="D22" i="15"/>
  <c r="H21" i="14"/>
  <c r="G23" i="14"/>
  <c r="J23" i="14" s="1"/>
  <c r="H23" i="15" s="1"/>
  <c r="E24" i="14"/>
  <c r="D25" i="14" s="1"/>
  <c r="C24" i="14"/>
  <c r="K22" i="14"/>
  <c r="J22" i="15" s="1"/>
  <c r="I23" i="14" l="1"/>
  <c r="G23" i="15" s="1"/>
  <c r="C25" i="14"/>
  <c r="E25" i="14"/>
  <c r="D26" i="14" s="1"/>
  <c r="D23" i="15"/>
  <c r="H22" i="14"/>
  <c r="G24" i="14"/>
  <c r="J24" i="14" s="1"/>
  <c r="H24" i="15" s="1"/>
  <c r="K23" i="14"/>
  <c r="J23" i="15" s="1"/>
  <c r="I24" i="14" l="1"/>
  <c r="D24" i="15"/>
  <c r="H23" i="14"/>
  <c r="E26" i="14"/>
  <c r="D27" i="14" s="1"/>
  <c r="C26" i="14"/>
  <c r="K24" i="14"/>
  <c r="J24" i="15" s="1"/>
  <c r="G24" i="15"/>
  <c r="G25" i="14"/>
  <c r="I25" i="14" s="1"/>
  <c r="D25" i="15" l="1"/>
  <c r="H24" i="14"/>
  <c r="G26" i="14"/>
  <c r="J26" i="14" s="1"/>
  <c r="H26" i="15" s="1"/>
  <c r="K25" i="14"/>
  <c r="J25" i="15" s="1"/>
  <c r="E27" i="14"/>
  <c r="D28" i="14" s="1"/>
  <c r="C27" i="14"/>
  <c r="G25" i="15"/>
  <c r="J25" i="14"/>
  <c r="H25" i="15" s="1"/>
  <c r="I26" i="14" l="1"/>
  <c r="D26" i="15"/>
  <c r="H25" i="14"/>
  <c r="K26" i="14"/>
  <c r="J26" i="15" s="1"/>
  <c r="E28" i="14"/>
  <c r="D29" i="14" s="1"/>
  <c r="C28" i="14"/>
  <c r="G27" i="14"/>
  <c r="G26" i="15"/>
  <c r="I27" i="14" l="1"/>
  <c r="G27" i="15" s="1"/>
  <c r="C29" i="14"/>
  <c r="E29" i="14"/>
  <c r="D30" i="14" s="1"/>
  <c r="K27" i="14"/>
  <c r="J27" i="15" s="1"/>
  <c r="D27" i="15"/>
  <c r="H26" i="14"/>
  <c r="J27" i="14"/>
  <c r="H27" i="15" s="1"/>
  <c r="G28" i="14"/>
  <c r="I28" i="14" s="1"/>
  <c r="D28" i="15" l="1"/>
  <c r="H27" i="14"/>
  <c r="K28" i="14"/>
  <c r="J28" i="15" s="1"/>
  <c r="G28" i="15"/>
  <c r="E30" i="14"/>
  <c r="D31" i="14" s="1"/>
  <c r="C30" i="14"/>
  <c r="J28" i="14"/>
  <c r="H28" i="15" s="1"/>
  <c r="G29" i="14"/>
  <c r="J29" i="14" s="1"/>
  <c r="H29" i="15" s="1"/>
  <c r="I29" i="14" l="1"/>
  <c r="K29" i="14"/>
  <c r="J29" i="15" s="1"/>
  <c r="G29" i="15"/>
  <c r="G30" i="14"/>
  <c r="J30" i="14" s="1"/>
  <c r="H30" i="15" s="1"/>
  <c r="D29" i="15"/>
  <c r="H28" i="14"/>
  <c r="E31" i="14"/>
  <c r="D32" i="14" s="1"/>
  <c r="C31" i="14"/>
  <c r="I30" i="14" l="1"/>
  <c r="K30" i="14"/>
  <c r="J30" i="15" s="1"/>
  <c r="G31" i="14"/>
  <c r="I31" i="14" s="1"/>
  <c r="E32" i="14"/>
  <c r="D33" i="14" s="1"/>
  <c r="C32" i="14"/>
  <c r="G30" i="15"/>
  <c r="D30" i="15"/>
  <c r="H29" i="14"/>
  <c r="D31" i="15" l="1"/>
  <c r="H30" i="14"/>
  <c r="K31" i="14"/>
  <c r="J31" i="15" s="1"/>
  <c r="J31" i="14"/>
  <c r="H31" i="15" s="1"/>
  <c r="G32" i="14"/>
  <c r="C33" i="14"/>
  <c r="E33" i="14"/>
  <c r="D34" i="14" s="1"/>
  <c r="G31" i="15"/>
  <c r="I32" i="14" l="1"/>
  <c r="G32" i="15" s="1"/>
  <c r="D32" i="15"/>
  <c r="H31" i="14"/>
  <c r="J32" i="14"/>
  <c r="H32" i="15" s="1"/>
  <c r="E34" i="14"/>
  <c r="D35" i="14" s="1"/>
  <c r="C34" i="14"/>
  <c r="G33" i="14"/>
  <c r="J33" i="14" s="1"/>
  <c r="H33" i="15" s="1"/>
  <c r="K32" i="14"/>
  <c r="J32" i="15" s="1"/>
  <c r="I33" i="14" l="1"/>
  <c r="D33" i="15"/>
  <c r="H32" i="14"/>
  <c r="K33" i="14"/>
  <c r="J33" i="15" s="1"/>
  <c r="E35" i="14"/>
  <c r="D36" i="14" s="1"/>
  <c r="C35" i="14"/>
  <c r="G33" i="15"/>
  <c r="G34" i="14"/>
  <c r="J34" i="14" s="1"/>
  <c r="H34" i="15" s="1"/>
  <c r="I34" i="14" l="1"/>
  <c r="E36" i="14"/>
  <c r="D37" i="14" s="1"/>
  <c r="C36" i="14"/>
  <c r="D34" i="15"/>
  <c r="H33" i="14"/>
  <c r="K34" i="14"/>
  <c r="J34" i="15" s="1"/>
  <c r="G34" i="15"/>
  <c r="G35" i="14"/>
  <c r="I35" i="14" s="1"/>
  <c r="D35" i="15" l="1"/>
  <c r="H34" i="14"/>
  <c r="C37" i="14"/>
  <c r="E37" i="14"/>
  <c r="D38" i="14" s="1"/>
  <c r="K35" i="14"/>
  <c r="J35" i="15" s="1"/>
  <c r="G35" i="15"/>
  <c r="J35" i="14"/>
  <c r="H35" i="15" s="1"/>
  <c r="G36" i="14"/>
  <c r="J36" i="14" s="1"/>
  <c r="H36" i="15" s="1"/>
  <c r="I36" i="14" l="1"/>
  <c r="K36" i="14"/>
  <c r="J36" i="15" s="1"/>
  <c r="G36" i="15"/>
  <c r="G37" i="14"/>
  <c r="J37" i="14" s="1"/>
  <c r="H37" i="15" s="1"/>
  <c r="E38" i="14"/>
  <c r="D39" i="14" s="1"/>
  <c r="C38" i="14"/>
  <c r="D36" i="15"/>
  <c r="H35" i="14"/>
  <c r="I37" i="14" l="1"/>
  <c r="G37" i="15"/>
  <c r="D37" i="15"/>
  <c r="H36" i="14"/>
  <c r="G38" i="14"/>
  <c r="I38" i="14" s="1"/>
  <c r="E39" i="14"/>
  <c r="D40" i="14" s="1"/>
  <c r="C39" i="14"/>
  <c r="K37" i="14"/>
  <c r="J37" i="15" s="1"/>
  <c r="D38" i="15" l="1"/>
  <c r="H37" i="14"/>
  <c r="K38" i="14"/>
  <c r="J38" i="15" s="1"/>
  <c r="G38" i="15"/>
  <c r="E40" i="14"/>
  <c r="D41" i="14" s="1"/>
  <c r="C40" i="14"/>
  <c r="G39" i="14"/>
  <c r="J39" i="14" s="1"/>
  <c r="H39" i="15" s="1"/>
  <c r="J38" i="14"/>
  <c r="H38" i="15" s="1"/>
  <c r="I39" i="14" l="1"/>
  <c r="K39" i="14"/>
  <c r="J39" i="15" s="1"/>
  <c r="G39" i="15"/>
  <c r="G40" i="14"/>
  <c r="I40" i="14" s="1"/>
  <c r="D39" i="15"/>
  <c r="H38" i="14"/>
  <c r="C41" i="14"/>
  <c r="E41" i="14"/>
  <c r="D42" i="14" s="1"/>
  <c r="D40" i="15" l="1"/>
  <c r="H39" i="14"/>
  <c r="K40" i="14"/>
  <c r="J40" i="15" s="1"/>
  <c r="G41" i="14"/>
  <c r="J41" i="14" s="1"/>
  <c r="H41" i="15" s="1"/>
  <c r="J40" i="14"/>
  <c r="H40" i="15" s="1"/>
  <c r="E42" i="14"/>
  <c r="D43" i="14" s="1"/>
  <c r="C42" i="14"/>
  <c r="G40" i="15"/>
  <c r="I41" i="14" l="1"/>
  <c r="K41" i="14"/>
  <c r="J41" i="15" s="1"/>
  <c r="G41" i="15"/>
  <c r="G42" i="14"/>
  <c r="J42" i="14" s="1"/>
  <c r="H42" i="15" s="1"/>
  <c r="E43" i="14"/>
  <c r="D44" i="14" s="1"/>
  <c r="C43" i="14"/>
  <c r="D41" i="15"/>
  <c r="H40" i="14"/>
  <c r="I42" i="14" l="1"/>
  <c r="K42" i="14"/>
  <c r="J42" i="15" s="1"/>
  <c r="G42" i="15"/>
  <c r="G43" i="14"/>
  <c r="I43" i="14" s="1"/>
  <c r="E44" i="14"/>
  <c r="D45" i="14" s="1"/>
  <c r="C44" i="14"/>
  <c r="D42" i="15"/>
  <c r="H41" i="14"/>
  <c r="D43" i="15" l="1"/>
  <c r="H42" i="14"/>
  <c r="J43" i="14"/>
  <c r="H43" i="15" s="1"/>
  <c r="G44" i="14"/>
  <c r="J44" i="14" s="1"/>
  <c r="H44" i="15" s="1"/>
  <c r="K43" i="14"/>
  <c r="J43" i="15" s="1"/>
  <c r="C45" i="14"/>
  <c r="E45" i="14"/>
  <c r="D46" i="14" s="1"/>
  <c r="G43" i="15"/>
  <c r="I44" i="14" l="1"/>
  <c r="K44" i="14"/>
  <c r="J44" i="15" s="1"/>
  <c r="G44" i="15"/>
  <c r="E46" i="14"/>
  <c r="D47" i="14" s="1"/>
  <c r="C46" i="14"/>
  <c r="G45" i="14"/>
  <c r="J45" i="14" s="1"/>
  <c r="H45" i="15" s="1"/>
  <c r="D44" i="15"/>
  <c r="H43" i="14"/>
  <c r="I45" i="14" l="1"/>
  <c r="K45" i="14"/>
  <c r="J45" i="15" s="1"/>
  <c r="G45" i="15"/>
  <c r="G46" i="14"/>
  <c r="J46" i="14" s="1"/>
  <c r="H46" i="15" s="1"/>
  <c r="E47" i="14"/>
  <c r="D48" i="14" s="1"/>
  <c r="C47" i="14"/>
  <c r="D45" i="15"/>
  <c r="H44" i="14"/>
  <c r="I46" i="14" l="1"/>
  <c r="G46" i="15"/>
  <c r="G47" i="14"/>
  <c r="I47" i="14" s="1"/>
  <c r="D46" i="15"/>
  <c r="H45" i="14"/>
  <c r="E48" i="14"/>
  <c r="D49" i="14" s="1"/>
  <c r="C48" i="14"/>
  <c r="K46" i="14"/>
  <c r="J46" i="15" s="1"/>
  <c r="D47" i="15" l="1"/>
  <c r="H46" i="14"/>
  <c r="K47" i="14"/>
  <c r="J47" i="15" s="1"/>
  <c r="G47" i="15"/>
  <c r="C49" i="14"/>
  <c r="E49" i="14"/>
  <c r="D50" i="14" s="1"/>
  <c r="G48" i="14"/>
  <c r="I48" i="14" s="1"/>
  <c r="J47" i="14"/>
  <c r="H47" i="15" s="1"/>
  <c r="E50" i="14" l="1"/>
  <c r="D51" i="14" s="1"/>
  <c r="C50" i="14"/>
  <c r="D48" i="15"/>
  <c r="H47" i="14"/>
  <c r="K48" i="14"/>
  <c r="J48" i="15" s="1"/>
  <c r="G48" i="15"/>
  <c r="J48" i="14"/>
  <c r="H48" i="15" s="1"/>
  <c r="G49" i="14"/>
  <c r="J49" i="14" s="1"/>
  <c r="H49" i="15" s="1"/>
  <c r="I49" i="14" l="1"/>
  <c r="K49" i="14"/>
  <c r="J49" i="15" s="1"/>
  <c r="G49" i="15"/>
  <c r="G50" i="14"/>
  <c r="J50" i="14" s="1"/>
  <c r="H50" i="15" s="1"/>
  <c r="D49" i="15"/>
  <c r="H48" i="14"/>
  <c r="E51" i="14"/>
  <c r="D52" i="14" s="1"/>
  <c r="C51" i="14"/>
  <c r="I50" i="14" l="1"/>
  <c r="K50" i="14"/>
  <c r="J50" i="15" s="1"/>
  <c r="G51" i="14"/>
  <c r="I51" i="14" s="1"/>
  <c r="E52" i="14"/>
  <c r="D53" i="14" s="1"/>
  <c r="C52" i="14"/>
  <c r="G50" i="15"/>
  <c r="D50" i="15"/>
  <c r="H49" i="14"/>
  <c r="D51" i="15" l="1"/>
  <c r="H50" i="14"/>
  <c r="K51" i="14"/>
  <c r="J51" i="15" s="1"/>
  <c r="J51" i="14"/>
  <c r="H51" i="15" s="1"/>
  <c r="G52" i="14"/>
  <c r="C53" i="14"/>
  <c r="E53" i="14"/>
  <c r="D54" i="14" s="1"/>
  <c r="G51" i="15"/>
  <c r="I52" i="14" l="1"/>
  <c r="G52" i="15" s="1"/>
  <c r="D52" i="15"/>
  <c r="H51" i="14"/>
  <c r="J52" i="14"/>
  <c r="H52" i="15" s="1"/>
  <c r="E54" i="14"/>
  <c r="D55" i="14" s="1"/>
  <c r="C54" i="14"/>
  <c r="G53" i="14"/>
  <c r="J53" i="14" s="1"/>
  <c r="H53" i="15" s="1"/>
  <c r="K52" i="14"/>
  <c r="J52" i="15" s="1"/>
  <c r="I53" i="14" l="1"/>
  <c r="D53" i="15"/>
  <c r="H52" i="14"/>
  <c r="K53" i="14"/>
  <c r="J53" i="15" s="1"/>
  <c r="E55" i="14"/>
  <c r="D56" i="14" s="1"/>
  <c r="C55" i="14"/>
  <c r="G53" i="15"/>
  <c r="G54" i="14"/>
  <c r="J54" i="14" s="1"/>
  <c r="H54" i="15" s="1"/>
  <c r="I54" i="14" l="1"/>
  <c r="E56" i="14"/>
  <c r="D57" i="14" s="1"/>
  <c r="C56" i="14"/>
  <c r="D54" i="15"/>
  <c r="H53" i="14"/>
  <c r="K54" i="14"/>
  <c r="J54" i="15" s="1"/>
  <c r="G54" i="15"/>
  <c r="G55" i="14"/>
  <c r="I55" i="14" l="1"/>
  <c r="G55" i="15" s="1"/>
  <c r="J55" i="14"/>
  <c r="H55" i="15" s="1"/>
  <c r="K55" i="14"/>
  <c r="J55" i="15" s="1"/>
  <c r="G56" i="14"/>
  <c r="I56" i="14" s="1"/>
  <c r="D55" i="15"/>
  <c r="H54" i="14"/>
  <c r="C57" i="14"/>
  <c r="E57" i="14"/>
  <c r="D58" i="14" s="1"/>
  <c r="D56" i="15" l="1"/>
  <c r="H55" i="14"/>
  <c r="K56" i="14"/>
  <c r="J56" i="15" s="1"/>
  <c r="E58" i="14"/>
  <c r="D59" i="14" s="1"/>
  <c r="C58" i="14"/>
  <c r="G56" i="15"/>
  <c r="G57" i="14"/>
  <c r="I57" i="14" s="1"/>
  <c r="J56" i="14"/>
  <c r="H56" i="15" s="1"/>
  <c r="D57" i="15" l="1"/>
  <c r="H56" i="14"/>
  <c r="E59" i="14"/>
  <c r="D60" i="14" s="1"/>
  <c r="C59" i="14"/>
  <c r="K57" i="14"/>
  <c r="J57" i="15" s="1"/>
  <c r="G57" i="15"/>
  <c r="J57" i="14"/>
  <c r="H57" i="15" s="1"/>
  <c r="G58" i="14"/>
  <c r="I58" i="14" s="1"/>
  <c r="E60" i="14" l="1"/>
  <c r="D61" i="14" s="1"/>
  <c r="C60" i="14"/>
  <c r="D58" i="15"/>
  <c r="H57" i="14"/>
  <c r="G58" i="15"/>
  <c r="G59" i="14"/>
  <c r="K58" i="14"/>
  <c r="J58" i="15" s="1"/>
  <c r="J58" i="14"/>
  <c r="H58" i="15" s="1"/>
  <c r="I59" i="14" l="1"/>
  <c r="G59" i="15" s="1"/>
  <c r="K59" i="14"/>
  <c r="J59" i="15" s="1"/>
  <c r="G60" i="14"/>
  <c r="I60" i="14" s="1"/>
  <c r="D59" i="15"/>
  <c r="H58" i="14"/>
  <c r="J59" i="14"/>
  <c r="H59" i="15" s="1"/>
  <c r="C61" i="14"/>
  <c r="E61" i="14"/>
  <c r="D62" i="14" s="1"/>
  <c r="D60" i="15" l="1"/>
  <c r="H59" i="14"/>
  <c r="E62" i="14"/>
  <c r="D63" i="14" s="1"/>
  <c r="C62" i="14"/>
  <c r="K60" i="14"/>
  <c r="J60" i="15" s="1"/>
  <c r="J60" i="14"/>
  <c r="H60" i="15" s="1"/>
  <c r="G61" i="14"/>
  <c r="K61" i="14" s="1"/>
  <c r="J61" i="15" s="1"/>
  <c r="G60" i="15"/>
  <c r="I61" i="14" l="1"/>
  <c r="E63" i="14"/>
  <c r="D64" i="14" s="1"/>
  <c r="C63" i="14"/>
  <c r="D61" i="15"/>
  <c r="H60" i="14"/>
  <c r="G62" i="14"/>
  <c r="J62" i="14" s="1"/>
  <c r="H62" i="15" s="1"/>
  <c r="G61" i="15"/>
  <c r="J61" i="14"/>
  <c r="H61" i="15" s="1"/>
  <c r="I62" i="14" l="1"/>
  <c r="K62" i="14"/>
  <c r="J62" i="15" s="1"/>
  <c r="G62" i="15"/>
  <c r="G63" i="14"/>
  <c r="J63" i="14" s="1"/>
  <c r="H63" i="15" s="1"/>
  <c r="D62" i="15"/>
  <c r="H61" i="14"/>
  <c r="E64" i="14"/>
  <c r="D65" i="14" s="1"/>
  <c r="C64" i="14"/>
  <c r="I63" i="14" l="1"/>
  <c r="K63" i="14"/>
  <c r="J63" i="15" s="1"/>
  <c r="G63" i="15"/>
  <c r="G64" i="14"/>
  <c r="I64" i="14" s="1"/>
  <c r="C65" i="14"/>
  <c r="E65" i="14"/>
  <c r="D66" i="14" s="1"/>
  <c r="D63" i="15"/>
  <c r="H62" i="14"/>
  <c r="D64" i="15" l="1"/>
  <c r="H63" i="14"/>
  <c r="G65" i="14"/>
  <c r="K65" i="14" s="1"/>
  <c r="J65" i="15" s="1"/>
  <c r="K64" i="14"/>
  <c r="J64" i="15" s="1"/>
  <c r="E66" i="14"/>
  <c r="D67" i="14" s="1"/>
  <c r="C66" i="14"/>
  <c r="G64" i="15"/>
  <c r="J64" i="14"/>
  <c r="H64" i="15" s="1"/>
  <c r="I65" i="14" l="1"/>
  <c r="G65" i="15" s="1"/>
  <c r="D65" i="15"/>
  <c r="H64" i="14"/>
  <c r="E67" i="14"/>
  <c r="D68" i="14" s="1"/>
  <c r="C67" i="14"/>
  <c r="G66" i="14"/>
  <c r="J66" i="14" s="1"/>
  <c r="H66" i="15" s="1"/>
  <c r="J65" i="14"/>
  <c r="H65" i="15" s="1"/>
  <c r="I66" i="14" l="1"/>
  <c r="G66" i="15"/>
  <c r="D66" i="15"/>
  <c r="H65" i="14"/>
  <c r="E68" i="14"/>
  <c r="D69" i="14" s="1"/>
  <c r="C68" i="14"/>
  <c r="K66" i="14"/>
  <c r="J66" i="15" s="1"/>
  <c r="G67" i="14"/>
  <c r="I67" i="14" l="1"/>
  <c r="G67" i="15" s="1"/>
  <c r="C69" i="14"/>
  <c r="E69" i="14"/>
  <c r="D70" i="14" s="1"/>
  <c r="G68" i="14"/>
  <c r="K68" i="14" s="1"/>
  <c r="J68" i="15" s="1"/>
  <c r="K67" i="14"/>
  <c r="J67" i="15" s="1"/>
  <c r="D67" i="15"/>
  <c r="H66" i="14"/>
  <c r="J67" i="14"/>
  <c r="H67" i="15" s="1"/>
  <c r="I68" i="14" l="1"/>
  <c r="G68" i="15" s="1"/>
  <c r="D68" i="15"/>
  <c r="H67" i="14"/>
  <c r="E70" i="14"/>
  <c r="D71" i="14" s="1"/>
  <c r="C70" i="14"/>
  <c r="J68" i="14"/>
  <c r="H68" i="15" s="1"/>
  <c r="G69" i="14"/>
  <c r="I69" i="14" s="1"/>
  <c r="D69" i="15" l="1"/>
  <c r="H68" i="14"/>
  <c r="E71" i="14"/>
  <c r="D72" i="14" s="1"/>
  <c r="C71" i="14"/>
  <c r="K69" i="14"/>
  <c r="J69" i="15" s="1"/>
  <c r="G69" i="15"/>
  <c r="J69" i="14"/>
  <c r="H69" i="15" s="1"/>
  <c r="G70" i="14"/>
  <c r="I70" i="14" s="1"/>
  <c r="D70" i="15" l="1"/>
  <c r="H69" i="14"/>
  <c r="G71" i="14"/>
  <c r="J71" i="14" s="1"/>
  <c r="H71" i="15" s="1"/>
  <c r="K70" i="14"/>
  <c r="J70" i="15" s="1"/>
  <c r="E72" i="14"/>
  <c r="D73" i="14" s="1"/>
  <c r="C72" i="14"/>
  <c r="G70" i="15"/>
  <c r="J70" i="14"/>
  <c r="H70" i="15" s="1"/>
  <c r="I71" i="14" l="1"/>
  <c r="G71" i="15" s="1"/>
  <c r="K71" i="14"/>
  <c r="J71" i="15" s="1"/>
  <c r="C73" i="14"/>
  <c r="E73" i="14"/>
  <c r="D74" i="14" s="1"/>
  <c r="G72" i="14"/>
  <c r="K72" i="14" s="1"/>
  <c r="J72" i="15" s="1"/>
  <c r="D71" i="15"/>
  <c r="H70" i="14"/>
  <c r="I72" i="14" l="1"/>
  <c r="G72" i="15"/>
  <c r="J72" i="14"/>
  <c r="H72" i="15" s="1"/>
  <c r="E74" i="14"/>
  <c r="D75" i="14" s="1"/>
  <c r="C74" i="14"/>
  <c r="D72" i="15"/>
  <c r="H71" i="14"/>
  <c r="G73" i="14"/>
  <c r="J73" i="14" s="1"/>
  <c r="H73" i="15" s="1"/>
  <c r="I73" i="14" l="1"/>
  <c r="D73" i="15"/>
  <c r="H72" i="14"/>
  <c r="G74" i="14"/>
  <c r="I74" i="14" s="1"/>
  <c r="G73" i="15"/>
  <c r="K73" i="14"/>
  <c r="J73" i="15" s="1"/>
  <c r="E75" i="14"/>
  <c r="D76" i="14" s="1"/>
  <c r="C75" i="14"/>
  <c r="D74" i="15" l="1"/>
  <c r="H73" i="14"/>
  <c r="J74" i="14"/>
  <c r="H74" i="15" s="1"/>
  <c r="G75" i="14"/>
  <c r="K74" i="14"/>
  <c r="J74" i="15" s="1"/>
  <c r="E76" i="14"/>
  <c r="D77" i="14" s="1"/>
  <c r="C76" i="14"/>
  <c r="G74" i="15"/>
  <c r="I75" i="14" l="1"/>
  <c r="G75" i="15" s="1"/>
  <c r="D75" i="15"/>
  <c r="H74" i="14"/>
  <c r="J75" i="14"/>
  <c r="H75" i="15" s="1"/>
  <c r="G76" i="14"/>
  <c r="J76" i="14" s="1"/>
  <c r="H76" i="15" s="1"/>
  <c r="C77" i="14"/>
  <c r="E77" i="14"/>
  <c r="D78" i="14" s="1"/>
  <c r="K75" i="14"/>
  <c r="J75" i="15" s="1"/>
  <c r="I76" i="14" l="1"/>
  <c r="K76" i="14"/>
  <c r="J76" i="15" s="1"/>
  <c r="G76" i="15"/>
  <c r="G77" i="14"/>
  <c r="J77" i="14" s="1"/>
  <c r="H77" i="15" s="1"/>
  <c r="E78" i="14"/>
  <c r="D79" i="14" s="1"/>
  <c r="C78" i="14"/>
  <c r="D76" i="15"/>
  <c r="H75" i="14"/>
  <c r="I77" i="14" l="1"/>
  <c r="G77" i="15"/>
  <c r="D77" i="15"/>
  <c r="H76" i="14"/>
  <c r="G78" i="14"/>
  <c r="I78" i="14" s="1"/>
  <c r="E79" i="14"/>
  <c r="D80" i="14" s="1"/>
  <c r="C79" i="14"/>
  <c r="K77" i="14"/>
  <c r="J77" i="15" s="1"/>
  <c r="D78" i="15" l="1"/>
  <c r="H77" i="14"/>
  <c r="K78" i="14"/>
  <c r="J78" i="15" s="1"/>
  <c r="G78" i="15"/>
  <c r="E80" i="14"/>
  <c r="D81" i="14" s="1"/>
  <c r="C80" i="14"/>
  <c r="G79" i="14"/>
  <c r="J79" i="14" s="1"/>
  <c r="H79" i="15" s="1"/>
  <c r="J78" i="14"/>
  <c r="H78" i="15" s="1"/>
  <c r="I79" i="14" l="1"/>
  <c r="K79" i="14"/>
  <c r="J79" i="15" s="1"/>
  <c r="G79" i="15"/>
  <c r="G80" i="14"/>
  <c r="I80" i="14" s="1"/>
  <c r="D79" i="15"/>
  <c r="H78" i="14"/>
  <c r="C81" i="14"/>
  <c r="E81" i="14"/>
  <c r="D82" i="14" s="1"/>
  <c r="D80" i="15" l="1"/>
  <c r="H79" i="14"/>
  <c r="K80" i="14"/>
  <c r="J80" i="15" s="1"/>
  <c r="G81" i="14"/>
  <c r="J81" i="14" s="1"/>
  <c r="H81" i="15" s="1"/>
  <c r="J80" i="14"/>
  <c r="H80" i="15" s="1"/>
  <c r="E82" i="14"/>
  <c r="D83" i="14" s="1"/>
  <c r="C82" i="14"/>
  <c r="G80" i="15"/>
  <c r="I81" i="14" l="1"/>
  <c r="K81" i="14"/>
  <c r="J81" i="15" s="1"/>
  <c r="G81" i="15"/>
  <c r="G82" i="14"/>
  <c r="J82" i="14" s="1"/>
  <c r="H82" i="15" s="1"/>
  <c r="E83" i="14"/>
  <c r="D84" i="14" s="1"/>
  <c r="C83" i="14"/>
  <c r="D81" i="15"/>
  <c r="H80" i="14"/>
  <c r="I82" i="14" l="1"/>
  <c r="K82" i="14"/>
  <c r="J82" i="15" s="1"/>
  <c r="G82" i="15"/>
  <c r="G83" i="14"/>
  <c r="I83" i="14" s="1"/>
  <c r="E84" i="14"/>
  <c r="D85" i="14" s="1"/>
  <c r="C84" i="14"/>
  <c r="D82" i="15"/>
  <c r="H81" i="14"/>
  <c r="D83" i="15" l="1"/>
  <c r="H82" i="14"/>
  <c r="J83" i="14"/>
  <c r="H83" i="15" s="1"/>
  <c r="G84" i="14"/>
  <c r="J84" i="14" s="1"/>
  <c r="H84" i="15" s="1"/>
  <c r="K83" i="14"/>
  <c r="J83" i="15" s="1"/>
  <c r="C85" i="14"/>
  <c r="E85" i="14"/>
  <c r="D86" i="14" s="1"/>
  <c r="G83" i="15"/>
  <c r="I84" i="14" l="1"/>
  <c r="K84" i="14"/>
  <c r="J84" i="15" s="1"/>
  <c r="G84" i="15"/>
  <c r="E86" i="14"/>
  <c r="D87" i="14" s="1"/>
  <c r="C86" i="14"/>
  <c r="G85" i="14"/>
  <c r="K85" i="14" s="1"/>
  <c r="J85" i="15" s="1"/>
  <c r="H83" i="14"/>
  <c r="D84" i="15"/>
  <c r="I85" i="14" l="1"/>
  <c r="G86" i="14"/>
  <c r="J86" i="14" s="1"/>
  <c r="H86" i="15" s="1"/>
  <c r="D85" i="15"/>
  <c r="H84" i="14"/>
  <c r="G85" i="15"/>
  <c r="J85" i="14"/>
  <c r="H85" i="15" s="1"/>
  <c r="E87" i="14"/>
  <c r="D88" i="14" s="1"/>
  <c r="C87" i="14"/>
  <c r="I86" i="14" l="1"/>
  <c r="K86" i="14"/>
  <c r="J86" i="15" s="1"/>
  <c r="G86" i="15"/>
  <c r="G87" i="14"/>
  <c r="E88" i="14"/>
  <c r="D89" i="14" s="1"/>
  <c r="C88" i="14"/>
  <c r="D86" i="15"/>
  <c r="H85" i="14"/>
  <c r="I87" i="14" l="1"/>
  <c r="G87" i="15" s="1"/>
  <c r="G88" i="14"/>
  <c r="J88" i="14" s="1"/>
  <c r="H88" i="15" s="1"/>
  <c r="K87" i="14"/>
  <c r="J87" i="15" s="1"/>
  <c r="C89" i="14"/>
  <c r="E89" i="14"/>
  <c r="D90" i="14" s="1"/>
  <c r="D87" i="15"/>
  <c r="H86" i="14"/>
  <c r="J87" i="14"/>
  <c r="H87" i="15" s="1"/>
  <c r="I88" i="14" l="1"/>
  <c r="G88" i="15" s="1"/>
  <c r="E90" i="14"/>
  <c r="D91" i="14" s="1"/>
  <c r="C90" i="14"/>
  <c r="G89" i="14"/>
  <c r="K89" i="14" s="1"/>
  <c r="J89" i="15" s="1"/>
  <c r="D88" i="15"/>
  <c r="H87" i="14"/>
  <c r="K88" i="14"/>
  <c r="J88" i="15" s="1"/>
  <c r="I89" i="14" l="1"/>
  <c r="G89" i="15" s="1"/>
  <c r="D89" i="15"/>
  <c r="H88" i="14"/>
  <c r="G90" i="14"/>
  <c r="J89" i="14"/>
  <c r="H89" i="15" s="1"/>
  <c r="E91" i="14"/>
  <c r="D92" i="14" s="1"/>
  <c r="C91" i="14"/>
  <c r="I90" i="14" l="1"/>
  <c r="G90" i="15" s="1"/>
  <c r="K90" i="14"/>
  <c r="J90" i="15" s="1"/>
  <c r="D90" i="15"/>
  <c r="H89" i="14"/>
  <c r="G91" i="14"/>
  <c r="J91" i="14" s="1"/>
  <c r="H91" i="15" s="1"/>
  <c r="E92" i="14"/>
  <c r="D93" i="14" s="1"/>
  <c r="C92" i="14"/>
  <c r="J90" i="14"/>
  <c r="H90" i="15" s="1"/>
  <c r="I91" i="14" l="1"/>
  <c r="C93" i="14"/>
  <c r="E93" i="14"/>
  <c r="D94" i="14" s="1"/>
  <c r="G91" i="15"/>
  <c r="D91" i="15"/>
  <c r="H90" i="14"/>
  <c r="G92" i="14"/>
  <c r="I92" i="14" s="1"/>
  <c r="K91" i="14"/>
  <c r="J91" i="15" s="1"/>
  <c r="D92" i="15" l="1"/>
  <c r="H91" i="14"/>
  <c r="J92" i="14"/>
  <c r="H92" i="15" s="1"/>
  <c r="K92" i="14"/>
  <c r="J92" i="15" s="1"/>
  <c r="E94" i="14"/>
  <c r="D95" i="14" s="1"/>
  <c r="C94" i="14"/>
  <c r="G92" i="15"/>
  <c r="G93" i="14"/>
  <c r="J93" i="14" s="1"/>
  <c r="H93" i="15" s="1"/>
  <c r="I93" i="14" l="1"/>
  <c r="G93" i="15"/>
  <c r="K93" i="14"/>
  <c r="J93" i="15" s="1"/>
  <c r="G94" i="14"/>
  <c r="J94" i="14" s="1"/>
  <c r="H94" i="15" s="1"/>
  <c r="D93" i="15"/>
  <c r="H92" i="14"/>
  <c r="E95" i="14"/>
  <c r="D96" i="14" s="1"/>
  <c r="C95" i="14"/>
  <c r="I94" i="14" l="1"/>
  <c r="G95" i="14"/>
  <c r="K95" i="14" s="1"/>
  <c r="J95" i="15" s="1"/>
  <c r="K94" i="14"/>
  <c r="J94" i="15" s="1"/>
  <c r="E96" i="14"/>
  <c r="D97" i="14" s="1"/>
  <c r="C96" i="14"/>
  <c r="G94" i="15"/>
  <c r="D94" i="15"/>
  <c r="H93" i="14"/>
  <c r="I95" i="14" l="1"/>
  <c r="G95" i="15" s="1"/>
  <c r="J95" i="14"/>
  <c r="H95" i="15" s="1"/>
  <c r="G96" i="14"/>
  <c r="K96" i="14" s="1"/>
  <c r="J96" i="15" s="1"/>
  <c r="C97" i="14"/>
  <c r="E97" i="14"/>
  <c r="D98" i="14" s="1"/>
  <c r="D95" i="15"/>
  <c r="H94" i="14"/>
  <c r="I96" i="14" l="1"/>
  <c r="J96" i="14"/>
  <c r="H96" i="15" s="1"/>
  <c r="E98" i="14"/>
  <c r="D99" i="14" s="1"/>
  <c r="C98" i="14"/>
  <c r="G97" i="14"/>
  <c r="D96" i="15"/>
  <c r="H95" i="14"/>
  <c r="G96" i="15"/>
  <c r="I97" i="14" l="1"/>
  <c r="G97" i="15" s="1"/>
  <c r="K97" i="14"/>
  <c r="J97" i="15" s="1"/>
  <c r="G98" i="14"/>
  <c r="J98" i="14" s="1"/>
  <c r="H98" i="15" s="1"/>
  <c r="D97" i="15"/>
  <c r="H96" i="14"/>
  <c r="J97" i="14"/>
  <c r="H97" i="15" s="1"/>
  <c r="E99" i="14"/>
  <c r="D100" i="14" s="1"/>
  <c r="C99" i="14"/>
  <c r="I98" i="14" l="1"/>
  <c r="G98" i="15"/>
  <c r="D98" i="15"/>
  <c r="H97" i="14"/>
  <c r="G99" i="14"/>
  <c r="J99" i="14" s="1"/>
  <c r="H99" i="15" s="1"/>
  <c r="E100" i="14"/>
  <c r="D101" i="14" s="1"/>
  <c r="C100" i="14"/>
  <c r="K98" i="14"/>
  <c r="J98" i="15" s="1"/>
  <c r="I99" i="14" l="1"/>
  <c r="G99" i="15" s="1"/>
  <c r="C101" i="14"/>
  <c r="E101" i="14"/>
  <c r="D102" i="14" s="1"/>
  <c r="D99" i="15"/>
  <c r="H98" i="14"/>
  <c r="G100" i="14"/>
  <c r="J100" i="14" s="1"/>
  <c r="H100" i="15" s="1"/>
  <c r="K99" i="14"/>
  <c r="J99" i="15" s="1"/>
  <c r="I100" i="14" l="1"/>
  <c r="D100" i="15"/>
  <c r="H99" i="14"/>
  <c r="E102" i="14"/>
  <c r="D103" i="14" s="1"/>
  <c r="C102" i="14"/>
  <c r="K100" i="14"/>
  <c r="J100" i="15" s="1"/>
  <c r="G100" i="15"/>
  <c r="G101" i="14"/>
  <c r="I101" i="14" s="1"/>
  <c r="D101" i="15" l="1"/>
  <c r="H100" i="14"/>
  <c r="K101" i="14"/>
  <c r="J101" i="15" s="1"/>
  <c r="E103" i="14"/>
  <c r="D104" i="14" s="1"/>
  <c r="C103" i="14"/>
  <c r="G102" i="14"/>
  <c r="J102" i="14" s="1"/>
  <c r="H102" i="15" s="1"/>
  <c r="G101" i="15"/>
  <c r="J101" i="14"/>
  <c r="H101" i="15" s="1"/>
  <c r="I102" i="14" l="1"/>
  <c r="G102" i="15" s="1"/>
  <c r="E104" i="14"/>
  <c r="D105" i="14" s="1"/>
  <c r="C104" i="14"/>
  <c r="D102" i="15"/>
  <c r="H101" i="14"/>
  <c r="K102" i="14"/>
  <c r="J102" i="15" s="1"/>
  <c r="G103" i="14"/>
  <c r="I103" i="14" s="1"/>
  <c r="D103" i="15" l="1"/>
  <c r="H102" i="14"/>
  <c r="K103" i="14"/>
  <c r="J103" i="15" s="1"/>
  <c r="G103" i="15"/>
  <c r="G104" i="14"/>
  <c r="J104" i="14" s="1"/>
  <c r="H104" i="15" s="1"/>
  <c r="J103" i="14"/>
  <c r="H103" i="15" s="1"/>
  <c r="C105" i="14"/>
  <c r="E105" i="14"/>
  <c r="D106" i="14" s="1"/>
  <c r="I104" i="14" l="1"/>
  <c r="G104" i="15"/>
  <c r="E106" i="14"/>
  <c r="D107" i="14" s="1"/>
  <c r="C106" i="14"/>
  <c r="G105" i="14"/>
  <c r="K105" i="14" s="1"/>
  <c r="J105" i="15" s="1"/>
  <c r="D104" i="15"/>
  <c r="H103" i="14"/>
  <c r="K104" i="14"/>
  <c r="J104" i="15" s="1"/>
  <c r="I105" i="14" l="1"/>
  <c r="G105" i="15" s="1"/>
  <c r="D105" i="15"/>
  <c r="H104" i="14"/>
  <c r="G106" i="14"/>
  <c r="J105" i="14"/>
  <c r="H105" i="15" s="1"/>
  <c r="E107" i="14"/>
  <c r="D108" i="14" s="1"/>
  <c r="C107" i="14"/>
  <c r="I106" i="14" l="1"/>
  <c r="G106" i="15" s="1"/>
  <c r="K106" i="14"/>
  <c r="J106" i="15" s="1"/>
  <c r="G107" i="14"/>
  <c r="I107" i="14" s="1"/>
  <c r="D106" i="15"/>
  <c r="H105" i="14"/>
  <c r="E108" i="14"/>
  <c r="D109" i="14" s="1"/>
  <c r="C108" i="14"/>
  <c r="J106" i="14"/>
  <c r="H106" i="15" s="1"/>
  <c r="D107" i="15" l="1"/>
  <c r="H106" i="14"/>
  <c r="K107" i="14"/>
  <c r="J107" i="15" s="1"/>
  <c r="G107" i="15"/>
  <c r="C109" i="14"/>
  <c r="E109" i="14"/>
  <c r="D110" i="14" s="1"/>
  <c r="G108" i="14"/>
  <c r="I108" i="14" s="1"/>
  <c r="J107" i="14"/>
  <c r="H107" i="15" s="1"/>
  <c r="E110" i="14" l="1"/>
  <c r="D111" i="14" s="1"/>
  <c r="C110" i="14"/>
  <c r="D108" i="15"/>
  <c r="H107" i="14"/>
  <c r="K108" i="14"/>
  <c r="J108" i="15" s="1"/>
  <c r="G108" i="15"/>
  <c r="J108" i="14"/>
  <c r="H108" i="15" s="1"/>
  <c r="G109" i="14"/>
  <c r="J109" i="14" s="1"/>
  <c r="H109" i="15" s="1"/>
  <c r="I109" i="14" l="1"/>
  <c r="K109" i="14"/>
  <c r="J109" i="15" s="1"/>
  <c r="G109" i="15"/>
  <c r="G110" i="14"/>
  <c r="J110" i="14" s="1"/>
  <c r="H110" i="15" s="1"/>
  <c r="D109" i="15"/>
  <c r="H108" i="14"/>
  <c r="E111" i="14"/>
  <c r="D112" i="14" s="1"/>
  <c r="C111" i="14"/>
  <c r="I110" i="14" l="1"/>
  <c r="G110" i="15" s="1"/>
  <c r="E112" i="14"/>
  <c r="D113" i="14" s="1"/>
  <c r="C112" i="14"/>
  <c r="D110" i="15"/>
  <c r="H109" i="14"/>
  <c r="G111" i="14"/>
  <c r="K111" i="14" s="1"/>
  <c r="J111" i="15" s="1"/>
  <c r="K110" i="14"/>
  <c r="J110" i="15" s="1"/>
  <c r="I111" i="14" l="1"/>
  <c r="G111" i="15" s="1"/>
  <c r="G112" i="14"/>
  <c r="J112" i="14" s="1"/>
  <c r="H112" i="15" s="1"/>
  <c r="D111" i="15"/>
  <c r="H110" i="14"/>
  <c r="J111" i="14"/>
  <c r="H111" i="15" s="1"/>
  <c r="C113" i="14"/>
  <c r="E113" i="14"/>
  <c r="D114" i="14" s="1"/>
  <c r="I112" i="14" l="1"/>
  <c r="G112" i="15" s="1"/>
  <c r="D112" i="15"/>
  <c r="H111" i="14"/>
  <c r="E114" i="14"/>
  <c r="D115" i="14" s="1"/>
  <c r="C114" i="14"/>
  <c r="G113" i="14"/>
  <c r="K113" i="14" s="1"/>
  <c r="J113" i="15" s="1"/>
  <c r="K112" i="14"/>
  <c r="J112" i="15" s="1"/>
  <c r="I113" i="14" l="1"/>
  <c r="J113" i="14"/>
  <c r="H113" i="15" s="1"/>
  <c r="E115" i="14"/>
  <c r="D116" i="14" s="1"/>
  <c r="C115" i="14"/>
  <c r="D113" i="15"/>
  <c r="H112" i="14"/>
  <c r="G113" i="15"/>
  <c r="G114" i="14"/>
  <c r="I114" i="14" s="1"/>
  <c r="D114" i="15" l="1"/>
  <c r="H113" i="14"/>
  <c r="G115" i="14"/>
  <c r="J115" i="14" s="1"/>
  <c r="H115" i="15" s="1"/>
  <c r="E116" i="14"/>
  <c r="D117" i="14" s="1"/>
  <c r="C116" i="14"/>
  <c r="J114" i="14"/>
  <c r="H114" i="15" s="1"/>
  <c r="K114" i="14"/>
  <c r="J114" i="15" s="1"/>
  <c r="G114" i="15"/>
  <c r="I115" i="14" l="1"/>
  <c r="K115" i="14"/>
  <c r="J115" i="15" s="1"/>
  <c r="G116" i="14"/>
  <c r="J116" i="14" s="1"/>
  <c r="H116" i="15" s="1"/>
  <c r="C117" i="14"/>
  <c r="E117" i="14"/>
  <c r="D118" i="14" s="1"/>
  <c r="G115" i="15"/>
  <c r="D115" i="15"/>
  <c r="H114" i="14"/>
  <c r="I116" i="14" l="1"/>
  <c r="G116" i="15"/>
  <c r="D116" i="15"/>
  <c r="H115" i="14"/>
  <c r="E118" i="14"/>
  <c r="D119" i="14" s="1"/>
  <c r="C118" i="14"/>
  <c r="G117" i="14"/>
  <c r="I117" i="14" s="1"/>
  <c r="K116" i="14"/>
  <c r="J116" i="15" s="1"/>
  <c r="D117" i="15" l="1"/>
  <c r="H116" i="14"/>
  <c r="K117" i="14"/>
  <c r="J117" i="15" s="1"/>
  <c r="J117" i="14"/>
  <c r="H117" i="15" s="1"/>
  <c r="E119" i="14"/>
  <c r="D120" i="14" s="1"/>
  <c r="C119" i="14"/>
  <c r="G117" i="15"/>
  <c r="G118" i="14"/>
  <c r="K118" i="14" s="1"/>
  <c r="J118" i="15" s="1"/>
  <c r="I118" i="14" l="1"/>
  <c r="G119" i="14"/>
  <c r="I119" i="14" s="1"/>
  <c r="D118" i="15"/>
  <c r="H117" i="14"/>
  <c r="G118" i="15"/>
  <c r="J118" i="14"/>
  <c r="H118" i="15" s="1"/>
  <c r="E120" i="14"/>
  <c r="D121" i="14" s="1"/>
  <c r="C120" i="14"/>
  <c r="D119" i="15" l="1"/>
  <c r="H118" i="14"/>
  <c r="J119" i="14"/>
  <c r="H119" i="15" s="1"/>
  <c r="G120" i="14"/>
  <c r="J120" i="14" s="1"/>
  <c r="H120" i="15" s="1"/>
  <c r="K119" i="14"/>
  <c r="J119" i="15" s="1"/>
  <c r="C121" i="14"/>
  <c r="E121" i="14"/>
  <c r="D122" i="14" s="1"/>
  <c r="G119" i="15"/>
  <c r="I120" i="14" l="1"/>
  <c r="G120" i="15"/>
  <c r="K120" i="14"/>
  <c r="J120" i="15" s="1"/>
  <c r="E122" i="14"/>
  <c r="D123" i="14" s="1"/>
  <c r="C122" i="14"/>
  <c r="G121" i="14"/>
  <c r="I121" i="14" s="1"/>
  <c r="D120" i="15"/>
  <c r="H119" i="14"/>
  <c r="D121" i="15" l="1"/>
  <c r="H120" i="14"/>
  <c r="G122" i="14"/>
  <c r="J122" i="14" s="1"/>
  <c r="H122" i="15" s="1"/>
  <c r="K121" i="14"/>
  <c r="J121" i="15" s="1"/>
  <c r="G121" i="15"/>
  <c r="J121" i="14"/>
  <c r="H121" i="15" s="1"/>
  <c r="E123" i="14"/>
  <c r="D124" i="14" s="1"/>
  <c r="C123" i="14"/>
  <c r="I122" i="14" l="1"/>
  <c r="G122" i="15" s="1"/>
  <c r="D122" i="15"/>
  <c r="H121" i="14"/>
  <c r="E124" i="14"/>
  <c r="D125" i="14" s="1"/>
  <c r="C124" i="14"/>
  <c r="K122" i="14"/>
  <c r="J122" i="15" s="1"/>
  <c r="G123" i="14"/>
  <c r="I123" i="14" s="1"/>
  <c r="D123" i="15" l="1"/>
  <c r="H122" i="14"/>
  <c r="K123" i="14"/>
  <c r="J123" i="15" s="1"/>
  <c r="C125" i="14"/>
  <c r="E125" i="14"/>
  <c r="D126" i="14" s="1"/>
  <c r="G123" i="15"/>
  <c r="G124" i="14"/>
  <c r="J123" i="14"/>
  <c r="H123" i="15" s="1"/>
  <c r="I124" i="14" l="1"/>
  <c r="G124" i="15" s="1"/>
  <c r="K124" i="14"/>
  <c r="J124" i="15" s="1"/>
  <c r="D124" i="15"/>
  <c r="H123" i="14"/>
  <c r="G125" i="14"/>
  <c r="J125" i="14" s="1"/>
  <c r="H125" i="15" s="1"/>
  <c r="J124" i="14"/>
  <c r="H124" i="15" s="1"/>
  <c r="E126" i="14"/>
  <c r="D127" i="14" s="1"/>
  <c r="C126" i="14"/>
  <c r="I125" i="14" l="1"/>
  <c r="G125" i="15"/>
  <c r="E127" i="14"/>
  <c r="D128" i="14" s="1"/>
  <c r="C127" i="14"/>
  <c r="K125" i="14"/>
  <c r="J125" i="15" s="1"/>
  <c r="G126" i="14"/>
  <c r="J126" i="14" s="1"/>
  <c r="H126" i="15" s="1"/>
  <c r="D125" i="15"/>
  <c r="H124" i="14"/>
  <c r="I126" i="14" l="1"/>
  <c r="G126" i="15" s="1"/>
  <c r="K126" i="14"/>
  <c r="J126" i="15" s="1"/>
  <c r="G127" i="14"/>
  <c r="I127" i="14" s="1"/>
  <c r="E128" i="14"/>
  <c r="D129" i="14" s="1"/>
  <c r="C128" i="14"/>
  <c r="D126" i="15"/>
  <c r="H125" i="14"/>
  <c r="D127" i="15" l="1"/>
  <c r="H126" i="14"/>
  <c r="J127" i="14"/>
  <c r="H127" i="15" s="1"/>
  <c r="C129" i="14"/>
  <c r="E129" i="14"/>
  <c r="D130" i="14" s="1"/>
  <c r="K127" i="14"/>
  <c r="J127" i="15" s="1"/>
  <c r="G128" i="14"/>
  <c r="I128" i="14" s="1"/>
  <c r="G127" i="15"/>
  <c r="D128" i="15" l="1"/>
  <c r="H127" i="14"/>
  <c r="G129" i="14"/>
  <c r="K128" i="14"/>
  <c r="J128" i="15" s="1"/>
  <c r="G128" i="15"/>
  <c r="J128" i="14"/>
  <c r="H128" i="15" s="1"/>
  <c r="E130" i="14"/>
  <c r="D131" i="14" s="1"/>
  <c r="C130" i="14"/>
  <c r="I129" i="14" l="1"/>
  <c r="G129" i="15" s="1"/>
  <c r="K129" i="14"/>
  <c r="J129" i="15" s="1"/>
  <c r="G130" i="14"/>
  <c r="J130" i="14" s="1"/>
  <c r="H130" i="15" s="1"/>
  <c r="E131" i="14"/>
  <c r="D132" i="14" s="1"/>
  <c r="C131" i="14"/>
  <c r="D129" i="15"/>
  <c r="H128" i="14"/>
  <c r="J129" i="14"/>
  <c r="H129" i="15" s="1"/>
  <c r="I130" i="14" l="1"/>
  <c r="G130" i="15"/>
  <c r="G131" i="14"/>
  <c r="I131" i="14" s="1"/>
  <c r="D130" i="15"/>
  <c r="H129" i="14"/>
  <c r="E132" i="14"/>
  <c r="D133" i="14" s="1"/>
  <c r="C132" i="14"/>
  <c r="K130" i="14"/>
  <c r="J130" i="15" s="1"/>
  <c r="D131" i="15" l="1"/>
  <c r="H130" i="14"/>
  <c r="K131" i="14"/>
  <c r="J131" i="15" s="1"/>
  <c r="G131" i="15"/>
  <c r="C133" i="14"/>
  <c r="E133" i="14"/>
  <c r="D134" i="14" s="1"/>
  <c r="G132" i="14"/>
  <c r="I132" i="14" s="1"/>
  <c r="J131" i="14"/>
  <c r="H131" i="15" s="1"/>
  <c r="E134" i="14" l="1"/>
  <c r="D135" i="14" s="1"/>
  <c r="C134" i="14"/>
  <c r="D132" i="15"/>
  <c r="H131" i="14"/>
  <c r="K132" i="14"/>
  <c r="J132" i="15" s="1"/>
  <c r="G132" i="15"/>
  <c r="J132" i="14"/>
  <c r="H132" i="15" s="1"/>
  <c r="G133" i="14"/>
  <c r="J133" i="14" s="1"/>
  <c r="H133" i="15" s="1"/>
  <c r="I133" i="14" l="1"/>
  <c r="K133" i="14"/>
  <c r="J133" i="15" s="1"/>
  <c r="G133" i="15"/>
  <c r="G134" i="14"/>
  <c r="J134" i="14" s="1"/>
  <c r="H134" i="15" s="1"/>
  <c r="D133" i="15"/>
  <c r="H132" i="14"/>
  <c r="E135" i="14"/>
  <c r="D136" i="14" s="1"/>
  <c r="C135" i="14"/>
  <c r="I134" i="14" l="1"/>
  <c r="G134" i="15" s="1"/>
  <c r="E136" i="14"/>
  <c r="D137" i="14" s="1"/>
  <c r="C136" i="14"/>
  <c r="D134" i="15"/>
  <c r="H133" i="14"/>
  <c r="G135" i="14"/>
  <c r="I135" i="14" s="1"/>
  <c r="K134" i="14"/>
  <c r="J134" i="15" s="1"/>
  <c r="D135" i="15" l="1"/>
  <c r="H134" i="14"/>
  <c r="K135" i="14"/>
  <c r="J135" i="15" s="1"/>
  <c r="G135" i="15"/>
  <c r="G136" i="14"/>
  <c r="J135" i="14"/>
  <c r="H135" i="15" s="1"/>
  <c r="C137" i="14"/>
  <c r="E137" i="14"/>
  <c r="D138" i="14" s="1"/>
  <c r="I136" i="14" l="1"/>
  <c r="G136" i="15" s="1"/>
  <c r="D136" i="15"/>
  <c r="H135" i="14"/>
  <c r="E138" i="14"/>
  <c r="D139" i="14" s="1"/>
  <c r="C138" i="14"/>
  <c r="J136" i="14"/>
  <c r="H136" i="15" s="1"/>
  <c r="G137" i="14"/>
  <c r="K137" i="14" s="1"/>
  <c r="J137" i="15" s="1"/>
  <c r="K136" i="14"/>
  <c r="J136" i="15" s="1"/>
  <c r="I137" i="14" l="1"/>
  <c r="G137" i="15" s="1"/>
  <c r="J137" i="14"/>
  <c r="H137" i="15" s="1"/>
  <c r="G138" i="14"/>
  <c r="J138" i="14" s="1"/>
  <c r="H138" i="15" s="1"/>
  <c r="E139" i="14"/>
  <c r="D140" i="14" s="1"/>
  <c r="C139" i="14"/>
  <c r="D137" i="15"/>
  <c r="H136" i="14"/>
  <c r="I138" i="14" l="1"/>
  <c r="G138" i="15" s="1"/>
  <c r="E140" i="14"/>
  <c r="D141" i="14" s="1"/>
  <c r="C140" i="14"/>
  <c r="G139" i="14"/>
  <c r="J139" i="14" s="1"/>
  <c r="H139" i="15" s="1"/>
  <c r="D138" i="15"/>
  <c r="H137" i="14"/>
  <c r="K138" i="14"/>
  <c r="J138" i="15" s="1"/>
  <c r="I139" i="14" l="1"/>
  <c r="G139" i="15" s="1"/>
  <c r="G140" i="14"/>
  <c r="J140" i="14" s="1"/>
  <c r="H140" i="15" s="1"/>
  <c r="D139" i="15"/>
  <c r="H138" i="14"/>
  <c r="K139" i="14"/>
  <c r="J139" i="15" s="1"/>
  <c r="C141" i="14"/>
  <c r="E141" i="14"/>
  <c r="D142" i="14" s="1"/>
  <c r="I140" i="14" l="1"/>
  <c r="G140" i="15" s="1"/>
  <c r="G141" i="14"/>
  <c r="J141" i="14" s="1"/>
  <c r="H141" i="15" s="1"/>
  <c r="D140" i="15"/>
  <c r="H139" i="14"/>
  <c r="E142" i="14"/>
  <c r="D143" i="14" s="1"/>
  <c r="C142" i="14"/>
  <c r="K140" i="14"/>
  <c r="J140" i="15" s="1"/>
  <c r="I141" i="14" l="1"/>
  <c r="G141" i="15" s="1"/>
  <c r="E143" i="14"/>
  <c r="D144" i="14" s="1"/>
  <c r="C143" i="14"/>
  <c r="D141" i="15"/>
  <c r="H140" i="14"/>
  <c r="G142" i="14"/>
  <c r="J142" i="14" s="1"/>
  <c r="H142" i="15" s="1"/>
  <c r="K141" i="14"/>
  <c r="J141" i="15" s="1"/>
  <c r="I142" i="14" l="1"/>
  <c r="G142" i="15" s="1"/>
  <c r="G143" i="14"/>
  <c r="D142" i="15"/>
  <c r="H141" i="14"/>
  <c r="E144" i="14"/>
  <c r="D145" i="14" s="1"/>
  <c r="C144" i="14"/>
  <c r="K142" i="14"/>
  <c r="J142" i="15" s="1"/>
  <c r="I143" i="14" l="1"/>
  <c r="G143" i="15" s="1"/>
  <c r="C145" i="14"/>
  <c r="E145" i="14"/>
  <c r="D146" i="14" s="1"/>
  <c r="K143" i="14"/>
  <c r="J143" i="15" s="1"/>
  <c r="D143" i="15"/>
  <c r="H142" i="14"/>
  <c r="G144" i="14"/>
  <c r="I144" i="14" s="1"/>
  <c r="J143" i="14"/>
  <c r="H143" i="15" s="1"/>
  <c r="D144" i="15" l="1"/>
  <c r="H143" i="14"/>
  <c r="E146" i="14"/>
  <c r="D147" i="14" s="1"/>
  <c r="C146" i="14"/>
  <c r="J144" i="14"/>
  <c r="H144" i="15" s="1"/>
  <c r="K144" i="14"/>
  <c r="J144" i="15" s="1"/>
  <c r="G144" i="15"/>
  <c r="G145" i="14"/>
  <c r="J145" i="14" s="1"/>
  <c r="H145" i="15" s="1"/>
  <c r="I145" i="14" l="1"/>
  <c r="K145" i="14"/>
  <c r="J145" i="15" s="1"/>
  <c r="G145" i="15"/>
  <c r="E147" i="14"/>
  <c r="D148" i="14" s="1"/>
  <c r="C147" i="14"/>
  <c r="G146" i="14"/>
  <c r="J146" i="14" s="1"/>
  <c r="H146" i="15" s="1"/>
  <c r="D145" i="15"/>
  <c r="H144" i="14"/>
  <c r="I146" i="14" l="1"/>
  <c r="D146" i="15"/>
  <c r="H145" i="14"/>
  <c r="K146" i="14"/>
  <c r="J146" i="15" s="1"/>
  <c r="G147" i="14"/>
  <c r="J147" i="14" s="1"/>
  <c r="H147" i="15" s="1"/>
  <c r="G146" i="15"/>
  <c r="E148" i="14"/>
  <c r="D149" i="14" s="1"/>
  <c r="C148" i="14"/>
  <c r="I147" i="14" l="1"/>
  <c r="G147" i="15"/>
  <c r="G148" i="14"/>
  <c r="I148" i="14" s="1"/>
  <c r="D147" i="15"/>
  <c r="H146" i="14"/>
  <c r="C149" i="14"/>
  <c r="E149" i="14"/>
  <c r="D150" i="14" s="1"/>
  <c r="K147" i="14"/>
  <c r="J147" i="15" s="1"/>
  <c r="D148" i="15" l="1"/>
  <c r="H147" i="14"/>
  <c r="K148" i="14"/>
  <c r="J148" i="15" s="1"/>
  <c r="G149" i="14"/>
  <c r="J149" i="14" s="1"/>
  <c r="H149" i="15" s="1"/>
  <c r="J148" i="14"/>
  <c r="H148" i="15" s="1"/>
  <c r="E150" i="14"/>
  <c r="D151" i="14" s="1"/>
  <c r="C150" i="14"/>
  <c r="G148" i="15"/>
  <c r="I149" i="14" l="1"/>
  <c r="K149" i="14"/>
  <c r="J149" i="15" s="1"/>
  <c r="G149" i="15"/>
  <c r="G150" i="14"/>
  <c r="J150" i="14" s="1"/>
  <c r="H150" i="15" s="1"/>
  <c r="E151" i="14"/>
  <c r="D152" i="14" s="1"/>
  <c r="C151" i="14"/>
  <c r="D149" i="15"/>
  <c r="H148" i="14"/>
  <c r="I150" i="14" l="1"/>
  <c r="G150" i="15"/>
  <c r="K150" i="14"/>
  <c r="J150" i="15" s="1"/>
  <c r="G151" i="14"/>
  <c r="K151" i="14" s="1"/>
  <c r="J151" i="15" s="1"/>
  <c r="E152" i="14"/>
  <c r="D153" i="14" s="1"/>
  <c r="C152" i="14"/>
  <c r="D150" i="15"/>
  <c r="H149" i="14"/>
  <c r="I151" i="14" l="1"/>
  <c r="G151" i="15" s="1"/>
  <c r="J151" i="14"/>
  <c r="H151" i="15" s="1"/>
  <c r="D151" i="15"/>
  <c r="H150" i="14"/>
  <c r="G152" i="14"/>
  <c r="J152" i="14" s="1"/>
  <c r="H152" i="15" s="1"/>
  <c r="C153" i="14"/>
  <c r="E153" i="14"/>
  <c r="D154" i="14" s="1"/>
  <c r="I152" i="14" l="1"/>
  <c r="E154" i="14"/>
  <c r="D155" i="14" s="1"/>
  <c r="C154" i="14"/>
  <c r="G153" i="14"/>
  <c r="I153" i="14" s="1"/>
  <c r="K152" i="14"/>
  <c r="J152" i="15" s="1"/>
  <c r="G152" i="15"/>
  <c r="D152" i="15"/>
  <c r="H151" i="14"/>
  <c r="D153" i="15" l="1"/>
  <c r="H152" i="14"/>
  <c r="K153" i="14"/>
  <c r="J153" i="15" s="1"/>
  <c r="G154" i="14"/>
  <c r="G153" i="15"/>
  <c r="J153" i="14"/>
  <c r="H153" i="15" s="1"/>
  <c r="E155" i="14"/>
  <c r="D156" i="14" s="1"/>
  <c r="C155" i="14"/>
  <c r="I154" i="14" l="1"/>
  <c r="G154" i="15" s="1"/>
  <c r="G155" i="14"/>
  <c r="I155" i="14" s="1"/>
  <c r="E156" i="14"/>
  <c r="D157" i="14" s="1"/>
  <c r="C156" i="14"/>
  <c r="D154" i="15"/>
  <c r="H153" i="14"/>
  <c r="K154" i="14"/>
  <c r="J154" i="15" s="1"/>
  <c r="J154" i="14"/>
  <c r="H154" i="15" s="1"/>
  <c r="D155" i="15" l="1"/>
  <c r="H154" i="14"/>
  <c r="G156" i="14"/>
  <c r="K156" i="14" s="1"/>
  <c r="J156" i="15" s="1"/>
  <c r="K155" i="14"/>
  <c r="J155" i="15" s="1"/>
  <c r="J155" i="14"/>
  <c r="H155" i="15" s="1"/>
  <c r="C157" i="14"/>
  <c r="E157" i="14"/>
  <c r="D158" i="14" s="1"/>
  <c r="G155" i="15"/>
  <c r="I156" i="14" l="1"/>
  <c r="G156" i="15" s="1"/>
  <c r="D156" i="15"/>
  <c r="H155" i="14"/>
  <c r="E158" i="14"/>
  <c r="D159" i="14" s="1"/>
  <c r="C158" i="14"/>
  <c r="G157" i="14"/>
  <c r="K157" i="14" s="1"/>
  <c r="J157" i="15" s="1"/>
  <c r="J156" i="14"/>
  <c r="H156" i="15" s="1"/>
  <c r="I157" i="14" l="1"/>
  <c r="G157" i="15" s="1"/>
  <c r="J157" i="14"/>
  <c r="H157" i="15" s="1"/>
  <c r="G158" i="14"/>
  <c r="J158" i="14" s="1"/>
  <c r="H158" i="15" s="1"/>
  <c r="E159" i="14"/>
  <c r="D160" i="14" s="1"/>
  <c r="C159" i="14"/>
  <c r="D157" i="15"/>
  <c r="H156" i="14"/>
  <c r="I158" i="14" l="1"/>
  <c r="G158" i="15" s="1"/>
  <c r="G159" i="14"/>
  <c r="I159" i="14" s="1"/>
  <c r="D158" i="15"/>
  <c r="H157" i="14"/>
  <c r="E160" i="14"/>
  <c r="D161" i="14" s="1"/>
  <c r="C160" i="14"/>
  <c r="K158" i="14"/>
  <c r="J158" i="15" s="1"/>
  <c r="D159" i="15" l="1"/>
  <c r="H158" i="14"/>
  <c r="K159" i="14"/>
  <c r="J159" i="15" s="1"/>
  <c r="G159" i="15"/>
  <c r="C161" i="14"/>
  <c r="E161" i="14"/>
  <c r="D162" i="14" s="1"/>
  <c r="G160" i="14"/>
  <c r="J159" i="14"/>
  <c r="H159" i="15" s="1"/>
  <c r="I160" i="14" l="1"/>
  <c r="G160" i="15" s="1"/>
  <c r="K160" i="14"/>
  <c r="J160" i="15" s="1"/>
  <c r="E162" i="14"/>
  <c r="D163" i="14" s="1"/>
  <c r="C162" i="14"/>
  <c r="D160" i="15"/>
  <c r="H159" i="14"/>
  <c r="J160" i="14"/>
  <c r="H160" i="15" s="1"/>
  <c r="G161" i="14"/>
  <c r="I161" i="14" s="1"/>
  <c r="D161" i="15" l="1"/>
  <c r="H160" i="14"/>
  <c r="K161" i="14"/>
  <c r="J161" i="15" s="1"/>
  <c r="G162" i="14"/>
  <c r="E163" i="14"/>
  <c r="D164" i="14" s="1"/>
  <c r="C163" i="14"/>
  <c r="G161" i="15"/>
  <c r="J161" i="14"/>
  <c r="H161" i="15" s="1"/>
  <c r="I162" i="14" l="1"/>
  <c r="G162" i="15" s="1"/>
  <c r="K162" i="14"/>
  <c r="J162" i="15" s="1"/>
  <c r="E164" i="14"/>
  <c r="D165" i="14" s="1"/>
  <c r="C164" i="14"/>
  <c r="D162" i="15"/>
  <c r="H161" i="14"/>
  <c r="G163" i="14"/>
  <c r="I163" i="14" s="1"/>
  <c r="J162" i="14"/>
  <c r="H162" i="15" s="1"/>
  <c r="D163" i="15" l="1"/>
  <c r="H162" i="14"/>
  <c r="K163" i="14"/>
  <c r="J163" i="15" s="1"/>
  <c r="G164" i="14"/>
  <c r="J164" i="14" s="1"/>
  <c r="H164" i="15" s="1"/>
  <c r="G163" i="15"/>
  <c r="C165" i="14"/>
  <c r="E165" i="14"/>
  <c r="D166" i="14" s="1"/>
  <c r="J163" i="14"/>
  <c r="H163" i="15" s="1"/>
  <c r="I164" i="14" l="1"/>
  <c r="K164" i="14"/>
  <c r="J164" i="15" s="1"/>
  <c r="G164" i="15"/>
  <c r="E166" i="14"/>
  <c r="D167" i="14" s="1"/>
  <c r="C166" i="14"/>
  <c r="G165" i="14"/>
  <c r="I165" i="14" s="1"/>
  <c r="D164" i="15"/>
  <c r="H163" i="14"/>
  <c r="G166" i="14" l="1"/>
  <c r="J166" i="14" s="1"/>
  <c r="H166" i="15" s="1"/>
  <c r="D165" i="15"/>
  <c r="H164" i="14"/>
  <c r="K165" i="14"/>
  <c r="J165" i="15" s="1"/>
  <c r="G165" i="15"/>
  <c r="J165" i="14"/>
  <c r="H165" i="15" s="1"/>
  <c r="E167" i="14"/>
  <c r="D168" i="14" s="1"/>
  <c r="C167" i="14"/>
  <c r="I166" i="14" l="1"/>
  <c r="K166" i="14"/>
  <c r="J166" i="15" s="1"/>
  <c r="G166" i="15"/>
  <c r="G167" i="14"/>
  <c r="I167" i="14" s="1"/>
  <c r="E168" i="14"/>
  <c r="D169" i="14" s="1"/>
  <c r="C168" i="14"/>
  <c r="D166" i="15"/>
  <c r="H165" i="14"/>
  <c r="D167" i="15" l="1"/>
  <c r="H166" i="14"/>
  <c r="K167" i="14"/>
  <c r="J167" i="15" s="1"/>
  <c r="J167" i="14"/>
  <c r="H167" i="15" s="1"/>
  <c r="G168" i="14"/>
  <c r="C169" i="14"/>
  <c r="E169" i="14"/>
  <c r="D170" i="14" s="1"/>
  <c r="G167" i="15"/>
  <c r="I168" i="14" l="1"/>
  <c r="G168" i="15" s="1"/>
  <c r="D168" i="15"/>
  <c r="H167" i="14"/>
  <c r="J168" i="14"/>
  <c r="H168" i="15" s="1"/>
  <c r="E170" i="14"/>
  <c r="D171" i="14" s="1"/>
  <c r="C170" i="14"/>
  <c r="G169" i="14"/>
  <c r="I169" i="14" s="1"/>
  <c r="K168" i="14"/>
  <c r="J168" i="15" s="1"/>
  <c r="D169" i="15" l="1"/>
  <c r="H168" i="14"/>
  <c r="J169" i="14"/>
  <c r="H169" i="15" s="1"/>
  <c r="E171" i="14"/>
  <c r="D172" i="14" s="1"/>
  <c r="C171" i="14"/>
  <c r="K169" i="14"/>
  <c r="J169" i="15" s="1"/>
  <c r="G169" i="15"/>
  <c r="G170" i="14"/>
  <c r="I170" i="14" l="1"/>
  <c r="G170" i="15" s="1"/>
  <c r="D170" i="15"/>
  <c r="H169" i="14"/>
  <c r="E172" i="14"/>
  <c r="D173" i="14" s="1"/>
  <c r="C172" i="14"/>
  <c r="K170" i="14"/>
  <c r="J170" i="15" s="1"/>
  <c r="J170" i="14"/>
  <c r="H170" i="15" s="1"/>
  <c r="G171" i="14"/>
  <c r="I171" i="14" l="1"/>
  <c r="G171" i="15" s="1"/>
  <c r="K171" i="14"/>
  <c r="J171" i="15" s="1"/>
  <c r="J171" i="14"/>
  <c r="H171" i="15" s="1"/>
  <c r="G172" i="14"/>
  <c r="C173" i="14"/>
  <c r="E173" i="14"/>
  <c r="D174" i="14" s="1"/>
  <c r="D171" i="15"/>
  <c r="H170" i="14"/>
  <c r="I172" i="14" l="1"/>
  <c r="G172" i="15" s="1"/>
  <c r="D172" i="15"/>
  <c r="H171" i="14"/>
  <c r="J172" i="14"/>
  <c r="H172" i="15" s="1"/>
  <c r="E174" i="14"/>
  <c r="D175" i="14" s="1"/>
  <c r="C174" i="14"/>
  <c r="G173" i="14"/>
  <c r="J173" i="14" s="1"/>
  <c r="H173" i="15" s="1"/>
  <c r="K172" i="14"/>
  <c r="J172" i="15" s="1"/>
  <c r="I173" i="14" l="1"/>
  <c r="D173" i="15"/>
  <c r="H172" i="14"/>
  <c r="K173" i="14"/>
  <c r="J173" i="15" s="1"/>
  <c r="E175" i="14"/>
  <c r="D176" i="14" s="1"/>
  <c r="C175" i="14"/>
  <c r="G173" i="15"/>
  <c r="G174" i="14"/>
  <c r="I174" i="14" s="1"/>
  <c r="D174" i="15" l="1"/>
  <c r="H173" i="14"/>
  <c r="E176" i="14"/>
  <c r="D177" i="14" s="1"/>
  <c r="C176" i="14"/>
  <c r="J174" i="14"/>
  <c r="H174" i="15" s="1"/>
  <c r="K174" i="14"/>
  <c r="J174" i="15" s="1"/>
  <c r="G174" i="15"/>
  <c r="G175" i="14"/>
  <c r="J175" i="14" s="1"/>
  <c r="H175" i="15" s="1"/>
  <c r="I175" i="14" l="1"/>
  <c r="G176" i="14"/>
  <c r="J176" i="14" s="1"/>
  <c r="H176" i="15" s="1"/>
  <c r="C177" i="14"/>
  <c r="E177" i="14"/>
  <c r="D178" i="14" s="1"/>
  <c r="G175" i="15"/>
  <c r="D175" i="15"/>
  <c r="H174" i="14"/>
  <c r="K175" i="14"/>
  <c r="J175" i="15" s="1"/>
  <c r="I176" i="14" l="1"/>
  <c r="G176" i="15" s="1"/>
  <c r="D176" i="15"/>
  <c r="H175" i="14"/>
  <c r="E178" i="14"/>
  <c r="D179" i="14" s="1"/>
  <c r="C178" i="14"/>
  <c r="G177" i="14"/>
  <c r="K176" i="14"/>
  <c r="J176" i="15" s="1"/>
  <c r="I177" i="14" l="1"/>
  <c r="G177" i="15" s="1"/>
  <c r="E179" i="14"/>
  <c r="D180" i="14" s="1"/>
  <c r="C179" i="14"/>
  <c r="D177" i="15"/>
  <c r="H176" i="14"/>
  <c r="G178" i="14"/>
  <c r="J178" i="14" s="1"/>
  <c r="H178" i="15" s="1"/>
  <c r="J177" i="14"/>
  <c r="H177" i="15" s="1"/>
  <c r="K177" i="14"/>
  <c r="J177" i="15" s="1"/>
  <c r="I178" i="14" l="1"/>
  <c r="K178" i="14"/>
  <c r="J178" i="15" s="1"/>
  <c r="G178" i="15"/>
  <c r="G179" i="14"/>
  <c r="I179" i="14" s="1"/>
  <c r="D178" i="15"/>
  <c r="H177" i="14"/>
  <c r="E180" i="14"/>
  <c r="D181" i="14" s="1"/>
  <c r="C180" i="14"/>
  <c r="D179" i="15" l="1"/>
  <c r="H178" i="14"/>
  <c r="K179" i="14"/>
  <c r="J179" i="15" s="1"/>
  <c r="C181" i="14"/>
  <c r="E181" i="14"/>
  <c r="D182" i="14" s="1"/>
  <c r="G179" i="15"/>
  <c r="G180" i="14"/>
  <c r="K180" i="14" s="1"/>
  <c r="J180" i="15" s="1"/>
  <c r="J179" i="14"/>
  <c r="H179" i="15" s="1"/>
  <c r="I180" i="14" l="1"/>
  <c r="G180" i="15" s="1"/>
  <c r="G181" i="14"/>
  <c r="J181" i="14" s="1"/>
  <c r="H181" i="15" s="1"/>
  <c r="D180" i="15"/>
  <c r="H179" i="14"/>
  <c r="J180" i="14"/>
  <c r="H180" i="15" s="1"/>
  <c r="E182" i="14"/>
  <c r="D183" i="14" s="1"/>
  <c r="C182" i="14"/>
  <c r="I181" i="14" l="1"/>
  <c r="G181" i="15" s="1"/>
  <c r="D181" i="15"/>
  <c r="H180" i="14"/>
  <c r="G182" i="14"/>
  <c r="I182" i="14" s="1"/>
  <c r="E183" i="14"/>
  <c r="D184" i="14" s="1"/>
  <c r="C183" i="14"/>
  <c r="K181" i="14"/>
  <c r="J181" i="15" s="1"/>
  <c r="D182" i="15" l="1"/>
  <c r="H181" i="14"/>
  <c r="K182" i="14"/>
  <c r="J182" i="15" s="1"/>
  <c r="G182" i="15"/>
  <c r="E184" i="14"/>
  <c r="D185" i="14" s="1"/>
  <c r="C184" i="14"/>
  <c r="G183" i="14"/>
  <c r="J183" i="14" s="1"/>
  <c r="H183" i="15" s="1"/>
  <c r="J182" i="14"/>
  <c r="H182" i="15" s="1"/>
  <c r="I183" i="14" l="1"/>
  <c r="K183" i="14"/>
  <c r="J183" i="15" s="1"/>
  <c r="G183" i="15"/>
  <c r="G184" i="14"/>
  <c r="I184" i="14" s="1"/>
  <c r="D183" i="15"/>
  <c r="H182" i="14"/>
  <c r="C185" i="14"/>
  <c r="E185" i="14"/>
  <c r="D186" i="14" s="1"/>
  <c r="D184" i="15" l="1"/>
  <c r="H183" i="14"/>
  <c r="K184" i="14"/>
  <c r="J184" i="15" s="1"/>
  <c r="E186" i="14"/>
  <c r="D187" i="14" s="1"/>
  <c r="C186" i="14"/>
  <c r="G184" i="15"/>
  <c r="G185" i="14"/>
  <c r="J184" i="14"/>
  <c r="H184" i="15" s="1"/>
  <c r="I185" i="14" l="1"/>
  <c r="G185" i="15" s="1"/>
  <c r="K185" i="14"/>
  <c r="J185" i="15" s="1"/>
  <c r="D185" i="15"/>
  <c r="H184" i="14"/>
  <c r="E187" i="14"/>
  <c r="D188" i="14" s="1"/>
  <c r="C187" i="14"/>
  <c r="J185" i="14"/>
  <c r="H185" i="15" s="1"/>
  <c r="G186" i="14"/>
  <c r="I186" i="14" s="1"/>
  <c r="D186" i="15" l="1"/>
  <c r="H185" i="14"/>
  <c r="J186" i="14"/>
  <c r="H186" i="15" s="1"/>
  <c r="E188" i="14"/>
  <c r="D189" i="14" s="1"/>
  <c r="C188" i="14"/>
  <c r="K186" i="14"/>
  <c r="J186" i="15" s="1"/>
  <c r="G186" i="15"/>
  <c r="G187" i="14"/>
  <c r="J187" i="14" s="1"/>
  <c r="H187" i="15" s="1"/>
  <c r="I187" i="14" l="1"/>
  <c r="G187" i="15" s="1"/>
  <c r="D187" i="15"/>
  <c r="H186" i="14"/>
  <c r="C189" i="14"/>
  <c r="E189" i="14"/>
  <c r="D190" i="14" s="1"/>
  <c r="K187" i="14"/>
  <c r="J187" i="15" s="1"/>
  <c r="G188" i="14"/>
  <c r="K188" i="14" s="1"/>
  <c r="J188" i="15" s="1"/>
  <c r="I188" i="14" l="1"/>
  <c r="G189" i="14"/>
  <c r="J189" i="14" s="1"/>
  <c r="H189" i="15" s="1"/>
  <c r="D188" i="15"/>
  <c r="H187" i="14"/>
  <c r="G188" i="15"/>
  <c r="J188" i="14"/>
  <c r="H188" i="15" s="1"/>
  <c r="E190" i="14"/>
  <c r="D191" i="14" s="1"/>
  <c r="C190" i="14"/>
  <c r="I189" i="14" l="1"/>
  <c r="G189" i="15"/>
  <c r="D189" i="15"/>
  <c r="H188" i="14"/>
  <c r="G190" i="14"/>
  <c r="I190" i="14" s="1"/>
  <c r="E191" i="14"/>
  <c r="D192" i="14" s="1"/>
  <c r="C191" i="14"/>
  <c r="K189" i="14"/>
  <c r="J189" i="15" s="1"/>
  <c r="D190" i="15" l="1"/>
  <c r="H189" i="14"/>
  <c r="G190" i="15"/>
  <c r="E192" i="14"/>
  <c r="D193" i="14" s="1"/>
  <c r="C192" i="14"/>
  <c r="K190" i="14"/>
  <c r="J190" i="15" s="1"/>
  <c r="G191" i="14"/>
  <c r="J190" i="14"/>
  <c r="H190" i="15" s="1"/>
  <c r="I191" i="14" l="1"/>
  <c r="G191" i="15" s="1"/>
  <c r="J191" i="14"/>
  <c r="H191" i="15" s="1"/>
  <c r="K191" i="14"/>
  <c r="J191" i="15" s="1"/>
  <c r="C193" i="14"/>
  <c r="E193" i="14"/>
  <c r="D194" i="14" s="1"/>
  <c r="D191" i="15"/>
  <c r="H190" i="14"/>
  <c r="G192" i="14"/>
  <c r="I192" i="14" s="1"/>
  <c r="G192" i="15" l="1"/>
  <c r="J192" i="14"/>
  <c r="H192" i="15" s="1"/>
  <c r="E194" i="14"/>
  <c r="D195" i="14" s="1"/>
  <c r="C194" i="14"/>
  <c r="D192" i="15"/>
  <c r="H191" i="14"/>
  <c r="K192" i="14"/>
  <c r="J192" i="15" s="1"/>
  <c r="G193" i="14"/>
  <c r="K193" i="14" s="1"/>
  <c r="J193" i="15" s="1"/>
  <c r="I193" i="14" l="1"/>
  <c r="G194" i="14"/>
  <c r="J194" i="14" s="1"/>
  <c r="H194" i="15" s="1"/>
  <c r="E195" i="14"/>
  <c r="D196" i="14" s="1"/>
  <c r="C195" i="14"/>
  <c r="D193" i="15"/>
  <c r="H192" i="14"/>
  <c r="G193" i="15"/>
  <c r="J193" i="14"/>
  <c r="H193" i="15" s="1"/>
  <c r="I194" i="14" l="1"/>
  <c r="K194" i="14"/>
  <c r="J194" i="15" s="1"/>
  <c r="G194" i="15"/>
  <c r="G195" i="14"/>
  <c r="I195" i="14" s="1"/>
  <c r="E196" i="14"/>
  <c r="D197" i="14" s="1"/>
  <c r="C196" i="14"/>
  <c r="D194" i="15"/>
  <c r="H193" i="14"/>
  <c r="D195" i="15" l="1"/>
  <c r="H194" i="14"/>
  <c r="K195" i="14"/>
  <c r="J195" i="15" s="1"/>
  <c r="J195" i="14"/>
  <c r="H195" i="15" s="1"/>
  <c r="G196" i="14"/>
  <c r="J196" i="14" s="1"/>
  <c r="H196" i="15" s="1"/>
  <c r="C197" i="14"/>
  <c r="E197" i="14"/>
  <c r="D198" i="14" s="1"/>
  <c r="G195" i="15"/>
  <c r="I196" i="14" l="1"/>
  <c r="G196" i="15" s="1"/>
  <c r="E198" i="14"/>
  <c r="D199" i="14" s="1"/>
  <c r="C198" i="14"/>
  <c r="D196" i="15"/>
  <c r="H195" i="14"/>
  <c r="G197" i="14"/>
  <c r="J197" i="14" s="1"/>
  <c r="H197" i="15" s="1"/>
  <c r="K196" i="14"/>
  <c r="J196" i="15" s="1"/>
  <c r="I197" i="14" l="1"/>
  <c r="G197" i="15" s="1"/>
  <c r="D197" i="15"/>
  <c r="H196" i="14"/>
  <c r="G198" i="14"/>
  <c r="K197" i="14"/>
  <c r="J197" i="15" s="1"/>
  <c r="E199" i="14"/>
  <c r="D200" i="14" s="1"/>
  <c r="C199" i="14"/>
  <c r="I198" i="14" l="1"/>
  <c r="G198" i="15" s="1"/>
  <c r="K198" i="14"/>
  <c r="J198" i="15" s="1"/>
  <c r="G199" i="14"/>
  <c r="I199" i="14" s="1"/>
  <c r="D198" i="15"/>
  <c r="H197" i="14"/>
  <c r="E200" i="14"/>
  <c r="D201" i="14" s="1"/>
  <c r="C200" i="14"/>
  <c r="J198" i="14"/>
  <c r="H198" i="15" s="1"/>
  <c r="D199" i="15" l="1"/>
  <c r="H198" i="14"/>
  <c r="K199" i="14"/>
  <c r="J199" i="15" s="1"/>
  <c r="G199" i="15"/>
  <c r="C201" i="14"/>
  <c r="E201" i="14"/>
  <c r="D202" i="14" s="1"/>
  <c r="G200" i="14"/>
  <c r="J199" i="14"/>
  <c r="H199" i="15" s="1"/>
  <c r="I200" i="14" l="1"/>
  <c r="G200" i="15" s="1"/>
  <c r="D200" i="15"/>
  <c r="H199" i="14"/>
  <c r="K200" i="14"/>
  <c r="J200" i="15" s="1"/>
  <c r="C202" i="14"/>
  <c r="E202" i="14"/>
  <c r="J200" i="14"/>
  <c r="H200" i="15" s="1"/>
  <c r="G201" i="14"/>
  <c r="I201" i="14" s="1"/>
  <c r="D201" i="15" l="1"/>
  <c r="H200" i="14"/>
  <c r="G202" i="14"/>
  <c r="I202" i="14" s="1"/>
  <c r="K201" i="14"/>
  <c r="J201" i="15" s="1"/>
  <c r="G201" i="15"/>
  <c r="J201" i="14"/>
  <c r="H201" i="15" s="1"/>
  <c r="D202" i="15" l="1"/>
  <c r="H201" i="14"/>
  <c r="J202" i="14"/>
  <c r="H202" i="15" s="1"/>
  <c r="K202" i="14"/>
  <c r="J202" i="15" s="1"/>
  <c r="G202" i="15"/>
  <c r="F8" i="1"/>
  <c r="B8" i="13" s="1"/>
  <c r="F9" i="1"/>
  <c r="B9" i="13" s="1"/>
  <c r="F10" i="1"/>
  <c r="B10" i="13" s="1"/>
  <c r="F11" i="1"/>
  <c r="B11" i="13" s="1"/>
  <c r="F12" i="1"/>
  <c r="B12" i="13" s="1"/>
  <c r="F13" i="1"/>
  <c r="B13" i="13" s="1"/>
  <c r="F14" i="1"/>
  <c r="B14" i="13" s="1"/>
  <c r="F15" i="1"/>
  <c r="B15" i="13" s="1"/>
  <c r="F16" i="1"/>
  <c r="B16" i="13" s="1"/>
  <c r="F17" i="1"/>
  <c r="B17" i="13" s="1"/>
  <c r="F18" i="1"/>
  <c r="B18" i="13" s="1"/>
  <c r="F19" i="1"/>
  <c r="B19" i="13" s="1"/>
  <c r="F20" i="1"/>
  <c r="B20" i="13" s="1"/>
  <c r="F21" i="1"/>
  <c r="B21" i="13" s="1"/>
  <c r="F22" i="1"/>
  <c r="B22" i="13" s="1"/>
  <c r="F23" i="1"/>
  <c r="B23" i="13" s="1"/>
  <c r="F24" i="1"/>
  <c r="B24" i="13" s="1"/>
  <c r="F25" i="1"/>
  <c r="B25" i="13" s="1"/>
  <c r="F26" i="1"/>
  <c r="B26" i="13" s="1"/>
  <c r="F27" i="1"/>
  <c r="B27" i="13" s="1"/>
  <c r="F28" i="1"/>
  <c r="B28" i="13" s="1"/>
  <c r="F29" i="1"/>
  <c r="B29" i="13" s="1"/>
  <c r="F30" i="1"/>
  <c r="B30" i="13" s="1"/>
  <c r="F31" i="1"/>
  <c r="B31" i="13" s="1"/>
  <c r="F32" i="1"/>
  <c r="B32" i="13" s="1"/>
  <c r="F33" i="1"/>
  <c r="B33" i="13" s="1"/>
  <c r="F34" i="1"/>
  <c r="B34" i="13" s="1"/>
  <c r="F35" i="1"/>
  <c r="B35" i="13" s="1"/>
  <c r="F36" i="1"/>
  <c r="B36" i="13" s="1"/>
  <c r="F37" i="1"/>
  <c r="B37" i="13" s="1"/>
  <c r="F38" i="1"/>
  <c r="B38" i="13" s="1"/>
  <c r="F39" i="1"/>
  <c r="B39" i="13" s="1"/>
  <c r="F40" i="1"/>
  <c r="B40" i="13" s="1"/>
  <c r="F41" i="1"/>
  <c r="B41" i="13" s="1"/>
  <c r="F42" i="1"/>
  <c r="B42" i="13" s="1"/>
  <c r="F43" i="1"/>
  <c r="B43" i="13" s="1"/>
  <c r="F44" i="1"/>
  <c r="B44" i="13" s="1"/>
  <c r="F45" i="1"/>
  <c r="B45" i="13" s="1"/>
  <c r="F46" i="1"/>
  <c r="B46" i="13" s="1"/>
  <c r="F47" i="1"/>
  <c r="B47" i="13" s="1"/>
  <c r="F48" i="1"/>
  <c r="B48" i="13" s="1"/>
  <c r="F49" i="1"/>
  <c r="B49" i="13" s="1"/>
  <c r="F50" i="1"/>
  <c r="B50" i="13" s="1"/>
  <c r="F51" i="1"/>
  <c r="B51" i="13" s="1"/>
  <c r="F52" i="1"/>
  <c r="B52" i="13" s="1"/>
  <c r="F53" i="1"/>
  <c r="B53" i="13" s="1"/>
  <c r="F54" i="1"/>
  <c r="B54" i="13" s="1"/>
  <c r="F55" i="1"/>
  <c r="B55" i="13" s="1"/>
  <c r="F56" i="1"/>
  <c r="B56" i="13" s="1"/>
  <c r="F57" i="1"/>
  <c r="B57" i="13" s="1"/>
  <c r="F58" i="1"/>
  <c r="B58" i="13" s="1"/>
  <c r="F59" i="1"/>
  <c r="B59" i="13" s="1"/>
  <c r="F60" i="1"/>
  <c r="B60" i="13" s="1"/>
  <c r="F61" i="1"/>
  <c r="B61" i="13" s="1"/>
  <c r="F62" i="1"/>
  <c r="B62" i="13" s="1"/>
  <c r="F63" i="1"/>
  <c r="B63" i="13" s="1"/>
  <c r="F64" i="1"/>
  <c r="B64" i="13" s="1"/>
  <c r="F65" i="1"/>
  <c r="B65" i="13" s="1"/>
  <c r="F66" i="1"/>
  <c r="B66" i="13" s="1"/>
  <c r="F67" i="1"/>
  <c r="B67" i="13" s="1"/>
  <c r="F68" i="1"/>
  <c r="B68" i="13" s="1"/>
  <c r="F69" i="1"/>
  <c r="B69" i="13" s="1"/>
  <c r="F70" i="1"/>
  <c r="B70" i="13" s="1"/>
  <c r="F71" i="1"/>
  <c r="B71" i="13" s="1"/>
  <c r="F72" i="1"/>
  <c r="B72" i="13" s="1"/>
  <c r="F73" i="1"/>
  <c r="B73" i="13" s="1"/>
  <c r="F74" i="1"/>
  <c r="B74" i="13" s="1"/>
  <c r="F75" i="1"/>
  <c r="B75" i="13" s="1"/>
  <c r="F76" i="1"/>
  <c r="B76" i="13" s="1"/>
  <c r="F77" i="1"/>
  <c r="B77" i="13" s="1"/>
  <c r="F78" i="1"/>
  <c r="B78" i="13" s="1"/>
  <c r="F79" i="1"/>
  <c r="B79" i="13" s="1"/>
  <c r="F80" i="1"/>
  <c r="B80" i="13" s="1"/>
  <c r="F81" i="1"/>
  <c r="B81" i="13" s="1"/>
  <c r="F82" i="1"/>
  <c r="B82" i="13" s="1"/>
  <c r="F83" i="1"/>
  <c r="B83" i="13" s="1"/>
  <c r="F84" i="1"/>
  <c r="B84" i="13" s="1"/>
  <c r="F85" i="1"/>
  <c r="B85" i="13" s="1"/>
  <c r="F86" i="1"/>
  <c r="B86" i="13" s="1"/>
  <c r="F87" i="1"/>
  <c r="B87" i="13" s="1"/>
  <c r="F88" i="1"/>
  <c r="B88" i="13" s="1"/>
  <c r="F89" i="1"/>
  <c r="B89" i="13" s="1"/>
  <c r="F90" i="1"/>
  <c r="B90" i="13" s="1"/>
  <c r="F91" i="1"/>
  <c r="B91" i="13" s="1"/>
  <c r="F92" i="1"/>
  <c r="B92" i="13" s="1"/>
  <c r="F93" i="1"/>
  <c r="B93" i="13" s="1"/>
  <c r="F94" i="1"/>
  <c r="B94" i="13" s="1"/>
  <c r="F95" i="1"/>
  <c r="B95" i="13" s="1"/>
  <c r="F96" i="1"/>
  <c r="B96" i="13" s="1"/>
  <c r="F97" i="1"/>
  <c r="B97" i="13" s="1"/>
  <c r="F98" i="1"/>
  <c r="B98" i="13" s="1"/>
  <c r="F99" i="1"/>
  <c r="B99" i="13" s="1"/>
  <c r="F100" i="1"/>
  <c r="B100" i="13" s="1"/>
  <c r="F101" i="1"/>
  <c r="B101" i="13" s="1"/>
  <c r="F102" i="1"/>
  <c r="B102" i="13" s="1"/>
  <c r="F103" i="1"/>
  <c r="B103" i="13" s="1"/>
  <c r="F104" i="1"/>
  <c r="B104" i="13" s="1"/>
  <c r="F105" i="1"/>
  <c r="B105" i="13" s="1"/>
  <c r="F106" i="1"/>
  <c r="B106" i="13" s="1"/>
  <c r="F107" i="1"/>
  <c r="B107" i="13" s="1"/>
  <c r="F108" i="1"/>
  <c r="B108" i="13" s="1"/>
  <c r="F109" i="1"/>
  <c r="B109" i="13" s="1"/>
  <c r="F110" i="1"/>
  <c r="B110" i="13" s="1"/>
  <c r="F111" i="1"/>
  <c r="B111" i="13" s="1"/>
  <c r="F112" i="1"/>
  <c r="B112" i="13" s="1"/>
  <c r="F113" i="1"/>
  <c r="B113" i="13" s="1"/>
  <c r="F114" i="1"/>
  <c r="B114" i="13" s="1"/>
  <c r="F115" i="1"/>
  <c r="B115" i="13" s="1"/>
  <c r="F116" i="1"/>
  <c r="B116" i="13" s="1"/>
  <c r="F117" i="1"/>
  <c r="B117" i="13" s="1"/>
  <c r="F118" i="1"/>
  <c r="B118" i="13" s="1"/>
  <c r="F119" i="1"/>
  <c r="B119" i="13" s="1"/>
  <c r="F120" i="1"/>
  <c r="B120" i="13" s="1"/>
  <c r="F121" i="1"/>
  <c r="B121" i="13" s="1"/>
  <c r="F122" i="1"/>
  <c r="B122" i="13" s="1"/>
  <c r="F123" i="1"/>
  <c r="B123" i="13" s="1"/>
  <c r="F124" i="1"/>
  <c r="B124" i="13" s="1"/>
  <c r="F125" i="1"/>
  <c r="B125" i="13" s="1"/>
  <c r="F126" i="1"/>
  <c r="B126" i="13" s="1"/>
  <c r="F127" i="1"/>
  <c r="B127" i="13" s="1"/>
  <c r="F128" i="1"/>
  <c r="B128" i="13" s="1"/>
  <c r="F129" i="1"/>
  <c r="B129" i="13" s="1"/>
  <c r="F130" i="1"/>
  <c r="B130" i="13" s="1"/>
  <c r="F131" i="1"/>
  <c r="B131" i="13" s="1"/>
  <c r="F132" i="1"/>
  <c r="B132" i="13" s="1"/>
  <c r="F133" i="1"/>
  <c r="B133" i="13" s="1"/>
  <c r="F134" i="1"/>
  <c r="B134" i="13" s="1"/>
  <c r="F135" i="1"/>
  <c r="B135" i="13" s="1"/>
  <c r="F136" i="1"/>
  <c r="B136" i="13" s="1"/>
  <c r="F137" i="1"/>
  <c r="B137" i="13" s="1"/>
  <c r="F138" i="1"/>
  <c r="B138" i="13" s="1"/>
  <c r="F139" i="1"/>
  <c r="B139" i="13" s="1"/>
  <c r="F140" i="1"/>
  <c r="B140" i="13" s="1"/>
  <c r="F141" i="1"/>
  <c r="B141" i="13" s="1"/>
  <c r="F142" i="1"/>
  <c r="B142" i="13" s="1"/>
  <c r="F143" i="1"/>
  <c r="B143" i="13" s="1"/>
  <c r="F144" i="1"/>
  <c r="B144" i="13" s="1"/>
  <c r="F145" i="1"/>
  <c r="B145" i="13" s="1"/>
  <c r="F146" i="1"/>
  <c r="B146" i="13" s="1"/>
  <c r="F147" i="1"/>
  <c r="B147" i="13" s="1"/>
  <c r="F148" i="1"/>
  <c r="B148" i="13" s="1"/>
  <c r="F149" i="1"/>
  <c r="B149" i="13" s="1"/>
  <c r="F150" i="1"/>
  <c r="B150" i="13" s="1"/>
  <c r="F151" i="1"/>
  <c r="B151" i="13" s="1"/>
  <c r="F152" i="1"/>
  <c r="B152" i="13" s="1"/>
  <c r="F153" i="1"/>
  <c r="B153" i="13" s="1"/>
  <c r="F154" i="1"/>
  <c r="B154" i="13" s="1"/>
  <c r="F155" i="1"/>
  <c r="B155" i="13" s="1"/>
  <c r="F156" i="1"/>
  <c r="B156" i="13" s="1"/>
  <c r="F157" i="1"/>
  <c r="B157" i="13" s="1"/>
  <c r="F158" i="1"/>
  <c r="B158" i="13" s="1"/>
  <c r="F159" i="1"/>
  <c r="B159" i="13" s="1"/>
  <c r="F160" i="1"/>
  <c r="B160" i="13" s="1"/>
  <c r="F161" i="1"/>
  <c r="B161" i="13" s="1"/>
  <c r="F162" i="1"/>
  <c r="B162" i="13" s="1"/>
  <c r="F163" i="1"/>
  <c r="B163" i="13" s="1"/>
  <c r="F164" i="1"/>
  <c r="B164" i="13" s="1"/>
  <c r="F165" i="1"/>
  <c r="B165" i="13" s="1"/>
  <c r="F166" i="1"/>
  <c r="B166" i="13" s="1"/>
  <c r="F167" i="1"/>
  <c r="B167" i="13" s="1"/>
  <c r="F168" i="1"/>
  <c r="B168" i="13" s="1"/>
  <c r="F169" i="1"/>
  <c r="B169" i="13" s="1"/>
  <c r="F170" i="1"/>
  <c r="B170" i="13" s="1"/>
  <c r="F171" i="1"/>
  <c r="B171" i="13" s="1"/>
  <c r="F172" i="1"/>
  <c r="B172" i="13" s="1"/>
  <c r="F173" i="1"/>
  <c r="B173" i="13" s="1"/>
  <c r="F174" i="1"/>
  <c r="B174" i="13" s="1"/>
  <c r="F175" i="1"/>
  <c r="B175" i="13" s="1"/>
  <c r="F176" i="1"/>
  <c r="B176" i="13" s="1"/>
  <c r="F177" i="1"/>
  <c r="B177" i="13" s="1"/>
  <c r="F178" i="1"/>
  <c r="B178" i="13" s="1"/>
  <c r="F179" i="1"/>
  <c r="B179" i="13" s="1"/>
  <c r="F180" i="1"/>
  <c r="B180" i="13" s="1"/>
  <c r="F181" i="1"/>
  <c r="B181" i="13" s="1"/>
  <c r="F182" i="1"/>
  <c r="B182" i="13" s="1"/>
  <c r="F183" i="1"/>
  <c r="B183" i="13" s="1"/>
  <c r="F184" i="1"/>
  <c r="B184" i="13" s="1"/>
  <c r="F185" i="1"/>
  <c r="B185" i="13" s="1"/>
  <c r="F186" i="1"/>
  <c r="B186" i="13" s="1"/>
  <c r="F187" i="1"/>
  <c r="B187" i="13" s="1"/>
  <c r="F188" i="1"/>
  <c r="B188" i="13" s="1"/>
  <c r="F189" i="1"/>
  <c r="B189" i="13" s="1"/>
  <c r="F190" i="1"/>
  <c r="B190" i="13" s="1"/>
  <c r="F191" i="1"/>
  <c r="B191" i="13" s="1"/>
  <c r="F192" i="1"/>
  <c r="B192" i="13" s="1"/>
  <c r="F193" i="1"/>
  <c r="B193" i="13" s="1"/>
  <c r="F194" i="1"/>
  <c r="B194" i="13" s="1"/>
  <c r="F195" i="1"/>
  <c r="B195" i="13" s="1"/>
  <c r="F196" i="1"/>
  <c r="B196" i="13" s="1"/>
  <c r="F197" i="1"/>
  <c r="B197" i="13" s="1"/>
  <c r="F198" i="1"/>
  <c r="B198" i="13" s="1"/>
  <c r="F199" i="1"/>
  <c r="B199" i="13" s="1"/>
  <c r="F200" i="1"/>
  <c r="B200" i="13" s="1"/>
  <c r="F201" i="1"/>
  <c r="B201" i="13" s="1"/>
  <c r="F202" i="1"/>
  <c r="B202" i="13" s="1"/>
  <c r="F3" i="1"/>
  <c r="B3" i="13" s="1"/>
  <c r="F4" i="1"/>
  <c r="B4" i="13" s="1"/>
  <c r="F5" i="1"/>
  <c r="B5" i="13" s="1"/>
  <c r="F6" i="1"/>
  <c r="B6" i="13" s="1"/>
  <c r="F7" i="1"/>
  <c r="B7" i="13" s="1"/>
  <c r="F2" i="1"/>
  <c r="B2" i="13" l="1"/>
  <c r="N5" i="1"/>
  <c r="G2" i="1" s="1"/>
  <c r="I2" i="1" l="1"/>
  <c r="D2" i="13"/>
  <c r="C10" i="13"/>
  <c r="C14" i="13"/>
  <c r="C18" i="13"/>
  <c r="C22" i="13"/>
  <c r="C26" i="13"/>
  <c r="C30" i="13"/>
  <c r="C34" i="13"/>
  <c r="C38" i="13"/>
  <c r="C42" i="13"/>
  <c r="C46" i="13"/>
  <c r="C50" i="13"/>
  <c r="C54" i="13"/>
  <c r="C58" i="13"/>
  <c r="C62" i="13"/>
  <c r="C66" i="13"/>
  <c r="C70" i="13"/>
  <c r="C74" i="13"/>
  <c r="C78" i="13"/>
  <c r="C82" i="13"/>
  <c r="C86" i="13"/>
  <c r="C90" i="13"/>
  <c r="C94" i="13"/>
  <c r="C98" i="13"/>
  <c r="C102" i="13"/>
  <c r="C106" i="13"/>
  <c r="C110" i="13"/>
  <c r="C114" i="13"/>
  <c r="C118" i="13"/>
  <c r="C122" i="13"/>
  <c r="C126" i="13"/>
  <c r="C130" i="13"/>
  <c r="C134" i="13"/>
  <c r="C138" i="13"/>
  <c r="C142" i="13"/>
  <c r="C146" i="13"/>
  <c r="C150" i="13"/>
  <c r="C154" i="13"/>
  <c r="C158" i="13"/>
  <c r="C162" i="13"/>
  <c r="C166" i="13"/>
  <c r="C170" i="13"/>
  <c r="C174" i="13"/>
  <c r="C178" i="13"/>
  <c r="C182" i="13"/>
  <c r="C186" i="13"/>
  <c r="C190" i="13"/>
  <c r="C194" i="13"/>
  <c r="C198" i="13"/>
  <c r="C159" i="13"/>
  <c r="C167" i="13"/>
  <c r="C175" i="13"/>
  <c r="C183" i="13"/>
  <c r="C191" i="13"/>
  <c r="C8" i="13"/>
  <c r="C12" i="13"/>
  <c r="C16" i="13"/>
  <c r="C20" i="13"/>
  <c r="C24" i="13"/>
  <c r="C28" i="13"/>
  <c r="C32" i="13"/>
  <c r="C36" i="13"/>
  <c r="C40" i="13"/>
  <c r="C44" i="13"/>
  <c r="C48" i="13"/>
  <c r="C52" i="13"/>
  <c r="C56" i="13"/>
  <c r="C60" i="13"/>
  <c r="C64" i="13"/>
  <c r="C68" i="13"/>
  <c r="C72" i="13"/>
  <c r="C76" i="13"/>
  <c r="C80" i="13"/>
  <c r="C84" i="13"/>
  <c r="C88" i="13"/>
  <c r="C92" i="13"/>
  <c r="C96" i="13"/>
  <c r="C100" i="13"/>
  <c r="C104" i="13"/>
  <c r="C108" i="13"/>
  <c r="C112" i="13"/>
  <c r="C116" i="13"/>
  <c r="C120" i="13"/>
  <c r="C124" i="13"/>
  <c r="C128" i="13"/>
  <c r="C132" i="13"/>
  <c r="C136" i="13"/>
  <c r="C140" i="13"/>
  <c r="C144" i="13"/>
  <c r="C148" i="13"/>
  <c r="C152" i="13"/>
  <c r="C156" i="13"/>
  <c r="C160" i="13"/>
  <c r="C164" i="13"/>
  <c r="C168" i="13"/>
  <c r="C172" i="13"/>
  <c r="C176" i="13"/>
  <c r="C180" i="13"/>
  <c r="C184" i="13"/>
  <c r="C188" i="13"/>
  <c r="C192" i="13"/>
  <c r="C196" i="13"/>
  <c r="C53" i="13"/>
  <c r="C69" i="13"/>
  <c r="C77" i="13"/>
  <c r="C85" i="13"/>
  <c r="C93" i="13"/>
  <c r="C101" i="13"/>
  <c r="C109" i="13"/>
  <c r="C117" i="13"/>
  <c r="C125" i="13"/>
  <c r="C133" i="13"/>
  <c r="C141" i="13"/>
  <c r="C149" i="13"/>
  <c r="C157" i="13"/>
  <c r="C165" i="13"/>
  <c r="C173" i="13"/>
  <c r="C181" i="13"/>
  <c r="C189" i="13"/>
  <c r="C197" i="13"/>
  <c r="C7" i="13"/>
  <c r="C11" i="13"/>
  <c r="C15" i="13"/>
  <c r="C19" i="13"/>
  <c r="C23" i="13"/>
  <c r="C27" i="13"/>
  <c r="C31" i="13"/>
  <c r="C35" i="13"/>
  <c r="C39" i="13"/>
  <c r="C43" i="13"/>
  <c r="C47" i="13"/>
  <c r="C51" i="13"/>
  <c r="C55" i="13"/>
  <c r="C59" i="13"/>
  <c r="C63" i="13"/>
  <c r="C67" i="13"/>
  <c r="C71" i="13"/>
  <c r="C75" i="13"/>
  <c r="C79" i="13"/>
  <c r="C83" i="13"/>
  <c r="C87" i="13"/>
  <c r="C91" i="13"/>
  <c r="C95" i="13"/>
  <c r="C99" i="13"/>
  <c r="C103" i="13"/>
  <c r="C107" i="13"/>
  <c r="C111" i="13"/>
  <c r="C115" i="13"/>
  <c r="C119" i="13"/>
  <c r="C123" i="13"/>
  <c r="C127" i="13"/>
  <c r="C131" i="13"/>
  <c r="C135" i="13"/>
  <c r="C139" i="13"/>
  <c r="C143" i="13"/>
  <c r="C147" i="13"/>
  <c r="C151" i="13"/>
  <c r="C155" i="13"/>
  <c r="C163" i="13"/>
  <c r="C171" i="13"/>
  <c r="C179" i="13"/>
  <c r="C187" i="13"/>
  <c r="C195" i="13"/>
  <c r="C9" i="13"/>
  <c r="C13" i="13"/>
  <c r="C17" i="13"/>
  <c r="C21" i="13"/>
  <c r="C25" i="13"/>
  <c r="C29" i="13"/>
  <c r="C33" i="13"/>
  <c r="C37" i="13"/>
  <c r="C41" i="13"/>
  <c r="C45" i="13"/>
  <c r="C49" i="13"/>
  <c r="C57" i="13"/>
  <c r="C61" i="13"/>
  <c r="C65" i="13"/>
  <c r="C73" i="13"/>
  <c r="C81" i="13"/>
  <c r="C89" i="13"/>
  <c r="C97" i="13"/>
  <c r="C105" i="13"/>
  <c r="C113" i="13"/>
  <c r="C121" i="13"/>
  <c r="C129" i="13"/>
  <c r="C137" i="13"/>
  <c r="C145" i="13"/>
  <c r="C153" i="13"/>
  <c r="C161" i="13"/>
  <c r="C169" i="13"/>
  <c r="C177" i="13"/>
  <c r="C185" i="13"/>
  <c r="C193" i="13"/>
  <c r="C3" i="13"/>
  <c r="C5" i="13"/>
  <c r="C199" i="13"/>
  <c r="C201" i="13"/>
  <c r="C202" i="13"/>
  <c r="C2" i="13"/>
  <c r="C4" i="13"/>
  <c r="C6" i="13"/>
  <c r="C200" i="13"/>
  <c r="D2" i="1"/>
  <c r="E187" i="13" l="1"/>
  <c r="E2" i="13"/>
  <c r="E167" i="13"/>
  <c r="E159" i="13"/>
  <c r="E151" i="13"/>
  <c r="E143" i="13"/>
  <c r="E135" i="13"/>
  <c r="E185" i="13"/>
  <c r="E173" i="13"/>
  <c r="E199" i="13"/>
  <c r="E191" i="13"/>
  <c r="E7" i="13"/>
  <c r="E15" i="13"/>
  <c r="E23" i="13"/>
  <c r="E31" i="13"/>
  <c r="E6" i="13"/>
  <c r="E14" i="13"/>
  <c r="E22" i="13"/>
  <c r="E30" i="13"/>
  <c r="E38" i="13"/>
  <c r="E37" i="13"/>
  <c r="E50" i="13"/>
  <c r="E58" i="13"/>
  <c r="E41" i="13"/>
  <c r="E49" i="13"/>
  <c r="E57" i="13"/>
  <c r="E69" i="13"/>
  <c r="E73" i="13"/>
  <c r="E78" i="13"/>
  <c r="E86" i="13"/>
  <c r="E94" i="13"/>
  <c r="E65" i="13"/>
  <c r="E83" i="13"/>
  <c r="E91" i="13"/>
  <c r="E98" i="13"/>
  <c r="E106" i="13"/>
  <c r="E114" i="13"/>
  <c r="E122" i="13"/>
  <c r="E99" i="13"/>
  <c r="E107" i="13"/>
  <c r="E115" i="13"/>
  <c r="E123" i="13"/>
  <c r="E130" i="13"/>
  <c r="E138" i="13"/>
  <c r="E146" i="13"/>
  <c r="E154" i="13"/>
  <c r="E162" i="13"/>
  <c r="E170" i="13"/>
  <c r="E178" i="13"/>
  <c r="E186" i="13"/>
  <c r="E194" i="13"/>
  <c r="E72" i="13"/>
  <c r="E104" i="13"/>
  <c r="E105" i="13"/>
  <c r="E128" i="13"/>
  <c r="E152" i="13"/>
  <c r="E168" i="13"/>
  <c r="E184" i="13"/>
  <c r="E179" i="13"/>
  <c r="E165" i="13"/>
  <c r="E157" i="13"/>
  <c r="E149" i="13"/>
  <c r="E141" i="13"/>
  <c r="E133" i="13"/>
  <c r="E183" i="13"/>
  <c r="E171" i="13"/>
  <c r="E197" i="13"/>
  <c r="E189" i="13"/>
  <c r="E9" i="13"/>
  <c r="E17" i="13"/>
  <c r="E25" i="13"/>
  <c r="E33" i="13"/>
  <c r="E8" i="13"/>
  <c r="E16" i="13"/>
  <c r="E24" i="13"/>
  <c r="E32" i="13"/>
  <c r="E40" i="13"/>
  <c r="E39" i="13"/>
  <c r="E52" i="13"/>
  <c r="E60" i="13"/>
  <c r="E43" i="13"/>
  <c r="E51" i="13"/>
  <c r="E66" i="13"/>
  <c r="E70" i="13"/>
  <c r="E74" i="13"/>
  <c r="E80" i="13"/>
  <c r="E88" i="13"/>
  <c r="E59" i="13"/>
  <c r="E77" i="13"/>
  <c r="E85" i="13"/>
  <c r="E93" i="13"/>
  <c r="E100" i="13"/>
  <c r="E108" i="13"/>
  <c r="E116" i="13"/>
  <c r="E124" i="13"/>
  <c r="E101" i="13"/>
  <c r="E109" i="13"/>
  <c r="E117" i="13"/>
  <c r="E125" i="13"/>
  <c r="E132" i="13"/>
  <c r="E140" i="13"/>
  <c r="E148" i="13"/>
  <c r="E156" i="13"/>
  <c r="E164" i="13"/>
  <c r="E172" i="13"/>
  <c r="E180" i="13"/>
  <c r="E188" i="13"/>
  <c r="E196" i="13"/>
  <c r="E177" i="13"/>
  <c r="E163" i="13"/>
  <c r="E155" i="13"/>
  <c r="E147" i="13"/>
  <c r="E139" i="13"/>
  <c r="E131" i="13"/>
  <c r="E181" i="13"/>
  <c r="E202" i="13"/>
  <c r="E195" i="13"/>
  <c r="E3" i="13"/>
  <c r="E11" i="13"/>
  <c r="E19" i="13"/>
  <c r="E27" i="13"/>
  <c r="E35" i="13"/>
  <c r="E10" i="13"/>
  <c r="E18" i="13"/>
  <c r="E26" i="13"/>
  <c r="E34" i="13"/>
  <c r="E42" i="13"/>
  <c r="E46" i="13"/>
  <c r="E54" i="13"/>
  <c r="E62" i="13"/>
  <c r="E45" i="13"/>
  <c r="E53" i="13"/>
  <c r="E67" i="13"/>
  <c r="E71" i="13"/>
  <c r="E75" i="13"/>
  <c r="E82" i="13"/>
  <c r="E90" i="13"/>
  <c r="E61" i="13"/>
  <c r="E79" i="13"/>
  <c r="E87" i="13"/>
  <c r="E95" i="13"/>
  <c r="E102" i="13"/>
  <c r="E110" i="13"/>
  <c r="E118" i="13"/>
  <c r="E126" i="13"/>
  <c r="E103" i="13"/>
  <c r="E111" i="13"/>
  <c r="E119" i="13"/>
  <c r="E127" i="13"/>
  <c r="E134" i="13"/>
  <c r="E142" i="13"/>
  <c r="E150" i="13"/>
  <c r="E158" i="13"/>
  <c r="E166" i="13"/>
  <c r="E174" i="13"/>
  <c r="E182" i="13"/>
  <c r="E190" i="13"/>
  <c r="E198" i="13"/>
  <c r="E169" i="13"/>
  <c r="E161" i="13"/>
  <c r="E153" i="13"/>
  <c r="E145" i="13"/>
  <c r="E137" i="13"/>
  <c r="E129" i="13"/>
  <c r="E175" i="13"/>
  <c r="E201" i="13"/>
  <c r="E193" i="13"/>
  <c r="E5" i="13"/>
  <c r="E13" i="13"/>
  <c r="E21" i="13"/>
  <c r="E29" i="13"/>
  <c r="E4" i="13"/>
  <c r="E12" i="13"/>
  <c r="E20" i="13"/>
  <c r="E28" i="13"/>
  <c r="E36" i="13"/>
  <c r="E44" i="13"/>
  <c r="E48" i="13"/>
  <c r="E56" i="13"/>
  <c r="E64" i="13"/>
  <c r="E47" i="13"/>
  <c r="E55" i="13"/>
  <c r="E68" i="13"/>
  <c r="E76" i="13"/>
  <c r="E84" i="13"/>
  <c r="E92" i="13"/>
  <c r="E63" i="13"/>
  <c r="E81" i="13"/>
  <c r="E89" i="13"/>
  <c r="E96" i="13"/>
  <c r="E112" i="13"/>
  <c r="E120" i="13"/>
  <c r="E97" i="13"/>
  <c r="E113" i="13"/>
  <c r="E121" i="13"/>
  <c r="E136" i="13"/>
  <c r="E144" i="13"/>
  <c r="E160" i="13"/>
  <c r="E176" i="13"/>
  <c r="E192" i="13"/>
  <c r="E200" i="13"/>
  <c r="E2" i="1"/>
  <c r="D3" i="1" s="1"/>
  <c r="C3" i="1" l="1"/>
  <c r="E3" i="1"/>
  <c r="D4" i="1" s="1"/>
  <c r="C4" i="1" l="1"/>
  <c r="E4" i="1"/>
  <c r="D5" i="1" s="1"/>
  <c r="E5" i="1" s="1"/>
  <c r="D6" i="1" s="1"/>
  <c r="E6" i="1" s="1"/>
  <c r="C5" i="1" l="1"/>
  <c r="D7" i="1"/>
  <c r="C6" i="1"/>
  <c r="C7" i="1" l="1"/>
  <c r="E7" i="1"/>
  <c r="D8" i="1" l="1"/>
  <c r="C8" i="1" l="1"/>
  <c r="E8" i="1"/>
  <c r="D9" i="1" s="1"/>
  <c r="C9" i="1" l="1"/>
  <c r="E9" i="1"/>
  <c r="D10" i="1" l="1"/>
  <c r="C10" i="1" l="1"/>
  <c r="E10" i="1"/>
  <c r="D11" i="1" s="1"/>
  <c r="C11" i="1" l="1"/>
  <c r="E11" i="1"/>
  <c r="D12" i="1" l="1"/>
  <c r="C12" i="1" l="1"/>
  <c r="E12" i="1"/>
  <c r="D13" i="1" s="1"/>
  <c r="C13" i="1" l="1"/>
  <c r="E13" i="1"/>
  <c r="D14" i="1" l="1"/>
  <c r="C14" i="1" l="1"/>
  <c r="E14" i="1"/>
  <c r="D15" i="1" s="1"/>
  <c r="C15" i="1" l="1"/>
  <c r="E15" i="1"/>
  <c r="D16" i="1" l="1"/>
  <c r="C16" i="1" l="1"/>
  <c r="E16" i="1"/>
  <c r="D17" i="1" s="1"/>
  <c r="C17" i="1" l="1"/>
  <c r="E17" i="1"/>
  <c r="D18" i="1" l="1"/>
  <c r="C18" i="1" l="1"/>
  <c r="E18" i="1"/>
  <c r="D19" i="1" s="1"/>
  <c r="C19" i="1" l="1"/>
  <c r="E19" i="1"/>
  <c r="D20" i="1" l="1"/>
  <c r="C20" i="1" l="1"/>
  <c r="E20" i="1"/>
  <c r="D21" i="1" s="1"/>
  <c r="C21" i="1" l="1"/>
  <c r="E21" i="1"/>
  <c r="D22" i="1" l="1"/>
  <c r="C22" i="1" l="1"/>
  <c r="E22" i="1"/>
  <c r="D23" i="1" s="1"/>
  <c r="C23" i="1" l="1"/>
  <c r="E23" i="1"/>
  <c r="D24" i="1" l="1"/>
  <c r="C24" i="1" l="1"/>
  <c r="E24" i="1"/>
  <c r="D25" i="1" s="1"/>
  <c r="C25" i="1" l="1"/>
  <c r="E25" i="1"/>
  <c r="D26" i="1" l="1"/>
  <c r="C26" i="1" l="1"/>
  <c r="E26" i="1"/>
  <c r="D27" i="1" s="1"/>
  <c r="C27" i="1" l="1"/>
  <c r="E27" i="1"/>
  <c r="D28" i="1" l="1"/>
  <c r="E28" i="1" s="1"/>
  <c r="D29" i="1" l="1"/>
  <c r="C28" i="1"/>
  <c r="C29" i="1" l="1"/>
  <c r="E29" i="1"/>
  <c r="D30" i="1" l="1"/>
  <c r="E30" i="1" s="1"/>
  <c r="D31" i="1" l="1"/>
  <c r="C30" i="1"/>
  <c r="C31" i="1" l="1"/>
  <c r="E31" i="1"/>
  <c r="D32" i="1" l="1"/>
  <c r="C32" i="1" l="1"/>
  <c r="E32" i="1"/>
  <c r="D33" i="1" s="1"/>
  <c r="C33" i="1" l="1"/>
  <c r="E33" i="1"/>
  <c r="D34" i="1" l="1"/>
  <c r="C34" i="1" l="1"/>
  <c r="E34" i="1"/>
  <c r="D35" i="1" s="1"/>
  <c r="C35" i="1" l="1"/>
  <c r="E35" i="1"/>
  <c r="D36" i="1" l="1"/>
  <c r="C36" i="1" l="1"/>
  <c r="E36" i="1"/>
  <c r="D37" i="1" s="1"/>
  <c r="C37" i="1" l="1"/>
  <c r="E37" i="1"/>
  <c r="D38" i="1" l="1"/>
  <c r="C38" i="1" l="1"/>
  <c r="E38" i="1"/>
  <c r="D39" i="1" s="1"/>
  <c r="C39" i="1" l="1"/>
  <c r="E39" i="1"/>
  <c r="D40" i="1" l="1"/>
  <c r="C40" i="1" l="1"/>
  <c r="E40" i="1"/>
  <c r="D41" i="1" s="1"/>
  <c r="C41" i="1" l="1"/>
  <c r="E41" i="1"/>
  <c r="D42" i="1" l="1"/>
  <c r="C42" i="1" l="1"/>
  <c r="E42" i="1"/>
  <c r="D43" i="1" s="1"/>
  <c r="C43" i="1" l="1"/>
  <c r="E43" i="1"/>
  <c r="D44" i="1" l="1"/>
  <c r="E44" i="1" s="1"/>
  <c r="D45" i="1" l="1"/>
  <c r="C44" i="1"/>
  <c r="C45" i="1" l="1"/>
  <c r="E45" i="1"/>
  <c r="D46" i="1" l="1"/>
  <c r="C46" i="1" l="1"/>
  <c r="E46" i="1"/>
  <c r="D47" i="1" s="1"/>
  <c r="C47" i="1" l="1"/>
  <c r="E47" i="1"/>
  <c r="D48" i="1" l="1"/>
  <c r="C48" i="1" l="1"/>
  <c r="E48" i="1"/>
  <c r="D49" i="1" s="1"/>
  <c r="C49" i="1" l="1"/>
  <c r="E49" i="1"/>
  <c r="D50" i="1" l="1"/>
  <c r="C50" i="1" l="1"/>
  <c r="E50" i="1"/>
  <c r="D51" i="1" s="1"/>
  <c r="C51" i="1" l="1"/>
  <c r="E51" i="1"/>
  <c r="D52" i="1" l="1"/>
  <c r="C52" i="1" l="1"/>
  <c r="E52" i="1"/>
  <c r="D53" i="1" s="1"/>
  <c r="C53" i="1" l="1"/>
  <c r="E53" i="1"/>
  <c r="D54" i="1" l="1"/>
  <c r="C54" i="1" l="1"/>
  <c r="E54" i="1"/>
  <c r="D55" i="1" s="1"/>
  <c r="E55" i="1" s="1"/>
  <c r="C55" i="1" l="1"/>
  <c r="D56" i="1"/>
  <c r="C56" i="1" l="1"/>
  <c r="E56" i="1"/>
  <c r="D57" i="1" s="1"/>
  <c r="C57" i="1" l="1"/>
  <c r="E57" i="1"/>
  <c r="D58" i="1" l="1"/>
  <c r="C58" i="1" l="1"/>
  <c r="E58" i="1"/>
  <c r="D59" i="1" s="1"/>
  <c r="C59" i="1" l="1"/>
  <c r="E59" i="1"/>
  <c r="D60" i="1" s="1"/>
  <c r="C60" i="1" l="1"/>
  <c r="E60" i="1"/>
  <c r="D61" i="1" s="1"/>
  <c r="C61" i="1" l="1"/>
  <c r="E61" i="1"/>
  <c r="D62" i="1" s="1"/>
  <c r="E62" i="1" s="1"/>
  <c r="C62" i="1" l="1"/>
  <c r="D63" i="1"/>
  <c r="C63" i="1" l="1"/>
  <c r="E63" i="1"/>
  <c r="D64" i="1" l="1"/>
  <c r="C64" i="1" l="1"/>
  <c r="E64" i="1"/>
  <c r="D65" i="1" s="1"/>
  <c r="C65" i="1" l="1"/>
  <c r="E65" i="1"/>
  <c r="D66" i="1" l="1"/>
  <c r="C66" i="1" l="1"/>
  <c r="E66" i="1"/>
  <c r="D67" i="1" s="1"/>
  <c r="C67" i="1" l="1"/>
  <c r="E67" i="1"/>
  <c r="D68" i="1" l="1"/>
  <c r="C68" i="1" l="1"/>
  <c r="E68" i="1"/>
  <c r="D69" i="1" s="1"/>
  <c r="C69" i="1" l="1"/>
  <c r="E69" i="1"/>
  <c r="D70" i="1" l="1"/>
  <c r="C70" i="1" l="1"/>
  <c r="E70" i="1"/>
  <c r="D71" i="1" s="1"/>
  <c r="C71" i="1" l="1"/>
  <c r="E71" i="1"/>
  <c r="D72" i="1" s="1"/>
  <c r="C72" i="1" l="1"/>
  <c r="E72" i="1"/>
  <c r="D73" i="1" s="1"/>
  <c r="C73" i="1" l="1"/>
  <c r="E73" i="1"/>
  <c r="D74" i="1" l="1"/>
  <c r="C74" i="1" l="1"/>
  <c r="E74" i="1"/>
  <c r="D75" i="1" l="1"/>
  <c r="E75" i="1" s="1"/>
  <c r="D76" i="1" l="1"/>
  <c r="E76" i="1" s="1"/>
  <c r="C75" i="1"/>
  <c r="D77" i="1" l="1"/>
  <c r="E77" i="1" s="1"/>
  <c r="C76" i="1"/>
  <c r="D78" i="1" l="1"/>
  <c r="E78" i="1" s="1"/>
  <c r="C77" i="1"/>
  <c r="D79" i="1" l="1"/>
  <c r="E79" i="1" s="1"/>
  <c r="C78" i="1"/>
  <c r="D80" i="1" l="1"/>
  <c r="E80" i="1" s="1"/>
  <c r="C79" i="1"/>
  <c r="D81" i="1" l="1"/>
  <c r="C80" i="1"/>
  <c r="C81" i="1" l="1"/>
  <c r="E81" i="1"/>
  <c r="D82" i="1" s="1"/>
  <c r="E82" i="1" s="1"/>
  <c r="D83" i="1" l="1"/>
  <c r="C82" i="1"/>
  <c r="C83" i="1" l="1"/>
  <c r="E83" i="1"/>
  <c r="D84" i="1" s="1"/>
  <c r="C84" i="1" l="1"/>
  <c r="E84" i="1"/>
  <c r="D85" i="1" s="1"/>
  <c r="E85" i="1" s="1"/>
  <c r="C85" i="1" l="1"/>
  <c r="D86" i="1"/>
  <c r="E86" i="1" s="1"/>
  <c r="C86" i="1" l="1"/>
  <c r="D87" i="1"/>
  <c r="C87" i="1" l="1"/>
  <c r="E87" i="1"/>
  <c r="D88" i="1" s="1"/>
  <c r="C88" i="1" l="1"/>
  <c r="E88" i="1"/>
  <c r="D89" i="1" s="1"/>
  <c r="C89" i="1" l="1"/>
  <c r="E89" i="1"/>
  <c r="D90" i="1" l="1"/>
  <c r="C90" i="1" l="1"/>
  <c r="E90" i="1"/>
  <c r="D91" i="1" s="1"/>
  <c r="C91" i="1" l="1"/>
  <c r="E91" i="1"/>
  <c r="D92" i="1" l="1"/>
  <c r="C92" i="1" l="1"/>
  <c r="E92" i="1"/>
  <c r="D93" i="1" s="1"/>
  <c r="E93" i="1" s="1"/>
  <c r="D94" i="1" l="1"/>
  <c r="C93" i="1"/>
  <c r="C94" i="1" l="1"/>
  <c r="E94" i="1"/>
  <c r="D95" i="1" s="1"/>
  <c r="E95" i="1" s="1"/>
  <c r="D96" i="1" l="1"/>
  <c r="E96" i="1" s="1"/>
  <c r="C95" i="1"/>
  <c r="D97" i="1" l="1"/>
  <c r="C96" i="1"/>
  <c r="C97" i="1" l="1"/>
  <c r="E97" i="1"/>
  <c r="D98" i="1" l="1"/>
  <c r="C98" i="1" l="1"/>
  <c r="E98" i="1"/>
  <c r="D99" i="1" s="1"/>
  <c r="C99" i="1" l="1"/>
  <c r="E99" i="1"/>
  <c r="D100" i="1" l="1"/>
  <c r="C100" i="1" l="1"/>
  <c r="E100" i="1"/>
  <c r="D101" i="1" s="1"/>
  <c r="E101" i="1" s="1"/>
  <c r="D102" i="1" l="1"/>
  <c r="E102" i="1" s="1"/>
  <c r="D103" i="1" s="1"/>
  <c r="C101" i="1"/>
  <c r="C103" i="1" l="1"/>
  <c r="E103" i="1"/>
  <c r="D104" i="1" s="1"/>
  <c r="C102" i="1"/>
  <c r="E104" i="1" l="1"/>
  <c r="D105" i="1" s="1"/>
  <c r="C104" i="1"/>
  <c r="E105" i="1" l="1"/>
  <c r="D106" i="1" s="1"/>
  <c r="C105" i="1"/>
  <c r="E106" i="1" l="1"/>
  <c r="D107" i="1" s="1"/>
  <c r="C106" i="1"/>
  <c r="E107" i="1" l="1"/>
  <c r="D108" i="1" s="1"/>
  <c r="C107" i="1"/>
  <c r="E108" i="1" l="1"/>
  <c r="D109" i="1" s="1"/>
  <c r="C108" i="1"/>
  <c r="E109" i="1" l="1"/>
  <c r="D110" i="1" s="1"/>
  <c r="C109" i="1"/>
  <c r="E110" i="1" l="1"/>
  <c r="D111" i="1" s="1"/>
  <c r="C110" i="1"/>
  <c r="E111" i="1" l="1"/>
  <c r="D112" i="1" s="1"/>
  <c r="C111" i="1"/>
  <c r="E112" i="1" l="1"/>
  <c r="D113" i="1" s="1"/>
  <c r="C112" i="1"/>
  <c r="E113" i="1" l="1"/>
  <c r="D114" i="1" s="1"/>
  <c r="C113" i="1"/>
  <c r="E114" i="1" l="1"/>
  <c r="D115" i="1" s="1"/>
  <c r="C114" i="1"/>
  <c r="E115" i="1" l="1"/>
  <c r="D116" i="1" s="1"/>
  <c r="C115" i="1"/>
  <c r="E116" i="1" l="1"/>
  <c r="D117" i="1" s="1"/>
  <c r="C116" i="1"/>
  <c r="E117" i="1" l="1"/>
  <c r="D118" i="1" s="1"/>
  <c r="C117" i="1"/>
  <c r="E118" i="1" l="1"/>
  <c r="D119" i="1" s="1"/>
  <c r="C118" i="1"/>
  <c r="E119" i="1" l="1"/>
  <c r="D120" i="1" s="1"/>
  <c r="C119" i="1"/>
  <c r="E120" i="1" l="1"/>
  <c r="D121" i="1" s="1"/>
  <c r="C120" i="1"/>
  <c r="E121" i="1" l="1"/>
  <c r="D122" i="1" s="1"/>
  <c r="C121" i="1"/>
  <c r="E122" i="1" l="1"/>
  <c r="D123" i="1" s="1"/>
  <c r="C122" i="1"/>
  <c r="E123" i="1" l="1"/>
  <c r="D124" i="1" s="1"/>
  <c r="C123" i="1"/>
  <c r="E124" i="1" l="1"/>
  <c r="D125" i="1" s="1"/>
  <c r="C124" i="1"/>
  <c r="E125" i="1" l="1"/>
  <c r="D126" i="1" s="1"/>
  <c r="C125" i="1"/>
  <c r="E126" i="1" l="1"/>
  <c r="D127" i="1" s="1"/>
  <c r="C126" i="1"/>
  <c r="E127" i="1" l="1"/>
  <c r="D128" i="1" s="1"/>
  <c r="C127" i="1"/>
  <c r="E128" i="1" l="1"/>
  <c r="D129" i="1" s="1"/>
  <c r="C128" i="1"/>
  <c r="E129" i="1" l="1"/>
  <c r="D130" i="1" s="1"/>
  <c r="C129" i="1"/>
  <c r="E130" i="1" l="1"/>
  <c r="D131" i="1" s="1"/>
  <c r="C130" i="1"/>
  <c r="E131" i="1" l="1"/>
  <c r="D132" i="1" s="1"/>
  <c r="C131" i="1"/>
  <c r="E132" i="1" l="1"/>
  <c r="D133" i="1" s="1"/>
  <c r="C132" i="1"/>
  <c r="E133" i="1" l="1"/>
  <c r="D134" i="1" s="1"/>
  <c r="C133" i="1"/>
  <c r="E134" i="1" l="1"/>
  <c r="D135" i="1" s="1"/>
  <c r="C134" i="1"/>
  <c r="E135" i="1" l="1"/>
  <c r="D136" i="1" s="1"/>
  <c r="C135" i="1"/>
  <c r="E136" i="1" l="1"/>
  <c r="D137" i="1" s="1"/>
  <c r="C136" i="1"/>
  <c r="E137" i="1" l="1"/>
  <c r="D138" i="1" s="1"/>
  <c r="C137" i="1"/>
  <c r="E138" i="1" l="1"/>
  <c r="D139" i="1" s="1"/>
  <c r="C138" i="1"/>
  <c r="E139" i="1" l="1"/>
  <c r="D140" i="1" s="1"/>
  <c r="C139" i="1"/>
  <c r="E140" i="1" l="1"/>
  <c r="D141" i="1" s="1"/>
  <c r="C140" i="1"/>
  <c r="E141" i="1" l="1"/>
  <c r="D142" i="1" s="1"/>
  <c r="C141" i="1"/>
  <c r="E142" i="1" l="1"/>
  <c r="D143" i="1" s="1"/>
  <c r="C142" i="1"/>
  <c r="E143" i="1" l="1"/>
  <c r="D144" i="1" s="1"/>
  <c r="C143" i="1"/>
  <c r="E144" i="1" l="1"/>
  <c r="D145" i="1" s="1"/>
  <c r="C144" i="1"/>
  <c r="E145" i="1" l="1"/>
  <c r="D146" i="1" s="1"/>
  <c r="C145" i="1"/>
  <c r="E146" i="1" l="1"/>
  <c r="D147" i="1" s="1"/>
  <c r="C146" i="1"/>
  <c r="E147" i="1" l="1"/>
  <c r="D148" i="1" s="1"/>
  <c r="C147" i="1"/>
  <c r="E148" i="1" l="1"/>
  <c r="D149" i="1" s="1"/>
  <c r="C148" i="1"/>
  <c r="E149" i="1" l="1"/>
  <c r="D150" i="1" s="1"/>
  <c r="C149" i="1"/>
  <c r="E150" i="1" l="1"/>
  <c r="D151" i="1" s="1"/>
  <c r="C150" i="1"/>
  <c r="E151" i="1" l="1"/>
  <c r="D152" i="1" s="1"/>
  <c r="C151" i="1"/>
  <c r="E152" i="1" l="1"/>
  <c r="D153" i="1" s="1"/>
  <c r="C152" i="1"/>
  <c r="E153" i="1" l="1"/>
  <c r="D154" i="1" s="1"/>
  <c r="C153" i="1"/>
  <c r="E154" i="1" l="1"/>
  <c r="D155" i="1" s="1"/>
  <c r="C154" i="1"/>
  <c r="E155" i="1" l="1"/>
  <c r="D156" i="1" s="1"/>
  <c r="C155" i="1"/>
  <c r="E156" i="1" l="1"/>
  <c r="D157" i="1" s="1"/>
  <c r="C156" i="1"/>
  <c r="E157" i="1" l="1"/>
  <c r="D158" i="1" s="1"/>
  <c r="C157" i="1"/>
  <c r="E158" i="1" l="1"/>
  <c r="D159" i="1" s="1"/>
  <c r="C158" i="1"/>
  <c r="E159" i="1" l="1"/>
  <c r="D160" i="1" s="1"/>
  <c r="C159" i="1"/>
  <c r="E160" i="1" l="1"/>
  <c r="D161" i="1" s="1"/>
  <c r="C160" i="1"/>
  <c r="E161" i="1" l="1"/>
  <c r="D162" i="1" s="1"/>
  <c r="C161" i="1"/>
  <c r="E162" i="1" l="1"/>
  <c r="D163" i="1" s="1"/>
  <c r="C162" i="1"/>
  <c r="E163" i="1" l="1"/>
  <c r="D164" i="1" s="1"/>
  <c r="C163" i="1"/>
  <c r="E164" i="1" l="1"/>
  <c r="D165" i="1" s="1"/>
  <c r="C164" i="1"/>
  <c r="E165" i="1" l="1"/>
  <c r="D166" i="1" s="1"/>
  <c r="C165" i="1"/>
  <c r="E166" i="1" l="1"/>
  <c r="D167" i="1" s="1"/>
  <c r="C166" i="1"/>
  <c r="E167" i="1" l="1"/>
  <c r="D168" i="1" s="1"/>
  <c r="C167" i="1"/>
  <c r="E168" i="1" l="1"/>
  <c r="D169" i="1" s="1"/>
  <c r="C168" i="1"/>
  <c r="E169" i="1" l="1"/>
  <c r="D170" i="1" s="1"/>
  <c r="C169" i="1"/>
  <c r="E170" i="1" l="1"/>
  <c r="D171" i="1" s="1"/>
  <c r="C170" i="1"/>
  <c r="E171" i="1" l="1"/>
  <c r="D172" i="1" s="1"/>
  <c r="C171" i="1"/>
  <c r="E172" i="1" l="1"/>
  <c r="D173" i="1" s="1"/>
  <c r="C172" i="1"/>
  <c r="E173" i="1" l="1"/>
  <c r="D174" i="1" s="1"/>
  <c r="C173" i="1"/>
  <c r="E174" i="1" l="1"/>
  <c r="D175" i="1" s="1"/>
  <c r="C174" i="1"/>
  <c r="E175" i="1" l="1"/>
  <c r="D176" i="1" s="1"/>
  <c r="C175" i="1"/>
  <c r="E176" i="1" l="1"/>
  <c r="D177" i="1" s="1"/>
  <c r="C176" i="1"/>
  <c r="E177" i="1" l="1"/>
  <c r="D178" i="1" s="1"/>
  <c r="C177" i="1"/>
  <c r="E178" i="1" l="1"/>
  <c r="D179" i="1" s="1"/>
  <c r="C178" i="1"/>
  <c r="E179" i="1" l="1"/>
  <c r="D180" i="1" s="1"/>
  <c r="C179" i="1"/>
  <c r="E180" i="1" l="1"/>
  <c r="D181" i="1" s="1"/>
  <c r="C180" i="1"/>
  <c r="E181" i="1" l="1"/>
  <c r="D182" i="1" s="1"/>
  <c r="C181" i="1"/>
  <c r="E182" i="1" l="1"/>
  <c r="D183" i="1" s="1"/>
  <c r="C182" i="1"/>
  <c r="E183" i="1" l="1"/>
  <c r="D184" i="1" s="1"/>
  <c r="C183" i="1"/>
  <c r="E184" i="1" l="1"/>
  <c r="D185" i="1" s="1"/>
  <c r="C184" i="1"/>
  <c r="E185" i="1" l="1"/>
  <c r="D186" i="1" s="1"/>
  <c r="C185" i="1"/>
  <c r="E186" i="1" l="1"/>
  <c r="D187" i="1" s="1"/>
  <c r="C186" i="1"/>
  <c r="E187" i="1" l="1"/>
  <c r="D188" i="1" s="1"/>
  <c r="C187" i="1"/>
  <c r="E188" i="1" l="1"/>
  <c r="D189" i="1" s="1"/>
  <c r="C188" i="1"/>
  <c r="E189" i="1" l="1"/>
  <c r="D190" i="1" s="1"/>
  <c r="C189" i="1"/>
  <c r="E190" i="1" l="1"/>
  <c r="D191" i="1" s="1"/>
  <c r="C190" i="1"/>
  <c r="E191" i="1" l="1"/>
  <c r="D192" i="1" s="1"/>
  <c r="C191" i="1"/>
  <c r="E192" i="1" l="1"/>
  <c r="D193" i="1" s="1"/>
  <c r="C192" i="1"/>
  <c r="E193" i="1" l="1"/>
  <c r="D194" i="1" s="1"/>
  <c r="C193" i="1"/>
  <c r="E194" i="1" l="1"/>
  <c r="D195" i="1" s="1"/>
  <c r="C194" i="1"/>
  <c r="E195" i="1" l="1"/>
  <c r="D196" i="1" s="1"/>
  <c r="C195" i="1"/>
  <c r="E196" i="1" l="1"/>
  <c r="D197" i="1" s="1"/>
  <c r="C196" i="1"/>
  <c r="E197" i="1" l="1"/>
  <c r="D198" i="1" s="1"/>
  <c r="C197" i="1"/>
  <c r="E198" i="1" l="1"/>
  <c r="D199" i="1" s="1"/>
  <c r="C198" i="1"/>
  <c r="E199" i="1" l="1"/>
  <c r="D200" i="1" s="1"/>
  <c r="C199" i="1"/>
  <c r="E200" i="1" l="1"/>
  <c r="D201" i="1" s="1"/>
  <c r="C200" i="1"/>
  <c r="E201" i="1" l="1"/>
  <c r="D202" i="1" s="1"/>
  <c r="C201" i="1"/>
  <c r="E202" i="1" l="1"/>
  <c r="C202" i="1"/>
  <c r="G3" i="1"/>
  <c r="K2" i="1"/>
  <c r="J2" i="13" s="1"/>
  <c r="G2" i="13"/>
  <c r="J2" i="1"/>
  <c r="H2" i="13" s="1"/>
  <c r="K3" i="1" l="1"/>
  <c r="J3" i="13" s="1"/>
  <c r="I3" i="1"/>
  <c r="I4" i="13"/>
  <c r="I6" i="13"/>
  <c r="I8" i="13"/>
  <c r="I10" i="13"/>
  <c r="I12" i="13"/>
  <c r="I14" i="13"/>
  <c r="I16" i="13"/>
  <c r="I18" i="13"/>
  <c r="I20" i="13"/>
  <c r="I22" i="13"/>
  <c r="I24" i="13"/>
  <c r="I26" i="13"/>
  <c r="I28" i="13"/>
  <c r="I30" i="13"/>
  <c r="I32" i="13"/>
  <c r="I34" i="13"/>
  <c r="I36" i="13"/>
  <c r="I3" i="13"/>
  <c r="I5" i="13"/>
  <c r="I7" i="13"/>
  <c r="I9" i="13"/>
  <c r="I11" i="13"/>
  <c r="I13" i="13"/>
  <c r="I15" i="13"/>
  <c r="I17" i="13"/>
  <c r="I19" i="13"/>
  <c r="I21" i="13"/>
  <c r="I23" i="13"/>
  <c r="I25" i="13"/>
  <c r="I27" i="13"/>
  <c r="I29" i="13"/>
  <c r="I31" i="13"/>
  <c r="I33" i="13"/>
  <c r="I35" i="13"/>
  <c r="I37" i="13"/>
  <c r="I39" i="13"/>
  <c r="I41" i="13"/>
  <c r="I43" i="13"/>
  <c r="I45" i="13"/>
  <c r="I47" i="13"/>
  <c r="I49" i="13"/>
  <c r="I51" i="13"/>
  <c r="I53" i="13"/>
  <c r="I55" i="13"/>
  <c r="I57" i="13"/>
  <c r="I59" i="13"/>
  <c r="I61" i="13"/>
  <c r="I63" i="13"/>
  <c r="I65" i="13"/>
  <c r="I38" i="13"/>
  <c r="I40" i="13"/>
  <c r="I42" i="13"/>
  <c r="I44" i="13"/>
  <c r="I60" i="13"/>
  <c r="I62" i="13"/>
  <c r="I64" i="13"/>
  <c r="I66" i="13"/>
  <c r="I77" i="13"/>
  <c r="I79" i="13"/>
  <c r="I81" i="13"/>
  <c r="I83" i="13"/>
  <c r="I85" i="13"/>
  <c r="I87" i="13"/>
  <c r="I89" i="13"/>
  <c r="I91" i="13"/>
  <c r="I93" i="13"/>
  <c r="I95" i="13"/>
  <c r="I46" i="13"/>
  <c r="I48" i="13"/>
  <c r="I50" i="13"/>
  <c r="I52" i="13"/>
  <c r="I54" i="13"/>
  <c r="I56" i="13"/>
  <c r="I58" i="13"/>
  <c r="I78" i="13"/>
  <c r="I80" i="13"/>
  <c r="I82" i="13"/>
  <c r="I84" i="13"/>
  <c r="I86" i="13"/>
  <c r="I88" i="13"/>
  <c r="I90" i="13"/>
  <c r="I92" i="13"/>
  <c r="I94" i="13"/>
  <c r="I69" i="13"/>
  <c r="I73" i="13"/>
  <c r="I97" i="13"/>
  <c r="I99" i="13"/>
  <c r="I101" i="13"/>
  <c r="I103" i="13"/>
  <c r="I105" i="13"/>
  <c r="I107" i="13"/>
  <c r="I109" i="13"/>
  <c r="I111" i="13"/>
  <c r="I113" i="13"/>
  <c r="I115" i="13"/>
  <c r="I117" i="13"/>
  <c r="I119" i="13"/>
  <c r="I121" i="13"/>
  <c r="I123" i="13"/>
  <c r="I125" i="13"/>
  <c r="I127" i="13"/>
  <c r="I68" i="13"/>
  <c r="I72" i="13"/>
  <c r="I76" i="13"/>
  <c r="I67" i="13"/>
  <c r="I71" i="13"/>
  <c r="I75" i="13"/>
  <c r="I96" i="13"/>
  <c r="I98" i="13"/>
  <c r="I100" i="13"/>
  <c r="I102" i="13"/>
  <c r="I104" i="13"/>
  <c r="I106" i="13"/>
  <c r="I108" i="13"/>
  <c r="I110" i="13"/>
  <c r="I112" i="13"/>
  <c r="I114" i="13"/>
  <c r="I116" i="13"/>
  <c r="I118" i="13"/>
  <c r="I120" i="13"/>
  <c r="I122" i="13"/>
  <c r="I124" i="13"/>
  <c r="I126" i="13"/>
  <c r="I128" i="13"/>
  <c r="I129" i="13"/>
  <c r="I131" i="13"/>
  <c r="I133" i="13"/>
  <c r="I135" i="13"/>
  <c r="I137" i="13"/>
  <c r="I139" i="13"/>
  <c r="I141" i="13"/>
  <c r="I143" i="13"/>
  <c r="I145" i="13"/>
  <c r="I147" i="13"/>
  <c r="I149" i="13"/>
  <c r="I151" i="13"/>
  <c r="I153" i="13"/>
  <c r="I155" i="13"/>
  <c r="I157" i="13"/>
  <c r="I159" i="13"/>
  <c r="I161" i="13"/>
  <c r="I163" i="13"/>
  <c r="I165" i="13"/>
  <c r="I167" i="13"/>
  <c r="I169" i="13"/>
  <c r="I171" i="13"/>
  <c r="I173" i="13"/>
  <c r="I175" i="13"/>
  <c r="I177" i="13"/>
  <c r="I179" i="13"/>
  <c r="I181" i="13"/>
  <c r="I183" i="13"/>
  <c r="I185" i="13"/>
  <c r="I187" i="13"/>
  <c r="I189" i="13"/>
  <c r="I191" i="13"/>
  <c r="I193" i="13"/>
  <c r="I195" i="13"/>
  <c r="I197" i="13"/>
  <c r="I199" i="13"/>
  <c r="I201" i="13"/>
  <c r="I70" i="13"/>
  <c r="I74" i="13"/>
  <c r="I130" i="13"/>
  <c r="I132" i="13"/>
  <c r="I134" i="13"/>
  <c r="I136" i="13"/>
  <c r="I138" i="13"/>
  <c r="I140" i="13"/>
  <c r="I142" i="13"/>
  <c r="I144" i="13"/>
  <c r="I146" i="13"/>
  <c r="I148" i="13"/>
  <c r="I150" i="13"/>
  <c r="I152" i="13"/>
  <c r="I154" i="13"/>
  <c r="I156" i="13"/>
  <c r="I158" i="13"/>
  <c r="I160" i="13"/>
  <c r="I162" i="13"/>
  <c r="I164" i="13"/>
  <c r="I166" i="13"/>
  <c r="I168" i="13"/>
  <c r="I170" i="13"/>
  <c r="I172" i="13"/>
  <c r="I174" i="13"/>
  <c r="I176" i="13"/>
  <c r="I178" i="13"/>
  <c r="I180" i="13"/>
  <c r="I182" i="13"/>
  <c r="I184" i="13"/>
  <c r="I188" i="13"/>
  <c r="I190" i="13"/>
  <c r="I192" i="13"/>
  <c r="I194" i="13"/>
  <c r="I196" i="13"/>
  <c r="I198" i="13"/>
  <c r="I200" i="13"/>
  <c r="I202" i="13"/>
  <c r="I186" i="13"/>
  <c r="I2" i="13"/>
  <c r="G3" i="13"/>
  <c r="D3" i="13"/>
  <c r="F3" i="13"/>
  <c r="F5" i="13"/>
  <c r="F7" i="13"/>
  <c r="F9" i="13"/>
  <c r="F11" i="13"/>
  <c r="F13" i="13"/>
  <c r="F15" i="13"/>
  <c r="F17" i="13"/>
  <c r="F19" i="13"/>
  <c r="F21" i="13"/>
  <c r="F23" i="13"/>
  <c r="F25" i="13"/>
  <c r="F27" i="13"/>
  <c r="F29" i="13"/>
  <c r="F31" i="13"/>
  <c r="F33" i="13"/>
  <c r="F35" i="13"/>
  <c r="F37" i="13"/>
  <c r="F4" i="13"/>
  <c r="F6" i="13"/>
  <c r="F8" i="13"/>
  <c r="F10" i="13"/>
  <c r="F12" i="13"/>
  <c r="F14" i="13"/>
  <c r="F16" i="13"/>
  <c r="F18" i="13"/>
  <c r="F20" i="13"/>
  <c r="F22" i="13"/>
  <c r="F24" i="13"/>
  <c r="F26" i="13"/>
  <c r="F28" i="13"/>
  <c r="F30" i="13"/>
  <c r="F32" i="13"/>
  <c r="F34" i="13"/>
  <c r="F36" i="13"/>
  <c r="F38" i="13"/>
  <c r="F40" i="13"/>
  <c r="F42" i="13"/>
  <c r="F44" i="13"/>
  <c r="F41" i="13"/>
  <c r="F43" i="13"/>
  <c r="F45" i="13"/>
  <c r="F46" i="13"/>
  <c r="F48" i="13"/>
  <c r="F50" i="13"/>
  <c r="F52" i="13"/>
  <c r="F54" i="13"/>
  <c r="F56" i="13"/>
  <c r="F58" i="13"/>
  <c r="F60" i="13"/>
  <c r="F62" i="13"/>
  <c r="F64" i="13"/>
  <c r="F66" i="13"/>
  <c r="F47" i="13"/>
  <c r="F49" i="13"/>
  <c r="F51" i="13"/>
  <c r="F53" i="13"/>
  <c r="F55" i="13"/>
  <c r="F57" i="13"/>
  <c r="F59" i="13"/>
  <c r="F61" i="13"/>
  <c r="F63" i="13"/>
  <c r="F65" i="13"/>
  <c r="F78" i="13"/>
  <c r="F80" i="13"/>
  <c r="F82" i="13"/>
  <c r="F84" i="13"/>
  <c r="F86" i="13"/>
  <c r="F88" i="13"/>
  <c r="F90" i="13"/>
  <c r="F92" i="13"/>
  <c r="F94" i="13"/>
  <c r="F96" i="13"/>
  <c r="F67" i="13"/>
  <c r="F69" i="13"/>
  <c r="F71" i="13"/>
  <c r="F73" i="13"/>
  <c r="F75" i="13"/>
  <c r="F39" i="13"/>
  <c r="F68" i="13"/>
  <c r="F70" i="13"/>
  <c r="F72" i="13"/>
  <c r="F74" i="13"/>
  <c r="F76" i="13"/>
  <c r="F77" i="13"/>
  <c r="F79" i="13"/>
  <c r="F81" i="13"/>
  <c r="F83" i="13"/>
  <c r="F85" i="13"/>
  <c r="F87" i="13"/>
  <c r="F89" i="13"/>
  <c r="F91" i="13"/>
  <c r="F93" i="13"/>
  <c r="F95" i="13"/>
  <c r="F98" i="13"/>
  <c r="F100" i="13"/>
  <c r="F102" i="13"/>
  <c r="F104" i="13"/>
  <c r="F106" i="13"/>
  <c r="F108" i="13"/>
  <c r="F110" i="13"/>
  <c r="F112" i="13"/>
  <c r="F114" i="13"/>
  <c r="F116" i="13"/>
  <c r="F118" i="13"/>
  <c r="F120" i="13"/>
  <c r="F122" i="13"/>
  <c r="F124" i="13"/>
  <c r="F126" i="13"/>
  <c r="F128" i="13"/>
  <c r="F97" i="13"/>
  <c r="F99" i="13"/>
  <c r="F101" i="13"/>
  <c r="F103" i="13"/>
  <c r="F105" i="13"/>
  <c r="F107" i="13"/>
  <c r="F109" i="13"/>
  <c r="F111" i="13"/>
  <c r="F113" i="13"/>
  <c r="F115" i="13"/>
  <c r="F117" i="13"/>
  <c r="F119" i="13"/>
  <c r="F121" i="13"/>
  <c r="F123" i="13"/>
  <c r="F125" i="13"/>
  <c r="F127" i="13"/>
  <c r="F130" i="13"/>
  <c r="F132" i="13"/>
  <c r="F134" i="13"/>
  <c r="F136" i="13"/>
  <c r="F138" i="13"/>
  <c r="F140" i="13"/>
  <c r="F142" i="13"/>
  <c r="F144" i="13"/>
  <c r="F146" i="13"/>
  <c r="F148" i="13"/>
  <c r="F150" i="13"/>
  <c r="F152" i="13"/>
  <c r="F154" i="13"/>
  <c r="F156" i="13"/>
  <c r="F158" i="13"/>
  <c r="F160" i="13"/>
  <c r="F162" i="13"/>
  <c r="F164" i="13"/>
  <c r="F166" i="13"/>
  <c r="F168" i="13"/>
  <c r="F170" i="13"/>
  <c r="F172" i="13"/>
  <c r="F174" i="13"/>
  <c r="F176" i="13"/>
  <c r="F178" i="13"/>
  <c r="F180" i="13"/>
  <c r="F182" i="13"/>
  <c r="F184" i="13"/>
  <c r="F186" i="13"/>
  <c r="F188" i="13"/>
  <c r="F190" i="13"/>
  <c r="F192" i="13"/>
  <c r="F194" i="13"/>
  <c r="F196" i="13"/>
  <c r="F198" i="13"/>
  <c r="F200" i="13"/>
  <c r="F202" i="13"/>
  <c r="F169" i="13"/>
  <c r="F177" i="13"/>
  <c r="F179" i="13"/>
  <c r="F181" i="13"/>
  <c r="F2" i="13"/>
  <c r="F187" i="13"/>
  <c r="F189" i="13"/>
  <c r="F191" i="13"/>
  <c r="F193" i="13"/>
  <c r="F195" i="13"/>
  <c r="F197" i="13"/>
  <c r="F199" i="13"/>
  <c r="F201" i="13"/>
  <c r="F129" i="13"/>
  <c r="F131" i="13"/>
  <c r="F133" i="13"/>
  <c r="F135" i="13"/>
  <c r="F137" i="13"/>
  <c r="F139" i="13"/>
  <c r="F141" i="13"/>
  <c r="F143" i="13"/>
  <c r="F145" i="13"/>
  <c r="F147" i="13"/>
  <c r="F149" i="13"/>
  <c r="F151" i="13"/>
  <c r="F153" i="13"/>
  <c r="F155" i="13"/>
  <c r="F157" i="13"/>
  <c r="F159" i="13"/>
  <c r="F161" i="13"/>
  <c r="F163" i="13"/>
  <c r="F165" i="13"/>
  <c r="F167" i="13"/>
  <c r="F171" i="13"/>
  <c r="F173" i="13"/>
  <c r="F175" i="13"/>
  <c r="F183" i="13"/>
  <c r="F185" i="13"/>
  <c r="K3" i="13"/>
  <c r="K5" i="13"/>
  <c r="K7" i="13"/>
  <c r="K9" i="13"/>
  <c r="K11" i="13"/>
  <c r="K13" i="13"/>
  <c r="K15" i="13"/>
  <c r="K17" i="13"/>
  <c r="K19" i="13"/>
  <c r="K21" i="13"/>
  <c r="K23" i="13"/>
  <c r="K25" i="13"/>
  <c r="K27" i="13"/>
  <c r="K29" i="13"/>
  <c r="K31" i="13"/>
  <c r="K33" i="13"/>
  <c r="K35" i="13"/>
  <c r="K37" i="13"/>
  <c r="K4" i="13"/>
  <c r="K6" i="13"/>
  <c r="K8" i="13"/>
  <c r="K10" i="13"/>
  <c r="K12" i="13"/>
  <c r="K14" i="13"/>
  <c r="K16" i="13"/>
  <c r="K18" i="13"/>
  <c r="K20" i="13"/>
  <c r="K22" i="13"/>
  <c r="K24" i="13"/>
  <c r="K26" i="13"/>
  <c r="K28" i="13"/>
  <c r="K30" i="13"/>
  <c r="K32" i="13"/>
  <c r="K34" i="13"/>
  <c r="K36" i="13"/>
  <c r="K38" i="13"/>
  <c r="K40" i="13"/>
  <c r="K42" i="13"/>
  <c r="K44" i="13"/>
  <c r="K39" i="13"/>
  <c r="K46" i="13"/>
  <c r="K48" i="13"/>
  <c r="K50" i="13"/>
  <c r="K52" i="13"/>
  <c r="K54" i="13"/>
  <c r="K56" i="13"/>
  <c r="K58" i="13"/>
  <c r="K60" i="13"/>
  <c r="K62" i="13"/>
  <c r="K64" i="13"/>
  <c r="K66" i="13"/>
  <c r="K67" i="13"/>
  <c r="K69" i="13"/>
  <c r="K71" i="13"/>
  <c r="K73" i="13"/>
  <c r="K75" i="13"/>
  <c r="K78" i="13"/>
  <c r="K80" i="13"/>
  <c r="K82" i="13"/>
  <c r="K84" i="13"/>
  <c r="K86" i="13"/>
  <c r="K88" i="13"/>
  <c r="K90" i="13"/>
  <c r="K92" i="13"/>
  <c r="K94" i="13"/>
  <c r="K41" i="13"/>
  <c r="K43" i="13"/>
  <c r="K45" i="13"/>
  <c r="K47" i="13"/>
  <c r="K49" i="13"/>
  <c r="K51" i="13"/>
  <c r="K53" i="13"/>
  <c r="K55" i="13"/>
  <c r="K57" i="13"/>
  <c r="K68" i="13"/>
  <c r="K70" i="13"/>
  <c r="K72" i="13"/>
  <c r="K74" i="13"/>
  <c r="K76" i="13"/>
  <c r="K59" i="13"/>
  <c r="K61" i="13"/>
  <c r="K63" i="13"/>
  <c r="K65" i="13"/>
  <c r="K77" i="13"/>
  <c r="K79" i="13"/>
  <c r="K81" i="13"/>
  <c r="K83" i="13"/>
  <c r="K85" i="13"/>
  <c r="K87" i="13"/>
  <c r="K89" i="13"/>
  <c r="K91" i="13"/>
  <c r="K93" i="13"/>
  <c r="K95" i="13"/>
  <c r="K96" i="13"/>
  <c r="K98" i="13"/>
  <c r="K100" i="13"/>
  <c r="K102" i="13"/>
  <c r="K104" i="13"/>
  <c r="K106" i="13"/>
  <c r="K108" i="13"/>
  <c r="K110" i="13"/>
  <c r="K112" i="13"/>
  <c r="K114" i="13"/>
  <c r="K116" i="13"/>
  <c r="K118" i="13"/>
  <c r="K120" i="13"/>
  <c r="K122" i="13"/>
  <c r="K124" i="13"/>
  <c r="K126" i="13"/>
  <c r="K128" i="13"/>
  <c r="K97" i="13"/>
  <c r="K99" i="13"/>
  <c r="K101" i="13"/>
  <c r="K103" i="13"/>
  <c r="K105" i="13"/>
  <c r="K107" i="13"/>
  <c r="K109" i="13"/>
  <c r="K111" i="13"/>
  <c r="K113" i="13"/>
  <c r="K115" i="13"/>
  <c r="K117" i="13"/>
  <c r="K119" i="13"/>
  <c r="K121" i="13"/>
  <c r="K123" i="13"/>
  <c r="K125" i="13"/>
  <c r="K127" i="13"/>
  <c r="K130" i="13"/>
  <c r="K132" i="13"/>
  <c r="K134" i="13"/>
  <c r="K136" i="13"/>
  <c r="K138" i="13"/>
  <c r="K140" i="13"/>
  <c r="K142" i="13"/>
  <c r="K144" i="13"/>
  <c r="K146" i="13"/>
  <c r="K148" i="13"/>
  <c r="K150" i="13"/>
  <c r="K152" i="13"/>
  <c r="K154" i="13"/>
  <c r="K156" i="13"/>
  <c r="K158" i="13"/>
  <c r="K160" i="13"/>
  <c r="K162" i="13"/>
  <c r="K164" i="13"/>
  <c r="K166" i="13"/>
  <c r="K168" i="13"/>
  <c r="K170" i="13"/>
  <c r="K172" i="13"/>
  <c r="K174" i="13"/>
  <c r="K176" i="13"/>
  <c r="K178" i="13"/>
  <c r="K180" i="13"/>
  <c r="K182" i="13"/>
  <c r="K184" i="13"/>
  <c r="K186" i="13"/>
  <c r="K188" i="13"/>
  <c r="K190" i="13"/>
  <c r="K192" i="13"/>
  <c r="K194" i="13"/>
  <c r="K196" i="13"/>
  <c r="K198" i="13"/>
  <c r="K200" i="13"/>
  <c r="K202" i="13"/>
  <c r="K129" i="13"/>
  <c r="K131" i="13"/>
  <c r="K133" i="13"/>
  <c r="K135" i="13"/>
  <c r="K137" i="13"/>
  <c r="K139" i="13"/>
  <c r="K141" i="13"/>
  <c r="K143" i="13"/>
  <c r="K145" i="13"/>
  <c r="K147" i="13"/>
  <c r="K149" i="13"/>
  <c r="K151" i="13"/>
  <c r="K153" i="13"/>
  <c r="K155" i="13"/>
  <c r="K157" i="13"/>
  <c r="K159" i="13"/>
  <c r="K161" i="13"/>
  <c r="K163" i="13"/>
  <c r="K165" i="13"/>
  <c r="K167" i="13"/>
  <c r="K169" i="13"/>
  <c r="K171" i="13"/>
  <c r="K173" i="13"/>
  <c r="K175" i="13"/>
  <c r="K177" i="13"/>
  <c r="K179" i="13"/>
  <c r="K181" i="13"/>
  <c r="K183" i="13"/>
  <c r="K185" i="13"/>
  <c r="K187" i="13"/>
  <c r="K189" i="13"/>
  <c r="K191" i="13"/>
  <c r="K193" i="13"/>
  <c r="K195" i="13"/>
  <c r="K197" i="13"/>
  <c r="K199" i="13"/>
  <c r="K201" i="13"/>
  <c r="K2" i="13"/>
  <c r="H2" i="1"/>
  <c r="G4" i="1"/>
  <c r="J3" i="1"/>
  <c r="H3" i="13" s="1"/>
  <c r="D4" i="13" l="1"/>
  <c r="I4" i="1"/>
  <c r="G5" i="1"/>
  <c r="J4" i="1"/>
  <c r="H4" i="13" s="1"/>
  <c r="H3" i="1"/>
  <c r="K4" i="1"/>
  <c r="J4" i="13" s="1"/>
  <c r="G4" i="13"/>
  <c r="D5" i="13" l="1"/>
  <c r="I5" i="1"/>
  <c r="G5" i="13" s="1"/>
  <c r="J5" i="1"/>
  <c r="H5" i="13" s="1"/>
  <c r="H4" i="1"/>
  <c r="G6" i="1"/>
  <c r="K5" i="1"/>
  <c r="J5" i="13" s="1"/>
  <c r="D6" i="13" l="1"/>
  <c r="I6" i="1"/>
  <c r="H5" i="1"/>
  <c r="J6" i="1"/>
  <c r="H6" i="13" s="1"/>
  <c r="G7" i="1"/>
  <c r="K6" i="1"/>
  <c r="J6" i="13" s="1"/>
  <c r="G6" i="13"/>
  <c r="D7" i="13" l="1"/>
  <c r="I7" i="1"/>
  <c r="G8" i="1"/>
  <c r="J7" i="1"/>
  <c r="H7" i="13" s="1"/>
  <c r="H6" i="1"/>
  <c r="K7" i="1"/>
  <c r="J7" i="13" s="1"/>
  <c r="G7" i="13"/>
  <c r="D8" i="13" l="1"/>
  <c r="I8" i="1"/>
  <c r="G8" i="13" s="1"/>
  <c r="H7" i="1"/>
  <c r="G9" i="1"/>
  <c r="K8" i="1"/>
  <c r="J8" i="13" s="1"/>
  <c r="J8" i="1"/>
  <c r="H8" i="13" s="1"/>
  <c r="D9" i="13" l="1"/>
  <c r="I9" i="1"/>
  <c r="G9" i="13" s="1"/>
  <c r="H8" i="1"/>
  <c r="J9" i="1"/>
  <c r="H9" i="13" s="1"/>
  <c r="K9" i="1"/>
  <c r="J9" i="13" s="1"/>
  <c r="G10" i="1"/>
  <c r="D10" i="13" l="1"/>
  <c r="I10" i="1"/>
  <c r="G10" i="13" s="1"/>
  <c r="H9" i="1"/>
  <c r="K10" i="1"/>
  <c r="J10" i="13" s="1"/>
  <c r="G11" i="1"/>
  <c r="J10" i="1"/>
  <c r="H10" i="13" s="1"/>
  <c r="D11" i="13" l="1"/>
  <c r="I11" i="1"/>
  <c r="G12" i="1"/>
  <c r="G11" i="13"/>
  <c r="K11" i="1"/>
  <c r="J11" i="13" s="1"/>
  <c r="H10" i="1"/>
  <c r="J11" i="1"/>
  <c r="H11" i="13" s="1"/>
  <c r="D12" i="13" l="1"/>
  <c r="I12" i="1"/>
  <c r="H11" i="1"/>
  <c r="J12" i="1"/>
  <c r="H12" i="13" s="1"/>
  <c r="G13" i="1"/>
  <c r="K12" i="1"/>
  <c r="J12" i="13" s="1"/>
  <c r="G12" i="13"/>
  <c r="D13" i="13" l="1"/>
  <c r="I13" i="1"/>
  <c r="G13" i="13" s="1"/>
  <c r="H12" i="1"/>
  <c r="J13" i="1"/>
  <c r="H13" i="13" s="1"/>
  <c r="G14" i="1"/>
  <c r="K13" i="1"/>
  <c r="J13" i="13" s="1"/>
  <c r="D14" i="13" l="1"/>
  <c r="I14" i="1"/>
  <c r="H13" i="1"/>
  <c r="J14" i="1"/>
  <c r="H14" i="13" s="1"/>
  <c r="K14" i="1"/>
  <c r="J14" i="13" s="1"/>
  <c r="G14" i="13"/>
  <c r="G15" i="1"/>
  <c r="D15" i="13" l="1"/>
  <c r="I15" i="1"/>
  <c r="G16" i="1"/>
  <c r="G15" i="13"/>
  <c r="J15" i="1"/>
  <c r="H15" i="13" s="1"/>
  <c r="K15" i="1"/>
  <c r="J15" i="13" s="1"/>
  <c r="H14" i="1"/>
  <c r="D16" i="13" l="1"/>
  <c r="I16" i="1"/>
  <c r="G16" i="13" s="1"/>
  <c r="G17" i="1"/>
  <c r="J16" i="1"/>
  <c r="H16" i="13" s="1"/>
  <c r="K16" i="1"/>
  <c r="J16" i="13" s="1"/>
  <c r="H15" i="1"/>
  <c r="D17" i="13" l="1"/>
  <c r="I17" i="1"/>
  <c r="H16" i="1"/>
  <c r="G17" i="13"/>
  <c r="G18" i="1"/>
  <c r="K17" i="1"/>
  <c r="J17" i="13" s="1"/>
  <c r="J17" i="1"/>
  <c r="H17" i="13" s="1"/>
  <c r="D18" i="13" l="1"/>
  <c r="I18" i="1"/>
  <c r="G18" i="13" s="1"/>
  <c r="H17" i="1"/>
  <c r="G19" i="1"/>
  <c r="K18" i="1"/>
  <c r="J18" i="13" s="1"/>
  <c r="J18" i="1"/>
  <c r="H18" i="13" s="1"/>
  <c r="D19" i="13" l="1"/>
  <c r="I19" i="1"/>
  <c r="G20" i="1"/>
  <c r="G19" i="13"/>
  <c r="J19" i="1"/>
  <c r="H19" i="13" s="1"/>
  <c r="H18" i="1"/>
  <c r="K19" i="1"/>
  <c r="J19" i="13" s="1"/>
  <c r="D20" i="13" l="1"/>
  <c r="I20" i="1"/>
  <c r="G20" i="13"/>
  <c r="H19" i="1"/>
  <c r="J20" i="1"/>
  <c r="H20" i="13" s="1"/>
  <c r="G21" i="1"/>
  <c r="K20" i="1"/>
  <c r="J20" i="13" s="1"/>
  <c r="D21" i="13" l="1"/>
  <c r="I21" i="1"/>
  <c r="G21" i="13" s="1"/>
  <c r="K21" i="1"/>
  <c r="J21" i="13" s="1"/>
  <c r="J21" i="1"/>
  <c r="H21" i="13" s="1"/>
  <c r="H20" i="1"/>
  <c r="G22" i="1"/>
  <c r="D22" i="13" l="1"/>
  <c r="I22" i="1"/>
  <c r="H21" i="1"/>
  <c r="G22" i="13"/>
  <c r="G23" i="1"/>
  <c r="J22" i="1"/>
  <c r="H22" i="13" s="1"/>
  <c r="K22" i="1"/>
  <c r="J22" i="13" s="1"/>
  <c r="D23" i="13" l="1"/>
  <c r="I23" i="1"/>
  <c r="G24" i="1"/>
  <c r="G23" i="13"/>
  <c r="H22" i="1"/>
  <c r="J23" i="1"/>
  <c r="H23" i="13" s="1"/>
  <c r="K23" i="1"/>
  <c r="J23" i="13" s="1"/>
  <c r="D24" i="13" l="1"/>
  <c r="I24" i="1"/>
  <c r="G24" i="13" s="1"/>
  <c r="H23" i="1"/>
  <c r="K24" i="1"/>
  <c r="J24" i="13" s="1"/>
  <c r="J24" i="1"/>
  <c r="H24" i="13" s="1"/>
  <c r="G25" i="1"/>
  <c r="D25" i="13" l="1"/>
  <c r="I25" i="1"/>
  <c r="G25" i="13" s="1"/>
  <c r="H24" i="1"/>
  <c r="J25" i="1"/>
  <c r="H25" i="13" s="1"/>
  <c r="K25" i="1"/>
  <c r="J25" i="13" s="1"/>
  <c r="G26" i="1"/>
  <c r="D26" i="13" l="1"/>
  <c r="I26" i="1"/>
  <c r="H25" i="1"/>
  <c r="K26" i="1"/>
  <c r="J26" i="13" s="1"/>
  <c r="G27" i="1"/>
  <c r="J26" i="1"/>
  <c r="H26" i="13" s="1"/>
  <c r="G26" i="13"/>
  <c r="D27" i="13" l="1"/>
  <c r="I27" i="1"/>
  <c r="G27" i="13" s="1"/>
  <c r="G28" i="1"/>
  <c r="H26" i="1"/>
  <c r="K27" i="1"/>
  <c r="J27" i="13" s="1"/>
  <c r="J27" i="1"/>
  <c r="H27" i="13" s="1"/>
  <c r="D28" i="13" l="1"/>
  <c r="I28" i="1"/>
  <c r="J28" i="1"/>
  <c r="H28" i="13" s="1"/>
  <c r="G29" i="1"/>
  <c r="K28" i="1"/>
  <c r="J28" i="13" s="1"/>
  <c r="H27" i="1"/>
  <c r="G28" i="13"/>
  <c r="D29" i="13" l="1"/>
  <c r="I29" i="1"/>
  <c r="H28" i="1"/>
  <c r="G29" i="13"/>
  <c r="J29" i="1"/>
  <c r="H29" i="13" s="1"/>
  <c r="G30" i="1"/>
  <c r="K29" i="1"/>
  <c r="J29" i="13" s="1"/>
  <c r="D30" i="13" l="1"/>
  <c r="I30" i="1"/>
  <c r="K30" i="1"/>
  <c r="J30" i="13" s="1"/>
  <c r="G30" i="13"/>
  <c r="H29" i="1"/>
  <c r="G31" i="1"/>
  <c r="J30" i="1"/>
  <c r="H30" i="13" s="1"/>
  <c r="D31" i="13" l="1"/>
  <c r="I31" i="1"/>
  <c r="G31" i="13" s="1"/>
  <c r="G32" i="1"/>
  <c r="H30" i="1"/>
  <c r="K31" i="1"/>
  <c r="J31" i="13" s="1"/>
  <c r="J31" i="1"/>
  <c r="H31" i="13" s="1"/>
  <c r="D32" i="13" l="1"/>
  <c r="I32" i="1"/>
  <c r="G32" i="13" s="1"/>
  <c r="G33" i="1"/>
  <c r="K32" i="1"/>
  <c r="J32" i="13" s="1"/>
  <c r="J32" i="1"/>
  <c r="H32" i="13" s="1"/>
  <c r="H31" i="1"/>
  <c r="D33" i="13" l="1"/>
  <c r="I33" i="1"/>
  <c r="K33" i="1"/>
  <c r="J33" i="13" s="1"/>
  <c r="G33" i="13"/>
  <c r="H32" i="1"/>
  <c r="G34" i="1"/>
  <c r="J33" i="1"/>
  <c r="H33" i="13" s="1"/>
  <c r="D34" i="13" l="1"/>
  <c r="I34" i="1"/>
  <c r="G34" i="13" s="1"/>
  <c r="G35" i="1"/>
  <c r="K34" i="1"/>
  <c r="J34" i="13" s="1"/>
  <c r="J34" i="1"/>
  <c r="H34" i="13" s="1"/>
  <c r="H33" i="1"/>
  <c r="D35" i="13" l="1"/>
  <c r="I35" i="1"/>
  <c r="G36" i="1"/>
  <c r="J35" i="1"/>
  <c r="H35" i="13" s="1"/>
  <c r="K35" i="1"/>
  <c r="J35" i="13" s="1"/>
  <c r="H34" i="1"/>
  <c r="G35" i="13"/>
  <c r="D36" i="13" l="1"/>
  <c r="I36" i="1"/>
  <c r="G36" i="13" s="1"/>
  <c r="K36" i="1"/>
  <c r="J36" i="13" s="1"/>
  <c r="J36" i="1"/>
  <c r="H36" i="13" s="1"/>
  <c r="G37" i="1"/>
  <c r="H35" i="1"/>
  <c r="D37" i="13" l="1"/>
  <c r="I37" i="1"/>
  <c r="G37" i="13" s="1"/>
  <c r="J37" i="1"/>
  <c r="H37" i="13" s="1"/>
  <c r="G38" i="1"/>
  <c r="H36" i="1"/>
  <c r="K37" i="1"/>
  <c r="J37" i="13" s="1"/>
  <c r="D38" i="13" l="1"/>
  <c r="I38" i="1"/>
  <c r="G39" i="1"/>
  <c r="G38" i="13"/>
  <c r="K38" i="1"/>
  <c r="J38" i="13" s="1"/>
  <c r="H37" i="1"/>
  <c r="J38" i="1"/>
  <c r="H38" i="13" s="1"/>
  <c r="D39" i="13" l="1"/>
  <c r="I39" i="1"/>
  <c r="G39" i="13" s="1"/>
  <c r="H38" i="1"/>
  <c r="G40" i="1"/>
  <c r="J39" i="1"/>
  <c r="H39" i="13" s="1"/>
  <c r="K39" i="1"/>
  <c r="J39" i="13" s="1"/>
  <c r="D40" i="13" l="1"/>
  <c r="I40" i="1"/>
  <c r="G40" i="13" s="1"/>
  <c r="J40" i="1"/>
  <c r="H40" i="13" s="1"/>
  <c r="H39" i="1"/>
  <c r="K40" i="1"/>
  <c r="J40" i="13" s="1"/>
  <c r="G41" i="1"/>
  <c r="D41" i="13" l="1"/>
  <c r="I41" i="1"/>
  <c r="G41" i="13" s="1"/>
  <c r="K41" i="1"/>
  <c r="J41" i="13" s="1"/>
  <c r="H40" i="1"/>
  <c r="J41" i="1"/>
  <c r="H41" i="13" s="1"/>
  <c r="G42" i="1"/>
  <c r="D42" i="13" l="1"/>
  <c r="I42" i="1"/>
  <c r="G42" i="13" s="1"/>
  <c r="G43" i="1"/>
  <c r="K42" i="1"/>
  <c r="J42" i="13" s="1"/>
  <c r="H41" i="1"/>
  <c r="J42" i="1"/>
  <c r="H42" i="13" s="1"/>
  <c r="D43" i="13" l="1"/>
  <c r="I43" i="1"/>
  <c r="G43" i="13" s="1"/>
  <c r="J43" i="1"/>
  <c r="H43" i="13" s="1"/>
  <c r="H42" i="1"/>
  <c r="G44" i="1"/>
  <c r="K43" i="1"/>
  <c r="J43" i="13" s="1"/>
  <c r="D44" i="13" l="1"/>
  <c r="I44" i="1"/>
  <c r="G44" i="13" s="1"/>
  <c r="J44" i="1"/>
  <c r="H44" i="13" s="1"/>
  <c r="K44" i="1"/>
  <c r="J44" i="13" s="1"/>
  <c r="H43" i="1"/>
  <c r="G45" i="1"/>
  <c r="D45" i="13" l="1"/>
  <c r="I45" i="1"/>
  <c r="G45" i="13" s="1"/>
  <c r="K45" i="1"/>
  <c r="J45" i="13" s="1"/>
  <c r="H44" i="1"/>
  <c r="G46" i="1"/>
  <c r="J45" i="1"/>
  <c r="H45" i="13" s="1"/>
  <c r="D46" i="13" l="1"/>
  <c r="I46" i="1"/>
  <c r="G47" i="1"/>
  <c r="G46" i="13"/>
  <c r="H45" i="1"/>
  <c r="K46" i="1"/>
  <c r="J46" i="13" s="1"/>
  <c r="J46" i="1"/>
  <c r="H46" i="13" s="1"/>
  <c r="D47" i="13" l="1"/>
  <c r="I47" i="1"/>
  <c r="G47" i="13" s="1"/>
  <c r="H46" i="1"/>
  <c r="G48" i="1"/>
  <c r="J47" i="1"/>
  <c r="H47" i="13" s="1"/>
  <c r="K47" i="1"/>
  <c r="J47" i="13" s="1"/>
  <c r="D48" i="13" l="1"/>
  <c r="I48" i="1"/>
  <c r="G48" i="13" s="1"/>
  <c r="J48" i="1"/>
  <c r="H48" i="13" s="1"/>
  <c r="K48" i="1"/>
  <c r="J48" i="13" s="1"/>
  <c r="H47" i="1"/>
  <c r="G49" i="1"/>
  <c r="D49" i="13" l="1"/>
  <c r="I49" i="1"/>
  <c r="J49" i="1"/>
  <c r="H49" i="13" s="1"/>
  <c r="G49" i="13"/>
  <c r="H48" i="1"/>
  <c r="G50" i="1"/>
  <c r="K49" i="1"/>
  <c r="J49" i="13" s="1"/>
  <c r="D50" i="13" l="1"/>
  <c r="I50" i="1"/>
  <c r="G51" i="1"/>
  <c r="G50" i="13"/>
  <c r="J50" i="1"/>
  <c r="H50" i="13" s="1"/>
  <c r="K50" i="1"/>
  <c r="J50" i="13" s="1"/>
  <c r="H49" i="1"/>
  <c r="D51" i="13" l="1"/>
  <c r="I51" i="1"/>
  <c r="G51" i="13" s="1"/>
  <c r="G52" i="1"/>
  <c r="J51" i="1"/>
  <c r="H51" i="13" s="1"/>
  <c r="K51" i="1"/>
  <c r="J51" i="13" s="1"/>
  <c r="H50" i="1"/>
  <c r="D52" i="13" l="1"/>
  <c r="I52" i="1"/>
  <c r="J52" i="1"/>
  <c r="H52" i="13" s="1"/>
  <c r="G52" i="13"/>
  <c r="G53" i="1"/>
  <c r="H51" i="1"/>
  <c r="K52" i="1"/>
  <c r="J52" i="13" s="1"/>
  <c r="D53" i="13" l="1"/>
  <c r="I53" i="1"/>
  <c r="G53" i="13" s="1"/>
  <c r="G54" i="1"/>
  <c r="H52" i="1"/>
  <c r="J53" i="1"/>
  <c r="H53" i="13" s="1"/>
  <c r="K53" i="1"/>
  <c r="J53" i="13" s="1"/>
  <c r="D54" i="13" l="1"/>
  <c r="I54" i="1"/>
  <c r="G54" i="13" s="1"/>
  <c r="G55" i="1"/>
  <c r="J54" i="1"/>
  <c r="H54" i="13" s="1"/>
  <c r="H53" i="1"/>
  <c r="K54" i="1"/>
  <c r="J54" i="13" s="1"/>
  <c r="D55" i="13" l="1"/>
  <c r="I55" i="1"/>
  <c r="G55" i="13" s="1"/>
  <c r="H54" i="1"/>
  <c r="J55" i="1"/>
  <c r="H55" i="13" s="1"/>
  <c r="K55" i="1"/>
  <c r="J55" i="13" s="1"/>
  <c r="G56" i="1"/>
  <c r="D56" i="13" l="1"/>
  <c r="I56" i="1"/>
  <c r="G56" i="13" s="1"/>
  <c r="J56" i="1"/>
  <c r="H56" i="13" s="1"/>
  <c r="H55" i="1"/>
  <c r="K56" i="1"/>
  <c r="J56" i="13" s="1"/>
  <c r="G57" i="1"/>
  <c r="D57" i="13" l="1"/>
  <c r="I57" i="1"/>
  <c r="G57" i="13" s="1"/>
  <c r="K57" i="1"/>
  <c r="J57" i="13" s="1"/>
  <c r="H56" i="1"/>
  <c r="G58" i="1"/>
  <c r="J57" i="1"/>
  <c r="H57" i="13" s="1"/>
  <c r="D58" i="13" l="1"/>
  <c r="I58" i="1"/>
  <c r="G58" i="13" s="1"/>
  <c r="G59" i="1"/>
  <c r="J58" i="1"/>
  <c r="H58" i="13" s="1"/>
  <c r="K58" i="1"/>
  <c r="J58" i="13" s="1"/>
  <c r="H57" i="1"/>
  <c r="D59" i="13" l="1"/>
  <c r="I59" i="1"/>
  <c r="G59" i="13" s="1"/>
  <c r="H58" i="1"/>
  <c r="K59" i="1"/>
  <c r="J59" i="13" s="1"/>
  <c r="G60" i="1"/>
  <c r="J59" i="1"/>
  <c r="H59" i="13" s="1"/>
  <c r="D60" i="13" l="1"/>
  <c r="I60" i="1"/>
  <c r="J60" i="1"/>
  <c r="H60" i="13" s="1"/>
  <c r="G60" i="13"/>
  <c r="K60" i="1"/>
  <c r="J60" i="13" s="1"/>
  <c r="G61" i="1"/>
  <c r="H59" i="1"/>
  <c r="D61" i="13" l="1"/>
  <c r="I61" i="1"/>
  <c r="G61" i="13" s="1"/>
  <c r="H60" i="1"/>
  <c r="G62" i="1"/>
  <c r="J61" i="1"/>
  <c r="H61" i="13" s="1"/>
  <c r="K61" i="1"/>
  <c r="J61" i="13" s="1"/>
  <c r="D62" i="13" l="1"/>
  <c r="I62" i="1"/>
  <c r="G62" i="13" s="1"/>
  <c r="G63" i="1"/>
  <c r="H61" i="1"/>
  <c r="J62" i="1"/>
  <c r="H62" i="13" s="1"/>
  <c r="K62" i="1"/>
  <c r="J62" i="13" s="1"/>
  <c r="D63" i="13" l="1"/>
  <c r="I63" i="1"/>
  <c r="G63" i="13" s="1"/>
  <c r="J63" i="1"/>
  <c r="H63" i="13" s="1"/>
  <c r="K63" i="1"/>
  <c r="J63" i="13" s="1"/>
  <c r="G64" i="1"/>
  <c r="H62" i="1"/>
  <c r="D64" i="13" l="1"/>
  <c r="I64" i="1"/>
  <c r="G64" i="13" s="1"/>
  <c r="H63" i="1"/>
  <c r="K64" i="1"/>
  <c r="J64" i="13" s="1"/>
  <c r="G65" i="1"/>
  <c r="J64" i="1"/>
  <c r="H64" i="13" s="1"/>
  <c r="D65" i="13" l="1"/>
  <c r="I65" i="1"/>
  <c r="G65" i="13" s="1"/>
  <c r="H64" i="1"/>
  <c r="J65" i="1"/>
  <c r="H65" i="13" s="1"/>
  <c r="K65" i="1"/>
  <c r="J65" i="13" s="1"/>
  <c r="G66" i="1"/>
  <c r="D66" i="13" l="1"/>
  <c r="I66" i="1"/>
  <c r="G66" i="13" s="1"/>
  <c r="G67" i="1"/>
  <c r="K66" i="1"/>
  <c r="J66" i="13" s="1"/>
  <c r="J66" i="1"/>
  <c r="H66" i="13" s="1"/>
  <c r="H65" i="1"/>
  <c r="D67" i="13" l="1"/>
  <c r="I67" i="1"/>
  <c r="G67" i="13" s="1"/>
  <c r="G68" i="1"/>
  <c r="J67" i="1"/>
  <c r="H67" i="13" s="1"/>
  <c r="H66" i="1"/>
  <c r="K67" i="1"/>
  <c r="J67" i="13" s="1"/>
  <c r="D68" i="13" l="1"/>
  <c r="I68" i="1"/>
  <c r="G68" i="13" s="1"/>
  <c r="K68" i="1"/>
  <c r="J68" i="13" s="1"/>
  <c r="G69" i="1"/>
  <c r="H67" i="1"/>
  <c r="J68" i="1"/>
  <c r="H68" i="13" s="1"/>
  <c r="D69" i="13" l="1"/>
  <c r="I69" i="1"/>
  <c r="G69" i="13" s="1"/>
  <c r="K69" i="1"/>
  <c r="J69" i="13" s="1"/>
  <c r="G70" i="1"/>
  <c r="J69" i="1"/>
  <c r="H69" i="13" s="1"/>
  <c r="H68" i="1"/>
  <c r="D70" i="13" l="1"/>
  <c r="I70" i="1"/>
  <c r="G71" i="1"/>
  <c r="J70" i="1"/>
  <c r="H70" i="13" s="1"/>
  <c r="H69" i="1"/>
  <c r="K70" i="1"/>
  <c r="J70" i="13" s="1"/>
  <c r="G70" i="13"/>
  <c r="D71" i="13" l="1"/>
  <c r="I71" i="1"/>
  <c r="G71" i="13" s="1"/>
  <c r="K71" i="1"/>
  <c r="J71" i="13" s="1"/>
  <c r="G72" i="1"/>
  <c r="H70" i="1"/>
  <c r="J71" i="1"/>
  <c r="H71" i="13" s="1"/>
  <c r="D72" i="13" l="1"/>
  <c r="I72" i="1"/>
  <c r="J72" i="1"/>
  <c r="H72" i="13" s="1"/>
  <c r="H71" i="1"/>
  <c r="K72" i="1"/>
  <c r="J72" i="13" s="1"/>
  <c r="G72" i="13"/>
  <c r="G73" i="1"/>
  <c r="D73" i="13" l="1"/>
  <c r="I73" i="1"/>
  <c r="G73" i="13" s="1"/>
  <c r="K73" i="1"/>
  <c r="J73" i="13" s="1"/>
  <c r="H72" i="1"/>
  <c r="G74" i="1"/>
  <c r="J73" i="1"/>
  <c r="H73" i="13" s="1"/>
  <c r="D74" i="13" l="1"/>
  <c r="I74" i="1"/>
  <c r="G75" i="1"/>
  <c r="H73" i="1"/>
  <c r="J74" i="1"/>
  <c r="H74" i="13" s="1"/>
  <c r="K74" i="1"/>
  <c r="J74" i="13" s="1"/>
  <c r="G74" i="13"/>
  <c r="D75" i="13" l="1"/>
  <c r="I75" i="1"/>
  <c r="K75" i="1"/>
  <c r="J75" i="13" s="1"/>
  <c r="G75" i="13"/>
  <c r="J75" i="1"/>
  <c r="H75" i="13" s="1"/>
  <c r="H74" i="1"/>
  <c r="G76" i="1"/>
  <c r="D76" i="13" l="1"/>
  <c r="I76" i="1"/>
  <c r="G76" i="13" s="1"/>
  <c r="H75" i="1"/>
  <c r="J76" i="1"/>
  <c r="H76" i="13" s="1"/>
  <c r="K76" i="1"/>
  <c r="J76" i="13" s="1"/>
  <c r="G77" i="1"/>
  <c r="D77" i="13" l="1"/>
  <c r="I77" i="1"/>
  <c r="K77" i="1"/>
  <c r="J77" i="13" s="1"/>
  <c r="G77" i="13"/>
  <c r="G78" i="1"/>
  <c r="J77" i="1"/>
  <c r="H77" i="13" s="1"/>
  <c r="H76" i="1"/>
  <c r="D78" i="13" l="1"/>
  <c r="I78" i="1"/>
  <c r="G78" i="13" s="1"/>
  <c r="G79" i="1"/>
  <c r="H77" i="1"/>
  <c r="K78" i="1"/>
  <c r="J78" i="13" s="1"/>
  <c r="J78" i="1"/>
  <c r="H78" i="13" s="1"/>
  <c r="D79" i="13" l="1"/>
  <c r="I79" i="1"/>
  <c r="G79" i="13" s="1"/>
  <c r="H78" i="1"/>
  <c r="G80" i="1"/>
  <c r="K79" i="1"/>
  <c r="J79" i="13" s="1"/>
  <c r="J79" i="1"/>
  <c r="H79" i="13" s="1"/>
  <c r="D80" i="13" l="1"/>
  <c r="I80" i="1"/>
  <c r="G80" i="13" s="1"/>
  <c r="J80" i="1"/>
  <c r="H80" i="13" s="1"/>
  <c r="K80" i="1"/>
  <c r="J80" i="13" s="1"/>
  <c r="G81" i="1"/>
  <c r="H79" i="1"/>
  <c r="D81" i="13" l="1"/>
  <c r="I81" i="1"/>
  <c r="G81" i="13" s="1"/>
  <c r="H80" i="1"/>
  <c r="G82" i="1"/>
  <c r="J81" i="1"/>
  <c r="H81" i="13" s="1"/>
  <c r="K81" i="1"/>
  <c r="J81" i="13" s="1"/>
  <c r="D82" i="13" l="1"/>
  <c r="I82" i="1"/>
  <c r="G83" i="1"/>
  <c r="H81" i="1"/>
  <c r="K82" i="1"/>
  <c r="J82" i="13" s="1"/>
  <c r="G82" i="13"/>
  <c r="J82" i="1"/>
  <c r="H82" i="13" s="1"/>
  <c r="D83" i="13" l="1"/>
  <c r="I83" i="1"/>
  <c r="G84" i="1"/>
  <c r="G83" i="13"/>
  <c r="H82" i="1"/>
  <c r="J83" i="1"/>
  <c r="H83" i="13" s="1"/>
  <c r="K83" i="1"/>
  <c r="J83" i="13" s="1"/>
  <c r="D84" i="13" l="1"/>
  <c r="I84" i="1"/>
  <c r="K84" i="1"/>
  <c r="J84" i="13" s="1"/>
  <c r="G84" i="13"/>
  <c r="G85" i="1"/>
  <c r="J84" i="1"/>
  <c r="H84" i="13" s="1"/>
  <c r="H83" i="1"/>
  <c r="D85" i="13" l="1"/>
  <c r="I85" i="1"/>
  <c r="G85" i="13" s="1"/>
  <c r="J85" i="1"/>
  <c r="H85" i="13" s="1"/>
  <c r="G86" i="1"/>
  <c r="H84" i="1"/>
  <c r="K85" i="1"/>
  <c r="J85" i="13" s="1"/>
  <c r="D86" i="13" l="1"/>
  <c r="I86" i="1"/>
  <c r="G86" i="13" s="1"/>
  <c r="G87" i="1"/>
  <c r="H85" i="1"/>
  <c r="K86" i="1"/>
  <c r="J86" i="13" s="1"/>
  <c r="J86" i="1"/>
  <c r="H86" i="13" s="1"/>
  <c r="D87" i="13" l="1"/>
  <c r="I87" i="1"/>
  <c r="G87" i="13" s="1"/>
  <c r="K87" i="1"/>
  <c r="J87" i="13" s="1"/>
  <c r="J87" i="1"/>
  <c r="H87" i="13" s="1"/>
  <c r="G88" i="1"/>
  <c r="H86" i="1"/>
  <c r="D88" i="13" l="1"/>
  <c r="I88" i="1"/>
  <c r="K88" i="1"/>
  <c r="J88" i="13" s="1"/>
  <c r="G88" i="13"/>
  <c r="J88" i="1"/>
  <c r="H88" i="13" s="1"/>
  <c r="G89" i="1"/>
  <c r="H87" i="1"/>
  <c r="D89" i="13" l="1"/>
  <c r="I89" i="1"/>
  <c r="G89" i="13" s="1"/>
  <c r="J89" i="1"/>
  <c r="H89" i="13" s="1"/>
  <c r="H88" i="1"/>
  <c r="K89" i="1"/>
  <c r="J89" i="13" s="1"/>
  <c r="G90" i="1"/>
  <c r="D90" i="13" l="1"/>
  <c r="I90" i="1"/>
  <c r="G90" i="13" s="1"/>
  <c r="G91" i="1"/>
  <c r="J90" i="1"/>
  <c r="H90" i="13" s="1"/>
  <c r="H89" i="1"/>
  <c r="K90" i="1"/>
  <c r="J90" i="13" s="1"/>
  <c r="D91" i="13" l="1"/>
  <c r="I91" i="1"/>
  <c r="G91" i="13" s="1"/>
  <c r="J91" i="1"/>
  <c r="H91" i="13" s="1"/>
  <c r="G92" i="1"/>
  <c r="H90" i="1"/>
  <c r="K91" i="1"/>
  <c r="J91" i="13" s="1"/>
  <c r="D92" i="13" l="1"/>
  <c r="I92" i="1"/>
  <c r="G92" i="13"/>
  <c r="K92" i="1"/>
  <c r="J92" i="13" s="1"/>
  <c r="H91" i="1"/>
  <c r="J92" i="1"/>
  <c r="H92" i="13" s="1"/>
  <c r="G93" i="1"/>
  <c r="D93" i="13" l="1"/>
  <c r="I93" i="1"/>
  <c r="G93" i="13" s="1"/>
  <c r="K93" i="1"/>
  <c r="J93" i="13" s="1"/>
  <c r="H92" i="1"/>
  <c r="G94" i="1"/>
  <c r="J93" i="1"/>
  <c r="H93" i="13" s="1"/>
  <c r="D94" i="13" l="1"/>
  <c r="I94" i="1"/>
  <c r="G94" i="13" s="1"/>
  <c r="G95" i="1"/>
  <c r="H93" i="1"/>
  <c r="J94" i="1"/>
  <c r="H94" i="13" s="1"/>
  <c r="K94" i="1"/>
  <c r="J94" i="13" s="1"/>
  <c r="D95" i="13" l="1"/>
  <c r="I95" i="1"/>
  <c r="G95" i="13" s="1"/>
  <c r="J95" i="1"/>
  <c r="H95" i="13" s="1"/>
  <c r="H94" i="1"/>
  <c r="K95" i="1"/>
  <c r="J95" i="13" s="1"/>
  <c r="G96" i="1"/>
  <c r="D96" i="13" l="1"/>
  <c r="I96" i="1"/>
  <c r="G96" i="13" s="1"/>
  <c r="H95" i="1"/>
  <c r="K96" i="1"/>
  <c r="J96" i="13" s="1"/>
  <c r="J96" i="1"/>
  <c r="H96" i="13" s="1"/>
  <c r="G97" i="1"/>
  <c r="D97" i="13" l="1"/>
  <c r="I97" i="1"/>
  <c r="H96" i="1"/>
  <c r="G97" i="13"/>
  <c r="J97" i="1"/>
  <c r="H97" i="13" s="1"/>
  <c r="G98" i="1"/>
  <c r="K97" i="1"/>
  <c r="J97" i="13" s="1"/>
  <c r="D98" i="13" l="1"/>
  <c r="I98" i="1"/>
  <c r="G98" i="13" s="1"/>
  <c r="G99" i="1"/>
  <c r="J98" i="1"/>
  <c r="H98" i="13" s="1"/>
  <c r="K98" i="1"/>
  <c r="J98" i="13" s="1"/>
  <c r="H97" i="1"/>
  <c r="D99" i="13" l="1"/>
  <c r="I99" i="1"/>
  <c r="G99" i="13" s="1"/>
  <c r="G100" i="1"/>
  <c r="K99" i="1"/>
  <c r="J99" i="13" s="1"/>
  <c r="H98" i="1"/>
  <c r="J99" i="1"/>
  <c r="H99" i="13" s="1"/>
  <c r="D100" i="13" l="1"/>
  <c r="I100" i="1"/>
  <c r="G100" i="13" s="1"/>
  <c r="K100" i="1"/>
  <c r="J100" i="13" s="1"/>
  <c r="J100" i="1"/>
  <c r="H100" i="13" s="1"/>
  <c r="G101" i="1"/>
  <c r="H99" i="1"/>
  <c r="D101" i="13" l="1"/>
  <c r="I101" i="1"/>
  <c r="G101" i="13" s="1"/>
  <c r="K101" i="1"/>
  <c r="J101" i="13" s="1"/>
  <c r="G102" i="1"/>
  <c r="J101" i="1"/>
  <c r="H101" i="13" s="1"/>
  <c r="H100" i="1"/>
  <c r="D102" i="13" l="1"/>
  <c r="I102" i="1"/>
  <c r="G102" i="13" s="1"/>
  <c r="G103" i="1"/>
  <c r="K102" i="1"/>
  <c r="J102" i="13" s="1"/>
  <c r="J102" i="1"/>
  <c r="H102" i="13" s="1"/>
  <c r="H101" i="1"/>
  <c r="D103" i="13" l="1"/>
  <c r="I103" i="1"/>
  <c r="H102" i="1"/>
  <c r="G103" i="13"/>
  <c r="G104" i="1"/>
  <c r="K103" i="1"/>
  <c r="J103" i="13" s="1"/>
  <c r="J103" i="1"/>
  <c r="H103" i="13" s="1"/>
  <c r="D104" i="13" l="1"/>
  <c r="I104" i="1"/>
  <c r="G104" i="13" s="1"/>
  <c r="J104" i="1"/>
  <c r="H104" i="13" s="1"/>
  <c r="K104" i="1"/>
  <c r="J104" i="13" s="1"/>
  <c r="G105" i="1"/>
  <c r="H103" i="1"/>
  <c r="D105" i="13" l="1"/>
  <c r="I105" i="1"/>
  <c r="G105" i="13" s="1"/>
  <c r="K105" i="1"/>
  <c r="J105" i="13" s="1"/>
  <c r="G106" i="1"/>
  <c r="J105" i="1"/>
  <c r="H105" i="13" s="1"/>
  <c r="H104" i="1"/>
  <c r="D106" i="13" l="1"/>
  <c r="I106" i="1"/>
  <c r="G106" i="13" s="1"/>
  <c r="G107" i="1"/>
  <c r="J106" i="1"/>
  <c r="H106" i="13" s="1"/>
  <c r="K106" i="1"/>
  <c r="J106" i="13" s="1"/>
  <c r="H105" i="1"/>
  <c r="D107" i="13" l="1"/>
  <c r="I107" i="1"/>
  <c r="G107" i="13" s="1"/>
  <c r="K107" i="1"/>
  <c r="J107" i="13" s="1"/>
  <c r="J107" i="1"/>
  <c r="H107" i="13" s="1"/>
  <c r="G108" i="1"/>
  <c r="H106" i="1"/>
  <c r="D108" i="13" l="1"/>
  <c r="I108" i="1"/>
  <c r="G108" i="13" s="1"/>
  <c r="K108" i="1"/>
  <c r="J108" i="13" s="1"/>
  <c r="J108" i="1"/>
  <c r="H108" i="13" s="1"/>
  <c r="G109" i="1"/>
  <c r="H107" i="1"/>
  <c r="D109" i="13" l="1"/>
  <c r="I109" i="1"/>
  <c r="G109" i="13" s="1"/>
  <c r="J109" i="1"/>
  <c r="H109" i="13" s="1"/>
  <c r="H108" i="1"/>
  <c r="G110" i="1"/>
  <c r="K109" i="1"/>
  <c r="J109" i="13" s="1"/>
  <c r="D110" i="13" l="1"/>
  <c r="I110" i="1"/>
  <c r="G110" i="13" s="1"/>
  <c r="G111" i="1"/>
  <c r="H109" i="1"/>
  <c r="J110" i="1"/>
  <c r="H110" i="13" s="1"/>
  <c r="K110" i="1"/>
  <c r="J110" i="13" s="1"/>
  <c r="D111" i="13" l="1"/>
  <c r="I111" i="1"/>
  <c r="K111" i="1"/>
  <c r="J111" i="13" s="1"/>
  <c r="G112" i="1"/>
  <c r="J111" i="1"/>
  <c r="H111" i="13" s="1"/>
  <c r="G111" i="13"/>
  <c r="H110" i="1"/>
  <c r="D112" i="13" l="1"/>
  <c r="I112" i="1"/>
  <c r="J112" i="1"/>
  <c r="H112" i="13" s="1"/>
  <c r="G112" i="13"/>
  <c r="H111" i="1"/>
  <c r="K112" i="1"/>
  <c r="J112" i="13" s="1"/>
  <c r="G113" i="1"/>
  <c r="D113" i="13" l="1"/>
  <c r="I113" i="1"/>
  <c r="H112" i="1"/>
  <c r="G113" i="13"/>
  <c r="J113" i="1"/>
  <c r="H113" i="13" s="1"/>
  <c r="G114" i="1"/>
  <c r="K113" i="1"/>
  <c r="J113" i="13" s="1"/>
  <c r="D114" i="13" l="1"/>
  <c r="I114" i="1"/>
  <c r="G114" i="13" s="1"/>
  <c r="G115" i="1"/>
  <c r="K114" i="1"/>
  <c r="J114" i="13" s="1"/>
  <c r="H113" i="1"/>
  <c r="J114" i="1"/>
  <c r="H114" i="13" s="1"/>
  <c r="D115" i="13" l="1"/>
  <c r="I115" i="1"/>
  <c r="G115" i="13" s="1"/>
  <c r="G116" i="1"/>
  <c r="H114" i="1"/>
  <c r="J115" i="1"/>
  <c r="H115" i="13" s="1"/>
  <c r="K115" i="1"/>
  <c r="J115" i="13" s="1"/>
  <c r="D116" i="13" l="1"/>
  <c r="I116" i="1"/>
  <c r="G116" i="13" s="1"/>
  <c r="K116" i="1"/>
  <c r="J116" i="13" s="1"/>
  <c r="G117" i="1"/>
  <c r="J116" i="1"/>
  <c r="H116" i="13" s="1"/>
  <c r="H115" i="1"/>
  <c r="D117" i="13" l="1"/>
  <c r="I117" i="1"/>
  <c r="H116" i="1"/>
  <c r="G118" i="1"/>
  <c r="K117" i="1"/>
  <c r="J117" i="13" s="1"/>
  <c r="G117" i="13"/>
  <c r="J117" i="1"/>
  <c r="H117" i="13" s="1"/>
  <c r="D118" i="13" l="1"/>
  <c r="I118" i="1"/>
  <c r="G118" i="13" s="1"/>
  <c r="G119" i="1"/>
  <c r="K118" i="1"/>
  <c r="J118" i="13" s="1"/>
  <c r="J118" i="1"/>
  <c r="H118" i="13" s="1"/>
  <c r="H117" i="1"/>
  <c r="D119" i="13" l="1"/>
  <c r="I119" i="1"/>
  <c r="G119" i="13" s="1"/>
  <c r="J119" i="1"/>
  <c r="H119" i="13" s="1"/>
  <c r="K119" i="1"/>
  <c r="J119" i="13" s="1"/>
  <c r="H118" i="1"/>
  <c r="G120" i="1"/>
  <c r="D120" i="13" l="1"/>
  <c r="I120" i="1"/>
  <c r="G120" i="13" s="1"/>
  <c r="J120" i="1"/>
  <c r="H120" i="13" s="1"/>
  <c r="K120" i="1"/>
  <c r="J120" i="13" s="1"/>
  <c r="G121" i="1"/>
  <c r="H119" i="1"/>
  <c r="D121" i="13" l="1"/>
  <c r="I121" i="1"/>
  <c r="G121" i="13" s="1"/>
  <c r="J121" i="1"/>
  <c r="H121" i="13" s="1"/>
  <c r="H120" i="1"/>
  <c r="K121" i="1"/>
  <c r="J121" i="13" s="1"/>
  <c r="G122" i="1"/>
  <c r="D122" i="13" l="1"/>
  <c r="I122" i="1"/>
  <c r="G122" i="13" s="1"/>
  <c r="G123" i="1"/>
  <c r="H121" i="1"/>
  <c r="K122" i="1"/>
  <c r="J122" i="13" s="1"/>
  <c r="J122" i="1"/>
  <c r="H122" i="13" s="1"/>
  <c r="D123" i="13" l="1"/>
  <c r="I123" i="1"/>
  <c r="G123" i="13" s="1"/>
  <c r="J123" i="1"/>
  <c r="H123" i="13" s="1"/>
  <c r="G124" i="1"/>
  <c r="K123" i="1"/>
  <c r="J123" i="13" s="1"/>
  <c r="H122" i="1"/>
  <c r="D124" i="13" l="1"/>
  <c r="I124" i="1"/>
  <c r="G124" i="13" s="1"/>
  <c r="K124" i="1"/>
  <c r="J124" i="13" s="1"/>
  <c r="G125" i="1"/>
  <c r="H123" i="1"/>
  <c r="J124" i="1"/>
  <c r="H124" i="13" s="1"/>
  <c r="D125" i="13" l="1"/>
  <c r="I125" i="1"/>
  <c r="G125" i="13" s="1"/>
  <c r="H124" i="1"/>
  <c r="J125" i="1"/>
  <c r="H125" i="13" s="1"/>
  <c r="G126" i="1"/>
  <c r="K125" i="1"/>
  <c r="J125" i="13" s="1"/>
  <c r="D126" i="13" l="1"/>
  <c r="I126" i="1"/>
  <c r="G126" i="13" s="1"/>
  <c r="G127" i="1"/>
  <c r="H125" i="1"/>
  <c r="J126" i="1"/>
  <c r="H126" i="13" s="1"/>
  <c r="K126" i="1"/>
  <c r="J126" i="13" s="1"/>
  <c r="D127" i="13" l="1"/>
  <c r="I127" i="1"/>
  <c r="G127" i="13" s="1"/>
  <c r="G128" i="1"/>
  <c r="K127" i="1"/>
  <c r="J127" i="13" s="1"/>
  <c r="J127" i="1"/>
  <c r="H127" i="13" s="1"/>
  <c r="H126" i="1"/>
  <c r="D128" i="13" l="1"/>
  <c r="I128" i="1"/>
  <c r="G128" i="13" s="1"/>
  <c r="K128" i="1"/>
  <c r="J128" i="13" s="1"/>
  <c r="G129" i="1"/>
  <c r="H127" i="1"/>
  <c r="J128" i="1"/>
  <c r="H128" i="13" s="1"/>
  <c r="D129" i="13" l="1"/>
  <c r="I129" i="1"/>
  <c r="G129" i="13" s="1"/>
  <c r="H128" i="1"/>
  <c r="G130" i="1"/>
  <c r="K129" i="1"/>
  <c r="J129" i="13" s="1"/>
  <c r="J129" i="1"/>
  <c r="H129" i="13" s="1"/>
  <c r="D130" i="13" l="1"/>
  <c r="I130" i="1"/>
  <c r="G130" i="13" s="1"/>
  <c r="G131" i="1"/>
  <c r="J130" i="1"/>
  <c r="H130" i="13" s="1"/>
  <c r="K130" i="1"/>
  <c r="J130" i="13" s="1"/>
  <c r="H129" i="1"/>
  <c r="D131" i="13" l="1"/>
  <c r="I131" i="1"/>
  <c r="G131" i="13" s="1"/>
  <c r="J131" i="1"/>
  <c r="H131" i="13" s="1"/>
  <c r="K131" i="1"/>
  <c r="J131" i="13" s="1"/>
  <c r="H130" i="1"/>
  <c r="G132" i="1"/>
  <c r="D132" i="13" l="1"/>
  <c r="I132" i="1"/>
  <c r="G132" i="13" s="1"/>
  <c r="K132" i="1"/>
  <c r="J132" i="13" s="1"/>
  <c r="H131" i="1"/>
  <c r="J132" i="1"/>
  <c r="H132" i="13" s="1"/>
  <c r="G133" i="1"/>
  <c r="D133" i="13" l="1"/>
  <c r="I133" i="1"/>
  <c r="G133" i="13" s="1"/>
  <c r="H132" i="1"/>
  <c r="K133" i="1"/>
  <c r="J133" i="13" s="1"/>
  <c r="J133" i="1"/>
  <c r="H133" i="13" s="1"/>
  <c r="G134" i="1"/>
  <c r="D134" i="13" l="1"/>
  <c r="I134" i="1"/>
  <c r="G135" i="1"/>
  <c r="G134" i="13"/>
  <c r="H133" i="1"/>
  <c r="J134" i="1"/>
  <c r="H134" i="13" s="1"/>
  <c r="K134" i="1"/>
  <c r="J134" i="13" s="1"/>
  <c r="D135" i="13" l="1"/>
  <c r="I135" i="1"/>
  <c r="G135" i="13" s="1"/>
  <c r="J135" i="1"/>
  <c r="H135" i="13" s="1"/>
  <c r="G136" i="1"/>
  <c r="K135" i="1"/>
  <c r="J135" i="13" s="1"/>
  <c r="H134" i="1"/>
  <c r="D136" i="13" l="1"/>
  <c r="I136" i="1"/>
  <c r="G136" i="13" s="1"/>
  <c r="G137" i="1"/>
  <c r="J136" i="1"/>
  <c r="H136" i="13" s="1"/>
  <c r="K136" i="1"/>
  <c r="J136" i="13" s="1"/>
  <c r="H135" i="1"/>
  <c r="D137" i="13" l="1"/>
  <c r="I137" i="1"/>
  <c r="G137" i="13" s="1"/>
  <c r="J137" i="1"/>
  <c r="H137" i="13" s="1"/>
  <c r="H136" i="1"/>
  <c r="K137" i="1"/>
  <c r="J137" i="13" s="1"/>
  <c r="G138" i="1"/>
  <c r="D138" i="13" l="1"/>
  <c r="I138" i="1"/>
  <c r="G138" i="13" s="1"/>
  <c r="J138" i="1"/>
  <c r="H138" i="13" s="1"/>
  <c r="K138" i="1"/>
  <c r="J138" i="13" s="1"/>
  <c r="H137" i="1"/>
  <c r="G139" i="1"/>
  <c r="D139" i="13" l="1"/>
  <c r="I139" i="1"/>
  <c r="G139" i="13" s="1"/>
  <c r="K139" i="1"/>
  <c r="J139" i="13" s="1"/>
  <c r="J139" i="1"/>
  <c r="H139" i="13" s="1"/>
  <c r="G140" i="1"/>
  <c r="H138" i="1"/>
  <c r="D140" i="13" l="1"/>
  <c r="I140" i="1"/>
  <c r="G140" i="13" s="1"/>
  <c r="G141" i="1"/>
  <c r="J140" i="1"/>
  <c r="H140" i="13" s="1"/>
  <c r="K140" i="1"/>
  <c r="J140" i="13" s="1"/>
  <c r="H139" i="1"/>
  <c r="D141" i="13" l="1"/>
  <c r="I141" i="1"/>
  <c r="G141" i="13" s="1"/>
  <c r="H140" i="1"/>
  <c r="K141" i="1"/>
  <c r="J141" i="13" s="1"/>
  <c r="J141" i="1"/>
  <c r="H141" i="13" s="1"/>
  <c r="G142" i="1"/>
  <c r="D142" i="13" l="1"/>
  <c r="I142" i="1"/>
  <c r="G142" i="13" s="1"/>
  <c r="J142" i="1"/>
  <c r="H142" i="13" s="1"/>
  <c r="H141" i="1"/>
  <c r="G143" i="1"/>
  <c r="K142" i="1"/>
  <c r="J142" i="13" s="1"/>
  <c r="D143" i="13" l="1"/>
  <c r="I143" i="1"/>
  <c r="G143" i="13" s="1"/>
  <c r="K143" i="1"/>
  <c r="J143" i="13" s="1"/>
  <c r="H142" i="1"/>
  <c r="G144" i="1"/>
  <c r="J143" i="1"/>
  <c r="H143" i="13" s="1"/>
  <c r="D144" i="13" l="1"/>
  <c r="I144" i="1"/>
  <c r="G144" i="13" s="1"/>
  <c r="G145" i="1"/>
  <c r="J144" i="1"/>
  <c r="H144" i="13" s="1"/>
  <c r="K144" i="1"/>
  <c r="J144" i="13" s="1"/>
  <c r="H143" i="1"/>
  <c r="D145" i="13" l="1"/>
  <c r="I145" i="1"/>
  <c r="G145" i="13" s="1"/>
  <c r="J145" i="1"/>
  <c r="H145" i="13" s="1"/>
  <c r="H144" i="1"/>
  <c r="G146" i="1"/>
  <c r="K145" i="1"/>
  <c r="J145" i="13" s="1"/>
  <c r="D146" i="13" l="1"/>
  <c r="I146" i="1"/>
  <c r="G146" i="13" s="1"/>
  <c r="J146" i="1"/>
  <c r="H146" i="13" s="1"/>
  <c r="K146" i="1"/>
  <c r="J146" i="13" s="1"/>
  <c r="G147" i="1"/>
  <c r="H145" i="1"/>
  <c r="D147" i="13" l="1"/>
  <c r="I147" i="1"/>
  <c r="G147" i="13" s="1"/>
  <c r="J147" i="1"/>
  <c r="H147" i="13" s="1"/>
  <c r="H146" i="1"/>
  <c r="G148" i="1"/>
  <c r="K147" i="1"/>
  <c r="J147" i="13" s="1"/>
  <c r="D148" i="13" l="1"/>
  <c r="I148" i="1"/>
  <c r="G148" i="13" s="1"/>
  <c r="G149" i="1"/>
  <c r="J148" i="1"/>
  <c r="H148" i="13" s="1"/>
  <c r="K148" i="1"/>
  <c r="J148" i="13" s="1"/>
  <c r="H147" i="1"/>
  <c r="D149" i="13" l="1"/>
  <c r="I149" i="1"/>
  <c r="G149" i="13" s="1"/>
  <c r="G150" i="1"/>
  <c r="J149" i="1"/>
  <c r="H149" i="13" s="1"/>
  <c r="K149" i="1"/>
  <c r="J149" i="13" s="1"/>
  <c r="H148" i="1"/>
  <c r="D150" i="13" l="1"/>
  <c r="I150" i="1"/>
  <c r="H149" i="1"/>
  <c r="G150" i="13"/>
  <c r="G151" i="1"/>
  <c r="K150" i="1"/>
  <c r="J150" i="13" s="1"/>
  <c r="J150" i="1"/>
  <c r="H150" i="13" s="1"/>
  <c r="D151" i="13" l="1"/>
  <c r="I151" i="1"/>
  <c r="G151" i="13" s="1"/>
  <c r="H150" i="1"/>
  <c r="G152" i="1"/>
  <c r="J151" i="1"/>
  <c r="H151" i="13" s="1"/>
  <c r="K151" i="1"/>
  <c r="J151" i="13" s="1"/>
  <c r="D152" i="13" l="1"/>
  <c r="I152" i="1"/>
  <c r="G152" i="13" s="1"/>
  <c r="G153" i="1"/>
  <c r="K152" i="1"/>
  <c r="J152" i="13" s="1"/>
  <c r="H151" i="1"/>
  <c r="J152" i="1"/>
  <c r="H152" i="13" s="1"/>
  <c r="D153" i="13" l="1"/>
  <c r="I153" i="1"/>
  <c r="G153" i="13" s="1"/>
  <c r="H152" i="1"/>
  <c r="G154" i="1"/>
  <c r="K153" i="1"/>
  <c r="J153" i="13" s="1"/>
  <c r="J153" i="1"/>
  <c r="H153" i="13" s="1"/>
  <c r="D154" i="13" l="1"/>
  <c r="I154" i="1"/>
  <c r="G154" i="13" s="1"/>
  <c r="H153" i="1"/>
  <c r="K154" i="1"/>
  <c r="J154" i="13" s="1"/>
  <c r="J154" i="1"/>
  <c r="H154" i="13" s="1"/>
  <c r="G155" i="1"/>
  <c r="D155" i="13" l="1"/>
  <c r="I155" i="1"/>
  <c r="G155" i="13" s="1"/>
  <c r="H154" i="1"/>
  <c r="K155" i="1"/>
  <c r="J155" i="13" s="1"/>
  <c r="J155" i="1"/>
  <c r="H155" i="13" s="1"/>
  <c r="G156" i="1"/>
  <c r="D156" i="13" l="1"/>
  <c r="I156" i="1"/>
  <c r="G156" i="13" s="1"/>
  <c r="G157" i="1"/>
  <c r="H155" i="1"/>
  <c r="J156" i="1"/>
  <c r="H156" i="13" s="1"/>
  <c r="K156" i="1"/>
  <c r="J156" i="13" s="1"/>
  <c r="D157" i="13" l="1"/>
  <c r="I157" i="1"/>
  <c r="G157" i="13" s="1"/>
  <c r="J157" i="1"/>
  <c r="H157" i="13" s="1"/>
  <c r="G158" i="1"/>
  <c r="K157" i="1"/>
  <c r="J157" i="13" s="1"/>
  <c r="H156" i="1"/>
  <c r="D158" i="13" l="1"/>
  <c r="I158" i="1"/>
  <c r="G158" i="13" s="1"/>
  <c r="K158" i="1"/>
  <c r="J158" i="13" s="1"/>
  <c r="J158" i="1"/>
  <c r="H158" i="13" s="1"/>
  <c r="H157" i="1"/>
  <c r="G159" i="1"/>
  <c r="D159" i="13" l="1"/>
  <c r="I159" i="1"/>
  <c r="G159" i="13" s="1"/>
  <c r="J159" i="1"/>
  <c r="H159" i="13" s="1"/>
  <c r="K159" i="1"/>
  <c r="J159" i="13" s="1"/>
  <c r="G160" i="1"/>
  <c r="H158" i="1"/>
  <c r="D160" i="13" l="1"/>
  <c r="I160" i="1"/>
  <c r="G160" i="13" s="1"/>
  <c r="G161" i="1"/>
  <c r="J160" i="1"/>
  <c r="H160" i="13" s="1"/>
  <c r="K160" i="1"/>
  <c r="J160" i="13" s="1"/>
  <c r="H159" i="1"/>
  <c r="D161" i="13" l="1"/>
  <c r="I161" i="1"/>
  <c r="G161" i="13" s="1"/>
  <c r="H160" i="1"/>
  <c r="G162" i="1"/>
  <c r="J161" i="1"/>
  <c r="H161" i="13" s="1"/>
  <c r="K161" i="1"/>
  <c r="J161" i="13" s="1"/>
  <c r="D162" i="13" l="1"/>
  <c r="I162" i="1"/>
  <c r="G162" i="13" s="1"/>
  <c r="K162" i="1"/>
  <c r="J162" i="13" s="1"/>
  <c r="H161" i="1"/>
  <c r="J162" i="1"/>
  <c r="H162" i="13" s="1"/>
  <c r="G163" i="1"/>
  <c r="D163" i="13" l="1"/>
  <c r="I163" i="1"/>
  <c r="G163" i="13" s="1"/>
  <c r="H162" i="1"/>
  <c r="K163" i="1"/>
  <c r="J163" i="13" s="1"/>
  <c r="G164" i="1"/>
  <c r="J163" i="1"/>
  <c r="H163" i="13" s="1"/>
  <c r="D164" i="13" l="1"/>
  <c r="I164" i="1"/>
  <c r="G164" i="13" s="1"/>
  <c r="G165" i="1"/>
  <c r="J164" i="1"/>
  <c r="H164" i="13" s="1"/>
  <c r="K164" i="1"/>
  <c r="J164" i="13" s="1"/>
  <c r="H163" i="1"/>
  <c r="D165" i="13" l="1"/>
  <c r="I165" i="1"/>
  <c r="G165" i="13" s="1"/>
  <c r="G166" i="1"/>
  <c r="J165" i="1"/>
  <c r="H165" i="13" s="1"/>
  <c r="K165" i="1"/>
  <c r="J165" i="13" s="1"/>
  <c r="H164" i="1"/>
  <c r="D166" i="13" l="1"/>
  <c r="I166" i="1"/>
  <c r="J166" i="1"/>
  <c r="H166" i="13" s="1"/>
  <c r="K166" i="1"/>
  <c r="J166" i="13" s="1"/>
  <c r="G167" i="1"/>
  <c r="G166" i="13"/>
  <c r="H165" i="1"/>
  <c r="D167" i="13" l="1"/>
  <c r="I167" i="1"/>
  <c r="G167" i="13" s="1"/>
  <c r="H166" i="1"/>
  <c r="G168" i="1"/>
  <c r="J167" i="1"/>
  <c r="H167" i="13" s="1"/>
  <c r="K167" i="1"/>
  <c r="J167" i="13" s="1"/>
  <c r="D168" i="13" l="1"/>
  <c r="I168" i="1"/>
  <c r="G168" i="13" s="1"/>
  <c r="G169" i="1"/>
  <c r="K168" i="1"/>
  <c r="J168" i="13" s="1"/>
  <c r="J168" i="1"/>
  <c r="H168" i="13" s="1"/>
  <c r="H167" i="1"/>
  <c r="D169" i="13" l="1"/>
  <c r="I169" i="1"/>
  <c r="G169" i="13" s="1"/>
  <c r="K169" i="1"/>
  <c r="J169" i="13" s="1"/>
  <c r="H168" i="1"/>
  <c r="G170" i="1"/>
  <c r="J169" i="1"/>
  <c r="H169" i="13" s="1"/>
  <c r="D170" i="13" l="1"/>
  <c r="I170" i="1"/>
  <c r="G170" i="13" s="1"/>
  <c r="K170" i="1"/>
  <c r="J170" i="13" s="1"/>
  <c r="J170" i="1"/>
  <c r="H170" i="13" s="1"/>
  <c r="G171" i="1"/>
  <c r="H169" i="1"/>
  <c r="D171" i="13" l="1"/>
  <c r="I171" i="1"/>
  <c r="G171" i="13" s="1"/>
  <c r="K171" i="1"/>
  <c r="J171" i="13" s="1"/>
  <c r="J171" i="1"/>
  <c r="H171" i="13" s="1"/>
  <c r="H170" i="1"/>
  <c r="G172" i="1"/>
  <c r="D172" i="13" l="1"/>
  <c r="I172" i="1"/>
  <c r="G172" i="13" s="1"/>
  <c r="G173" i="1"/>
  <c r="H171" i="1"/>
  <c r="J172" i="1"/>
  <c r="H172" i="13" s="1"/>
  <c r="K172" i="1"/>
  <c r="J172" i="13" s="1"/>
  <c r="D173" i="13" l="1"/>
  <c r="I173" i="1"/>
  <c r="G173" i="13" s="1"/>
  <c r="H172" i="1"/>
  <c r="G174" i="1"/>
  <c r="J173" i="1"/>
  <c r="H173" i="13" s="1"/>
  <c r="K173" i="1"/>
  <c r="J173" i="13" s="1"/>
  <c r="D174" i="13" l="1"/>
  <c r="I174" i="1"/>
  <c r="G174" i="13" s="1"/>
  <c r="K174" i="1"/>
  <c r="J174" i="13" s="1"/>
  <c r="J174" i="1"/>
  <c r="H174" i="13" s="1"/>
  <c r="H173" i="1"/>
  <c r="G175" i="1"/>
  <c r="D175" i="13" l="1"/>
  <c r="I175" i="1"/>
  <c r="H174" i="1"/>
  <c r="K175" i="1"/>
  <c r="J175" i="13" s="1"/>
  <c r="J175" i="1"/>
  <c r="H175" i="13" s="1"/>
  <c r="G175" i="13"/>
  <c r="G176" i="1"/>
  <c r="D176" i="13" l="1"/>
  <c r="I176" i="1"/>
  <c r="G176" i="13" s="1"/>
  <c r="G177" i="1"/>
  <c r="J176" i="1"/>
  <c r="H176" i="13" s="1"/>
  <c r="K176" i="1"/>
  <c r="J176" i="13" s="1"/>
  <c r="H175" i="1"/>
  <c r="D177" i="13" l="1"/>
  <c r="I177" i="1"/>
  <c r="G177" i="13" s="1"/>
  <c r="K177" i="1"/>
  <c r="J177" i="13" s="1"/>
  <c r="J177" i="1"/>
  <c r="H177" i="13" s="1"/>
  <c r="H176" i="1"/>
  <c r="G178" i="1"/>
  <c r="D178" i="13" l="1"/>
  <c r="I178" i="1"/>
  <c r="G178" i="13" s="1"/>
  <c r="H177" i="1"/>
  <c r="J178" i="1"/>
  <c r="H178" i="13" s="1"/>
  <c r="G179" i="1"/>
  <c r="K178" i="1"/>
  <c r="J178" i="13" s="1"/>
  <c r="D179" i="13" l="1"/>
  <c r="I179" i="1"/>
  <c r="G179" i="13" s="1"/>
  <c r="J179" i="1"/>
  <c r="H179" i="13" s="1"/>
  <c r="H178" i="1"/>
  <c r="G180" i="1"/>
  <c r="K179" i="1"/>
  <c r="J179" i="13" s="1"/>
  <c r="D180" i="13" l="1"/>
  <c r="I180" i="1"/>
  <c r="G180" i="13" s="1"/>
  <c r="G181" i="1"/>
  <c r="K180" i="1"/>
  <c r="J180" i="13" s="1"/>
  <c r="J180" i="1"/>
  <c r="H180" i="13" s="1"/>
  <c r="H179" i="1"/>
  <c r="D181" i="13" l="1"/>
  <c r="I181" i="1"/>
  <c r="G181" i="13" s="1"/>
  <c r="G182" i="1"/>
  <c r="J181" i="1"/>
  <c r="H181" i="13" s="1"/>
  <c r="H180" i="1"/>
  <c r="K181" i="1"/>
  <c r="J181" i="13" s="1"/>
  <c r="D182" i="13" l="1"/>
  <c r="I182" i="1"/>
  <c r="G182" i="13" s="1"/>
  <c r="K182" i="1"/>
  <c r="J182" i="13" s="1"/>
  <c r="J182" i="1"/>
  <c r="H182" i="13" s="1"/>
  <c r="G183" i="1"/>
  <c r="H181" i="1"/>
  <c r="D183" i="13" l="1"/>
  <c r="I183" i="1"/>
  <c r="G183" i="13" s="1"/>
  <c r="K183" i="1"/>
  <c r="J183" i="13" s="1"/>
  <c r="G184" i="1"/>
  <c r="H182" i="1"/>
  <c r="J183" i="1"/>
  <c r="H183" i="13" s="1"/>
  <c r="D184" i="13" l="1"/>
  <c r="I184" i="1"/>
  <c r="G184" i="13" s="1"/>
  <c r="G185" i="1"/>
  <c r="J184" i="1"/>
  <c r="H184" i="13" s="1"/>
  <c r="K184" i="1"/>
  <c r="J184" i="13" s="1"/>
  <c r="H183" i="1"/>
  <c r="D185" i="13" l="1"/>
  <c r="I185" i="1"/>
  <c r="G185" i="13" s="1"/>
  <c r="K185" i="1"/>
  <c r="J185" i="13" s="1"/>
  <c r="J185" i="1"/>
  <c r="H185" i="13" s="1"/>
  <c r="G186" i="1"/>
  <c r="H184" i="1"/>
  <c r="D186" i="13" l="1"/>
  <c r="I186" i="1"/>
  <c r="G186" i="13" s="1"/>
  <c r="K186" i="1"/>
  <c r="J186" i="13" s="1"/>
  <c r="J186" i="1"/>
  <c r="H186" i="13" s="1"/>
  <c r="H185" i="1"/>
  <c r="G187" i="1"/>
  <c r="D187" i="13" l="1"/>
  <c r="I187" i="1"/>
  <c r="J187" i="1"/>
  <c r="H187" i="13" s="1"/>
  <c r="K187" i="1"/>
  <c r="J187" i="13" s="1"/>
  <c r="G188" i="1"/>
  <c r="G187" i="13"/>
  <c r="H186" i="1"/>
  <c r="D188" i="13" l="1"/>
  <c r="I188" i="1"/>
  <c r="G188" i="13" s="1"/>
  <c r="G189" i="1"/>
  <c r="H187" i="1"/>
  <c r="K188" i="1"/>
  <c r="J188" i="13" s="1"/>
  <c r="J188" i="1"/>
  <c r="H188" i="13" s="1"/>
  <c r="D189" i="13" l="1"/>
  <c r="I189" i="1"/>
  <c r="G189" i="13" s="1"/>
  <c r="K189" i="1"/>
  <c r="J189" i="13" s="1"/>
  <c r="G190" i="1"/>
  <c r="J189" i="1"/>
  <c r="H189" i="13" s="1"/>
  <c r="H188" i="1"/>
  <c r="D190" i="13" l="1"/>
  <c r="I190" i="1"/>
  <c r="G190" i="13" s="1"/>
  <c r="K190" i="1"/>
  <c r="J190" i="13" s="1"/>
  <c r="H189" i="1"/>
  <c r="G191" i="1"/>
  <c r="J190" i="1"/>
  <c r="H190" i="13" s="1"/>
  <c r="D191" i="13" l="1"/>
  <c r="I191" i="1"/>
  <c r="H190" i="1"/>
  <c r="K191" i="1"/>
  <c r="J191" i="13" s="1"/>
  <c r="G192" i="1"/>
  <c r="G191" i="13"/>
  <c r="J191" i="1"/>
  <c r="H191" i="13" s="1"/>
  <c r="D192" i="13" l="1"/>
  <c r="I192" i="1"/>
  <c r="G193" i="1"/>
  <c r="K192" i="1"/>
  <c r="J192" i="13" s="1"/>
  <c r="J192" i="1"/>
  <c r="H192" i="13" s="1"/>
  <c r="G192" i="13"/>
  <c r="H191" i="1"/>
  <c r="D193" i="13" l="1"/>
  <c r="I193" i="1"/>
  <c r="G193" i="13" s="1"/>
  <c r="J193" i="1"/>
  <c r="H193" i="13" s="1"/>
  <c r="G194" i="1"/>
  <c r="H192" i="1"/>
  <c r="K193" i="1"/>
  <c r="J193" i="13" s="1"/>
  <c r="D194" i="13" l="1"/>
  <c r="I194" i="1"/>
  <c r="G194" i="13" s="1"/>
  <c r="K194" i="1"/>
  <c r="J194" i="13" s="1"/>
  <c r="H193" i="1"/>
  <c r="J194" i="1"/>
  <c r="H194" i="13" s="1"/>
  <c r="G195" i="1"/>
  <c r="D195" i="13" l="1"/>
  <c r="I195" i="1"/>
  <c r="G195" i="13" s="1"/>
  <c r="K195" i="1"/>
  <c r="J195" i="13" s="1"/>
  <c r="J195" i="1"/>
  <c r="H195" i="13" s="1"/>
  <c r="G196" i="1"/>
  <c r="H194" i="1"/>
  <c r="D196" i="13" l="1"/>
  <c r="I196" i="1"/>
  <c r="G196" i="13" s="1"/>
  <c r="G197" i="1"/>
  <c r="J196" i="1"/>
  <c r="H196" i="13" s="1"/>
  <c r="K196" i="1"/>
  <c r="J196" i="13" s="1"/>
  <c r="H195" i="1"/>
  <c r="D197" i="13" l="1"/>
  <c r="I197" i="1"/>
  <c r="G197" i="13" s="1"/>
  <c r="G198" i="1"/>
  <c r="H196" i="1"/>
  <c r="J197" i="1"/>
  <c r="H197" i="13" s="1"/>
  <c r="K197" i="1"/>
  <c r="J197" i="13" s="1"/>
  <c r="D198" i="13" l="1"/>
  <c r="I198" i="1"/>
  <c r="K198" i="1"/>
  <c r="J198" i="13" s="1"/>
  <c r="G198" i="13"/>
  <c r="G199" i="1"/>
  <c r="J198" i="1"/>
  <c r="H198" i="13" s="1"/>
  <c r="H197" i="1"/>
  <c r="D199" i="13" l="1"/>
  <c r="I199" i="1"/>
  <c r="K199" i="1"/>
  <c r="J199" i="13" s="1"/>
  <c r="G200" i="1"/>
  <c r="H198" i="1"/>
  <c r="J199" i="1"/>
  <c r="H199" i="13" s="1"/>
  <c r="G199" i="13"/>
  <c r="D200" i="13" l="1"/>
  <c r="I200" i="1"/>
  <c r="G200" i="13" s="1"/>
  <c r="G201" i="1"/>
  <c r="H199" i="1"/>
  <c r="K200" i="1"/>
  <c r="J200" i="13" s="1"/>
  <c r="J200" i="1"/>
  <c r="H200" i="13" s="1"/>
  <c r="D201" i="13" l="1"/>
  <c r="I201" i="1"/>
  <c r="G201" i="13" s="1"/>
  <c r="J201" i="1"/>
  <c r="H201" i="13" s="1"/>
  <c r="K201" i="1"/>
  <c r="J201" i="13" s="1"/>
  <c r="H200" i="1"/>
  <c r="G202" i="1"/>
  <c r="D202" i="13" l="1"/>
  <c r="I202" i="1"/>
  <c r="G202" i="13" s="1"/>
  <c r="H201" i="1"/>
  <c r="J202" i="1"/>
  <c r="H202" i="13" s="1"/>
  <c r="K202" i="1"/>
  <c r="J202" i="13" s="1"/>
</calcChain>
</file>

<file path=xl/sharedStrings.xml><?xml version="1.0" encoding="utf-8"?>
<sst xmlns="http://schemas.openxmlformats.org/spreadsheetml/2006/main" count="56" uniqueCount="22">
  <si>
    <t>t</t>
  </si>
  <si>
    <t>e_t+1</t>
  </si>
  <si>
    <t>Rho</t>
  </si>
  <si>
    <t>Alpha</t>
  </si>
  <si>
    <t>Beta</t>
  </si>
  <si>
    <t>Delta</t>
  </si>
  <si>
    <t>Gamma</t>
  </si>
  <si>
    <t>Lambda</t>
  </si>
  <si>
    <t>A_t</t>
  </si>
  <si>
    <t>ln A_t+1</t>
  </si>
  <si>
    <t>ln A_t</t>
  </si>
  <si>
    <t>K_t</t>
  </si>
  <si>
    <t>K_t+1</t>
  </si>
  <si>
    <t>C_t</t>
  </si>
  <si>
    <t>I_t</t>
  </si>
  <si>
    <t>L_t</t>
  </si>
  <si>
    <t>Y_t</t>
  </si>
  <si>
    <t>K_EEN</t>
  </si>
  <si>
    <t>L_EEN</t>
  </si>
  <si>
    <t>I_EEN</t>
  </si>
  <si>
    <t>C_EEN</t>
  </si>
  <si>
    <t>Y_EEN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</si>
</sst>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/>
              <a:t>Evolución temporal de 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'Ejercicio 1.e (2)'!$F$1</c:f>
              <c:strCache>
                <c:ptCount val="1"/>
                <c:pt idx="0">
                  <c:v>Y_EEN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'Ejercicio 1.e (2)'!$A$2:$A$202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'Ejercicio 1.e (2)'!$F$2:$F$202</c:f>
              <c:numCache>
                <c:formatCode>0.0000000</c:formatCode>
                <c:ptCount val="201"/>
                <c:pt idx="0">
                  <c:v>0.36465001891249188</c:v>
                </c:pt>
                <c:pt idx="1">
                  <c:v>0.36465001891249188</c:v>
                </c:pt>
                <c:pt idx="2">
                  <c:v>0.36465001891249188</c:v>
                </c:pt>
                <c:pt idx="3">
                  <c:v>0.36465001891249188</c:v>
                </c:pt>
                <c:pt idx="4">
                  <c:v>0.36465001891249188</c:v>
                </c:pt>
                <c:pt idx="5">
                  <c:v>0.36465001891249188</c:v>
                </c:pt>
                <c:pt idx="6">
                  <c:v>0.36465001891249188</c:v>
                </c:pt>
                <c:pt idx="7">
                  <c:v>0.36465001891249188</c:v>
                </c:pt>
                <c:pt idx="8">
                  <c:v>0.36465001891249188</c:v>
                </c:pt>
                <c:pt idx="9">
                  <c:v>0.36465001891249188</c:v>
                </c:pt>
                <c:pt idx="10">
                  <c:v>0.36465001891249188</c:v>
                </c:pt>
                <c:pt idx="11">
                  <c:v>0.36465001891249188</c:v>
                </c:pt>
                <c:pt idx="12">
                  <c:v>0.36465001891249188</c:v>
                </c:pt>
                <c:pt idx="13">
                  <c:v>0.36465001891249188</c:v>
                </c:pt>
                <c:pt idx="14">
                  <c:v>0.36465001891249188</c:v>
                </c:pt>
                <c:pt idx="15">
                  <c:v>0.36465001891249188</c:v>
                </c:pt>
                <c:pt idx="16">
                  <c:v>0.36465001891249188</c:v>
                </c:pt>
                <c:pt idx="17">
                  <c:v>0.36465001891249188</c:v>
                </c:pt>
                <c:pt idx="18">
                  <c:v>0.36465001891249188</c:v>
                </c:pt>
                <c:pt idx="19">
                  <c:v>0.36465001891249188</c:v>
                </c:pt>
                <c:pt idx="20">
                  <c:v>0.36465001891249188</c:v>
                </c:pt>
                <c:pt idx="21">
                  <c:v>0.36465001891249188</c:v>
                </c:pt>
                <c:pt idx="22">
                  <c:v>0.36465001891249188</c:v>
                </c:pt>
                <c:pt idx="23">
                  <c:v>0.36465001891249188</c:v>
                </c:pt>
                <c:pt idx="24">
                  <c:v>0.36465001891249188</c:v>
                </c:pt>
                <c:pt idx="25">
                  <c:v>0.36465001891249188</c:v>
                </c:pt>
                <c:pt idx="26">
                  <c:v>0.36465001891249188</c:v>
                </c:pt>
                <c:pt idx="27">
                  <c:v>0.36465001891249188</c:v>
                </c:pt>
                <c:pt idx="28">
                  <c:v>0.36465001891249188</c:v>
                </c:pt>
                <c:pt idx="29">
                  <c:v>0.36465001891249188</c:v>
                </c:pt>
                <c:pt idx="30">
                  <c:v>0.36465001891249188</c:v>
                </c:pt>
                <c:pt idx="31">
                  <c:v>0.36465001891249188</c:v>
                </c:pt>
                <c:pt idx="32">
                  <c:v>0.36465001891249188</c:v>
                </c:pt>
                <c:pt idx="33">
                  <c:v>0.36465001891249188</c:v>
                </c:pt>
                <c:pt idx="34">
                  <c:v>0.36465001891249188</c:v>
                </c:pt>
                <c:pt idx="35">
                  <c:v>0.36465001891249188</c:v>
                </c:pt>
                <c:pt idx="36">
                  <c:v>0.36465001891249188</c:v>
                </c:pt>
                <c:pt idx="37">
                  <c:v>0.36465001891249188</c:v>
                </c:pt>
                <c:pt idx="38">
                  <c:v>0.36465001891249188</c:v>
                </c:pt>
                <c:pt idx="39">
                  <c:v>0.36465001891249188</c:v>
                </c:pt>
                <c:pt idx="40">
                  <c:v>0.36465001891249188</c:v>
                </c:pt>
                <c:pt idx="41">
                  <c:v>0.36465001891249188</c:v>
                </c:pt>
                <c:pt idx="42">
                  <c:v>0.36465001891249188</c:v>
                </c:pt>
                <c:pt idx="43">
                  <c:v>0.36465001891249188</c:v>
                </c:pt>
                <c:pt idx="44">
                  <c:v>0.36465001891249188</c:v>
                </c:pt>
                <c:pt idx="45">
                  <c:v>0.36465001891249188</c:v>
                </c:pt>
                <c:pt idx="46">
                  <c:v>0.36465001891249188</c:v>
                </c:pt>
                <c:pt idx="47">
                  <c:v>0.36465001891249188</c:v>
                </c:pt>
                <c:pt idx="48">
                  <c:v>0.36465001891249188</c:v>
                </c:pt>
                <c:pt idx="49">
                  <c:v>0.36465001891249188</c:v>
                </c:pt>
                <c:pt idx="50">
                  <c:v>0.36465001891249188</c:v>
                </c:pt>
                <c:pt idx="51">
                  <c:v>0.36465001891249188</c:v>
                </c:pt>
                <c:pt idx="52">
                  <c:v>0.36465001891249188</c:v>
                </c:pt>
                <c:pt idx="53">
                  <c:v>0.36465001891249188</c:v>
                </c:pt>
                <c:pt idx="54">
                  <c:v>0.36465001891249188</c:v>
                </c:pt>
                <c:pt idx="55">
                  <c:v>0.36465001891249188</c:v>
                </c:pt>
                <c:pt idx="56">
                  <c:v>0.36465001891249188</c:v>
                </c:pt>
                <c:pt idx="57">
                  <c:v>0.36465001891249188</c:v>
                </c:pt>
                <c:pt idx="58">
                  <c:v>0.36465001891249188</c:v>
                </c:pt>
                <c:pt idx="59">
                  <c:v>0.36465001891249188</c:v>
                </c:pt>
                <c:pt idx="60">
                  <c:v>0.36465001891249188</c:v>
                </c:pt>
                <c:pt idx="61">
                  <c:v>0.36465001891249188</c:v>
                </c:pt>
                <c:pt idx="62">
                  <c:v>0.36465001891249188</c:v>
                </c:pt>
                <c:pt idx="63">
                  <c:v>0.36465001891249188</c:v>
                </c:pt>
                <c:pt idx="64">
                  <c:v>0.36465001891249188</c:v>
                </c:pt>
                <c:pt idx="65">
                  <c:v>0.36465001891249188</c:v>
                </c:pt>
                <c:pt idx="66">
                  <c:v>0.36465001891249188</c:v>
                </c:pt>
                <c:pt idx="67">
                  <c:v>0.36465001891249188</c:v>
                </c:pt>
                <c:pt idx="68">
                  <c:v>0.36465001891249188</c:v>
                </c:pt>
                <c:pt idx="69">
                  <c:v>0.36465001891249188</c:v>
                </c:pt>
                <c:pt idx="70">
                  <c:v>0.36465001891249188</c:v>
                </c:pt>
                <c:pt idx="71">
                  <c:v>0.36465001891249188</c:v>
                </c:pt>
                <c:pt idx="72">
                  <c:v>0.36465001891249188</c:v>
                </c:pt>
                <c:pt idx="73">
                  <c:v>0.36465001891249188</c:v>
                </c:pt>
                <c:pt idx="74">
                  <c:v>0.36465001891249188</c:v>
                </c:pt>
                <c:pt idx="75">
                  <c:v>0.36465001891249188</c:v>
                </c:pt>
                <c:pt idx="76">
                  <c:v>0.36465001891249188</c:v>
                </c:pt>
                <c:pt idx="77">
                  <c:v>0.36465001891249188</c:v>
                </c:pt>
                <c:pt idx="78">
                  <c:v>0.36465001891249188</c:v>
                </c:pt>
                <c:pt idx="79">
                  <c:v>0.36465001891249188</c:v>
                </c:pt>
                <c:pt idx="80">
                  <c:v>0.36465001891249188</c:v>
                </c:pt>
                <c:pt idx="81">
                  <c:v>0.36465001891249188</c:v>
                </c:pt>
                <c:pt idx="82">
                  <c:v>0.36465001891249188</c:v>
                </c:pt>
                <c:pt idx="83">
                  <c:v>0.36465001891249188</c:v>
                </c:pt>
                <c:pt idx="84">
                  <c:v>0.36465001891249188</c:v>
                </c:pt>
                <c:pt idx="85">
                  <c:v>0.36465001891249188</c:v>
                </c:pt>
                <c:pt idx="86">
                  <c:v>0.36465001891249188</c:v>
                </c:pt>
                <c:pt idx="87">
                  <c:v>0.36465001891249188</c:v>
                </c:pt>
                <c:pt idx="88">
                  <c:v>0.36465001891249188</c:v>
                </c:pt>
                <c:pt idx="89">
                  <c:v>0.36465001891249188</c:v>
                </c:pt>
                <c:pt idx="90">
                  <c:v>0.36465001891249188</c:v>
                </c:pt>
                <c:pt idx="91">
                  <c:v>0.36465001891249188</c:v>
                </c:pt>
                <c:pt idx="92">
                  <c:v>0.36465001891249188</c:v>
                </c:pt>
                <c:pt idx="93">
                  <c:v>0.36465001891249188</c:v>
                </c:pt>
                <c:pt idx="94">
                  <c:v>0.36465001891249188</c:v>
                </c:pt>
                <c:pt idx="95">
                  <c:v>0.36465001891249188</c:v>
                </c:pt>
                <c:pt idx="96">
                  <c:v>0.36465001891249188</c:v>
                </c:pt>
                <c:pt idx="97">
                  <c:v>0.36465001891249188</c:v>
                </c:pt>
                <c:pt idx="98">
                  <c:v>0.36465001891249188</c:v>
                </c:pt>
                <c:pt idx="99">
                  <c:v>0.36465001891249188</c:v>
                </c:pt>
                <c:pt idx="100">
                  <c:v>0.36465001891249188</c:v>
                </c:pt>
                <c:pt idx="101">
                  <c:v>0.36465001891249188</c:v>
                </c:pt>
                <c:pt idx="102">
                  <c:v>0.36465001891249188</c:v>
                </c:pt>
                <c:pt idx="103">
                  <c:v>0.36465001891249188</c:v>
                </c:pt>
                <c:pt idx="104">
                  <c:v>0.36465001891249188</c:v>
                </c:pt>
                <c:pt idx="105">
                  <c:v>0.36465001891249188</c:v>
                </c:pt>
                <c:pt idx="106">
                  <c:v>0.36465001891249188</c:v>
                </c:pt>
                <c:pt idx="107">
                  <c:v>0.36465001891249188</c:v>
                </c:pt>
                <c:pt idx="108">
                  <c:v>0.36465001891249188</c:v>
                </c:pt>
                <c:pt idx="109">
                  <c:v>0.36465001891249188</c:v>
                </c:pt>
                <c:pt idx="110">
                  <c:v>0.36465001891249188</c:v>
                </c:pt>
                <c:pt idx="111">
                  <c:v>0.36465001891249188</c:v>
                </c:pt>
                <c:pt idx="112">
                  <c:v>0.36465001891249188</c:v>
                </c:pt>
                <c:pt idx="113">
                  <c:v>0.36465001891249188</c:v>
                </c:pt>
                <c:pt idx="114">
                  <c:v>0.36465001891249188</c:v>
                </c:pt>
                <c:pt idx="115">
                  <c:v>0.36465001891249188</c:v>
                </c:pt>
                <c:pt idx="116">
                  <c:v>0.36465001891249188</c:v>
                </c:pt>
                <c:pt idx="117">
                  <c:v>0.36465001891249188</c:v>
                </c:pt>
                <c:pt idx="118">
                  <c:v>0.36465001891249188</c:v>
                </c:pt>
                <c:pt idx="119">
                  <c:v>0.36465001891249188</c:v>
                </c:pt>
                <c:pt idx="120">
                  <c:v>0.36465001891249188</c:v>
                </c:pt>
                <c:pt idx="121">
                  <c:v>0.36465001891249188</c:v>
                </c:pt>
                <c:pt idx="122">
                  <c:v>0.36465001891249188</c:v>
                </c:pt>
                <c:pt idx="123">
                  <c:v>0.36465001891249188</c:v>
                </c:pt>
                <c:pt idx="124">
                  <c:v>0.36465001891249188</c:v>
                </c:pt>
                <c:pt idx="125">
                  <c:v>0.36465001891249188</c:v>
                </c:pt>
                <c:pt idx="126">
                  <c:v>0.36465001891249188</c:v>
                </c:pt>
                <c:pt idx="127">
                  <c:v>0.36465001891249188</c:v>
                </c:pt>
                <c:pt idx="128">
                  <c:v>0.36465001891249188</c:v>
                </c:pt>
                <c:pt idx="129">
                  <c:v>0.36465001891249188</c:v>
                </c:pt>
                <c:pt idx="130">
                  <c:v>0.36465001891249188</c:v>
                </c:pt>
                <c:pt idx="131">
                  <c:v>0.36465001891249188</c:v>
                </c:pt>
                <c:pt idx="132">
                  <c:v>0.36465001891249188</c:v>
                </c:pt>
                <c:pt idx="133">
                  <c:v>0.36465001891249188</c:v>
                </c:pt>
                <c:pt idx="134">
                  <c:v>0.36465001891249188</c:v>
                </c:pt>
                <c:pt idx="135">
                  <c:v>0.36465001891249188</c:v>
                </c:pt>
                <c:pt idx="136">
                  <c:v>0.36465001891249188</c:v>
                </c:pt>
                <c:pt idx="137">
                  <c:v>0.36465001891249188</c:v>
                </c:pt>
                <c:pt idx="138">
                  <c:v>0.36465001891249188</c:v>
                </c:pt>
                <c:pt idx="139">
                  <c:v>0.36465001891249188</c:v>
                </c:pt>
                <c:pt idx="140">
                  <c:v>0.36465001891249188</c:v>
                </c:pt>
                <c:pt idx="141">
                  <c:v>0.36465001891249188</c:v>
                </c:pt>
                <c:pt idx="142">
                  <c:v>0.36465001891249188</c:v>
                </c:pt>
                <c:pt idx="143">
                  <c:v>0.36465001891249188</c:v>
                </c:pt>
                <c:pt idx="144">
                  <c:v>0.36465001891249188</c:v>
                </c:pt>
                <c:pt idx="145">
                  <c:v>0.36465001891249188</c:v>
                </c:pt>
                <c:pt idx="146">
                  <c:v>0.36465001891249188</c:v>
                </c:pt>
                <c:pt idx="147">
                  <c:v>0.36465001891249188</c:v>
                </c:pt>
                <c:pt idx="148">
                  <c:v>0.36465001891249188</c:v>
                </c:pt>
                <c:pt idx="149">
                  <c:v>0.36465001891249188</c:v>
                </c:pt>
                <c:pt idx="150">
                  <c:v>0.36465001891249188</c:v>
                </c:pt>
                <c:pt idx="151">
                  <c:v>0.36465001891249188</c:v>
                </c:pt>
                <c:pt idx="152">
                  <c:v>0.36465001891249188</c:v>
                </c:pt>
                <c:pt idx="153">
                  <c:v>0.36465001891249188</c:v>
                </c:pt>
                <c:pt idx="154">
                  <c:v>0.36465001891249188</c:v>
                </c:pt>
                <c:pt idx="155">
                  <c:v>0.36465001891249188</c:v>
                </c:pt>
                <c:pt idx="156">
                  <c:v>0.36465001891249188</c:v>
                </c:pt>
                <c:pt idx="157">
                  <c:v>0.36465001891249188</c:v>
                </c:pt>
                <c:pt idx="158">
                  <c:v>0.36465001891249188</c:v>
                </c:pt>
                <c:pt idx="159">
                  <c:v>0.36465001891249188</c:v>
                </c:pt>
                <c:pt idx="160">
                  <c:v>0.36465001891249188</c:v>
                </c:pt>
                <c:pt idx="161">
                  <c:v>0.36465001891249188</c:v>
                </c:pt>
                <c:pt idx="162">
                  <c:v>0.36465001891249188</c:v>
                </c:pt>
                <c:pt idx="163">
                  <c:v>0.36465001891249188</c:v>
                </c:pt>
                <c:pt idx="164">
                  <c:v>0.36465001891249188</c:v>
                </c:pt>
                <c:pt idx="165">
                  <c:v>0.36465001891249188</c:v>
                </c:pt>
                <c:pt idx="166">
                  <c:v>0.36465001891249188</c:v>
                </c:pt>
                <c:pt idx="167">
                  <c:v>0.36465001891249188</c:v>
                </c:pt>
                <c:pt idx="168">
                  <c:v>0.36465001891249188</c:v>
                </c:pt>
                <c:pt idx="169">
                  <c:v>0.36465001891249188</c:v>
                </c:pt>
                <c:pt idx="170">
                  <c:v>0.36465001891249188</c:v>
                </c:pt>
                <c:pt idx="171">
                  <c:v>0.36465001891249188</c:v>
                </c:pt>
                <c:pt idx="172">
                  <c:v>0.36465001891249188</c:v>
                </c:pt>
                <c:pt idx="173">
                  <c:v>0.36465001891249188</c:v>
                </c:pt>
                <c:pt idx="174">
                  <c:v>0.36465001891249188</c:v>
                </c:pt>
                <c:pt idx="175">
                  <c:v>0.36465001891249188</c:v>
                </c:pt>
                <c:pt idx="176">
                  <c:v>0.36465001891249188</c:v>
                </c:pt>
                <c:pt idx="177">
                  <c:v>0.36465001891249188</c:v>
                </c:pt>
                <c:pt idx="178">
                  <c:v>0.36465001891249188</c:v>
                </c:pt>
                <c:pt idx="179">
                  <c:v>0.36465001891249188</c:v>
                </c:pt>
                <c:pt idx="180">
                  <c:v>0.36465001891249188</c:v>
                </c:pt>
                <c:pt idx="181">
                  <c:v>0.36465001891249188</c:v>
                </c:pt>
                <c:pt idx="182">
                  <c:v>0.36465001891249188</c:v>
                </c:pt>
                <c:pt idx="183">
                  <c:v>0.36465001891249188</c:v>
                </c:pt>
                <c:pt idx="184">
                  <c:v>0.36465001891249188</c:v>
                </c:pt>
                <c:pt idx="185">
                  <c:v>0.36465001891249188</c:v>
                </c:pt>
                <c:pt idx="186">
                  <c:v>0.36465001891249188</c:v>
                </c:pt>
                <c:pt idx="187">
                  <c:v>0.36465001891249188</c:v>
                </c:pt>
                <c:pt idx="188">
                  <c:v>0.36465001891249188</c:v>
                </c:pt>
                <c:pt idx="189">
                  <c:v>0.36465001891249188</c:v>
                </c:pt>
                <c:pt idx="190">
                  <c:v>0.36465001891249188</c:v>
                </c:pt>
                <c:pt idx="191">
                  <c:v>0.36465001891249188</c:v>
                </c:pt>
                <c:pt idx="192">
                  <c:v>0.36465001891249188</c:v>
                </c:pt>
                <c:pt idx="193">
                  <c:v>0.36465001891249188</c:v>
                </c:pt>
                <c:pt idx="194">
                  <c:v>0.36465001891249188</c:v>
                </c:pt>
                <c:pt idx="195">
                  <c:v>0.36465001891249188</c:v>
                </c:pt>
                <c:pt idx="196">
                  <c:v>0.36465001891249188</c:v>
                </c:pt>
                <c:pt idx="197">
                  <c:v>0.36465001891249188</c:v>
                </c:pt>
                <c:pt idx="198">
                  <c:v>0.36465001891249188</c:v>
                </c:pt>
                <c:pt idx="199">
                  <c:v>0.36465001891249188</c:v>
                </c:pt>
                <c:pt idx="200">
                  <c:v>0.36465001891249188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F7-4E1A-8063-B2CA36FE0EB6}"/>
            </c:ext>
          </c:extLst>
        </c:ser>
        <c:ser>
          <c:idx val="1"/>
          <c:order val="1"/>
          <c:tx>
            <c:strRef>
              <c:f>'Ejercicio 1.e (2)'!$G$1</c:f>
              <c:strCache>
                <c:ptCount val="1"/>
                <c:pt idx="0">
                  <c:v>Y_t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'Ejercicio 1.e (2)'!$A$2:$A$202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'Ejercicio 1.e (2)'!$G$2:$G$202</c:f>
              <c:numCache>
                <c:formatCode>0.0000000</c:formatCode>
                <c:ptCount val="201"/>
                <c:pt idx="0">
                  <c:v>0.36465001891249188</c:v>
                </c:pt>
                <c:pt idx="1">
                  <c:v>0.36589400306820669</c:v>
                </c:pt>
                <c:pt idx="2">
                  <c:v>0.36120884231237849</c:v>
                </c:pt>
                <c:pt idx="3">
                  <c:v>0.36322555844370913</c:v>
                </c:pt>
                <c:pt idx="4">
                  <c:v>0.36025370269188373</c:v>
                </c:pt>
                <c:pt idx="5">
                  <c:v>0.36036476922831534</c:v>
                </c:pt>
                <c:pt idx="6">
                  <c:v>0.3628766006106503</c:v>
                </c:pt>
                <c:pt idx="7">
                  <c:v>0.3635990708410558</c:v>
                </c:pt>
                <c:pt idx="8">
                  <c:v>0.3585096383793081</c:v>
                </c:pt>
                <c:pt idx="9">
                  <c:v>0.36208617660408071</c:v>
                </c:pt>
                <c:pt idx="10">
                  <c:v>0.36200290481956615</c:v>
                </c:pt>
                <c:pt idx="11">
                  <c:v>0.36055532738130225</c:v>
                </c:pt>
                <c:pt idx="12">
                  <c:v>0.3594007638253372</c:v>
                </c:pt>
                <c:pt idx="13">
                  <c:v>0.36268868578637298</c:v>
                </c:pt>
                <c:pt idx="14">
                  <c:v>0.36393843245832586</c:v>
                </c:pt>
                <c:pt idx="15">
                  <c:v>0.35846032754993512</c:v>
                </c:pt>
                <c:pt idx="16">
                  <c:v>0.35677695845842156</c:v>
                </c:pt>
                <c:pt idx="17">
                  <c:v>0.35822776483887597</c:v>
                </c:pt>
                <c:pt idx="18">
                  <c:v>0.35573310651821954</c:v>
                </c:pt>
                <c:pt idx="19">
                  <c:v>0.35510706020858712</c:v>
                </c:pt>
                <c:pt idx="20">
                  <c:v>0.35436616252272385</c:v>
                </c:pt>
                <c:pt idx="21">
                  <c:v>0.35336811248858258</c:v>
                </c:pt>
                <c:pt idx="22">
                  <c:v>0.34748420063326524</c:v>
                </c:pt>
                <c:pt idx="23">
                  <c:v>0.34845494888479672</c:v>
                </c:pt>
                <c:pt idx="24">
                  <c:v>0.35086931371529645</c:v>
                </c:pt>
                <c:pt idx="25">
                  <c:v>0.35518549740209798</c:v>
                </c:pt>
                <c:pt idx="26">
                  <c:v>0.35457660719220113</c:v>
                </c:pt>
                <c:pt idx="27">
                  <c:v>0.35056549225879147</c:v>
                </c:pt>
                <c:pt idx="28">
                  <c:v>0.34778414468929664</c:v>
                </c:pt>
                <c:pt idx="29">
                  <c:v>0.34690288423892618</c:v>
                </c:pt>
                <c:pt idx="30">
                  <c:v>0.34691818360374632</c:v>
                </c:pt>
                <c:pt idx="31">
                  <c:v>0.3465260371499157</c:v>
                </c:pt>
                <c:pt idx="32">
                  <c:v>0.34909581738138984</c:v>
                </c:pt>
                <c:pt idx="33">
                  <c:v>0.35704926939033432</c:v>
                </c:pt>
                <c:pt idx="34">
                  <c:v>0.35470023044007759</c:v>
                </c:pt>
                <c:pt idx="35">
                  <c:v>0.35829032207671013</c:v>
                </c:pt>
                <c:pt idx="36">
                  <c:v>0.35924398359682158</c:v>
                </c:pt>
                <c:pt idx="37">
                  <c:v>0.36279830063489171</c:v>
                </c:pt>
                <c:pt idx="38">
                  <c:v>0.36456458473736963</c:v>
                </c:pt>
                <c:pt idx="39">
                  <c:v>0.36085684234317439</c:v>
                </c:pt>
                <c:pt idx="40">
                  <c:v>0.36102876082611668</c:v>
                </c:pt>
                <c:pt idx="41">
                  <c:v>0.36509441620315991</c:v>
                </c:pt>
                <c:pt idx="42">
                  <c:v>0.37142688353978198</c:v>
                </c:pt>
                <c:pt idx="43">
                  <c:v>0.37144737413381296</c:v>
                </c:pt>
                <c:pt idx="44">
                  <c:v>0.37033088023393174</c:v>
                </c:pt>
                <c:pt idx="45">
                  <c:v>0.37116398554236879</c:v>
                </c:pt>
                <c:pt idx="46">
                  <c:v>0.37542986195149503</c:v>
                </c:pt>
                <c:pt idx="47">
                  <c:v>0.37791041476886056</c:v>
                </c:pt>
                <c:pt idx="48">
                  <c:v>0.37654829291410591</c:v>
                </c:pt>
                <c:pt idx="49">
                  <c:v>0.37674273933972241</c:v>
                </c:pt>
                <c:pt idx="50">
                  <c:v>0.37278247543253168</c:v>
                </c:pt>
                <c:pt idx="51">
                  <c:v>0.37570213457643881</c:v>
                </c:pt>
                <c:pt idx="52">
                  <c:v>0.37190811098212911</c:v>
                </c:pt>
                <c:pt idx="53">
                  <c:v>0.36634127577991921</c:v>
                </c:pt>
                <c:pt idx="54">
                  <c:v>0.36533288310449885</c:v>
                </c:pt>
                <c:pt idx="55">
                  <c:v>0.36871637695280696</c:v>
                </c:pt>
                <c:pt idx="56">
                  <c:v>0.37359395144048718</c:v>
                </c:pt>
                <c:pt idx="57">
                  <c:v>0.37306607707161871</c:v>
                </c:pt>
                <c:pt idx="58">
                  <c:v>0.37795804454061294</c:v>
                </c:pt>
                <c:pt idx="59">
                  <c:v>0.37754588184887156</c:v>
                </c:pt>
                <c:pt idx="60">
                  <c:v>0.3757726876917355</c:v>
                </c:pt>
                <c:pt idx="61">
                  <c:v>0.37231749698828998</c:v>
                </c:pt>
                <c:pt idx="62">
                  <c:v>0.37424357245332079</c:v>
                </c:pt>
                <c:pt idx="63">
                  <c:v>0.3795512445060687</c:v>
                </c:pt>
                <c:pt idx="64">
                  <c:v>0.37504745901645553</c:v>
                </c:pt>
                <c:pt idx="65">
                  <c:v>0.37219546217065158</c:v>
                </c:pt>
                <c:pt idx="66">
                  <c:v>0.36938199416756995</c:v>
                </c:pt>
                <c:pt idx="67">
                  <c:v>0.3765801299134961</c:v>
                </c:pt>
                <c:pt idx="68">
                  <c:v>0.37505994369590379</c:v>
                </c:pt>
                <c:pt idx="69">
                  <c:v>0.37909157110139813</c:v>
                </c:pt>
                <c:pt idx="70">
                  <c:v>0.37220305605846649</c:v>
                </c:pt>
                <c:pt idx="71">
                  <c:v>0.37195081070709862</c:v>
                </c:pt>
                <c:pt idx="72">
                  <c:v>0.37041762046810217</c:v>
                </c:pt>
                <c:pt idx="73">
                  <c:v>0.36676295284582949</c:v>
                </c:pt>
                <c:pt idx="74">
                  <c:v>0.36797284593259522</c:v>
                </c:pt>
                <c:pt idx="75">
                  <c:v>0.37838947476521401</c:v>
                </c:pt>
                <c:pt idx="76">
                  <c:v>0.37410886339638533</c:v>
                </c:pt>
                <c:pt idx="77">
                  <c:v>0.36776723979828818</c:v>
                </c:pt>
                <c:pt idx="78">
                  <c:v>0.36523702301413863</c:v>
                </c:pt>
                <c:pt idx="79">
                  <c:v>0.36376669770849906</c:v>
                </c:pt>
                <c:pt idx="80">
                  <c:v>0.36539340720540064</c:v>
                </c:pt>
                <c:pt idx="81">
                  <c:v>0.36497009492416643</c:v>
                </c:pt>
                <c:pt idx="82">
                  <c:v>0.36799322065639645</c:v>
                </c:pt>
                <c:pt idx="83">
                  <c:v>0.36521969900384299</c:v>
                </c:pt>
                <c:pt idx="84">
                  <c:v>0.36315809594748516</c:v>
                </c:pt>
                <c:pt idx="85">
                  <c:v>0.36091824293781422</c:v>
                </c:pt>
                <c:pt idx="86">
                  <c:v>0.36321379141897919</c:v>
                </c:pt>
                <c:pt idx="87">
                  <c:v>0.36305033229765848</c:v>
                </c:pt>
                <c:pt idx="88">
                  <c:v>0.3634277548071419</c:v>
                </c:pt>
                <c:pt idx="89">
                  <c:v>0.36608889000655587</c:v>
                </c:pt>
                <c:pt idx="90">
                  <c:v>0.36360678246216527</c:v>
                </c:pt>
                <c:pt idx="91">
                  <c:v>0.36415334260958604</c:v>
                </c:pt>
                <c:pt idx="92">
                  <c:v>0.36831069917670323</c:v>
                </c:pt>
                <c:pt idx="93">
                  <c:v>0.36412617129613539</c:v>
                </c:pt>
                <c:pt idx="94">
                  <c:v>0.365138733871262</c:v>
                </c:pt>
                <c:pt idx="95">
                  <c:v>0.36112042054022769</c:v>
                </c:pt>
                <c:pt idx="96">
                  <c:v>0.37052084428097998</c:v>
                </c:pt>
                <c:pt idx="97">
                  <c:v>0.3734833733378618</c:v>
                </c:pt>
                <c:pt idx="98">
                  <c:v>0.37312873239812699</c:v>
                </c:pt>
                <c:pt idx="99">
                  <c:v>0.37293355833107555</c:v>
                </c:pt>
                <c:pt idx="100">
                  <c:v>0.37994819550813314</c:v>
                </c:pt>
                <c:pt idx="101">
                  <c:v>0.37439390152352209</c:v>
                </c:pt>
                <c:pt idx="102">
                  <c:v>0.37816265997633602</c:v>
                </c:pt>
                <c:pt idx="103">
                  <c:v>0.38144543261386665</c:v>
                </c:pt>
                <c:pt idx="104">
                  <c:v>0.37916228414928577</c:v>
                </c:pt>
                <c:pt idx="105">
                  <c:v>0.37376143830685338</c:v>
                </c:pt>
                <c:pt idx="106">
                  <c:v>0.37657426157709623</c:v>
                </c:pt>
                <c:pt idx="107">
                  <c:v>0.371196678390112</c:v>
                </c:pt>
                <c:pt idx="108">
                  <c:v>0.37260005598558155</c:v>
                </c:pt>
                <c:pt idx="109">
                  <c:v>0.36847170967724929</c:v>
                </c:pt>
                <c:pt idx="110">
                  <c:v>0.37203988299269686</c:v>
                </c:pt>
                <c:pt idx="111">
                  <c:v>0.37293159082673721</c:v>
                </c:pt>
                <c:pt idx="112">
                  <c:v>0.37314836093520221</c:v>
                </c:pt>
                <c:pt idx="113">
                  <c:v>0.37612638840837481</c:v>
                </c:pt>
                <c:pt idx="114">
                  <c:v>0.37611455213525397</c:v>
                </c:pt>
                <c:pt idx="115">
                  <c:v>0.37431961961672977</c:v>
                </c:pt>
                <c:pt idx="116">
                  <c:v>0.3764833147111204</c:v>
                </c:pt>
                <c:pt idx="117">
                  <c:v>0.37919499600304102</c:v>
                </c:pt>
                <c:pt idx="118">
                  <c:v>0.37808467483150887</c:v>
                </c:pt>
                <c:pt idx="119">
                  <c:v>0.37553406492520136</c:v>
                </c:pt>
                <c:pt idx="120">
                  <c:v>0.37252327943266639</c:v>
                </c:pt>
                <c:pt idx="121">
                  <c:v>0.37460782801591141</c:v>
                </c:pt>
                <c:pt idx="122">
                  <c:v>0.3728606665801053</c:v>
                </c:pt>
                <c:pt idx="123">
                  <c:v>0.37212381963256697</c:v>
                </c:pt>
                <c:pt idx="124">
                  <c:v>0.36415258040252235</c:v>
                </c:pt>
                <c:pt idx="125">
                  <c:v>0.36003184301890617</c:v>
                </c:pt>
                <c:pt idx="126">
                  <c:v>0.35563583917365388</c:v>
                </c:pt>
                <c:pt idx="127">
                  <c:v>0.36476923214345086</c:v>
                </c:pt>
                <c:pt idx="128">
                  <c:v>0.36310696319207614</c:v>
                </c:pt>
                <c:pt idx="129">
                  <c:v>0.36275137984294337</c:v>
                </c:pt>
                <c:pt idx="130">
                  <c:v>0.36474710145903638</c:v>
                </c:pt>
                <c:pt idx="131">
                  <c:v>0.36525951895418057</c:v>
                </c:pt>
                <c:pt idx="132">
                  <c:v>0.36247534912569712</c:v>
                </c:pt>
                <c:pt idx="133">
                  <c:v>0.36745832198207906</c:v>
                </c:pt>
                <c:pt idx="134">
                  <c:v>0.36170956522921421</c:v>
                </c:pt>
                <c:pt idx="135">
                  <c:v>0.3632742915742781</c:v>
                </c:pt>
                <c:pt idx="136">
                  <c:v>0.36063704776208222</c:v>
                </c:pt>
                <c:pt idx="137">
                  <c:v>0.36075794659432886</c:v>
                </c:pt>
                <c:pt idx="138">
                  <c:v>0.35730017746028642</c:v>
                </c:pt>
                <c:pt idx="139">
                  <c:v>0.35057380463506205</c:v>
                </c:pt>
                <c:pt idx="140">
                  <c:v>0.35280372340015004</c:v>
                </c:pt>
                <c:pt idx="141">
                  <c:v>0.36247851564386036</c:v>
                </c:pt>
                <c:pt idx="142">
                  <c:v>0.36422208369692738</c:v>
                </c:pt>
                <c:pt idx="143">
                  <c:v>0.36768545829554189</c:v>
                </c:pt>
                <c:pt idx="144">
                  <c:v>0.37118326183233702</c:v>
                </c:pt>
                <c:pt idx="145">
                  <c:v>0.37367503318924739</c:v>
                </c:pt>
                <c:pt idx="146">
                  <c:v>0.37221536853523246</c:v>
                </c:pt>
                <c:pt idx="147">
                  <c:v>0.3739058726348109</c:v>
                </c:pt>
                <c:pt idx="148">
                  <c:v>0.37221569539738208</c:v>
                </c:pt>
                <c:pt idx="149">
                  <c:v>0.37359124524779025</c:v>
                </c:pt>
                <c:pt idx="150">
                  <c:v>0.38320166273639045</c:v>
                </c:pt>
                <c:pt idx="151">
                  <c:v>0.38181316163982493</c:v>
                </c:pt>
                <c:pt idx="152">
                  <c:v>0.38756630156410443</c:v>
                </c:pt>
                <c:pt idx="153">
                  <c:v>0.38052503674794036</c:v>
                </c:pt>
                <c:pt idx="154">
                  <c:v>0.38129099881621353</c:v>
                </c:pt>
                <c:pt idx="155">
                  <c:v>0.37873201638312842</c:v>
                </c:pt>
                <c:pt idx="156">
                  <c:v>0.38256595399880322</c:v>
                </c:pt>
                <c:pt idx="157">
                  <c:v>0.37940804690218843</c:v>
                </c:pt>
                <c:pt idx="158">
                  <c:v>0.37526914732993061</c:v>
                </c:pt>
                <c:pt idx="159">
                  <c:v>0.37827948221120655</c:v>
                </c:pt>
                <c:pt idx="160">
                  <c:v>0.37704140350968335</c:v>
                </c:pt>
                <c:pt idx="161">
                  <c:v>0.37710325999365407</c:v>
                </c:pt>
                <c:pt idx="162">
                  <c:v>0.38256698207333167</c:v>
                </c:pt>
                <c:pt idx="163">
                  <c:v>0.38826336982962639</c:v>
                </c:pt>
                <c:pt idx="164">
                  <c:v>0.38957663272607401</c:v>
                </c:pt>
                <c:pt idx="165">
                  <c:v>0.39132410333417184</c:v>
                </c:pt>
                <c:pt idx="166">
                  <c:v>0.38948930246589608</c:v>
                </c:pt>
                <c:pt idx="167">
                  <c:v>0.39003336912583542</c:v>
                </c:pt>
                <c:pt idx="168">
                  <c:v>0.3953731289040206</c:v>
                </c:pt>
                <c:pt idx="169">
                  <c:v>0.39605408929488894</c:v>
                </c:pt>
                <c:pt idx="170">
                  <c:v>0.39746637519698175</c:v>
                </c:pt>
                <c:pt idx="171">
                  <c:v>0.39810673060383345</c:v>
                </c:pt>
                <c:pt idx="172">
                  <c:v>0.39660922384360325</c:v>
                </c:pt>
                <c:pt idx="173">
                  <c:v>0.39678798557665124</c:v>
                </c:pt>
                <c:pt idx="174">
                  <c:v>0.39693305058332307</c:v>
                </c:pt>
                <c:pt idx="175">
                  <c:v>0.39416164902555623</c:v>
                </c:pt>
                <c:pt idx="176">
                  <c:v>0.39115591053319793</c:v>
                </c:pt>
                <c:pt idx="177">
                  <c:v>0.39726879298959183</c:v>
                </c:pt>
                <c:pt idx="178">
                  <c:v>0.39683490763238777</c:v>
                </c:pt>
                <c:pt idx="179">
                  <c:v>0.39547473023018026</c:v>
                </c:pt>
                <c:pt idx="180">
                  <c:v>0.39432541281128597</c:v>
                </c:pt>
                <c:pt idx="181">
                  <c:v>0.39718359463825537</c:v>
                </c:pt>
                <c:pt idx="182">
                  <c:v>0.39662985105316756</c:v>
                </c:pt>
                <c:pt idx="183">
                  <c:v>0.39306280750102235</c:v>
                </c:pt>
                <c:pt idx="184">
                  <c:v>0.39340360272688996</c:v>
                </c:pt>
                <c:pt idx="185">
                  <c:v>0.39623677103921767</c:v>
                </c:pt>
                <c:pt idx="186">
                  <c:v>0.40041236987424134</c:v>
                </c:pt>
                <c:pt idx="187">
                  <c:v>0.40704822124364182</c:v>
                </c:pt>
                <c:pt idx="188">
                  <c:v>0.40103914914911371</c:v>
                </c:pt>
                <c:pt idx="189">
                  <c:v>0.40141493253290905</c:v>
                </c:pt>
                <c:pt idx="190">
                  <c:v>0.40219096628200796</c:v>
                </c:pt>
                <c:pt idx="191">
                  <c:v>0.39743602872407235</c:v>
                </c:pt>
                <c:pt idx="192">
                  <c:v>0.39901848805793966</c:v>
                </c:pt>
                <c:pt idx="193">
                  <c:v>0.39157197407823435</c:v>
                </c:pt>
                <c:pt idx="194">
                  <c:v>0.3932040718208496</c:v>
                </c:pt>
                <c:pt idx="195">
                  <c:v>0.39071766533334423</c:v>
                </c:pt>
                <c:pt idx="196">
                  <c:v>0.3923518477523727</c:v>
                </c:pt>
                <c:pt idx="197">
                  <c:v>0.38796647518025168</c:v>
                </c:pt>
                <c:pt idx="198">
                  <c:v>0.38972356225058891</c:v>
                </c:pt>
                <c:pt idx="199">
                  <c:v>0.39636391109916608</c:v>
                </c:pt>
                <c:pt idx="200">
                  <c:v>0.39624880753337105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F7-4E1A-8063-B2CA36FE0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9603296"/>
        <c:axId val="569605264"/>
      </c:lineChart>
      <c:catAx>
        <c:axId val="56960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69605264"/>
        <c:crosses val="autoZero"/>
        <c:auto val="1"/>
        <c:lblAlgn val="ctr"/>
        <c:lblOffset val="100"/>
        <c:noMultiLvlLbl val="0"/>
      </c:catAx>
      <c:valAx>
        <c:axId val="569605264"/>
        <c:scaling>
          <c:orientation val="minMax"/>
          <c:max val="0.41000000000000003"/>
          <c:min val="0.34000000000000008"/>
        </c:scaling>
        <c:delete val="0"/>
        <c:axPos val="l"/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6960329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/>
              <a:t>Evolución temporal de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'Ejercicio 1.e (2)'!$I$1</c:f>
              <c:strCache>
                <c:ptCount val="1"/>
                <c:pt idx="0">
                  <c:v>C_EEN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'Ejercicio 1.e (2)'!$A$2:$A$202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'Ejercicio 1.e (2)'!$I$2:$I$202</c:f>
              <c:numCache>
                <c:formatCode>0.0000000</c:formatCode>
                <c:ptCount val="201"/>
                <c:pt idx="0">
                  <c:v>0.35071066245124149</c:v>
                </c:pt>
                <c:pt idx="1">
                  <c:v>0.35071066245124149</c:v>
                </c:pt>
                <c:pt idx="2">
                  <c:v>0.35071066245124149</c:v>
                </c:pt>
                <c:pt idx="3">
                  <c:v>0.35071066245124149</c:v>
                </c:pt>
                <c:pt idx="4">
                  <c:v>0.35071066245124149</c:v>
                </c:pt>
                <c:pt idx="5">
                  <c:v>0.35071066245124149</c:v>
                </c:pt>
                <c:pt idx="6">
                  <c:v>0.35071066245124149</c:v>
                </c:pt>
                <c:pt idx="7">
                  <c:v>0.35071066245124149</c:v>
                </c:pt>
                <c:pt idx="8">
                  <c:v>0.35071066245124149</c:v>
                </c:pt>
                <c:pt idx="9">
                  <c:v>0.35071066245124149</c:v>
                </c:pt>
                <c:pt idx="10">
                  <c:v>0.35071066245124149</c:v>
                </c:pt>
                <c:pt idx="11">
                  <c:v>0.35071066245124149</c:v>
                </c:pt>
                <c:pt idx="12">
                  <c:v>0.35071066245124149</c:v>
                </c:pt>
                <c:pt idx="13">
                  <c:v>0.35071066245124149</c:v>
                </c:pt>
                <c:pt idx="14">
                  <c:v>0.35071066245124149</c:v>
                </c:pt>
                <c:pt idx="15">
                  <c:v>0.35071066245124149</c:v>
                </c:pt>
                <c:pt idx="16">
                  <c:v>0.35071066245124149</c:v>
                </c:pt>
                <c:pt idx="17">
                  <c:v>0.35071066245124149</c:v>
                </c:pt>
                <c:pt idx="18">
                  <c:v>0.35071066245124149</c:v>
                </c:pt>
                <c:pt idx="19">
                  <c:v>0.35071066245124149</c:v>
                </c:pt>
                <c:pt idx="20">
                  <c:v>0.35071066245124149</c:v>
                </c:pt>
                <c:pt idx="21">
                  <c:v>0.35071066245124149</c:v>
                </c:pt>
                <c:pt idx="22">
                  <c:v>0.35071066245124149</c:v>
                </c:pt>
                <c:pt idx="23">
                  <c:v>0.35071066245124149</c:v>
                </c:pt>
                <c:pt idx="24">
                  <c:v>0.35071066245124149</c:v>
                </c:pt>
                <c:pt idx="25">
                  <c:v>0.35071066245124149</c:v>
                </c:pt>
                <c:pt idx="26">
                  <c:v>0.35071066245124149</c:v>
                </c:pt>
                <c:pt idx="27">
                  <c:v>0.35071066245124149</c:v>
                </c:pt>
                <c:pt idx="28">
                  <c:v>0.35071066245124149</c:v>
                </c:pt>
                <c:pt idx="29">
                  <c:v>0.35071066245124149</c:v>
                </c:pt>
                <c:pt idx="30">
                  <c:v>0.35071066245124149</c:v>
                </c:pt>
                <c:pt idx="31">
                  <c:v>0.35071066245124149</c:v>
                </c:pt>
                <c:pt idx="32">
                  <c:v>0.35071066245124149</c:v>
                </c:pt>
                <c:pt idx="33">
                  <c:v>0.35071066245124149</c:v>
                </c:pt>
                <c:pt idx="34">
                  <c:v>0.35071066245124149</c:v>
                </c:pt>
                <c:pt idx="35">
                  <c:v>0.35071066245124149</c:v>
                </c:pt>
                <c:pt idx="36">
                  <c:v>0.35071066245124149</c:v>
                </c:pt>
                <c:pt idx="37">
                  <c:v>0.35071066245124149</c:v>
                </c:pt>
                <c:pt idx="38">
                  <c:v>0.35071066245124149</c:v>
                </c:pt>
                <c:pt idx="39">
                  <c:v>0.35071066245124149</c:v>
                </c:pt>
                <c:pt idx="40">
                  <c:v>0.35071066245124149</c:v>
                </c:pt>
                <c:pt idx="41">
                  <c:v>0.35071066245124149</c:v>
                </c:pt>
                <c:pt idx="42">
                  <c:v>0.35071066245124149</c:v>
                </c:pt>
                <c:pt idx="43">
                  <c:v>0.35071066245124149</c:v>
                </c:pt>
                <c:pt idx="44">
                  <c:v>0.35071066245124149</c:v>
                </c:pt>
                <c:pt idx="45">
                  <c:v>0.35071066245124149</c:v>
                </c:pt>
                <c:pt idx="46">
                  <c:v>0.35071066245124149</c:v>
                </c:pt>
                <c:pt idx="47">
                  <c:v>0.35071066245124149</c:v>
                </c:pt>
                <c:pt idx="48">
                  <c:v>0.35071066245124149</c:v>
                </c:pt>
                <c:pt idx="49">
                  <c:v>0.35071066245124149</c:v>
                </c:pt>
                <c:pt idx="50">
                  <c:v>0.35071066245124149</c:v>
                </c:pt>
                <c:pt idx="51">
                  <c:v>0.35071066245124149</c:v>
                </c:pt>
                <c:pt idx="52">
                  <c:v>0.35071066245124149</c:v>
                </c:pt>
                <c:pt idx="53">
                  <c:v>0.35071066245124149</c:v>
                </c:pt>
                <c:pt idx="54">
                  <c:v>0.35071066245124149</c:v>
                </c:pt>
                <c:pt idx="55">
                  <c:v>0.35071066245124149</c:v>
                </c:pt>
                <c:pt idx="56">
                  <c:v>0.35071066245124149</c:v>
                </c:pt>
                <c:pt idx="57">
                  <c:v>0.35071066245124149</c:v>
                </c:pt>
                <c:pt idx="58">
                  <c:v>0.35071066245124149</c:v>
                </c:pt>
                <c:pt idx="59">
                  <c:v>0.35071066245124149</c:v>
                </c:pt>
                <c:pt idx="60">
                  <c:v>0.35071066245124149</c:v>
                </c:pt>
                <c:pt idx="61">
                  <c:v>0.35071066245124149</c:v>
                </c:pt>
                <c:pt idx="62">
                  <c:v>0.35071066245124149</c:v>
                </c:pt>
                <c:pt idx="63">
                  <c:v>0.35071066245124149</c:v>
                </c:pt>
                <c:pt idx="64">
                  <c:v>0.35071066245124149</c:v>
                </c:pt>
                <c:pt idx="65">
                  <c:v>0.35071066245124149</c:v>
                </c:pt>
                <c:pt idx="66">
                  <c:v>0.35071066245124149</c:v>
                </c:pt>
                <c:pt idx="67">
                  <c:v>0.35071066245124149</c:v>
                </c:pt>
                <c:pt idx="68">
                  <c:v>0.35071066245124149</c:v>
                </c:pt>
                <c:pt idx="69">
                  <c:v>0.35071066245124149</c:v>
                </c:pt>
                <c:pt idx="70">
                  <c:v>0.35071066245124149</c:v>
                </c:pt>
                <c:pt idx="71">
                  <c:v>0.35071066245124149</c:v>
                </c:pt>
                <c:pt idx="72">
                  <c:v>0.35071066245124149</c:v>
                </c:pt>
                <c:pt idx="73">
                  <c:v>0.35071066245124149</c:v>
                </c:pt>
                <c:pt idx="74">
                  <c:v>0.35071066245124149</c:v>
                </c:pt>
                <c:pt idx="75">
                  <c:v>0.35071066245124149</c:v>
                </c:pt>
                <c:pt idx="76">
                  <c:v>0.35071066245124149</c:v>
                </c:pt>
                <c:pt idx="77">
                  <c:v>0.35071066245124149</c:v>
                </c:pt>
                <c:pt idx="78">
                  <c:v>0.35071066245124149</c:v>
                </c:pt>
                <c:pt idx="79">
                  <c:v>0.35071066245124149</c:v>
                </c:pt>
                <c:pt idx="80">
                  <c:v>0.35071066245124149</c:v>
                </c:pt>
                <c:pt idx="81">
                  <c:v>0.35071066245124149</c:v>
                </c:pt>
                <c:pt idx="82">
                  <c:v>0.35071066245124149</c:v>
                </c:pt>
                <c:pt idx="83">
                  <c:v>0.35071066245124149</c:v>
                </c:pt>
                <c:pt idx="84">
                  <c:v>0.35071066245124149</c:v>
                </c:pt>
                <c:pt idx="85">
                  <c:v>0.35071066245124149</c:v>
                </c:pt>
                <c:pt idx="86">
                  <c:v>0.35071066245124149</c:v>
                </c:pt>
                <c:pt idx="87">
                  <c:v>0.35071066245124149</c:v>
                </c:pt>
                <c:pt idx="88">
                  <c:v>0.35071066245124149</c:v>
                </c:pt>
                <c:pt idx="89">
                  <c:v>0.35071066245124149</c:v>
                </c:pt>
                <c:pt idx="90">
                  <c:v>0.35071066245124149</c:v>
                </c:pt>
                <c:pt idx="91">
                  <c:v>0.35071066245124149</c:v>
                </c:pt>
                <c:pt idx="92">
                  <c:v>0.35071066245124149</c:v>
                </c:pt>
                <c:pt idx="93">
                  <c:v>0.35071066245124149</c:v>
                </c:pt>
                <c:pt idx="94">
                  <c:v>0.35071066245124149</c:v>
                </c:pt>
                <c:pt idx="95">
                  <c:v>0.35071066245124149</c:v>
                </c:pt>
                <c:pt idx="96">
                  <c:v>0.35071066245124149</c:v>
                </c:pt>
                <c:pt idx="97">
                  <c:v>0.35071066245124149</c:v>
                </c:pt>
                <c:pt idx="98">
                  <c:v>0.35071066245124149</c:v>
                </c:pt>
                <c:pt idx="99">
                  <c:v>0.35071066245124149</c:v>
                </c:pt>
                <c:pt idx="100">
                  <c:v>0.35071066245124149</c:v>
                </c:pt>
                <c:pt idx="101">
                  <c:v>0.35071066245124149</c:v>
                </c:pt>
                <c:pt idx="102">
                  <c:v>0.35071066245124149</c:v>
                </c:pt>
                <c:pt idx="103">
                  <c:v>0.35071066245124149</c:v>
                </c:pt>
                <c:pt idx="104">
                  <c:v>0.35071066245124149</c:v>
                </c:pt>
                <c:pt idx="105">
                  <c:v>0.35071066245124149</c:v>
                </c:pt>
                <c:pt idx="106">
                  <c:v>0.35071066245124149</c:v>
                </c:pt>
                <c:pt idx="107">
                  <c:v>0.35071066245124149</c:v>
                </c:pt>
                <c:pt idx="108">
                  <c:v>0.35071066245124149</c:v>
                </c:pt>
                <c:pt idx="109">
                  <c:v>0.35071066245124149</c:v>
                </c:pt>
                <c:pt idx="110">
                  <c:v>0.35071066245124149</c:v>
                </c:pt>
                <c:pt idx="111">
                  <c:v>0.35071066245124149</c:v>
                </c:pt>
                <c:pt idx="112">
                  <c:v>0.35071066245124149</c:v>
                </c:pt>
                <c:pt idx="113">
                  <c:v>0.35071066245124149</c:v>
                </c:pt>
                <c:pt idx="114">
                  <c:v>0.35071066245124149</c:v>
                </c:pt>
                <c:pt idx="115">
                  <c:v>0.35071066245124149</c:v>
                </c:pt>
                <c:pt idx="116">
                  <c:v>0.35071066245124149</c:v>
                </c:pt>
                <c:pt idx="117">
                  <c:v>0.35071066245124149</c:v>
                </c:pt>
                <c:pt idx="118">
                  <c:v>0.35071066245124149</c:v>
                </c:pt>
                <c:pt idx="119">
                  <c:v>0.35071066245124149</c:v>
                </c:pt>
                <c:pt idx="120">
                  <c:v>0.35071066245124149</c:v>
                </c:pt>
                <c:pt idx="121">
                  <c:v>0.35071066245124149</c:v>
                </c:pt>
                <c:pt idx="122">
                  <c:v>0.35071066245124149</c:v>
                </c:pt>
                <c:pt idx="123">
                  <c:v>0.35071066245124149</c:v>
                </c:pt>
                <c:pt idx="124">
                  <c:v>0.35071066245124149</c:v>
                </c:pt>
                <c:pt idx="125">
                  <c:v>0.35071066245124149</c:v>
                </c:pt>
                <c:pt idx="126">
                  <c:v>0.35071066245124149</c:v>
                </c:pt>
                <c:pt idx="127">
                  <c:v>0.35071066245124149</c:v>
                </c:pt>
                <c:pt idx="128">
                  <c:v>0.35071066245124149</c:v>
                </c:pt>
                <c:pt idx="129">
                  <c:v>0.35071066245124149</c:v>
                </c:pt>
                <c:pt idx="130">
                  <c:v>0.35071066245124149</c:v>
                </c:pt>
                <c:pt idx="131">
                  <c:v>0.35071066245124149</c:v>
                </c:pt>
                <c:pt idx="132">
                  <c:v>0.35071066245124149</c:v>
                </c:pt>
                <c:pt idx="133">
                  <c:v>0.35071066245124149</c:v>
                </c:pt>
                <c:pt idx="134">
                  <c:v>0.35071066245124149</c:v>
                </c:pt>
                <c:pt idx="135">
                  <c:v>0.35071066245124149</c:v>
                </c:pt>
                <c:pt idx="136">
                  <c:v>0.35071066245124149</c:v>
                </c:pt>
                <c:pt idx="137">
                  <c:v>0.35071066245124149</c:v>
                </c:pt>
                <c:pt idx="138">
                  <c:v>0.35071066245124149</c:v>
                </c:pt>
                <c:pt idx="139">
                  <c:v>0.35071066245124149</c:v>
                </c:pt>
                <c:pt idx="140">
                  <c:v>0.35071066245124149</c:v>
                </c:pt>
                <c:pt idx="141">
                  <c:v>0.35071066245124149</c:v>
                </c:pt>
                <c:pt idx="142">
                  <c:v>0.35071066245124149</c:v>
                </c:pt>
                <c:pt idx="143">
                  <c:v>0.35071066245124149</c:v>
                </c:pt>
                <c:pt idx="144">
                  <c:v>0.35071066245124149</c:v>
                </c:pt>
                <c:pt idx="145">
                  <c:v>0.35071066245124149</c:v>
                </c:pt>
                <c:pt idx="146">
                  <c:v>0.35071066245124149</c:v>
                </c:pt>
                <c:pt idx="147">
                  <c:v>0.35071066245124149</c:v>
                </c:pt>
                <c:pt idx="148">
                  <c:v>0.35071066245124149</c:v>
                </c:pt>
                <c:pt idx="149">
                  <c:v>0.35071066245124149</c:v>
                </c:pt>
                <c:pt idx="150">
                  <c:v>0.35071066245124149</c:v>
                </c:pt>
                <c:pt idx="151">
                  <c:v>0.35071066245124149</c:v>
                </c:pt>
                <c:pt idx="152">
                  <c:v>0.35071066245124149</c:v>
                </c:pt>
                <c:pt idx="153">
                  <c:v>0.35071066245124149</c:v>
                </c:pt>
                <c:pt idx="154">
                  <c:v>0.35071066245124149</c:v>
                </c:pt>
                <c:pt idx="155">
                  <c:v>0.35071066245124149</c:v>
                </c:pt>
                <c:pt idx="156">
                  <c:v>0.35071066245124149</c:v>
                </c:pt>
                <c:pt idx="157">
                  <c:v>0.35071066245124149</c:v>
                </c:pt>
                <c:pt idx="158">
                  <c:v>0.35071066245124149</c:v>
                </c:pt>
                <c:pt idx="159">
                  <c:v>0.35071066245124149</c:v>
                </c:pt>
                <c:pt idx="160">
                  <c:v>0.35071066245124149</c:v>
                </c:pt>
                <c:pt idx="161">
                  <c:v>0.35071066245124149</c:v>
                </c:pt>
                <c:pt idx="162">
                  <c:v>0.35071066245124149</c:v>
                </c:pt>
                <c:pt idx="163">
                  <c:v>0.35071066245124149</c:v>
                </c:pt>
                <c:pt idx="164">
                  <c:v>0.35071066245124149</c:v>
                </c:pt>
                <c:pt idx="165">
                  <c:v>0.35071066245124149</c:v>
                </c:pt>
                <c:pt idx="166">
                  <c:v>0.35071066245124149</c:v>
                </c:pt>
                <c:pt idx="167">
                  <c:v>0.35071066245124149</c:v>
                </c:pt>
                <c:pt idx="168">
                  <c:v>0.35071066245124149</c:v>
                </c:pt>
                <c:pt idx="169">
                  <c:v>0.35071066245124149</c:v>
                </c:pt>
                <c:pt idx="170">
                  <c:v>0.35071066245124149</c:v>
                </c:pt>
                <c:pt idx="171">
                  <c:v>0.35071066245124149</c:v>
                </c:pt>
                <c:pt idx="172">
                  <c:v>0.35071066245124149</c:v>
                </c:pt>
                <c:pt idx="173">
                  <c:v>0.35071066245124149</c:v>
                </c:pt>
                <c:pt idx="174">
                  <c:v>0.35071066245124149</c:v>
                </c:pt>
                <c:pt idx="175">
                  <c:v>0.35071066245124149</c:v>
                </c:pt>
                <c:pt idx="176">
                  <c:v>0.35071066245124149</c:v>
                </c:pt>
                <c:pt idx="177">
                  <c:v>0.35071066245124149</c:v>
                </c:pt>
                <c:pt idx="178">
                  <c:v>0.35071066245124149</c:v>
                </c:pt>
                <c:pt idx="179">
                  <c:v>0.35071066245124149</c:v>
                </c:pt>
                <c:pt idx="180">
                  <c:v>0.35071066245124149</c:v>
                </c:pt>
                <c:pt idx="181">
                  <c:v>0.35071066245124149</c:v>
                </c:pt>
                <c:pt idx="182">
                  <c:v>0.35071066245124149</c:v>
                </c:pt>
                <c:pt idx="183">
                  <c:v>0.35071066245124149</c:v>
                </c:pt>
                <c:pt idx="184">
                  <c:v>0.35071066245124149</c:v>
                </c:pt>
                <c:pt idx="185">
                  <c:v>0.35071066245124149</c:v>
                </c:pt>
                <c:pt idx="186">
                  <c:v>0.35071066245124149</c:v>
                </c:pt>
                <c:pt idx="187">
                  <c:v>0.35071066245124149</c:v>
                </c:pt>
                <c:pt idx="188">
                  <c:v>0.35071066245124149</c:v>
                </c:pt>
                <c:pt idx="189">
                  <c:v>0.35071066245124149</c:v>
                </c:pt>
                <c:pt idx="190">
                  <c:v>0.35071066245124149</c:v>
                </c:pt>
                <c:pt idx="191">
                  <c:v>0.35071066245124149</c:v>
                </c:pt>
                <c:pt idx="192">
                  <c:v>0.35071066245124149</c:v>
                </c:pt>
                <c:pt idx="193">
                  <c:v>0.35071066245124149</c:v>
                </c:pt>
                <c:pt idx="194">
                  <c:v>0.35071066245124149</c:v>
                </c:pt>
                <c:pt idx="195">
                  <c:v>0.35071066245124149</c:v>
                </c:pt>
                <c:pt idx="196">
                  <c:v>0.35071066245124149</c:v>
                </c:pt>
                <c:pt idx="197">
                  <c:v>0.35071066245124149</c:v>
                </c:pt>
                <c:pt idx="198">
                  <c:v>0.35071066245124149</c:v>
                </c:pt>
                <c:pt idx="199">
                  <c:v>0.35071066245124149</c:v>
                </c:pt>
                <c:pt idx="200">
                  <c:v>0.35071066245124149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86-4A4E-87AE-800338211747}"/>
            </c:ext>
          </c:extLst>
        </c:ser>
        <c:ser>
          <c:idx val="1"/>
          <c:order val="1"/>
          <c:tx>
            <c:strRef>
              <c:f>'Ejercicio 1.e (2)'!$H$1</c:f>
              <c:strCache>
                <c:ptCount val="1"/>
                <c:pt idx="0">
                  <c:v>C_t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'Ejercicio 1.e (2)'!$A$2:$A$202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'Ejercicio 1.e (2)'!$H$2:$H$202</c:f>
              <c:numCache>
                <c:formatCode>0.0000000</c:formatCode>
                <c:ptCount val="201"/>
                <c:pt idx="0">
                  <c:v>0.35071066245124149</c:v>
                </c:pt>
                <c:pt idx="1">
                  <c:v>0.35190709323336711</c:v>
                </c:pt>
                <c:pt idx="2">
                  <c:v>0.34740103057836585</c:v>
                </c:pt>
                <c:pt idx="3">
                  <c:v>0.34934065436476913</c:v>
                </c:pt>
                <c:pt idx="4">
                  <c:v>0.34648240276631703</c:v>
                </c:pt>
                <c:pt idx="5">
                  <c:v>0.34658922359875322</c:v>
                </c:pt>
                <c:pt idx="6">
                  <c:v>0.34900503602813887</c:v>
                </c:pt>
                <c:pt idx="7">
                  <c:v>0.34969988862642604</c:v>
                </c:pt>
                <c:pt idx="8">
                  <c:v>0.34480500822717747</c:v>
                </c:pt>
                <c:pt idx="9">
                  <c:v>0.34824482730036171</c:v>
                </c:pt>
                <c:pt idx="10">
                  <c:v>0.34816473871899351</c:v>
                </c:pt>
                <c:pt idx="11">
                  <c:v>0.34677249734783688</c:v>
                </c:pt>
                <c:pt idx="12">
                  <c:v>0.34566206891357504</c:v>
                </c:pt>
                <c:pt idx="13">
                  <c:v>0.34882430456210672</c:v>
                </c:pt>
                <c:pt idx="14">
                  <c:v>0.35002627757865551</c:v>
                </c:pt>
                <c:pt idx="15">
                  <c:v>0.34475758238667703</c:v>
                </c:pt>
                <c:pt idx="16">
                  <c:v>0.34313856289232636</c:v>
                </c:pt>
                <c:pt idx="17">
                  <c:v>0.34453390977396126</c:v>
                </c:pt>
                <c:pt idx="18">
                  <c:v>0.34213461393726785</c:v>
                </c:pt>
                <c:pt idx="19">
                  <c:v>0.34153249929421603</c:v>
                </c:pt>
                <c:pt idx="20">
                  <c:v>0.3408199236607562</c:v>
                </c:pt>
                <c:pt idx="21">
                  <c:v>0.33986002575734442</c:v>
                </c:pt>
                <c:pt idx="22">
                  <c:v>0.33420103626726499</c:v>
                </c:pt>
                <c:pt idx="23">
                  <c:v>0.33513467604434038</c:v>
                </c:pt>
                <c:pt idx="24">
                  <c:v>0.33745674774374357</c:v>
                </c:pt>
                <c:pt idx="25">
                  <c:v>0.34160793809490236</c:v>
                </c:pt>
                <c:pt idx="26">
                  <c:v>0.34102232373099839</c:v>
                </c:pt>
                <c:pt idx="27">
                  <c:v>0.33716454037023091</c:v>
                </c:pt>
                <c:pt idx="28">
                  <c:v>0.33448951446041797</c:v>
                </c:pt>
                <c:pt idx="29">
                  <c:v>0.33364194166373135</c:v>
                </c:pt>
                <c:pt idx="30">
                  <c:v>0.33365665618475937</c:v>
                </c:pt>
                <c:pt idx="31">
                  <c:v>0.3332795001845732</c:v>
                </c:pt>
                <c:pt idx="32">
                  <c:v>0.335751046271482</c:v>
                </c:pt>
                <c:pt idx="33">
                  <c:v>0.34340046428371712</c:v>
                </c:pt>
                <c:pt idx="34">
                  <c:v>0.34114122127359675</c:v>
                </c:pt>
                <c:pt idx="35">
                  <c:v>0.34459407565681893</c:v>
                </c:pt>
                <c:pt idx="36">
                  <c:v>0.34551128187134217</c:v>
                </c:pt>
                <c:pt idx="37">
                  <c:v>0.3489297291998269</c:v>
                </c:pt>
                <c:pt idx="38">
                  <c:v>0.35062849414026087</c:v>
                </c:pt>
                <c:pt idx="39">
                  <c:v>0.3470624863963292</c:v>
                </c:pt>
                <c:pt idx="40">
                  <c:v>0.34722783300791071</c:v>
                </c:pt>
                <c:pt idx="41">
                  <c:v>0.35113807191269314</c:v>
                </c:pt>
                <c:pt idx="42">
                  <c:v>0.35722847010107373</c:v>
                </c:pt>
                <c:pt idx="43">
                  <c:v>0.35724817740789916</c:v>
                </c:pt>
                <c:pt idx="44">
                  <c:v>0.3561743633534864</c:v>
                </c:pt>
                <c:pt idx="45">
                  <c:v>0.3569756218190282</c:v>
                </c:pt>
                <c:pt idx="46">
                  <c:v>0.36107842797228612</c:v>
                </c:pt>
                <c:pt idx="47">
                  <c:v>0.36346415751212835</c:v>
                </c:pt>
                <c:pt idx="48">
                  <c:v>0.36215410504196799</c:v>
                </c:pt>
                <c:pt idx="49">
                  <c:v>0.36234111842796102</c:v>
                </c:pt>
                <c:pt idx="50">
                  <c:v>0.35853224222794111</c:v>
                </c:pt>
                <c:pt idx="51">
                  <c:v>0.36134029252105576</c:v>
                </c:pt>
                <c:pt idx="52">
                  <c:v>0.35769130182009734</c:v>
                </c:pt>
                <c:pt idx="53">
                  <c:v>0.35233726819808775</c:v>
                </c:pt>
                <c:pt idx="54">
                  <c:v>0.35136742301814677</c:v>
                </c:pt>
                <c:pt idx="55">
                  <c:v>0.35462157715881776</c:v>
                </c:pt>
                <c:pt idx="56">
                  <c:v>0.35931269820916417</c:v>
                </c:pt>
                <c:pt idx="57">
                  <c:v>0.35880500272035271</c:v>
                </c:pt>
                <c:pt idx="58">
                  <c:v>0.36350996655624546</c:v>
                </c:pt>
                <c:pt idx="59">
                  <c:v>0.36311355947229851</c:v>
                </c:pt>
                <c:pt idx="60">
                  <c:v>0.36140814862559539</c:v>
                </c:pt>
                <c:pt idx="61">
                  <c:v>0.35808503836191119</c:v>
                </c:pt>
                <c:pt idx="62">
                  <c:v>0.35993748637298378</c:v>
                </c:pt>
                <c:pt idx="63">
                  <c:v>0.36504226379009364</c:v>
                </c:pt>
                <c:pt idx="64">
                  <c:v>0.36071064302859962</c:v>
                </c:pt>
                <c:pt idx="65">
                  <c:v>0.35796766852915013</c:v>
                </c:pt>
                <c:pt idx="66">
                  <c:v>0.35526175004301142</c:v>
                </c:pt>
                <c:pt idx="67">
                  <c:v>0.36218472501884308</c:v>
                </c:pt>
                <c:pt idx="68">
                  <c:v>0.36072265046030866</c:v>
                </c:pt>
                <c:pt idx="69">
                  <c:v>0.3646001621696302</c:v>
                </c:pt>
                <c:pt idx="70">
                  <c:v>0.35797497212791063</c:v>
                </c:pt>
                <c:pt idx="71">
                  <c:v>0.35773236927671015</c:v>
                </c:pt>
                <c:pt idx="72">
                  <c:v>0.35625778779722511</c:v>
                </c:pt>
                <c:pt idx="73">
                  <c:v>0.35274282595334838</c:v>
                </c:pt>
                <c:pt idx="74">
                  <c:v>0.35390646885461641</c:v>
                </c:pt>
                <c:pt idx="75">
                  <c:v>0.36392490463940419</c:v>
                </c:pt>
                <c:pt idx="76">
                  <c:v>0.35980792679490692</c:v>
                </c:pt>
                <c:pt idx="77">
                  <c:v>0.3537087223584503</c:v>
                </c:pt>
                <c:pt idx="78">
                  <c:v>0.35127522733996436</c:v>
                </c:pt>
                <c:pt idx="79">
                  <c:v>0.3498611076766841</c:v>
                </c:pt>
                <c:pt idx="80">
                  <c:v>0.35142563348412958</c:v>
                </c:pt>
                <c:pt idx="81">
                  <c:v>0.35101850302238397</c:v>
                </c:pt>
                <c:pt idx="82">
                  <c:v>0.35392606472054533</c:v>
                </c:pt>
                <c:pt idx="83">
                  <c:v>0.35125856556891821</c:v>
                </c:pt>
                <c:pt idx="84">
                  <c:v>0.34927577073522242</c:v>
                </c:pt>
                <c:pt idx="85">
                  <c:v>0.34712153985061189</c:v>
                </c:pt>
                <c:pt idx="86">
                  <c:v>0.34932933715422732</c:v>
                </c:pt>
                <c:pt idx="87">
                  <c:v>0.34917212653103019</c:v>
                </c:pt>
                <c:pt idx="88">
                  <c:v>0.34953512143425192</c:v>
                </c:pt>
                <c:pt idx="89">
                  <c:v>0.35209453029275728</c:v>
                </c:pt>
                <c:pt idx="90">
                  <c:v>0.34970730545792916</c:v>
                </c:pt>
                <c:pt idx="91">
                  <c:v>0.3502329724301757</c:v>
                </c:pt>
                <c:pt idx="92">
                  <c:v>0.3542314070937691</c:v>
                </c:pt>
                <c:pt idx="93">
                  <c:v>0.3502068397855968</c:v>
                </c:pt>
                <c:pt idx="94">
                  <c:v>0.35118069546385799</c:v>
                </c:pt>
                <c:pt idx="95">
                  <c:v>0.34731598887624671</c:v>
                </c:pt>
                <c:pt idx="96">
                  <c:v>0.35635706570732395</c:v>
                </c:pt>
                <c:pt idx="97">
                  <c:v>0.35920634713933564</c:v>
                </c:pt>
                <c:pt idx="98">
                  <c:v>0.35886526294228099</c:v>
                </c:pt>
                <c:pt idx="99">
                  <c:v>0.35867754973016308</c:v>
                </c:pt>
                <c:pt idx="100">
                  <c:v>0.36542404067662687</c:v>
                </c:pt>
                <c:pt idx="101">
                  <c:v>0.36008206886321159</c:v>
                </c:pt>
                <c:pt idx="102">
                  <c:v>0.36370676022493692</c:v>
                </c:pt>
                <c:pt idx="103">
                  <c:v>0.36686404339146123</c:v>
                </c:pt>
                <c:pt idx="104">
                  <c:v>0.36466817209307018</c:v>
                </c:pt>
                <c:pt idx="105">
                  <c:v>0.35947378261012036</c:v>
                </c:pt>
                <c:pt idx="106">
                  <c:v>0.36217908100941065</c:v>
                </c:pt>
                <c:pt idx="107">
                  <c:v>0.35700706492802248</c:v>
                </c:pt>
                <c:pt idx="108">
                  <c:v>0.35835679606925264</c:v>
                </c:pt>
                <c:pt idx="109">
                  <c:v>0.3543862626988134</c:v>
                </c:pt>
                <c:pt idx="110">
                  <c:v>0.35781803662531297</c:v>
                </c:pt>
                <c:pt idx="111">
                  <c:v>0.35867565743696667</c:v>
                </c:pt>
                <c:pt idx="112">
                  <c:v>0.3588841411457187</c:v>
                </c:pt>
                <c:pt idx="113">
                  <c:v>0.36174832854115391</c:v>
                </c:pt>
                <c:pt idx="114">
                  <c:v>0.36173694472935664</c:v>
                </c:pt>
                <c:pt idx="115">
                  <c:v>0.36001062650646365</c:v>
                </c:pt>
                <c:pt idx="116">
                  <c:v>0.36209161073939838</c:v>
                </c:pt>
                <c:pt idx="117">
                  <c:v>0.36469963348153994</c:v>
                </c:pt>
                <c:pt idx="118">
                  <c:v>0.36363175619261778</c:v>
                </c:pt>
                <c:pt idx="119">
                  <c:v>0.36117864761315416</c:v>
                </c:pt>
                <c:pt idx="120">
                  <c:v>0.35828295442839958</c:v>
                </c:pt>
                <c:pt idx="121">
                  <c:v>0.36028781765786538</c:v>
                </c:pt>
                <c:pt idx="122">
                  <c:v>0.35860744438820741</c:v>
                </c:pt>
                <c:pt idx="123">
                  <c:v>0.35789876464682951</c:v>
                </c:pt>
                <c:pt idx="124">
                  <c:v>0.35023223935975101</c:v>
                </c:pt>
                <c:pt idx="125">
                  <c:v>0.3462690240501628</c:v>
                </c:pt>
                <c:pt idx="126">
                  <c:v>0.34204106479952412</c:v>
                </c:pt>
                <c:pt idx="127">
                  <c:v>0.35082531855719007</c:v>
                </c:pt>
                <c:pt idx="128">
                  <c:v>0.34922659261485395</c:v>
                </c:pt>
                <c:pt idx="129">
                  <c:v>0.34888460203357574</c:v>
                </c:pt>
                <c:pt idx="130">
                  <c:v>0.35080403385517728</c:v>
                </c:pt>
                <c:pt idx="131">
                  <c:v>0.35129686333509774</c:v>
                </c:pt>
                <c:pt idx="132">
                  <c:v>0.34861912305186327</c:v>
                </c:pt>
                <c:pt idx="133">
                  <c:v>0.35341161344210137</c:v>
                </c:pt>
                <c:pt idx="134">
                  <c:v>0.34788261252478042</c:v>
                </c:pt>
                <c:pt idx="135">
                  <c:v>0.34938752458996791</c:v>
                </c:pt>
                <c:pt idx="136">
                  <c:v>0.34685109383047136</c:v>
                </c:pt>
                <c:pt idx="137">
                  <c:v>0.34696737110278097</c:v>
                </c:pt>
                <c:pt idx="138">
                  <c:v>0.3436417809733191</c:v>
                </c:pt>
                <c:pt idx="139">
                  <c:v>0.33717253499202493</c:v>
                </c:pt>
                <c:pt idx="140">
                  <c:v>0.33931721138515614</c:v>
                </c:pt>
                <c:pt idx="141">
                  <c:v>0.34862216852457711</c:v>
                </c:pt>
                <c:pt idx="142">
                  <c:v>0.35029908577455726</c:v>
                </c:pt>
                <c:pt idx="143">
                  <c:v>0.35363006709033884</c:v>
                </c:pt>
                <c:pt idx="144">
                  <c:v>0.35699416124059336</c:v>
                </c:pt>
                <c:pt idx="145">
                  <c:v>0.35939068047255529</c:v>
                </c:pt>
                <c:pt idx="146">
                  <c:v>0.35798681393967269</c:v>
                </c:pt>
                <c:pt idx="147">
                  <c:v>0.35961269569447929</c:v>
                </c:pt>
                <c:pt idx="148">
                  <c:v>0.35798712830697033</c:v>
                </c:pt>
                <c:pt idx="149">
                  <c:v>0.35931009546520631</c:v>
                </c:pt>
                <c:pt idx="150">
                  <c:v>0.36855313868212936</c:v>
                </c:pt>
                <c:pt idx="151">
                  <c:v>0.36721771536076753</c:v>
                </c:pt>
                <c:pt idx="152">
                  <c:v>0.37275093189544967</c:v>
                </c:pt>
                <c:pt idx="153">
                  <c:v>0.36597883119589059</c:v>
                </c:pt>
                <c:pt idx="154">
                  <c:v>0.36671551308384925</c:v>
                </c:pt>
                <c:pt idx="155">
                  <c:v>0.36425435203143819</c:v>
                </c:pt>
                <c:pt idx="156">
                  <c:v>0.3679417309735814</c:v>
                </c:pt>
                <c:pt idx="157">
                  <c:v>0.36490454015396695</c:v>
                </c:pt>
                <c:pt idx="158">
                  <c:v>0.36092385693575479</c:v>
                </c:pt>
                <c:pt idx="159">
                  <c:v>0.36381911673461892</c:v>
                </c:pt>
                <c:pt idx="160">
                  <c:v>0.36262836566082784</c:v>
                </c:pt>
                <c:pt idx="161">
                  <c:v>0.36268785757730981</c:v>
                </c:pt>
                <c:pt idx="162">
                  <c:v>0.36794271974824266</c:v>
                </c:pt>
                <c:pt idx="163">
                  <c:v>0.3734213535614187</c:v>
                </c:pt>
                <c:pt idx="164">
                  <c:v>0.3746844147886178</c:v>
                </c:pt>
                <c:pt idx="165">
                  <c:v>0.37636508541193986</c:v>
                </c:pt>
                <c:pt idx="166">
                  <c:v>0.3746004228736019</c:v>
                </c:pt>
                <c:pt idx="167">
                  <c:v>0.37512369167609372</c:v>
                </c:pt>
                <c:pt idx="168">
                  <c:v>0.38025933021170344</c:v>
                </c:pt>
                <c:pt idx="169">
                  <c:v>0.38091425975345072</c:v>
                </c:pt>
                <c:pt idx="170">
                  <c:v>0.38227255866639381</c:v>
                </c:pt>
                <c:pt idx="171">
                  <c:v>0.38288843541750706</c:v>
                </c:pt>
                <c:pt idx="172">
                  <c:v>0.38144817335616987</c:v>
                </c:pt>
                <c:pt idx="173">
                  <c:v>0.38162010162318372</c:v>
                </c:pt>
                <c:pt idx="174">
                  <c:v>0.38175962127750895</c:v>
                </c:pt>
                <c:pt idx="175">
                  <c:v>0.37909416117650163</c:v>
                </c:pt>
                <c:pt idx="176">
                  <c:v>0.37620332206190626</c:v>
                </c:pt>
                <c:pt idx="177">
                  <c:v>0.38208252936912696</c:v>
                </c:pt>
                <c:pt idx="178">
                  <c:v>0.38166523000491259</c:v>
                </c:pt>
                <c:pt idx="179">
                  <c:v>0.38035704765735079</c:v>
                </c:pt>
                <c:pt idx="180">
                  <c:v>0.37925166481780159</c:v>
                </c:pt>
                <c:pt idx="181">
                  <c:v>0.38200058786717372</c:v>
                </c:pt>
                <c:pt idx="182">
                  <c:v>0.38146801205617153</c:v>
                </c:pt>
                <c:pt idx="183">
                  <c:v>0.3780373247058838</c:v>
                </c:pt>
                <c:pt idx="184">
                  <c:v>0.37836509246462602</c:v>
                </c:pt>
                <c:pt idx="185">
                  <c:v>0.38108995818276209</c:v>
                </c:pt>
                <c:pt idx="186">
                  <c:v>0.38510593777308044</c:v>
                </c:pt>
                <c:pt idx="187">
                  <c:v>0.39148812263250021</c:v>
                </c:pt>
                <c:pt idx="188">
                  <c:v>0.38570875736255084</c:v>
                </c:pt>
                <c:pt idx="189">
                  <c:v>0.38607017579840364</c:v>
                </c:pt>
                <c:pt idx="190">
                  <c:v>0.38681654436035429</c:v>
                </c:pt>
                <c:pt idx="191">
                  <c:v>0.38224337223813354</c:v>
                </c:pt>
                <c:pt idx="192">
                  <c:v>0.38376533941898794</c:v>
                </c:pt>
                <c:pt idx="193">
                  <c:v>0.37660348088251105</c:v>
                </c:pt>
                <c:pt idx="194">
                  <c:v>0.37817318896097174</c:v>
                </c:pt>
                <c:pt idx="195">
                  <c:v>0.37578182951731476</c:v>
                </c:pt>
                <c:pt idx="196">
                  <c:v>0.37735354258194836</c:v>
                </c:pt>
                <c:pt idx="197">
                  <c:v>0.37313580820625603</c:v>
                </c:pt>
                <c:pt idx="198">
                  <c:v>0.37482572768647515</c:v>
                </c:pt>
                <c:pt idx="199">
                  <c:v>0.3812122381014128</c:v>
                </c:pt>
                <c:pt idx="200">
                  <c:v>0.38110153456180823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86-4A4E-87AE-800338211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729752"/>
        <c:axId val="595730080"/>
      </c:lineChart>
      <c:catAx>
        <c:axId val="595729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95730080"/>
        <c:crosses val="autoZero"/>
        <c:auto val="1"/>
        <c:lblAlgn val="ctr"/>
        <c:lblOffset val="100"/>
        <c:noMultiLvlLbl val="0"/>
      </c:catAx>
      <c:valAx>
        <c:axId val="595730080"/>
        <c:scaling>
          <c:orientation val="minMax"/>
          <c:min val="0.33000000000000007"/>
        </c:scaling>
        <c:delete val="0"/>
        <c:axPos val="l"/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9572975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/>
              <a:t>Evolución temporal de 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'Ejercicio 1.e (2)'!$K$1</c:f>
              <c:strCache>
                <c:ptCount val="1"/>
                <c:pt idx="0">
                  <c:v>I_EEN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'Ejercicio 1.e (2)'!$A$2:$A$202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'Ejercicio 1.e (2)'!$K$2:$K$202</c:f>
              <c:numCache>
                <c:formatCode>0.0000000</c:formatCode>
                <c:ptCount val="201"/>
                <c:pt idx="0">
                  <c:v>4.2563733648606582E-4</c:v>
                </c:pt>
                <c:pt idx="1">
                  <c:v>4.2563733648606582E-4</c:v>
                </c:pt>
                <c:pt idx="2">
                  <c:v>4.2563733648606582E-4</c:v>
                </c:pt>
                <c:pt idx="3">
                  <c:v>4.2563733648606582E-4</c:v>
                </c:pt>
                <c:pt idx="4">
                  <c:v>4.2563733648606582E-4</c:v>
                </c:pt>
                <c:pt idx="5">
                  <c:v>4.2563733648606582E-4</c:v>
                </c:pt>
                <c:pt idx="6">
                  <c:v>4.2563733648606582E-4</c:v>
                </c:pt>
                <c:pt idx="7">
                  <c:v>4.2563733648606582E-4</c:v>
                </c:pt>
                <c:pt idx="8">
                  <c:v>4.2563733648606582E-4</c:v>
                </c:pt>
                <c:pt idx="9">
                  <c:v>4.2563733648606582E-4</c:v>
                </c:pt>
                <c:pt idx="10">
                  <c:v>4.2563733648606582E-4</c:v>
                </c:pt>
                <c:pt idx="11">
                  <c:v>4.2563733648606582E-4</c:v>
                </c:pt>
                <c:pt idx="12">
                  <c:v>4.2563733648606582E-4</c:v>
                </c:pt>
                <c:pt idx="13">
                  <c:v>4.2563733648606582E-4</c:v>
                </c:pt>
                <c:pt idx="14">
                  <c:v>4.2563733648606582E-4</c:v>
                </c:pt>
                <c:pt idx="15">
                  <c:v>4.2563733648606582E-4</c:v>
                </c:pt>
                <c:pt idx="16">
                  <c:v>4.2563733648606582E-4</c:v>
                </c:pt>
                <c:pt idx="17">
                  <c:v>4.2563733648606582E-4</c:v>
                </c:pt>
                <c:pt idx="18">
                  <c:v>4.2563733648606582E-4</c:v>
                </c:pt>
                <c:pt idx="19">
                  <c:v>4.2563733648606582E-4</c:v>
                </c:pt>
                <c:pt idx="20">
                  <c:v>4.2563733648606582E-4</c:v>
                </c:pt>
                <c:pt idx="21">
                  <c:v>4.2563733648606582E-4</c:v>
                </c:pt>
                <c:pt idx="22">
                  <c:v>4.2563733648606582E-4</c:v>
                </c:pt>
                <c:pt idx="23">
                  <c:v>4.2563733648606582E-4</c:v>
                </c:pt>
                <c:pt idx="24">
                  <c:v>4.2563733648606582E-4</c:v>
                </c:pt>
                <c:pt idx="25">
                  <c:v>4.2563733648606582E-4</c:v>
                </c:pt>
                <c:pt idx="26">
                  <c:v>4.2563733648606582E-4</c:v>
                </c:pt>
                <c:pt idx="27">
                  <c:v>4.2563733648606582E-4</c:v>
                </c:pt>
                <c:pt idx="28">
                  <c:v>4.2563733648606582E-4</c:v>
                </c:pt>
                <c:pt idx="29">
                  <c:v>4.2563733648606582E-4</c:v>
                </c:pt>
                <c:pt idx="30">
                  <c:v>4.2563733648606582E-4</c:v>
                </c:pt>
                <c:pt idx="31">
                  <c:v>4.2563733648606582E-4</c:v>
                </c:pt>
                <c:pt idx="32">
                  <c:v>4.2563733648606582E-4</c:v>
                </c:pt>
                <c:pt idx="33">
                  <c:v>4.2563733648606582E-4</c:v>
                </c:pt>
                <c:pt idx="34">
                  <c:v>4.2563733648606582E-4</c:v>
                </c:pt>
                <c:pt idx="35">
                  <c:v>4.2563733648606582E-4</c:v>
                </c:pt>
                <c:pt idx="36">
                  <c:v>4.2563733648606582E-4</c:v>
                </c:pt>
                <c:pt idx="37">
                  <c:v>4.2563733648606582E-4</c:v>
                </c:pt>
                <c:pt idx="38">
                  <c:v>4.2563733648606582E-4</c:v>
                </c:pt>
                <c:pt idx="39">
                  <c:v>4.2563733648606582E-4</c:v>
                </c:pt>
                <c:pt idx="40">
                  <c:v>4.2563733648606582E-4</c:v>
                </c:pt>
                <c:pt idx="41">
                  <c:v>4.2563733648606582E-4</c:v>
                </c:pt>
                <c:pt idx="42">
                  <c:v>4.2563733648606582E-4</c:v>
                </c:pt>
                <c:pt idx="43">
                  <c:v>4.2563733648606582E-4</c:v>
                </c:pt>
                <c:pt idx="44">
                  <c:v>4.2563733648606582E-4</c:v>
                </c:pt>
                <c:pt idx="45">
                  <c:v>4.2563733648606582E-4</c:v>
                </c:pt>
                <c:pt idx="46">
                  <c:v>4.2563733648606582E-4</c:v>
                </c:pt>
                <c:pt idx="47">
                  <c:v>4.2563733648606582E-4</c:v>
                </c:pt>
                <c:pt idx="48">
                  <c:v>4.2563733648606582E-4</c:v>
                </c:pt>
                <c:pt idx="49">
                  <c:v>4.2563733648606582E-4</c:v>
                </c:pt>
                <c:pt idx="50">
                  <c:v>4.2563733648606582E-4</c:v>
                </c:pt>
                <c:pt idx="51">
                  <c:v>4.2563733648606582E-4</c:v>
                </c:pt>
                <c:pt idx="52">
                  <c:v>4.2563733648606582E-4</c:v>
                </c:pt>
                <c:pt idx="53">
                  <c:v>4.2563733648606582E-4</c:v>
                </c:pt>
                <c:pt idx="54">
                  <c:v>4.2563733648606582E-4</c:v>
                </c:pt>
                <c:pt idx="55">
                  <c:v>4.2563733648606582E-4</c:v>
                </c:pt>
                <c:pt idx="56">
                  <c:v>4.2563733648606582E-4</c:v>
                </c:pt>
                <c:pt idx="57">
                  <c:v>4.2563733648606582E-4</c:v>
                </c:pt>
                <c:pt idx="58">
                  <c:v>4.2563733648606582E-4</c:v>
                </c:pt>
                <c:pt idx="59">
                  <c:v>4.2563733648606582E-4</c:v>
                </c:pt>
                <c:pt idx="60">
                  <c:v>4.2563733648606582E-4</c:v>
                </c:pt>
                <c:pt idx="61">
                  <c:v>4.2563733648606582E-4</c:v>
                </c:pt>
                <c:pt idx="62">
                  <c:v>4.2563733648606582E-4</c:v>
                </c:pt>
                <c:pt idx="63">
                  <c:v>4.2563733648606582E-4</c:v>
                </c:pt>
                <c:pt idx="64">
                  <c:v>4.2563733648606582E-4</c:v>
                </c:pt>
                <c:pt idx="65">
                  <c:v>4.2563733648606582E-4</c:v>
                </c:pt>
                <c:pt idx="66">
                  <c:v>4.2563733648606582E-4</c:v>
                </c:pt>
                <c:pt idx="67">
                  <c:v>4.2563733648606582E-4</c:v>
                </c:pt>
                <c:pt idx="68">
                  <c:v>4.2563733648606582E-4</c:v>
                </c:pt>
                <c:pt idx="69">
                  <c:v>4.2563733648606582E-4</c:v>
                </c:pt>
                <c:pt idx="70">
                  <c:v>4.2563733648606582E-4</c:v>
                </c:pt>
                <c:pt idx="71">
                  <c:v>4.2563733648606582E-4</c:v>
                </c:pt>
                <c:pt idx="72">
                  <c:v>4.2563733648606582E-4</c:v>
                </c:pt>
                <c:pt idx="73">
                  <c:v>4.2563733648606582E-4</c:v>
                </c:pt>
                <c:pt idx="74">
                  <c:v>4.2563733648606582E-4</c:v>
                </c:pt>
                <c:pt idx="75">
                  <c:v>4.2563733648606582E-4</c:v>
                </c:pt>
                <c:pt idx="76">
                  <c:v>4.2563733648606582E-4</c:v>
                </c:pt>
                <c:pt idx="77">
                  <c:v>4.2563733648606582E-4</c:v>
                </c:pt>
                <c:pt idx="78">
                  <c:v>4.2563733648606582E-4</c:v>
                </c:pt>
                <c:pt idx="79">
                  <c:v>4.2563733648606582E-4</c:v>
                </c:pt>
                <c:pt idx="80">
                  <c:v>4.2563733648606582E-4</c:v>
                </c:pt>
                <c:pt idx="81">
                  <c:v>4.2563733648606582E-4</c:v>
                </c:pt>
                <c:pt idx="82">
                  <c:v>4.2563733648606582E-4</c:v>
                </c:pt>
                <c:pt idx="83">
                  <c:v>4.2563733648606582E-4</c:v>
                </c:pt>
                <c:pt idx="84">
                  <c:v>4.2563733648606582E-4</c:v>
                </c:pt>
                <c:pt idx="85">
                  <c:v>4.2563733648606582E-4</c:v>
                </c:pt>
                <c:pt idx="86">
                  <c:v>4.2563733648606582E-4</c:v>
                </c:pt>
                <c:pt idx="87">
                  <c:v>4.2563733648606582E-4</c:v>
                </c:pt>
                <c:pt idx="88">
                  <c:v>4.2563733648606582E-4</c:v>
                </c:pt>
                <c:pt idx="89">
                  <c:v>4.2563733648606582E-4</c:v>
                </c:pt>
                <c:pt idx="90">
                  <c:v>4.2563733648606582E-4</c:v>
                </c:pt>
                <c:pt idx="91">
                  <c:v>4.2563733648606582E-4</c:v>
                </c:pt>
                <c:pt idx="92">
                  <c:v>4.2563733648606582E-4</c:v>
                </c:pt>
                <c:pt idx="93">
                  <c:v>4.2563733648606582E-4</c:v>
                </c:pt>
                <c:pt idx="94">
                  <c:v>4.2563733648606582E-4</c:v>
                </c:pt>
                <c:pt idx="95">
                  <c:v>4.2563733648606582E-4</c:v>
                </c:pt>
                <c:pt idx="96">
                  <c:v>4.2563733648606582E-4</c:v>
                </c:pt>
                <c:pt idx="97">
                  <c:v>4.2563733648606582E-4</c:v>
                </c:pt>
                <c:pt idx="98">
                  <c:v>4.2563733648606582E-4</c:v>
                </c:pt>
                <c:pt idx="99">
                  <c:v>4.2563733648606582E-4</c:v>
                </c:pt>
                <c:pt idx="100">
                  <c:v>4.2563733648606582E-4</c:v>
                </c:pt>
                <c:pt idx="101">
                  <c:v>4.2563733648606582E-4</c:v>
                </c:pt>
                <c:pt idx="102">
                  <c:v>4.2563733648606582E-4</c:v>
                </c:pt>
                <c:pt idx="103">
                  <c:v>4.2563733648606582E-4</c:v>
                </c:pt>
                <c:pt idx="104">
                  <c:v>4.2563733648606582E-4</c:v>
                </c:pt>
                <c:pt idx="105">
                  <c:v>4.2563733648606582E-4</c:v>
                </c:pt>
                <c:pt idx="106">
                  <c:v>4.2563733648606582E-4</c:v>
                </c:pt>
                <c:pt idx="107">
                  <c:v>4.2563733648606582E-4</c:v>
                </c:pt>
                <c:pt idx="108">
                  <c:v>4.2563733648606582E-4</c:v>
                </c:pt>
                <c:pt idx="109">
                  <c:v>4.2563733648606582E-4</c:v>
                </c:pt>
                <c:pt idx="110">
                  <c:v>4.2563733648606582E-4</c:v>
                </c:pt>
                <c:pt idx="111">
                  <c:v>4.2563733648606582E-4</c:v>
                </c:pt>
                <c:pt idx="112">
                  <c:v>4.2563733648606582E-4</c:v>
                </c:pt>
                <c:pt idx="113">
                  <c:v>4.2563733648606582E-4</c:v>
                </c:pt>
                <c:pt idx="114">
                  <c:v>4.2563733648606582E-4</c:v>
                </c:pt>
                <c:pt idx="115">
                  <c:v>4.2563733648606582E-4</c:v>
                </c:pt>
                <c:pt idx="116">
                  <c:v>4.2563733648606582E-4</c:v>
                </c:pt>
                <c:pt idx="117">
                  <c:v>4.2563733648606582E-4</c:v>
                </c:pt>
                <c:pt idx="118">
                  <c:v>4.2563733648606582E-4</c:v>
                </c:pt>
                <c:pt idx="119">
                  <c:v>4.2563733648606582E-4</c:v>
                </c:pt>
                <c:pt idx="120">
                  <c:v>4.2563733648606582E-4</c:v>
                </c:pt>
                <c:pt idx="121">
                  <c:v>4.2563733648606582E-4</c:v>
                </c:pt>
                <c:pt idx="122">
                  <c:v>4.2563733648606582E-4</c:v>
                </c:pt>
                <c:pt idx="123">
                  <c:v>4.2563733648606582E-4</c:v>
                </c:pt>
                <c:pt idx="124">
                  <c:v>4.2563733648606582E-4</c:v>
                </c:pt>
                <c:pt idx="125">
                  <c:v>4.2563733648606582E-4</c:v>
                </c:pt>
                <c:pt idx="126">
                  <c:v>4.2563733648606582E-4</c:v>
                </c:pt>
                <c:pt idx="127">
                  <c:v>4.2563733648606582E-4</c:v>
                </c:pt>
                <c:pt idx="128">
                  <c:v>4.2563733648606582E-4</c:v>
                </c:pt>
                <c:pt idx="129">
                  <c:v>4.2563733648606582E-4</c:v>
                </c:pt>
                <c:pt idx="130">
                  <c:v>4.2563733648606582E-4</c:v>
                </c:pt>
                <c:pt idx="131">
                  <c:v>4.2563733648606582E-4</c:v>
                </c:pt>
                <c:pt idx="132">
                  <c:v>4.2563733648606582E-4</c:v>
                </c:pt>
                <c:pt idx="133">
                  <c:v>4.2563733648606582E-4</c:v>
                </c:pt>
                <c:pt idx="134">
                  <c:v>4.2563733648606582E-4</c:v>
                </c:pt>
                <c:pt idx="135">
                  <c:v>4.2563733648606582E-4</c:v>
                </c:pt>
                <c:pt idx="136">
                  <c:v>4.2563733648606582E-4</c:v>
                </c:pt>
                <c:pt idx="137">
                  <c:v>4.2563733648606582E-4</c:v>
                </c:pt>
                <c:pt idx="138">
                  <c:v>4.2563733648606582E-4</c:v>
                </c:pt>
                <c:pt idx="139">
                  <c:v>4.2563733648606582E-4</c:v>
                </c:pt>
                <c:pt idx="140">
                  <c:v>4.2563733648606582E-4</c:v>
                </c:pt>
                <c:pt idx="141">
                  <c:v>4.2563733648606582E-4</c:v>
                </c:pt>
                <c:pt idx="142">
                  <c:v>4.2563733648606582E-4</c:v>
                </c:pt>
                <c:pt idx="143">
                  <c:v>4.2563733648606582E-4</c:v>
                </c:pt>
                <c:pt idx="144">
                  <c:v>4.2563733648606582E-4</c:v>
                </c:pt>
                <c:pt idx="145">
                  <c:v>4.2563733648606582E-4</c:v>
                </c:pt>
                <c:pt idx="146">
                  <c:v>4.2563733648606582E-4</c:v>
                </c:pt>
                <c:pt idx="147">
                  <c:v>4.2563733648606582E-4</c:v>
                </c:pt>
                <c:pt idx="148">
                  <c:v>4.2563733648606582E-4</c:v>
                </c:pt>
                <c:pt idx="149">
                  <c:v>4.2563733648606582E-4</c:v>
                </c:pt>
                <c:pt idx="150">
                  <c:v>4.2563733648606582E-4</c:v>
                </c:pt>
                <c:pt idx="151">
                  <c:v>4.2563733648606582E-4</c:v>
                </c:pt>
                <c:pt idx="152">
                  <c:v>4.2563733648606582E-4</c:v>
                </c:pt>
                <c:pt idx="153">
                  <c:v>4.2563733648606582E-4</c:v>
                </c:pt>
                <c:pt idx="154">
                  <c:v>4.2563733648606582E-4</c:v>
                </c:pt>
                <c:pt idx="155">
                  <c:v>4.2563733648606582E-4</c:v>
                </c:pt>
                <c:pt idx="156">
                  <c:v>4.2563733648606582E-4</c:v>
                </c:pt>
                <c:pt idx="157">
                  <c:v>4.2563733648606582E-4</c:v>
                </c:pt>
                <c:pt idx="158">
                  <c:v>4.2563733648606582E-4</c:v>
                </c:pt>
                <c:pt idx="159">
                  <c:v>4.2563733648606582E-4</c:v>
                </c:pt>
                <c:pt idx="160">
                  <c:v>4.2563733648606582E-4</c:v>
                </c:pt>
                <c:pt idx="161">
                  <c:v>4.2563733648606582E-4</c:v>
                </c:pt>
                <c:pt idx="162">
                  <c:v>4.2563733648606582E-4</c:v>
                </c:pt>
                <c:pt idx="163">
                  <c:v>4.2563733648606582E-4</c:v>
                </c:pt>
                <c:pt idx="164">
                  <c:v>4.2563733648606582E-4</c:v>
                </c:pt>
                <c:pt idx="165">
                  <c:v>4.2563733648606582E-4</c:v>
                </c:pt>
                <c:pt idx="166">
                  <c:v>4.2563733648606582E-4</c:v>
                </c:pt>
                <c:pt idx="167">
                  <c:v>4.2563733648606582E-4</c:v>
                </c:pt>
                <c:pt idx="168">
                  <c:v>4.2563733648606582E-4</c:v>
                </c:pt>
                <c:pt idx="169">
                  <c:v>4.2563733648606582E-4</c:v>
                </c:pt>
                <c:pt idx="170">
                  <c:v>4.2563733648606582E-4</c:v>
                </c:pt>
                <c:pt idx="171">
                  <c:v>4.2563733648606582E-4</c:v>
                </c:pt>
                <c:pt idx="172">
                  <c:v>4.2563733648606582E-4</c:v>
                </c:pt>
                <c:pt idx="173">
                  <c:v>4.2563733648606582E-4</c:v>
                </c:pt>
                <c:pt idx="174">
                  <c:v>4.2563733648606582E-4</c:v>
                </c:pt>
                <c:pt idx="175">
                  <c:v>4.2563733648606582E-4</c:v>
                </c:pt>
                <c:pt idx="176">
                  <c:v>4.2563733648606582E-4</c:v>
                </c:pt>
                <c:pt idx="177">
                  <c:v>4.2563733648606582E-4</c:v>
                </c:pt>
                <c:pt idx="178">
                  <c:v>4.2563733648606582E-4</c:v>
                </c:pt>
                <c:pt idx="179">
                  <c:v>4.2563733648606582E-4</c:v>
                </c:pt>
                <c:pt idx="180">
                  <c:v>4.2563733648606582E-4</c:v>
                </c:pt>
                <c:pt idx="181">
                  <c:v>4.2563733648606582E-4</c:v>
                </c:pt>
                <c:pt idx="182">
                  <c:v>4.2563733648606582E-4</c:v>
                </c:pt>
                <c:pt idx="183">
                  <c:v>4.2563733648606582E-4</c:v>
                </c:pt>
                <c:pt idx="184">
                  <c:v>4.2563733648606582E-4</c:v>
                </c:pt>
                <c:pt idx="185">
                  <c:v>4.2563733648606582E-4</c:v>
                </c:pt>
                <c:pt idx="186">
                  <c:v>4.2563733648606582E-4</c:v>
                </c:pt>
                <c:pt idx="187">
                  <c:v>4.2563733648606582E-4</c:v>
                </c:pt>
                <c:pt idx="188">
                  <c:v>4.2563733648606582E-4</c:v>
                </c:pt>
                <c:pt idx="189">
                  <c:v>4.2563733648606582E-4</c:v>
                </c:pt>
                <c:pt idx="190">
                  <c:v>4.2563733648606582E-4</c:v>
                </c:pt>
                <c:pt idx="191">
                  <c:v>4.2563733648606582E-4</c:v>
                </c:pt>
                <c:pt idx="192">
                  <c:v>4.2563733648606582E-4</c:v>
                </c:pt>
                <c:pt idx="193">
                  <c:v>4.2563733648606582E-4</c:v>
                </c:pt>
                <c:pt idx="194">
                  <c:v>4.2563733648606582E-4</c:v>
                </c:pt>
                <c:pt idx="195">
                  <c:v>4.2563733648606582E-4</c:v>
                </c:pt>
                <c:pt idx="196">
                  <c:v>4.2563733648606582E-4</c:v>
                </c:pt>
                <c:pt idx="197">
                  <c:v>4.2563733648606582E-4</c:v>
                </c:pt>
                <c:pt idx="198">
                  <c:v>4.2563733648606582E-4</c:v>
                </c:pt>
                <c:pt idx="199">
                  <c:v>4.2563733648606582E-4</c:v>
                </c:pt>
                <c:pt idx="200">
                  <c:v>4.2563733648606582E-4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04-4607-8557-7362F4091BAD}"/>
            </c:ext>
          </c:extLst>
        </c:ser>
        <c:ser>
          <c:idx val="1"/>
          <c:order val="1"/>
          <c:tx>
            <c:strRef>
              <c:f>'Ejercicio 1.e (2)'!$J$1</c:f>
              <c:strCache>
                <c:ptCount val="1"/>
                <c:pt idx="0">
                  <c:v>I_t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'Ejercicio 1.e (2)'!$A$2:$A$202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'Ejercicio 1.e (2)'!$J$2:$J$202</c:f>
              <c:numCache>
                <c:formatCode>0.0000000</c:formatCode>
                <c:ptCount val="201"/>
                <c:pt idx="0">
                  <c:v>4.2563733648606582E-4</c:v>
                </c:pt>
                <c:pt idx="1">
                  <c:v>4.2708937563376261E-4</c:v>
                </c:pt>
                <c:pt idx="2">
                  <c:v>4.216206268563265E-4</c:v>
                </c:pt>
                <c:pt idx="3">
                  <c:v>4.2397463655896703E-4</c:v>
                </c:pt>
                <c:pt idx="4">
                  <c:v>4.2050574117703283E-4</c:v>
                </c:pt>
                <c:pt idx="5">
                  <c:v>4.2063538347043096E-4</c:v>
                </c:pt>
                <c:pt idx="6">
                  <c:v>4.2356731590928741E-4</c:v>
                </c:pt>
                <c:pt idx="7">
                  <c:v>4.244106184970053E-4</c:v>
                </c:pt>
                <c:pt idx="8">
                  <c:v>4.1846998401217928E-4</c:v>
                </c:pt>
                <c:pt idx="9">
                  <c:v>4.2264469435052739E-4</c:v>
                </c:pt>
                <c:pt idx="10">
                  <c:v>4.2254749545096081E-4</c:v>
                </c:pt>
                <c:pt idx="11">
                  <c:v>4.2085781226647198E-4</c:v>
                </c:pt>
                <c:pt idx="12">
                  <c:v>4.1951014921621236E-4</c:v>
                </c:pt>
                <c:pt idx="13">
                  <c:v>4.2334797253579693E-4</c:v>
                </c:pt>
                <c:pt idx="14">
                  <c:v>4.2480673797428163E-4</c:v>
                </c:pt>
                <c:pt idx="15">
                  <c:v>4.184124260004264E-4</c:v>
                </c:pt>
                <c:pt idx="16">
                  <c:v>4.1644751526609641E-4</c:v>
                </c:pt>
                <c:pt idx="17">
                  <c:v>4.1814096742983205E-4</c:v>
                </c:pt>
                <c:pt idx="18">
                  <c:v>4.1522908022847196E-4</c:v>
                </c:pt>
                <c:pt idx="19">
                  <c:v>4.1449832835701016E-4</c:v>
                </c:pt>
                <c:pt idx="20">
                  <c:v>4.1363351634202654E-4</c:v>
                </c:pt>
                <c:pt idx="21">
                  <c:v>4.1246854352924942E-4</c:v>
                </c:pt>
                <c:pt idx="22">
                  <c:v>4.0560055383961479E-4</c:v>
                </c:pt>
                <c:pt idx="23">
                  <c:v>4.0673365867644612E-4</c:v>
                </c:pt>
                <c:pt idx="24">
                  <c:v>4.0955182338907743E-4</c:v>
                </c:pt>
                <c:pt idx="25">
                  <c:v>4.1458988408550563E-4</c:v>
                </c:pt>
                <c:pt idx="26">
                  <c:v>4.1387915765273079E-4</c:v>
                </c:pt>
                <c:pt idx="27">
                  <c:v>4.0919718812565479E-4</c:v>
                </c:pt>
                <c:pt idx="28">
                  <c:v>4.0595066321156762E-4</c:v>
                </c:pt>
                <c:pt idx="29">
                  <c:v>4.0492201291294746E-4</c:v>
                </c:pt>
                <c:pt idx="30">
                  <c:v>4.0493987107983136E-4</c:v>
                </c:pt>
                <c:pt idx="31">
                  <c:v>4.0448213855970506E-4</c:v>
                </c:pt>
                <c:pt idx="32">
                  <c:v>4.0748171172945631E-4</c:v>
                </c:pt>
                <c:pt idx="33">
                  <c:v>4.167653699040889E-4</c:v>
                </c:pt>
                <c:pt idx="34">
                  <c:v>4.1402345675385475E-4</c:v>
                </c:pt>
                <c:pt idx="35">
                  <c:v>4.1821398729740005E-4</c:v>
                </c:pt>
                <c:pt idx="36">
                  <c:v>4.1932714766563492E-4</c:v>
                </c:pt>
                <c:pt idx="37">
                  <c:v>4.2347592034806353E-4</c:v>
                </c:pt>
                <c:pt idx="38">
                  <c:v>4.2553761353842311E-4</c:v>
                </c:pt>
                <c:pt idx="39">
                  <c:v>4.2120975527655243E-4</c:v>
                </c:pt>
                <c:pt idx="40">
                  <c:v>4.2141042693808292E-4</c:v>
                </c:pt>
                <c:pt idx="41">
                  <c:v>4.261560587384482E-4</c:v>
                </c:pt>
                <c:pt idx="42">
                  <c:v>4.3354762432394638E-4</c:v>
                </c:pt>
                <c:pt idx="43">
                  <c:v>4.3357154194745935E-4</c:v>
                </c:pt>
                <c:pt idx="44">
                  <c:v>4.3226831566170281E-4</c:v>
                </c:pt>
                <c:pt idx="45">
                  <c:v>4.3324075692347235E-4</c:v>
                </c:pt>
                <c:pt idx="46">
                  <c:v>4.3822009650495465E-4</c:v>
                </c:pt>
                <c:pt idx="47">
                  <c:v>4.4111551907299748E-4</c:v>
                </c:pt>
                <c:pt idx="48">
                  <c:v>4.3952558382506768E-4</c:v>
                </c:pt>
                <c:pt idx="49">
                  <c:v>4.3975255120309078E-4</c:v>
                </c:pt>
                <c:pt idx="50">
                  <c:v>4.3512993748085464E-4</c:v>
                </c:pt>
                <c:pt idx="51">
                  <c:v>4.385379064291794E-4</c:v>
                </c:pt>
                <c:pt idx="52">
                  <c:v>4.3410933653066858E-4</c:v>
                </c:pt>
                <c:pt idx="53">
                  <c:v>4.2761145421822005E-4</c:v>
                </c:pt>
                <c:pt idx="54">
                  <c:v>4.2643440896870103E-4</c:v>
                </c:pt>
                <c:pt idx="55">
                  <c:v>4.3038378846936809E-4</c:v>
                </c:pt>
                <c:pt idx="56">
                  <c:v>4.3607713196524986E-4</c:v>
                </c:pt>
                <c:pt idx="57">
                  <c:v>4.3546097118447017E-4</c:v>
                </c:pt>
                <c:pt idx="58">
                  <c:v>4.4117111487207785E-4</c:v>
                </c:pt>
                <c:pt idx="59">
                  <c:v>4.4069001842010202E-4</c:v>
                </c:pt>
                <c:pt idx="60">
                  <c:v>4.386202594759864E-4</c:v>
                </c:pt>
                <c:pt idx="61">
                  <c:v>4.345871918994319E-4</c:v>
                </c:pt>
                <c:pt idx="62">
                  <c:v>4.3683540138328663E-4</c:v>
                </c:pt>
                <c:pt idx="63">
                  <c:v>4.4303077579245482E-4</c:v>
                </c:pt>
                <c:pt idx="64">
                  <c:v>4.3777373709650023E-4</c:v>
                </c:pt>
                <c:pt idx="65">
                  <c:v>4.3444474689176927E-4</c:v>
                </c:pt>
                <c:pt idx="66">
                  <c:v>4.3116072943664383E-4</c:v>
                </c:pt>
                <c:pt idx="67">
                  <c:v>4.3956274552784937E-4</c:v>
                </c:pt>
                <c:pt idx="68">
                  <c:v>4.3778830982495664E-4</c:v>
                </c:pt>
                <c:pt idx="69">
                  <c:v>4.4249422251267998E-4</c:v>
                </c:pt>
                <c:pt idx="70">
                  <c:v>4.3445361084903093E-4</c:v>
                </c:pt>
                <c:pt idx="71">
                  <c:v>4.3415917773802383E-4</c:v>
                </c:pt>
                <c:pt idx="72">
                  <c:v>4.3236956310534371E-4</c:v>
                </c:pt>
                <c:pt idx="73">
                  <c:v>4.2810365631305771E-4</c:v>
                </c:pt>
                <c:pt idx="74">
                  <c:v>4.2951590269774104E-4</c:v>
                </c:pt>
                <c:pt idx="75">
                  <c:v>4.416747013307498E-4</c:v>
                </c:pt>
                <c:pt idx="76">
                  <c:v>4.3667816238364101E-4</c:v>
                </c:pt>
                <c:pt idx="77">
                  <c:v>4.29275909161932E-4</c:v>
                </c:pt>
                <c:pt idx="78">
                  <c:v>4.2632251638287881E-4</c:v>
                </c:pt>
                <c:pt idx="79">
                  <c:v>4.2460628077502964E-4</c:v>
                </c:pt>
                <c:pt idx="80">
                  <c:v>4.2650505565940431E-4</c:v>
                </c:pt>
                <c:pt idx="81">
                  <c:v>4.2601094486126496E-4</c:v>
                </c:pt>
                <c:pt idx="82">
                  <c:v>4.2953968507185487E-4</c:v>
                </c:pt>
                <c:pt idx="83">
                  <c:v>4.2630229495077391E-4</c:v>
                </c:pt>
                <c:pt idx="84">
                  <c:v>4.2389589103389861E-4</c:v>
                </c:pt>
                <c:pt idx="85">
                  <c:v>4.2128142505361456E-4</c:v>
                </c:pt>
                <c:pt idx="86">
                  <c:v>4.2396090151219706E-4</c:v>
                </c:pt>
                <c:pt idx="87">
                  <c:v>4.2377010403128431E-4</c:v>
                </c:pt>
                <c:pt idx="88">
                  <c:v>4.2421065004344551E-4</c:v>
                </c:pt>
                <c:pt idx="89">
                  <c:v>4.2731685719979206E-4</c:v>
                </c:pt>
                <c:pt idx="90">
                  <c:v>4.244196198783265E-4</c:v>
                </c:pt>
                <c:pt idx="91">
                  <c:v>4.2505759161372199E-4</c:v>
                </c:pt>
                <c:pt idx="92">
                  <c:v>4.2991026152809067E-4</c:v>
                </c:pt>
                <c:pt idx="93">
                  <c:v>4.2502587592775973E-4</c:v>
                </c:pt>
                <c:pt idx="94">
                  <c:v>4.2620778848815862E-4</c:v>
                </c:pt>
                <c:pt idx="95">
                  <c:v>4.2151741663931376E-4</c:v>
                </c:pt>
                <c:pt idx="96">
                  <c:v>4.3249005098823555E-4</c:v>
                </c:pt>
                <c:pt idx="97">
                  <c:v>4.3594805979567885E-4</c:v>
                </c:pt>
                <c:pt idx="98">
                  <c:v>4.3553410554593599E-4</c:v>
                </c:pt>
                <c:pt idx="99">
                  <c:v>4.3530628882924231E-4</c:v>
                </c:pt>
                <c:pt idx="100">
                  <c:v>4.4349411641626194E-4</c:v>
                </c:pt>
                <c:pt idx="101">
                  <c:v>4.370108728263644E-4</c:v>
                </c:pt>
                <c:pt idx="102">
                  <c:v>4.4140995201604632E-4</c:v>
                </c:pt>
                <c:pt idx="103">
                  <c:v>4.4524176479339103E-4</c:v>
                </c:pt>
                <c:pt idx="104">
                  <c:v>4.4257676224062915E-4</c:v>
                </c:pt>
                <c:pt idx="105">
                  <c:v>4.3627263082716988E-4</c:v>
                </c:pt>
                <c:pt idx="106">
                  <c:v>4.3955589571859305E-4</c:v>
                </c:pt>
                <c:pt idx="107">
                  <c:v>4.3327891761430973E-4</c:v>
                </c:pt>
                <c:pt idx="108">
                  <c:v>4.3491700858054995E-4</c:v>
                </c:pt>
                <c:pt idx="109">
                  <c:v>4.3009820085907743E-4</c:v>
                </c:pt>
                <c:pt idx="110">
                  <c:v>4.342631472661479E-4</c:v>
                </c:pt>
                <c:pt idx="111">
                  <c:v>4.3530399226195132E-4</c:v>
                </c:pt>
                <c:pt idx="112">
                  <c:v>4.3555701693440851E-4</c:v>
                </c:pt>
                <c:pt idx="113">
                  <c:v>4.3903311625134749E-4</c:v>
                </c:pt>
                <c:pt idx="114">
                  <c:v>4.3901930037446892E-4</c:v>
                </c:pt>
                <c:pt idx="115">
                  <c:v>4.3692416735175484E-4</c:v>
                </c:pt>
                <c:pt idx="116">
                  <c:v>4.3944973808856977E-4</c:v>
                </c:pt>
                <c:pt idx="117">
                  <c:v>4.4261494511621335E-4</c:v>
                </c:pt>
                <c:pt idx="118">
                  <c:v>4.413189239408835E-4</c:v>
                </c:pt>
                <c:pt idx="119">
                  <c:v>4.3834172731225466E-4</c:v>
                </c:pt>
                <c:pt idx="120">
                  <c:v>4.3482739123297694E-4</c:v>
                </c:pt>
                <c:pt idx="121">
                  <c:v>4.3726057829106165E-4</c:v>
                </c:pt>
                <c:pt idx="122">
                  <c:v>4.3522120601249841E-4</c:v>
                </c:pt>
                <c:pt idx="123">
                  <c:v>4.3436112221740235E-4</c:v>
                </c:pt>
                <c:pt idx="124">
                  <c:v>4.2505670192835901E-4</c:v>
                </c:pt>
                <c:pt idx="125">
                  <c:v>4.2024677571595462E-4</c:v>
                </c:pt>
                <c:pt idx="126">
                  <c:v>4.1511554502671476E-4</c:v>
                </c:pt>
                <c:pt idx="127">
                  <c:v>4.2577648799975725E-4</c:v>
                </c:pt>
                <c:pt idx="128">
                  <c:v>4.238362063809692E-4</c:v>
                </c:pt>
                <c:pt idx="129">
                  <c:v>4.2342115210488538E-4</c:v>
                </c:pt>
                <c:pt idx="130">
                  <c:v>4.2575065598253459E-4</c:v>
                </c:pt>
                <c:pt idx="131">
                  <c:v>4.263487747443339E-4</c:v>
                </c:pt>
                <c:pt idx="132">
                  <c:v>4.2309895555152328E-4</c:v>
                </c:pt>
                <c:pt idx="133">
                  <c:v>4.289153251782084E-4</c:v>
                </c:pt>
                <c:pt idx="134">
                  <c:v>4.2220509513436223E-4</c:v>
                </c:pt>
                <c:pt idx="135">
                  <c:v>4.240315202524215E-4</c:v>
                </c:pt>
                <c:pt idx="136">
                  <c:v>4.2095320029172299E-4</c:v>
                </c:pt>
                <c:pt idx="137">
                  <c:v>4.2109431932167729E-4</c:v>
                </c:pt>
                <c:pt idx="138">
                  <c:v>4.1705824207482339E-4</c:v>
                </c:pt>
                <c:pt idx="139">
                  <c:v>4.0920689073778199E-4</c:v>
                </c:pt>
                <c:pt idx="140">
                  <c:v>4.1180976098192181E-4</c:v>
                </c:pt>
                <c:pt idx="141">
                  <c:v>4.2310265166639241E-4</c:v>
                </c:pt>
                <c:pt idx="142">
                  <c:v>4.2513782957287634E-4</c:v>
                </c:pt>
                <c:pt idx="143">
                  <c:v>4.291804497921325E-4</c:v>
                </c:pt>
                <c:pt idx="144">
                  <c:v>4.3326325715189378E-4</c:v>
                </c:pt>
                <c:pt idx="145">
                  <c:v>4.3617177454797302E-4</c:v>
                </c:pt>
                <c:pt idx="146">
                  <c:v>4.3446798257409448E-4</c:v>
                </c:pt>
                <c:pt idx="147">
                  <c:v>4.3644122163879887E-4</c:v>
                </c:pt>
                <c:pt idx="148">
                  <c:v>4.3446836410358179E-4</c:v>
                </c:pt>
                <c:pt idx="149">
                  <c:v>4.3607397316477873E-4</c:v>
                </c:pt>
                <c:pt idx="150">
                  <c:v>4.4729172248662516E-4</c:v>
                </c:pt>
                <c:pt idx="151">
                  <c:v>4.4567099609748993E-4</c:v>
                </c:pt>
                <c:pt idx="152">
                  <c:v>4.5238634239338474E-4</c:v>
                </c:pt>
                <c:pt idx="153">
                  <c:v>4.4416743372368759E-4</c:v>
                </c:pt>
                <c:pt idx="154">
                  <c:v>4.4506150211167631E-4</c:v>
                </c:pt>
                <c:pt idx="155">
                  <c:v>4.4207453266030663E-4</c:v>
                </c:pt>
                <c:pt idx="156">
                  <c:v>4.4654969215668166E-4</c:v>
                </c:pt>
                <c:pt idx="157">
                  <c:v>4.4286362854565486E-4</c:v>
                </c:pt>
                <c:pt idx="158">
                  <c:v>4.3803250253838621E-4</c:v>
                </c:pt>
                <c:pt idx="159">
                  <c:v>4.415463126421638E-4</c:v>
                </c:pt>
                <c:pt idx="160">
                  <c:v>4.4010116662942514E-4</c:v>
                </c:pt>
                <c:pt idx="161">
                  <c:v>4.4017336854281104E-4</c:v>
                </c:pt>
                <c:pt idx="162">
                  <c:v>4.4655089217555261E-4</c:v>
                </c:pt>
                <c:pt idx="163">
                  <c:v>4.531999945653237E-4</c:v>
                </c:pt>
                <c:pt idx="164">
                  <c:v>4.5473289924750909E-4</c:v>
                </c:pt>
                <c:pt idx="165">
                  <c:v>4.5677263240709223E-4</c:v>
                </c:pt>
                <c:pt idx="166">
                  <c:v>4.5463096309665508E-4</c:v>
                </c:pt>
                <c:pt idx="167">
                  <c:v>4.5526602431151007E-4</c:v>
                </c:pt>
                <c:pt idx="168">
                  <c:v>4.6149885308316462E-4</c:v>
                </c:pt>
                <c:pt idx="169">
                  <c:v>4.6229370335599916E-4</c:v>
                </c:pt>
                <c:pt idx="170">
                  <c:v>4.6394219253342015E-4</c:v>
                </c:pt>
                <c:pt idx="171">
                  <c:v>4.6468964668298983E-4</c:v>
                </c:pt>
                <c:pt idx="172">
                  <c:v>4.6294168355194386E-4</c:v>
                </c:pt>
                <c:pt idx="173">
                  <c:v>4.6315034298968939E-4</c:v>
                </c:pt>
                <c:pt idx="174">
                  <c:v>4.6331966996035918E-4</c:v>
                </c:pt>
                <c:pt idx="175">
                  <c:v>4.6008475451760338E-4</c:v>
                </c:pt>
                <c:pt idx="176">
                  <c:v>4.5657630954377206E-4</c:v>
                </c:pt>
                <c:pt idx="177">
                  <c:v>4.6371156491754537E-4</c:v>
                </c:pt>
                <c:pt idx="178">
                  <c:v>4.6320511270802288E-4</c:v>
                </c:pt>
                <c:pt idx="179">
                  <c:v>4.6161744712020603E-4</c:v>
                </c:pt>
                <c:pt idx="180">
                  <c:v>4.6027590761771499E-4</c:v>
                </c:pt>
                <c:pt idx="181">
                  <c:v>4.6361211723495917E-4</c:v>
                </c:pt>
                <c:pt idx="182">
                  <c:v>4.6296576063978903E-4</c:v>
                </c:pt>
                <c:pt idx="183">
                  <c:v>4.5880213294769985E-4</c:v>
                </c:pt>
                <c:pt idx="184">
                  <c:v>4.5919992580304662E-4</c:v>
                </c:pt>
                <c:pt idx="185">
                  <c:v>4.6250693842263263E-4</c:v>
                </c:pt>
                <c:pt idx="186">
                  <c:v>4.673809016043E-4</c:v>
                </c:pt>
                <c:pt idx="187">
                  <c:v>4.7512659187085352E-4</c:v>
                </c:pt>
                <c:pt idx="188">
                  <c:v>4.6811250902863795E-4</c:v>
                </c:pt>
                <c:pt idx="189">
                  <c:v>4.685511417731292E-4</c:v>
                </c:pt>
                <c:pt idx="190">
                  <c:v>4.6945696631956645E-4</c:v>
                </c:pt>
                <c:pt idx="191">
                  <c:v>4.6390677064604599E-4</c:v>
                </c:pt>
                <c:pt idx="192">
                  <c:v>4.6575389457592691E-4</c:v>
                </c:pt>
                <c:pt idx="193">
                  <c:v>4.5706195926249797E-4</c:v>
                </c:pt>
                <c:pt idx="194">
                  <c:v>4.5896702357079951E-4</c:v>
                </c:pt>
                <c:pt idx="195">
                  <c:v>4.5606476831267645E-4</c:v>
                </c:pt>
                <c:pt idx="196">
                  <c:v>4.579722659572455E-4</c:v>
                </c:pt>
                <c:pt idx="197">
                  <c:v>4.5285344460996188E-4</c:v>
                </c:pt>
                <c:pt idx="198">
                  <c:v>4.5490440257459568E-4</c:v>
                </c:pt>
                <c:pt idx="199">
                  <c:v>4.6265534251880826E-4</c:v>
                </c:pt>
                <c:pt idx="200">
                  <c:v>4.6252098800729291E-4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04-4607-8557-7362F4091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142880"/>
        <c:axId val="567138288"/>
      </c:lineChart>
      <c:catAx>
        <c:axId val="56714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67138288"/>
        <c:crosses val="autoZero"/>
        <c:auto val="1"/>
        <c:lblAlgn val="ctr"/>
        <c:lblOffset val="100"/>
        <c:noMultiLvlLbl val="0"/>
      </c:catAx>
      <c:valAx>
        <c:axId val="567138288"/>
        <c:scaling>
          <c:orientation val="minMax"/>
          <c:min val="4.0000000000000013E-4"/>
        </c:scaling>
        <c:delete val="0"/>
        <c:axPos val="l"/>
        <c:numFmt formatCode="0.00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6714288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/>
              <a:t>Evolución temporal de 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'Ejercicio 1.e (2)'!$C$1</c:f>
              <c:strCache>
                <c:ptCount val="1"/>
                <c:pt idx="0">
                  <c:v>L_EEN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'Ejercicio 1.e (2)'!$A$2:$A$202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'Ejercicio 1.e (2)'!$C$2:$C$202</c:f>
              <c:numCache>
                <c:formatCode>0.0000000</c:formatCode>
                <c:ptCount val="201"/>
                <c:pt idx="0">
                  <c:v>0.37037037037037035</c:v>
                </c:pt>
                <c:pt idx="1">
                  <c:v>0.37037037037037035</c:v>
                </c:pt>
                <c:pt idx="2">
                  <c:v>0.37037037037037035</c:v>
                </c:pt>
                <c:pt idx="3">
                  <c:v>0.37037037037037035</c:v>
                </c:pt>
                <c:pt idx="4">
                  <c:v>0.37037037037037035</c:v>
                </c:pt>
                <c:pt idx="5">
                  <c:v>0.37037037037037035</c:v>
                </c:pt>
                <c:pt idx="6">
                  <c:v>0.37037037037037035</c:v>
                </c:pt>
                <c:pt idx="7">
                  <c:v>0.37037037037037035</c:v>
                </c:pt>
                <c:pt idx="8">
                  <c:v>0.37037037037037035</c:v>
                </c:pt>
                <c:pt idx="9">
                  <c:v>0.37037037037037035</c:v>
                </c:pt>
                <c:pt idx="10">
                  <c:v>0.37037037037037035</c:v>
                </c:pt>
                <c:pt idx="11">
                  <c:v>0.37037037037037035</c:v>
                </c:pt>
                <c:pt idx="12">
                  <c:v>0.37037037037037035</c:v>
                </c:pt>
                <c:pt idx="13">
                  <c:v>0.37037037037037035</c:v>
                </c:pt>
                <c:pt idx="14">
                  <c:v>0.37037037037037035</c:v>
                </c:pt>
                <c:pt idx="15">
                  <c:v>0.37037037037037035</c:v>
                </c:pt>
                <c:pt idx="16">
                  <c:v>0.37037037037037035</c:v>
                </c:pt>
                <c:pt idx="17">
                  <c:v>0.37037037037037035</c:v>
                </c:pt>
                <c:pt idx="18">
                  <c:v>0.37037037037037035</c:v>
                </c:pt>
                <c:pt idx="19">
                  <c:v>0.37037037037037035</c:v>
                </c:pt>
                <c:pt idx="20">
                  <c:v>0.37037037037037035</c:v>
                </c:pt>
                <c:pt idx="21">
                  <c:v>0.37037037037037035</c:v>
                </c:pt>
                <c:pt idx="22">
                  <c:v>0.37037037037037035</c:v>
                </c:pt>
                <c:pt idx="23">
                  <c:v>0.37037037037037035</c:v>
                </c:pt>
                <c:pt idx="24">
                  <c:v>0.37037037037037035</c:v>
                </c:pt>
                <c:pt idx="25">
                  <c:v>0.37037037037037035</c:v>
                </c:pt>
                <c:pt idx="26">
                  <c:v>0.37037037037037035</c:v>
                </c:pt>
                <c:pt idx="27">
                  <c:v>0.37037037037037035</c:v>
                </c:pt>
                <c:pt idx="28">
                  <c:v>0.37037037037037035</c:v>
                </c:pt>
                <c:pt idx="29">
                  <c:v>0.37037037037037035</c:v>
                </c:pt>
                <c:pt idx="30">
                  <c:v>0.37037037037037035</c:v>
                </c:pt>
                <c:pt idx="31">
                  <c:v>0.37037037037037035</c:v>
                </c:pt>
                <c:pt idx="32">
                  <c:v>0.37037037037037035</c:v>
                </c:pt>
                <c:pt idx="33">
                  <c:v>0.37037037037037035</c:v>
                </c:pt>
                <c:pt idx="34">
                  <c:v>0.37037037037037035</c:v>
                </c:pt>
                <c:pt idx="35">
                  <c:v>0.37037037037037035</c:v>
                </c:pt>
                <c:pt idx="36">
                  <c:v>0.37037037037037035</c:v>
                </c:pt>
                <c:pt idx="37">
                  <c:v>0.37037037037037035</c:v>
                </c:pt>
                <c:pt idx="38">
                  <c:v>0.37037037037037035</c:v>
                </c:pt>
                <c:pt idx="39">
                  <c:v>0.37037037037037035</c:v>
                </c:pt>
                <c:pt idx="40">
                  <c:v>0.37037037037037035</c:v>
                </c:pt>
                <c:pt idx="41">
                  <c:v>0.37037037037037035</c:v>
                </c:pt>
                <c:pt idx="42">
                  <c:v>0.37037037037037035</c:v>
                </c:pt>
                <c:pt idx="43">
                  <c:v>0.37037037037037035</c:v>
                </c:pt>
                <c:pt idx="44">
                  <c:v>0.37037037037037035</c:v>
                </c:pt>
                <c:pt idx="45">
                  <c:v>0.37037037037037035</c:v>
                </c:pt>
                <c:pt idx="46">
                  <c:v>0.37037037037037035</c:v>
                </c:pt>
                <c:pt idx="47">
                  <c:v>0.37037037037037035</c:v>
                </c:pt>
                <c:pt idx="48">
                  <c:v>0.37037037037037035</c:v>
                </c:pt>
                <c:pt idx="49">
                  <c:v>0.37037037037037035</c:v>
                </c:pt>
                <c:pt idx="50">
                  <c:v>0.37037037037037035</c:v>
                </c:pt>
                <c:pt idx="51">
                  <c:v>0.37037037037037035</c:v>
                </c:pt>
                <c:pt idx="52">
                  <c:v>0.37037037037037035</c:v>
                </c:pt>
                <c:pt idx="53">
                  <c:v>0.37037037037037035</c:v>
                </c:pt>
                <c:pt idx="54">
                  <c:v>0.37037037037037035</c:v>
                </c:pt>
                <c:pt idx="55">
                  <c:v>0.37037037037037035</c:v>
                </c:pt>
                <c:pt idx="56">
                  <c:v>0.37037037037037035</c:v>
                </c:pt>
                <c:pt idx="57">
                  <c:v>0.37037037037037035</c:v>
                </c:pt>
                <c:pt idx="58">
                  <c:v>0.37037037037037035</c:v>
                </c:pt>
                <c:pt idx="59">
                  <c:v>0.37037037037037035</c:v>
                </c:pt>
                <c:pt idx="60">
                  <c:v>0.37037037037037035</c:v>
                </c:pt>
                <c:pt idx="61">
                  <c:v>0.37037037037037035</c:v>
                </c:pt>
                <c:pt idx="62">
                  <c:v>0.37037037037037035</c:v>
                </c:pt>
                <c:pt idx="63">
                  <c:v>0.37037037037037035</c:v>
                </c:pt>
                <c:pt idx="64">
                  <c:v>0.37037037037037035</c:v>
                </c:pt>
                <c:pt idx="65">
                  <c:v>0.37037037037037035</c:v>
                </c:pt>
                <c:pt idx="66">
                  <c:v>0.37037037037037035</c:v>
                </c:pt>
                <c:pt idx="67">
                  <c:v>0.37037037037037035</c:v>
                </c:pt>
                <c:pt idx="68">
                  <c:v>0.37037037037037035</c:v>
                </c:pt>
                <c:pt idx="69">
                  <c:v>0.37037037037037035</c:v>
                </c:pt>
                <c:pt idx="70">
                  <c:v>0.37037037037037035</c:v>
                </c:pt>
                <c:pt idx="71">
                  <c:v>0.37037037037037035</c:v>
                </c:pt>
                <c:pt idx="72">
                  <c:v>0.37037037037037035</c:v>
                </c:pt>
                <c:pt idx="73">
                  <c:v>0.37037037037037035</c:v>
                </c:pt>
                <c:pt idx="74">
                  <c:v>0.37037037037037035</c:v>
                </c:pt>
                <c:pt idx="75">
                  <c:v>0.37037037037037035</c:v>
                </c:pt>
                <c:pt idx="76">
                  <c:v>0.37037037037037035</c:v>
                </c:pt>
                <c:pt idx="77">
                  <c:v>0.37037037037037035</c:v>
                </c:pt>
                <c:pt idx="78">
                  <c:v>0.37037037037037035</c:v>
                </c:pt>
                <c:pt idx="79">
                  <c:v>0.37037037037037035</c:v>
                </c:pt>
                <c:pt idx="80">
                  <c:v>0.37037037037037035</c:v>
                </c:pt>
                <c:pt idx="81">
                  <c:v>0.37037037037037035</c:v>
                </c:pt>
                <c:pt idx="82">
                  <c:v>0.37037037037037035</c:v>
                </c:pt>
                <c:pt idx="83">
                  <c:v>0.37037037037037035</c:v>
                </c:pt>
                <c:pt idx="84">
                  <c:v>0.37037037037037035</c:v>
                </c:pt>
                <c:pt idx="85">
                  <c:v>0.37037037037037035</c:v>
                </c:pt>
                <c:pt idx="86">
                  <c:v>0.37037037037037035</c:v>
                </c:pt>
                <c:pt idx="87">
                  <c:v>0.37037037037037035</c:v>
                </c:pt>
                <c:pt idx="88">
                  <c:v>0.37037037037037035</c:v>
                </c:pt>
                <c:pt idx="89">
                  <c:v>0.37037037037037035</c:v>
                </c:pt>
                <c:pt idx="90">
                  <c:v>0.37037037037037035</c:v>
                </c:pt>
                <c:pt idx="91">
                  <c:v>0.37037037037037035</c:v>
                </c:pt>
                <c:pt idx="92">
                  <c:v>0.37037037037037035</c:v>
                </c:pt>
                <c:pt idx="93">
                  <c:v>0.37037037037037035</c:v>
                </c:pt>
                <c:pt idx="94">
                  <c:v>0.37037037037037035</c:v>
                </c:pt>
                <c:pt idx="95">
                  <c:v>0.37037037037037035</c:v>
                </c:pt>
                <c:pt idx="96">
                  <c:v>0.37037037037037035</c:v>
                </c:pt>
                <c:pt idx="97">
                  <c:v>0.37037037037037035</c:v>
                </c:pt>
                <c:pt idx="98">
                  <c:v>0.37037037037037035</c:v>
                </c:pt>
                <c:pt idx="99">
                  <c:v>0.37037037037037035</c:v>
                </c:pt>
                <c:pt idx="100">
                  <c:v>0.37037037037037035</c:v>
                </c:pt>
                <c:pt idx="101">
                  <c:v>0.37037037037037035</c:v>
                </c:pt>
                <c:pt idx="102">
                  <c:v>0.37037037037037035</c:v>
                </c:pt>
                <c:pt idx="103">
                  <c:v>0.37037037037037035</c:v>
                </c:pt>
                <c:pt idx="104">
                  <c:v>0.37037037037037035</c:v>
                </c:pt>
                <c:pt idx="105">
                  <c:v>0.37037037037037035</c:v>
                </c:pt>
                <c:pt idx="106">
                  <c:v>0.37037037037037035</c:v>
                </c:pt>
                <c:pt idx="107">
                  <c:v>0.37037037037037035</c:v>
                </c:pt>
                <c:pt idx="108">
                  <c:v>0.37037037037037035</c:v>
                </c:pt>
                <c:pt idx="109">
                  <c:v>0.37037037037037035</c:v>
                </c:pt>
                <c:pt idx="110">
                  <c:v>0.37037037037037035</c:v>
                </c:pt>
                <c:pt idx="111">
                  <c:v>0.37037037037037035</c:v>
                </c:pt>
                <c:pt idx="112">
                  <c:v>0.37037037037037035</c:v>
                </c:pt>
                <c:pt idx="113">
                  <c:v>0.37037037037037035</c:v>
                </c:pt>
                <c:pt idx="114">
                  <c:v>0.37037037037037035</c:v>
                </c:pt>
                <c:pt idx="115">
                  <c:v>0.37037037037037035</c:v>
                </c:pt>
                <c:pt idx="116">
                  <c:v>0.37037037037037035</c:v>
                </c:pt>
                <c:pt idx="117">
                  <c:v>0.37037037037037035</c:v>
                </c:pt>
                <c:pt idx="118">
                  <c:v>0.37037037037037035</c:v>
                </c:pt>
                <c:pt idx="119">
                  <c:v>0.37037037037037035</c:v>
                </c:pt>
                <c:pt idx="120">
                  <c:v>0.37037037037037035</c:v>
                </c:pt>
                <c:pt idx="121">
                  <c:v>0.37037037037037035</c:v>
                </c:pt>
                <c:pt idx="122">
                  <c:v>0.37037037037037035</c:v>
                </c:pt>
                <c:pt idx="123">
                  <c:v>0.37037037037037035</c:v>
                </c:pt>
                <c:pt idx="124">
                  <c:v>0.37037037037037035</c:v>
                </c:pt>
                <c:pt idx="125">
                  <c:v>0.37037037037037035</c:v>
                </c:pt>
                <c:pt idx="126">
                  <c:v>0.37037037037037035</c:v>
                </c:pt>
                <c:pt idx="127">
                  <c:v>0.37037037037037035</c:v>
                </c:pt>
                <c:pt idx="128">
                  <c:v>0.37037037037037035</c:v>
                </c:pt>
                <c:pt idx="129">
                  <c:v>0.37037037037037035</c:v>
                </c:pt>
                <c:pt idx="130">
                  <c:v>0.37037037037037035</c:v>
                </c:pt>
                <c:pt idx="131">
                  <c:v>0.37037037037037035</c:v>
                </c:pt>
                <c:pt idx="132">
                  <c:v>0.37037037037037035</c:v>
                </c:pt>
                <c:pt idx="133">
                  <c:v>0.37037037037037035</c:v>
                </c:pt>
                <c:pt idx="134">
                  <c:v>0.37037037037037035</c:v>
                </c:pt>
                <c:pt idx="135">
                  <c:v>0.37037037037037035</c:v>
                </c:pt>
                <c:pt idx="136">
                  <c:v>0.37037037037037035</c:v>
                </c:pt>
                <c:pt idx="137">
                  <c:v>0.37037037037037035</c:v>
                </c:pt>
                <c:pt idx="138">
                  <c:v>0.37037037037037035</c:v>
                </c:pt>
                <c:pt idx="139">
                  <c:v>0.37037037037037035</c:v>
                </c:pt>
                <c:pt idx="140">
                  <c:v>0.37037037037037035</c:v>
                </c:pt>
                <c:pt idx="141">
                  <c:v>0.37037037037037035</c:v>
                </c:pt>
                <c:pt idx="142">
                  <c:v>0.37037037037037035</c:v>
                </c:pt>
                <c:pt idx="143">
                  <c:v>0.37037037037037035</c:v>
                </c:pt>
                <c:pt idx="144">
                  <c:v>0.37037037037037035</c:v>
                </c:pt>
                <c:pt idx="145">
                  <c:v>0.37037037037037035</c:v>
                </c:pt>
                <c:pt idx="146">
                  <c:v>0.37037037037037035</c:v>
                </c:pt>
                <c:pt idx="147">
                  <c:v>0.37037037037037035</c:v>
                </c:pt>
                <c:pt idx="148">
                  <c:v>0.37037037037037035</c:v>
                </c:pt>
                <c:pt idx="149">
                  <c:v>0.37037037037037035</c:v>
                </c:pt>
                <c:pt idx="150">
                  <c:v>0.37037037037037035</c:v>
                </c:pt>
                <c:pt idx="151">
                  <c:v>0.37037037037037035</c:v>
                </c:pt>
                <c:pt idx="152">
                  <c:v>0.37037037037037035</c:v>
                </c:pt>
                <c:pt idx="153">
                  <c:v>0.37037037037037035</c:v>
                </c:pt>
                <c:pt idx="154">
                  <c:v>0.37037037037037035</c:v>
                </c:pt>
                <c:pt idx="155">
                  <c:v>0.37037037037037035</c:v>
                </c:pt>
                <c:pt idx="156">
                  <c:v>0.37037037037037035</c:v>
                </c:pt>
                <c:pt idx="157">
                  <c:v>0.37037037037037035</c:v>
                </c:pt>
                <c:pt idx="158">
                  <c:v>0.37037037037037035</c:v>
                </c:pt>
                <c:pt idx="159">
                  <c:v>0.37037037037037035</c:v>
                </c:pt>
                <c:pt idx="160">
                  <c:v>0.37037037037037035</c:v>
                </c:pt>
                <c:pt idx="161">
                  <c:v>0.37037037037037035</c:v>
                </c:pt>
                <c:pt idx="162">
                  <c:v>0.37037037037037035</c:v>
                </c:pt>
                <c:pt idx="163">
                  <c:v>0.37037037037037035</c:v>
                </c:pt>
                <c:pt idx="164">
                  <c:v>0.37037037037037035</c:v>
                </c:pt>
                <c:pt idx="165">
                  <c:v>0.37037037037037035</c:v>
                </c:pt>
                <c:pt idx="166">
                  <c:v>0.37037037037037035</c:v>
                </c:pt>
                <c:pt idx="167">
                  <c:v>0.37037037037037035</c:v>
                </c:pt>
                <c:pt idx="168">
                  <c:v>0.37037037037037035</c:v>
                </c:pt>
                <c:pt idx="169">
                  <c:v>0.37037037037037035</c:v>
                </c:pt>
                <c:pt idx="170">
                  <c:v>0.37037037037037035</c:v>
                </c:pt>
                <c:pt idx="171">
                  <c:v>0.37037037037037035</c:v>
                </c:pt>
                <c:pt idx="172">
                  <c:v>0.37037037037037035</c:v>
                </c:pt>
                <c:pt idx="173">
                  <c:v>0.37037037037037035</c:v>
                </c:pt>
                <c:pt idx="174">
                  <c:v>0.37037037037037035</c:v>
                </c:pt>
                <c:pt idx="175">
                  <c:v>0.37037037037037035</c:v>
                </c:pt>
                <c:pt idx="176">
                  <c:v>0.37037037037037035</c:v>
                </c:pt>
                <c:pt idx="177">
                  <c:v>0.37037037037037035</c:v>
                </c:pt>
                <c:pt idx="178">
                  <c:v>0.37037037037037035</c:v>
                </c:pt>
                <c:pt idx="179">
                  <c:v>0.37037037037037035</c:v>
                </c:pt>
                <c:pt idx="180">
                  <c:v>0.37037037037037035</c:v>
                </c:pt>
                <c:pt idx="181">
                  <c:v>0.37037037037037035</c:v>
                </c:pt>
                <c:pt idx="182">
                  <c:v>0.37037037037037035</c:v>
                </c:pt>
                <c:pt idx="183">
                  <c:v>0.37037037037037035</c:v>
                </c:pt>
                <c:pt idx="184">
                  <c:v>0.37037037037037035</c:v>
                </c:pt>
                <c:pt idx="185">
                  <c:v>0.37037037037037035</c:v>
                </c:pt>
                <c:pt idx="186">
                  <c:v>0.37037037037037035</c:v>
                </c:pt>
                <c:pt idx="187">
                  <c:v>0.37037037037037035</c:v>
                </c:pt>
                <c:pt idx="188">
                  <c:v>0.37037037037037035</c:v>
                </c:pt>
                <c:pt idx="189">
                  <c:v>0.37037037037037035</c:v>
                </c:pt>
                <c:pt idx="190">
                  <c:v>0.37037037037037035</c:v>
                </c:pt>
                <c:pt idx="191">
                  <c:v>0.37037037037037035</c:v>
                </c:pt>
                <c:pt idx="192">
                  <c:v>0.37037037037037035</c:v>
                </c:pt>
                <c:pt idx="193">
                  <c:v>0.37037037037037035</c:v>
                </c:pt>
                <c:pt idx="194">
                  <c:v>0.37037037037037035</c:v>
                </c:pt>
                <c:pt idx="195">
                  <c:v>0.37037037037037035</c:v>
                </c:pt>
                <c:pt idx="196">
                  <c:v>0.37037037037037035</c:v>
                </c:pt>
                <c:pt idx="197">
                  <c:v>0.37037037037037035</c:v>
                </c:pt>
                <c:pt idx="198">
                  <c:v>0.37037037037037035</c:v>
                </c:pt>
                <c:pt idx="199">
                  <c:v>0.37037037037037035</c:v>
                </c:pt>
                <c:pt idx="200">
                  <c:v>0.37037037037037035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08-484B-A25C-EEEC90F88C79}"/>
            </c:ext>
          </c:extLst>
        </c:ser>
        <c:ser>
          <c:idx val="1"/>
          <c:order val="1"/>
          <c:tx>
            <c:strRef>
              <c:f>'Ejercicio 1.e (2)'!$B$1</c:f>
              <c:strCache>
                <c:ptCount val="1"/>
                <c:pt idx="0">
                  <c:v>L_t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'Ejercicio 1.e (2)'!$A$2:$A$202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'Ejercicio 1.e (2)'!$B$2:$B$202</c:f>
              <c:numCache>
                <c:formatCode>0.0000000</c:formatCode>
                <c:ptCount val="201"/>
                <c:pt idx="0">
                  <c:v>0.37037037037037035</c:v>
                </c:pt>
                <c:pt idx="1">
                  <c:v>0.37037037037037035</c:v>
                </c:pt>
                <c:pt idx="2">
                  <c:v>0.37037037037037035</c:v>
                </c:pt>
                <c:pt idx="3">
                  <c:v>0.37037037037037035</c:v>
                </c:pt>
                <c:pt idx="4">
                  <c:v>0.37037037037037035</c:v>
                </c:pt>
                <c:pt idx="5">
                  <c:v>0.37037037037037035</c:v>
                </c:pt>
                <c:pt idx="6">
                  <c:v>0.37037037037037035</c:v>
                </c:pt>
                <c:pt idx="7">
                  <c:v>0.37037037037037035</c:v>
                </c:pt>
                <c:pt idx="8">
                  <c:v>0.37037037037037035</c:v>
                </c:pt>
                <c:pt idx="9">
                  <c:v>0.37037037037037035</c:v>
                </c:pt>
                <c:pt idx="10">
                  <c:v>0.37037037037037035</c:v>
                </c:pt>
                <c:pt idx="11">
                  <c:v>0.37037037037037035</c:v>
                </c:pt>
                <c:pt idx="12">
                  <c:v>0.37037037037037035</c:v>
                </c:pt>
                <c:pt idx="13">
                  <c:v>0.37037037037037035</c:v>
                </c:pt>
                <c:pt idx="14">
                  <c:v>0.37037037037037035</c:v>
                </c:pt>
                <c:pt idx="15">
                  <c:v>0.37037037037037035</c:v>
                </c:pt>
                <c:pt idx="16">
                  <c:v>0.37037037037037035</c:v>
                </c:pt>
                <c:pt idx="17">
                  <c:v>0.37037037037037035</c:v>
                </c:pt>
                <c:pt idx="18">
                  <c:v>0.37037037037037035</c:v>
                </c:pt>
                <c:pt idx="19">
                  <c:v>0.37037037037037035</c:v>
                </c:pt>
                <c:pt idx="20">
                  <c:v>0.37037037037037035</c:v>
                </c:pt>
                <c:pt idx="21">
                  <c:v>0.37037037037037035</c:v>
                </c:pt>
                <c:pt idx="22">
                  <c:v>0.37037037037037035</c:v>
                </c:pt>
                <c:pt idx="23">
                  <c:v>0.37037037037037035</c:v>
                </c:pt>
                <c:pt idx="24">
                  <c:v>0.37037037037037035</c:v>
                </c:pt>
                <c:pt idx="25">
                  <c:v>0.37037037037037035</c:v>
                </c:pt>
                <c:pt idx="26">
                  <c:v>0.37037037037037035</c:v>
                </c:pt>
                <c:pt idx="27">
                  <c:v>0.37037037037037035</c:v>
                </c:pt>
                <c:pt idx="28">
                  <c:v>0.37037037037037035</c:v>
                </c:pt>
                <c:pt idx="29">
                  <c:v>0.37037037037037035</c:v>
                </c:pt>
                <c:pt idx="30">
                  <c:v>0.37037037037037035</c:v>
                </c:pt>
                <c:pt idx="31">
                  <c:v>0.37037037037037035</c:v>
                </c:pt>
                <c:pt idx="32">
                  <c:v>0.37037037037037035</c:v>
                </c:pt>
                <c:pt idx="33">
                  <c:v>0.37037037037037035</c:v>
                </c:pt>
                <c:pt idx="34">
                  <c:v>0.37037037037037035</c:v>
                </c:pt>
                <c:pt idx="35">
                  <c:v>0.37037037037037035</c:v>
                </c:pt>
                <c:pt idx="36">
                  <c:v>0.37037037037037035</c:v>
                </c:pt>
                <c:pt idx="37">
                  <c:v>0.37037037037037035</c:v>
                </c:pt>
                <c:pt idx="38">
                  <c:v>0.37037037037037035</c:v>
                </c:pt>
                <c:pt idx="39">
                  <c:v>0.37037037037037035</c:v>
                </c:pt>
                <c:pt idx="40">
                  <c:v>0.37037037037037035</c:v>
                </c:pt>
                <c:pt idx="41">
                  <c:v>0.37037037037037035</c:v>
                </c:pt>
                <c:pt idx="42">
                  <c:v>0.37037037037037035</c:v>
                </c:pt>
                <c:pt idx="43">
                  <c:v>0.37037037037037035</c:v>
                </c:pt>
                <c:pt idx="44">
                  <c:v>0.37037037037037035</c:v>
                </c:pt>
                <c:pt idx="45">
                  <c:v>0.37037037037037035</c:v>
                </c:pt>
                <c:pt idx="46">
                  <c:v>0.37037037037037035</c:v>
                </c:pt>
                <c:pt idx="47">
                  <c:v>0.37037037037037035</c:v>
                </c:pt>
                <c:pt idx="48">
                  <c:v>0.37037037037037035</c:v>
                </c:pt>
                <c:pt idx="49">
                  <c:v>0.37037037037037035</c:v>
                </c:pt>
                <c:pt idx="50">
                  <c:v>0.37037037037037035</c:v>
                </c:pt>
                <c:pt idx="51">
                  <c:v>0.37037037037037035</c:v>
                </c:pt>
                <c:pt idx="52">
                  <c:v>0.37037037037037035</c:v>
                </c:pt>
                <c:pt idx="53">
                  <c:v>0.37037037037037035</c:v>
                </c:pt>
                <c:pt idx="54">
                  <c:v>0.37037037037037035</c:v>
                </c:pt>
                <c:pt idx="55">
                  <c:v>0.37037037037037035</c:v>
                </c:pt>
                <c:pt idx="56">
                  <c:v>0.37037037037037035</c:v>
                </c:pt>
                <c:pt idx="57">
                  <c:v>0.37037037037037035</c:v>
                </c:pt>
                <c:pt idx="58">
                  <c:v>0.37037037037037035</c:v>
                </c:pt>
                <c:pt idx="59">
                  <c:v>0.37037037037037035</c:v>
                </c:pt>
                <c:pt idx="60">
                  <c:v>0.37037037037037035</c:v>
                </c:pt>
                <c:pt idx="61">
                  <c:v>0.37037037037037035</c:v>
                </c:pt>
                <c:pt idx="62">
                  <c:v>0.37037037037037035</c:v>
                </c:pt>
                <c:pt idx="63">
                  <c:v>0.37037037037037035</c:v>
                </c:pt>
                <c:pt idx="64">
                  <c:v>0.37037037037037035</c:v>
                </c:pt>
                <c:pt idx="65">
                  <c:v>0.37037037037037035</c:v>
                </c:pt>
                <c:pt idx="66">
                  <c:v>0.37037037037037035</c:v>
                </c:pt>
                <c:pt idx="67">
                  <c:v>0.37037037037037035</c:v>
                </c:pt>
                <c:pt idx="68">
                  <c:v>0.37037037037037035</c:v>
                </c:pt>
                <c:pt idx="69">
                  <c:v>0.37037037037037035</c:v>
                </c:pt>
                <c:pt idx="70">
                  <c:v>0.37037037037037035</c:v>
                </c:pt>
                <c:pt idx="71">
                  <c:v>0.37037037037037035</c:v>
                </c:pt>
                <c:pt idx="72">
                  <c:v>0.37037037037037035</c:v>
                </c:pt>
                <c:pt idx="73">
                  <c:v>0.37037037037037035</c:v>
                </c:pt>
                <c:pt idx="74">
                  <c:v>0.37037037037037035</c:v>
                </c:pt>
                <c:pt idx="75">
                  <c:v>0.37037037037037035</c:v>
                </c:pt>
                <c:pt idx="76">
                  <c:v>0.37037037037037035</c:v>
                </c:pt>
                <c:pt idx="77">
                  <c:v>0.37037037037037035</c:v>
                </c:pt>
                <c:pt idx="78">
                  <c:v>0.37037037037037035</c:v>
                </c:pt>
                <c:pt idx="79">
                  <c:v>0.37037037037037035</c:v>
                </c:pt>
                <c:pt idx="80">
                  <c:v>0.37037037037037035</c:v>
                </c:pt>
                <c:pt idx="81">
                  <c:v>0.37037037037037035</c:v>
                </c:pt>
                <c:pt idx="82">
                  <c:v>0.37037037037037035</c:v>
                </c:pt>
                <c:pt idx="83">
                  <c:v>0.37037037037037035</c:v>
                </c:pt>
                <c:pt idx="84">
                  <c:v>0.37037037037037035</c:v>
                </c:pt>
                <c:pt idx="85">
                  <c:v>0.37037037037037035</c:v>
                </c:pt>
                <c:pt idx="86">
                  <c:v>0.37037037037037035</c:v>
                </c:pt>
                <c:pt idx="87">
                  <c:v>0.37037037037037035</c:v>
                </c:pt>
                <c:pt idx="88">
                  <c:v>0.37037037037037035</c:v>
                </c:pt>
                <c:pt idx="89">
                  <c:v>0.37037037037037035</c:v>
                </c:pt>
                <c:pt idx="90">
                  <c:v>0.37037037037037035</c:v>
                </c:pt>
                <c:pt idx="91">
                  <c:v>0.37037037037037035</c:v>
                </c:pt>
                <c:pt idx="92">
                  <c:v>0.37037037037037035</c:v>
                </c:pt>
                <c:pt idx="93">
                  <c:v>0.37037037037037035</c:v>
                </c:pt>
                <c:pt idx="94">
                  <c:v>0.37037037037037035</c:v>
                </c:pt>
                <c:pt idx="95">
                  <c:v>0.37037037037037035</c:v>
                </c:pt>
                <c:pt idx="96">
                  <c:v>0.37037037037037035</c:v>
                </c:pt>
                <c:pt idx="97">
                  <c:v>0.37037037037037035</c:v>
                </c:pt>
                <c:pt idx="98">
                  <c:v>0.37037037037037035</c:v>
                </c:pt>
                <c:pt idx="99">
                  <c:v>0.37037037037037035</c:v>
                </c:pt>
                <c:pt idx="100">
                  <c:v>0.37037037037037035</c:v>
                </c:pt>
                <c:pt idx="101">
                  <c:v>0.37037037037037035</c:v>
                </c:pt>
                <c:pt idx="102">
                  <c:v>0.37037037037037035</c:v>
                </c:pt>
                <c:pt idx="103">
                  <c:v>0.37037037037037035</c:v>
                </c:pt>
                <c:pt idx="104">
                  <c:v>0.37037037037037035</c:v>
                </c:pt>
                <c:pt idx="105">
                  <c:v>0.37037037037037035</c:v>
                </c:pt>
                <c:pt idx="106">
                  <c:v>0.37037037037037035</c:v>
                </c:pt>
                <c:pt idx="107">
                  <c:v>0.37037037037037035</c:v>
                </c:pt>
                <c:pt idx="108">
                  <c:v>0.37037037037037035</c:v>
                </c:pt>
                <c:pt idx="109">
                  <c:v>0.37037037037037035</c:v>
                </c:pt>
                <c:pt idx="110">
                  <c:v>0.37037037037037035</c:v>
                </c:pt>
                <c:pt idx="111">
                  <c:v>0.37037037037037035</c:v>
                </c:pt>
                <c:pt idx="112">
                  <c:v>0.37037037037037035</c:v>
                </c:pt>
                <c:pt idx="113">
                  <c:v>0.37037037037037035</c:v>
                </c:pt>
                <c:pt idx="114">
                  <c:v>0.37037037037037035</c:v>
                </c:pt>
                <c:pt idx="115">
                  <c:v>0.37037037037037035</c:v>
                </c:pt>
                <c:pt idx="116">
                  <c:v>0.37037037037037035</c:v>
                </c:pt>
                <c:pt idx="117">
                  <c:v>0.37037037037037035</c:v>
                </c:pt>
                <c:pt idx="118">
                  <c:v>0.37037037037037035</c:v>
                </c:pt>
                <c:pt idx="119">
                  <c:v>0.37037037037037035</c:v>
                </c:pt>
                <c:pt idx="120">
                  <c:v>0.37037037037037035</c:v>
                </c:pt>
                <c:pt idx="121">
                  <c:v>0.37037037037037035</c:v>
                </c:pt>
                <c:pt idx="122">
                  <c:v>0.37037037037037035</c:v>
                </c:pt>
                <c:pt idx="123">
                  <c:v>0.37037037037037035</c:v>
                </c:pt>
                <c:pt idx="124">
                  <c:v>0.37037037037037035</c:v>
                </c:pt>
                <c:pt idx="125">
                  <c:v>0.37037037037037035</c:v>
                </c:pt>
                <c:pt idx="126">
                  <c:v>0.37037037037037035</c:v>
                </c:pt>
                <c:pt idx="127">
                  <c:v>0.37037037037037035</c:v>
                </c:pt>
                <c:pt idx="128">
                  <c:v>0.37037037037037035</c:v>
                </c:pt>
                <c:pt idx="129">
                  <c:v>0.37037037037037035</c:v>
                </c:pt>
                <c:pt idx="130">
                  <c:v>0.37037037037037035</c:v>
                </c:pt>
                <c:pt idx="131">
                  <c:v>0.37037037037037035</c:v>
                </c:pt>
                <c:pt idx="132">
                  <c:v>0.37037037037037035</c:v>
                </c:pt>
                <c:pt idx="133">
                  <c:v>0.37037037037037035</c:v>
                </c:pt>
                <c:pt idx="134">
                  <c:v>0.37037037037037035</c:v>
                </c:pt>
                <c:pt idx="135">
                  <c:v>0.37037037037037035</c:v>
                </c:pt>
                <c:pt idx="136">
                  <c:v>0.37037037037037035</c:v>
                </c:pt>
                <c:pt idx="137">
                  <c:v>0.37037037037037035</c:v>
                </c:pt>
                <c:pt idx="138">
                  <c:v>0.37037037037037035</c:v>
                </c:pt>
                <c:pt idx="139">
                  <c:v>0.37037037037037035</c:v>
                </c:pt>
                <c:pt idx="140">
                  <c:v>0.37037037037037035</c:v>
                </c:pt>
                <c:pt idx="141">
                  <c:v>0.37037037037037035</c:v>
                </c:pt>
                <c:pt idx="142">
                  <c:v>0.37037037037037035</c:v>
                </c:pt>
                <c:pt idx="143">
                  <c:v>0.37037037037037035</c:v>
                </c:pt>
                <c:pt idx="144">
                  <c:v>0.37037037037037035</c:v>
                </c:pt>
                <c:pt idx="145">
                  <c:v>0.37037037037037035</c:v>
                </c:pt>
                <c:pt idx="146">
                  <c:v>0.37037037037037035</c:v>
                </c:pt>
                <c:pt idx="147">
                  <c:v>0.37037037037037035</c:v>
                </c:pt>
                <c:pt idx="148">
                  <c:v>0.37037037037037035</c:v>
                </c:pt>
                <c:pt idx="149">
                  <c:v>0.37037037037037035</c:v>
                </c:pt>
                <c:pt idx="150">
                  <c:v>0.37037037037037035</c:v>
                </c:pt>
                <c:pt idx="151">
                  <c:v>0.37037037037037035</c:v>
                </c:pt>
                <c:pt idx="152">
                  <c:v>0.37037037037037035</c:v>
                </c:pt>
                <c:pt idx="153">
                  <c:v>0.37037037037037035</c:v>
                </c:pt>
                <c:pt idx="154">
                  <c:v>0.37037037037037035</c:v>
                </c:pt>
                <c:pt idx="155">
                  <c:v>0.37037037037037035</c:v>
                </c:pt>
                <c:pt idx="156">
                  <c:v>0.37037037037037035</c:v>
                </c:pt>
                <c:pt idx="157">
                  <c:v>0.37037037037037035</c:v>
                </c:pt>
                <c:pt idx="158">
                  <c:v>0.37037037037037035</c:v>
                </c:pt>
                <c:pt idx="159">
                  <c:v>0.37037037037037035</c:v>
                </c:pt>
                <c:pt idx="160">
                  <c:v>0.37037037037037035</c:v>
                </c:pt>
                <c:pt idx="161">
                  <c:v>0.37037037037037035</c:v>
                </c:pt>
                <c:pt idx="162">
                  <c:v>0.37037037037037035</c:v>
                </c:pt>
                <c:pt idx="163">
                  <c:v>0.37037037037037035</c:v>
                </c:pt>
                <c:pt idx="164">
                  <c:v>0.37037037037037035</c:v>
                </c:pt>
                <c:pt idx="165">
                  <c:v>0.37037037037037035</c:v>
                </c:pt>
                <c:pt idx="166">
                  <c:v>0.37037037037037035</c:v>
                </c:pt>
                <c:pt idx="167">
                  <c:v>0.37037037037037035</c:v>
                </c:pt>
                <c:pt idx="168">
                  <c:v>0.37037037037037035</c:v>
                </c:pt>
                <c:pt idx="169">
                  <c:v>0.37037037037037035</c:v>
                </c:pt>
                <c:pt idx="170">
                  <c:v>0.37037037037037035</c:v>
                </c:pt>
                <c:pt idx="171">
                  <c:v>0.37037037037037035</c:v>
                </c:pt>
                <c:pt idx="172">
                  <c:v>0.37037037037037035</c:v>
                </c:pt>
                <c:pt idx="173">
                  <c:v>0.37037037037037035</c:v>
                </c:pt>
                <c:pt idx="174">
                  <c:v>0.37037037037037035</c:v>
                </c:pt>
                <c:pt idx="175">
                  <c:v>0.37037037037037035</c:v>
                </c:pt>
                <c:pt idx="176">
                  <c:v>0.37037037037037035</c:v>
                </c:pt>
                <c:pt idx="177">
                  <c:v>0.37037037037037035</c:v>
                </c:pt>
                <c:pt idx="178">
                  <c:v>0.37037037037037035</c:v>
                </c:pt>
                <c:pt idx="179">
                  <c:v>0.37037037037037035</c:v>
                </c:pt>
                <c:pt idx="180">
                  <c:v>0.37037037037037035</c:v>
                </c:pt>
                <c:pt idx="181">
                  <c:v>0.37037037037037035</c:v>
                </c:pt>
                <c:pt idx="182">
                  <c:v>0.37037037037037035</c:v>
                </c:pt>
                <c:pt idx="183">
                  <c:v>0.37037037037037035</c:v>
                </c:pt>
                <c:pt idx="184">
                  <c:v>0.37037037037037035</c:v>
                </c:pt>
                <c:pt idx="185">
                  <c:v>0.37037037037037035</c:v>
                </c:pt>
                <c:pt idx="186">
                  <c:v>0.37037037037037035</c:v>
                </c:pt>
                <c:pt idx="187">
                  <c:v>0.37037037037037035</c:v>
                </c:pt>
                <c:pt idx="188">
                  <c:v>0.37037037037037035</c:v>
                </c:pt>
                <c:pt idx="189">
                  <c:v>0.37037037037037035</c:v>
                </c:pt>
                <c:pt idx="190">
                  <c:v>0.37037037037037035</c:v>
                </c:pt>
                <c:pt idx="191">
                  <c:v>0.37037037037037035</c:v>
                </c:pt>
                <c:pt idx="192">
                  <c:v>0.37037037037037035</c:v>
                </c:pt>
                <c:pt idx="193">
                  <c:v>0.37037037037037035</c:v>
                </c:pt>
                <c:pt idx="194">
                  <c:v>0.37037037037037035</c:v>
                </c:pt>
                <c:pt idx="195">
                  <c:v>0.37037037037037035</c:v>
                </c:pt>
                <c:pt idx="196">
                  <c:v>0.37037037037037035</c:v>
                </c:pt>
                <c:pt idx="197">
                  <c:v>0.37037037037037035</c:v>
                </c:pt>
                <c:pt idx="198">
                  <c:v>0.37037037037037035</c:v>
                </c:pt>
                <c:pt idx="199">
                  <c:v>0.37037037037037035</c:v>
                </c:pt>
                <c:pt idx="200">
                  <c:v>0.37037037037037035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08-484B-A25C-EEEC90F88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146488"/>
        <c:axId val="567147144"/>
      </c:lineChart>
      <c:catAx>
        <c:axId val="567146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67147144"/>
        <c:crosses val="autoZero"/>
        <c:auto val="1"/>
        <c:lblAlgn val="ctr"/>
        <c:lblOffset val="100"/>
        <c:noMultiLvlLbl val="0"/>
      </c:catAx>
      <c:valAx>
        <c:axId val="567147144"/>
        <c:scaling>
          <c:orientation val="minMax"/>
          <c:max val="0.37050000000000005"/>
          <c:min val="0.37000000000000005"/>
        </c:scaling>
        <c:delete val="0"/>
        <c:axPos val="l"/>
        <c:numFmt formatCode="0.0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671464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/>
              <a:t>Evolución temporal de 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'Ejercicio 1.e (2)'!$E$1</c:f>
              <c:strCache>
                <c:ptCount val="1"/>
                <c:pt idx="0">
                  <c:v>K_EEN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'Ejercicio 1.e (2)'!$A$2:$A$202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'Ejercicio 1.e (2)'!$E$2:$E$202</c:f>
              <c:numCache>
                <c:formatCode>0.0000000</c:formatCode>
                <c:ptCount val="201"/>
                <c:pt idx="0">
                  <c:v>0.35469778040507688</c:v>
                </c:pt>
                <c:pt idx="1">
                  <c:v>0.35469778040507688</c:v>
                </c:pt>
                <c:pt idx="2">
                  <c:v>0.35469778040507688</c:v>
                </c:pt>
                <c:pt idx="3">
                  <c:v>0.35469778040507688</c:v>
                </c:pt>
                <c:pt idx="4">
                  <c:v>0.35469778040507688</c:v>
                </c:pt>
                <c:pt idx="5">
                  <c:v>0.35469778040507688</c:v>
                </c:pt>
                <c:pt idx="6">
                  <c:v>0.35469778040507688</c:v>
                </c:pt>
                <c:pt idx="7">
                  <c:v>0.35469778040507688</c:v>
                </c:pt>
                <c:pt idx="8">
                  <c:v>0.35469778040507688</c:v>
                </c:pt>
                <c:pt idx="9">
                  <c:v>0.35469778040507688</c:v>
                </c:pt>
                <c:pt idx="10">
                  <c:v>0.35469778040507688</c:v>
                </c:pt>
                <c:pt idx="11">
                  <c:v>0.35469778040507688</c:v>
                </c:pt>
                <c:pt idx="12">
                  <c:v>0.35469778040507688</c:v>
                </c:pt>
                <c:pt idx="13">
                  <c:v>0.35469778040507688</c:v>
                </c:pt>
                <c:pt idx="14">
                  <c:v>0.35469778040507688</c:v>
                </c:pt>
                <c:pt idx="15">
                  <c:v>0.35469778040507688</c:v>
                </c:pt>
                <c:pt idx="16">
                  <c:v>0.35469778040507688</c:v>
                </c:pt>
                <c:pt idx="17">
                  <c:v>0.35469778040507688</c:v>
                </c:pt>
                <c:pt idx="18">
                  <c:v>0.35469778040507688</c:v>
                </c:pt>
                <c:pt idx="19">
                  <c:v>0.35469778040507688</c:v>
                </c:pt>
                <c:pt idx="20">
                  <c:v>0.35469778040507688</c:v>
                </c:pt>
                <c:pt idx="21">
                  <c:v>0.35469778040507688</c:v>
                </c:pt>
                <c:pt idx="22">
                  <c:v>0.35469778040507688</c:v>
                </c:pt>
                <c:pt idx="23">
                  <c:v>0.35469778040507688</c:v>
                </c:pt>
                <c:pt idx="24">
                  <c:v>0.35469778040507688</c:v>
                </c:pt>
                <c:pt idx="25">
                  <c:v>0.35469778040507688</c:v>
                </c:pt>
                <c:pt idx="26">
                  <c:v>0.35469778040507688</c:v>
                </c:pt>
                <c:pt idx="27">
                  <c:v>0.35469778040507688</c:v>
                </c:pt>
                <c:pt idx="28">
                  <c:v>0.35469778040507688</c:v>
                </c:pt>
                <c:pt idx="29">
                  <c:v>0.35469778040507688</c:v>
                </c:pt>
                <c:pt idx="30">
                  <c:v>0.35469778040507688</c:v>
                </c:pt>
                <c:pt idx="31">
                  <c:v>0.35469778040507688</c:v>
                </c:pt>
                <c:pt idx="32">
                  <c:v>0.35469778040507688</c:v>
                </c:pt>
                <c:pt idx="33">
                  <c:v>0.35469778040507688</c:v>
                </c:pt>
                <c:pt idx="34">
                  <c:v>0.35469778040507688</c:v>
                </c:pt>
                <c:pt idx="35">
                  <c:v>0.35469778040507688</c:v>
                </c:pt>
                <c:pt idx="36">
                  <c:v>0.35469778040507688</c:v>
                </c:pt>
                <c:pt idx="37">
                  <c:v>0.35469778040507688</c:v>
                </c:pt>
                <c:pt idx="38">
                  <c:v>0.35469778040507688</c:v>
                </c:pt>
                <c:pt idx="39">
                  <c:v>0.35469778040507688</c:v>
                </c:pt>
                <c:pt idx="40">
                  <c:v>0.35469778040507688</c:v>
                </c:pt>
                <c:pt idx="41">
                  <c:v>0.35469778040507688</c:v>
                </c:pt>
                <c:pt idx="42">
                  <c:v>0.35469778040507688</c:v>
                </c:pt>
                <c:pt idx="43">
                  <c:v>0.35469778040507688</c:v>
                </c:pt>
                <c:pt idx="44">
                  <c:v>0.35469778040507688</c:v>
                </c:pt>
                <c:pt idx="45">
                  <c:v>0.35469778040507688</c:v>
                </c:pt>
                <c:pt idx="46">
                  <c:v>0.35469778040507688</c:v>
                </c:pt>
                <c:pt idx="47">
                  <c:v>0.35469778040507688</c:v>
                </c:pt>
                <c:pt idx="48">
                  <c:v>0.35469778040507688</c:v>
                </c:pt>
                <c:pt idx="49">
                  <c:v>0.35469778040507688</c:v>
                </c:pt>
                <c:pt idx="50">
                  <c:v>0.35469778040507688</c:v>
                </c:pt>
                <c:pt idx="51">
                  <c:v>0.35469778040507688</c:v>
                </c:pt>
                <c:pt idx="52">
                  <c:v>0.35469778040507688</c:v>
                </c:pt>
                <c:pt idx="53">
                  <c:v>0.35469778040507688</c:v>
                </c:pt>
                <c:pt idx="54">
                  <c:v>0.35469778040507688</c:v>
                </c:pt>
                <c:pt idx="55">
                  <c:v>0.35469778040507688</c:v>
                </c:pt>
                <c:pt idx="56">
                  <c:v>0.35469778040507688</c:v>
                </c:pt>
                <c:pt idx="57">
                  <c:v>0.35469778040507688</c:v>
                </c:pt>
                <c:pt idx="58">
                  <c:v>0.35469778040507688</c:v>
                </c:pt>
                <c:pt idx="59">
                  <c:v>0.35469778040507688</c:v>
                </c:pt>
                <c:pt idx="60">
                  <c:v>0.35469778040507688</c:v>
                </c:pt>
                <c:pt idx="61">
                  <c:v>0.35469778040507688</c:v>
                </c:pt>
                <c:pt idx="62">
                  <c:v>0.35469778040507688</c:v>
                </c:pt>
                <c:pt idx="63">
                  <c:v>0.35469778040507688</c:v>
                </c:pt>
                <c:pt idx="64">
                  <c:v>0.35469778040507688</c:v>
                </c:pt>
                <c:pt idx="65">
                  <c:v>0.35469778040507688</c:v>
                </c:pt>
                <c:pt idx="66">
                  <c:v>0.35469778040507688</c:v>
                </c:pt>
                <c:pt idx="67">
                  <c:v>0.35469778040507688</c:v>
                </c:pt>
                <c:pt idx="68">
                  <c:v>0.35469778040507688</c:v>
                </c:pt>
                <c:pt idx="69">
                  <c:v>0.35469778040507688</c:v>
                </c:pt>
                <c:pt idx="70">
                  <c:v>0.35469778040507688</c:v>
                </c:pt>
                <c:pt idx="71">
                  <c:v>0.35469778040507688</c:v>
                </c:pt>
                <c:pt idx="72">
                  <c:v>0.35469778040507688</c:v>
                </c:pt>
                <c:pt idx="73">
                  <c:v>0.35469778040507688</c:v>
                </c:pt>
                <c:pt idx="74">
                  <c:v>0.35469778040507688</c:v>
                </c:pt>
                <c:pt idx="75">
                  <c:v>0.35469778040507688</c:v>
                </c:pt>
                <c:pt idx="76">
                  <c:v>0.35469778040507688</c:v>
                </c:pt>
                <c:pt idx="77">
                  <c:v>0.35469778040507688</c:v>
                </c:pt>
                <c:pt idx="78">
                  <c:v>0.35469778040507688</c:v>
                </c:pt>
                <c:pt idx="79">
                  <c:v>0.35469778040507688</c:v>
                </c:pt>
                <c:pt idx="80">
                  <c:v>0.35469778040507688</c:v>
                </c:pt>
                <c:pt idx="81">
                  <c:v>0.35469778040507688</c:v>
                </c:pt>
                <c:pt idx="82">
                  <c:v>0.35469778040507688</c:v>
                </c:pt>
                <c:pt idx="83">
                  <c:v>0.35469778040507688</c:v>
                </c:pt>
                <c:pt idx="84">
                  <c:v>0.35469778040507688</c:v>
                </c:pt>
                <c:pt idx="85">
                  <c:v>0.35469778040507688</c:v>
                </c:pt>
                <c:pt idx="86">
                  <c:v>0.35469778040507688</c:v>
                </c:pt>
                <c:pt idx="87">
                  <c:v>0.35469778040507688</c:v>
                </c:pt>
                <c:pt idx="88">
                  <c:v>0.35469778040507688</c:v>
                </c:pt>
                <c:pt idx="89">
                  <c:v>0.35469778040507688</c:v>
                </c:pt>
                <c:pt idx="90">
                  <c:v>0.35469778040507688</c:v>
                </c:pt>
                <c:pt idx="91">
                  <c:v>0.35469778040507688</c:v>
                </c:pt>
                <c:pt idx="92">
                  <c:v>0.35469778040507688</c:v>
                </c:pt>
                <c:pt idx="93">
                  <c:v>0.35469778040507688</c:v>
                </c:pt>
                <c:pt idx="94">
                  <c:v>0.35469778040507688</c:v>
                </c:pt>
                <c:pt idx="95">
                  <c:v>0.35469778040507688</c:v>
                </c:pt>
                <c:pt idx="96">
                  <c:v>0.35469778040507688</c:v>
                </c:pt>
                <c:pt idx="97">
                  <c:v>0.35469778040507688</c:v>
                </c:pt>
                <c:pt idx="98">
                  <c:v>0.35469778040507688</c:v>
                </c:pt>
                <c:pt idx="99">
                  <c:v>0.35469778040507688</c:v>
                </c:pt>
                <c:pt idx="100">
                  <c:v>0.35469778040507688</c:v>
                </c:pt>
                <c:pt idx="101">
                  <c:v>0.35469778040507688</c:v>
                </c:pt>
                <c:pt idx="102">
                  <c:v>0.35469778040507688</c:v>
                </c:pt>
                <c:pt idx="103">
                  <c:v>0.35469778040507688</c:v>
                </c:pt>
                <c:pt idx="104">
                  <c:v>0.35469778040507688</c:v>
                </c:pt>
                <c:pt idx="105">
                  <c:v>0.35469778040507688</c:v>
                </c:pt>
                <c:pt idx="106">
                  <c:v>0.35469778040507688</c:v>
                </c:pt>
                <c:pt idx="107">
                  <c:v>0.35469778040507688</c:v>
                </c:pt>
                <c:pt idx="108">
                  <c:v>0.35469778040507688</c:v>
                </c:pt>
                <c:pt idx="109">
                  <c:v>0.35469778040507688</c:v>
                </c:pt>
                <c:pt idx="110">
                  <c:v>0.35469778040507688</c:v>
                </c:pt>
                <c:pt idx="111">
                  <c:v>0.35469778040507688</c:v>
                </c:pt>
                <c:pt idx="112">
                  <c:v>0.35469778040507688</c:v>
                </c:pt>
                <c:pt idx="113">
                  <c:v>0.35469778040507688</c:v>
                </c:pt>
                <c:pt idx="114">
                  <c:v>0.35469778040507688</c:v>
                </c:pt>
                <c:pt idx="115">
                  <c:v>0.35469778040507688</c:v>
                </c:pt>
                <c:pt idx="116">
                  <c:v>0.35469778040507688</c:v>
                </c:pt>
                <c:pt idx="117">
                  <c:v>0.35469778040507688</c:v>
                </c:pt>
                <c:pt idx="118">
                  <c:v>0.35469778040507688</c:v>
                </c:pt>
                <c:pt idx="119">
                  <c:v>0.35469778040507688</c:v>
                </c:pt>
                <c:pt idx="120">
                  <c:v>0.35469778040507688</c:v>
                </c:pt>
                <c:pt idx="121">
                  <c:v>0.35469778040507688</c:v>
                </c:pt>
                <c:pt idx="122">
                  <c:v>0.35469778040507688</c:v>
                </c:pt>
                <c:pt idx="123">
                  <c:v>0.35469778040507688</c:v>
                </c:pt>
                <c:pt idx="124">
                  <c:v>0.35469778040507688</c:v>
                </c:pt>
                <c:pt idx="125">
                  <c:v>0.35469778040507688</c:v>
                </c:pt>
                <c:pt idx="126">
                  <c:v>0.35469778040507688</c:v>
                </c:pt>
                <c:pt idx="127">
                  <c:v>0.35469778040507688</c:v>
                </c:pt>
                <c:pt idx="128">
                  <c:v>0.35469778040507688</c:v>
                </c:pt>
                <c:pt idx="129">
                  <c:v>0.35469778040507688</c:v>
                </c:pt>
                <c:pt idx="130">
                  <c:v>0.35469778040507688</c:v>
                </c:pt>
                <c:pt idx="131">
                  <c:v>0.35469778040507688</c:v>
                </c:pt>
                <c:pt idx="132">
                  <c:v>0.35469778040507688</c:v>
                </c:pt>
                <c:pt idx="133">
                  <c:v>0.35469778040507688</c:v>
                </c:pt>
                <c:pt idx="134">
                  <c:v>0.35469778040507688</c:v>
                </c:pt>
                <c:pt idx="135">
                  <c:v>0.35469778040507688</c:v>
                </c:pt>
                <c:pt idx="136">
                  <c:v>0.35469778040507688</c:v>
                </c:pt>
                <c:pt idx="137">
                  <c:v>0.35469778040507688</c:v>
                </c:pt>
                <c:pt idx="138">
                  <c:v>0.35469778040507688</c:v>
                </c:pt>
                <c:pt idx="139">
                  <c:v>0.35469778040507688</c:v>
                </c:pt>
                <c:pt idx="140">
                  <c:v>0.35469778040507688</c:v>
                </c:pt>
                <c:pt idx="141">
                  <c:v>0.35469778040507688</c:v>
                </c:pt>
                <c:pt idx="142">
                  <c:v>0.35469778040507688</c:v>
                </c:pt>
                <c:pt idx="143">
                  <c:v>0.35469778040507688</c:v>
                </c:pt>
                <c:pt idx="144">
                  <c:v>0.35469778040507688</c:v>
                </c:pt>
                <c:pt idx="145">
                  <c:v>0.35469778040507688</c:v>
                </c:pt>
                <c:pt idx="146">
                  <c:v>0.35469778040507688</c:v>
                </c:pt>
                <c:pt idx="147">
                  <c:v>0.35469778040507688</c:v>
                </c:pt>
                <c:pt idx="148">
                  <c:v>0.35469778040507688</c:v>
                </c:pt>
                <c:pt idx="149">
                  <c:v>0.35469778040507688</c:v>
                </c:pt>
                <c:pt idx="150">
                  <c:v>0.35469778040507688</c:v>
                </c:pt>
                <c:pt idx="151">
                  <c:v>0.35469778040507688</c:v>
                </c:pt>
                <c:pt idx="152">
                  <c:v>0.35469778040507688</c:v>
                </c:pt>
                <c:pt idx="153">
                  <c:v>0.35469778040507688</c:v>
                </c:pt>
                <c:pt idx="154">
                  <c:v>0.35469778040507688</c:v>
                </c:pt>
                <c:pt idx="155">
                  <c:v>0.35469778040507688</c:v>
                </c:pt>
                <c:pt idx="156">
                  <c:v>0.35469778040507688</c:v>
                </c:pt>
                <c:pt idx="157">
                  <c:v>0.35469778040507688</c:v>
                </c:pt>
                <c:pt idx="158">
                  <c:v>0.35469778040507688</c:v>
                </c:pt>
                <c:pt idx="159">
                  <c:v>0.35469778040507688</c:v>
                </c:pt>
                <c:pt idx="160">
                  <c:v>0.35469778040507688</c:v>
                </c:pt>
                <c:pt idx="161">
                  <c:v>0.35469778040507688</c:v>
                </c:pt>
                <c:pt idx="162">
                  <c:v>0.35469778040507688</c:v>
                </c:pt>
                <c:pt idx="163">
                  <c:v>0.35469778040507688</c:v>
                </c:pt>
                <c:pt idx="164">
                  <c:v>0.35469778040507688</c:v>
                </c:pt>
                <c:pt idx="165">
                  <c:v>0.35469778040507688</c:v>
                </c:pt>
                <c:pt idx="166">
                  <c:v>0.35469778040507688</c:v>
                </c:pt>
                <c:pt idx="167">
                  <c:v>0.35469778040507688</c:v>
                </c:pt>
                <c:pt idx="168">
                  <c:v>0.35469778040507688</c:v>
                </c:pt>
                <c:pt idx="169">
                  <c:v>0.35469778040507688</c:v>
                </c:pt>
                <c:pt idx="170">
                  <c:v>0.35469778040507688</c:v>
                </c:pt>
                <c:pt idx="171">
                  <c:v>0.35469778040507688</c:v>
                </c:pt>
                <c:pt idx="172">
                  <c:v>0.35469778040507688</c:v>
                </c:pt>
                <c:pt idx="173">
                  <c:v>0.35469778040507688</c:v>
                </c:pt>
                <c:pt idx="174">
                  <c:v>0.35469778040507688</c:v>
                </c:pt>
                <c:pt idx="175">
                  <c:v>0.35469778040507688</c:v>
                </c:pt>
                <c:pt idx="176">
                  <c:v>0.35469778040507688</c:v>
                </c:pt>
                <c:pt idx="177">
                  <c:v>0.35469778040507688</c:v>
                </c:pt>
                <c:pt idx="178">
                  <c:v>0.35469778040507688</c:v>
                </c:pt>
                <c:pt idx="179">
                  <c:v>0.35469778040507688</c:v>
                </c:pt>
                <c:pt idx="180">
                  <c:v>0.35469778040507688</c:v>
                </c:pt>
                <c:pt idx="181">
                  <c:v>0.35469778040507688</c:v>
                </c:pt>
                <c:pt idx="182">
                  <c:v>0.35469778040507688</c:v>
                </c:pt>
                <c:pt idx="183">
                  <c:v>0.35469778040507688</c:v>
                </c:pt>
                <c:pt idx="184">
                  <c:v>0.35469778040507688</c:v>
                </c:pt>
                <c:pt idx="185">
                  <c:v>0.35469778040507688</c:v>
                </c:pt>
                <c:pt idx="186">
                  <c:v>0.35469778040507688</c:v>
                </c:pt>
                <c:pt idx="187">
                  <c:v>0.35469778040507688</c:v>
                </c:pt>
                <c:pt idx="188">
                  <c:v>0.35469778040507688</c:v>
                </c:pt>
                <c:pt idx="189">
                  <c:v>0.35469778040507688</c:v>
                </c:pt>
                <c:pt idx="190">
                  <c:v>0.35469778040507688</c:v>
                </c:pt>
                <c:pt idx="191">
                  <c:v>0.35469778040507688</c:v>
                </c:pt>
                <c:pt idx="192">
                  <c:v>0.35469778040507688</c:v>
                </c:pt>
                <c:pt idx="193">
                  <c:v>0.35469778040507688</c:v>
                </c:pt>
                <c:pt idx="194">
                  <c:v>0.35469778040507688</c:v>
                </c:pt>
                <c:pt idx="195">
                  <c:v>0.35469778040507688</c:v>
                </c:pt>
                <c:pt idx="196">
                  <c:v>0.35469778040507688</c:v>
                </c:pt>
                <c:pt idx="197">
                  <c:v>0.35469778040507688</c:v>
                </c:pt>
                <c:pt idx="198">
                  <c:v>0.35469778040507688</c:v>
                </c:pt>
                <c:pt idx="199">
                  <c:v>0.35469778040507688</c:v>
                </c:pt>
                <c:pt idx="200">
                  <c:v>0.35469778040507688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50-4693-87EC-E6FE089F42EA}"/>
            </c:ext>
          </c:extLst>
        </c:ser>
        <c:ser>
          <c:idx val="1"/>
          <c:order val="1"/>
          <c:tx>
            <c:strRef>
              <c:f>'Ejercicio 1.e (2)'!$D$1</c:f>
              <c:strCache>
                <c:ptCount val="1"/>
                <c:pt idx="0">
                  <c:v>K_t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'Ejercicio 1.e (2)'!$A$2:$A$202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'Ejercicio 1.e (2)'!$D$2:$D$202</c:f>
              <c:numCache>
                <c:formatCode>0.0000000</c:formatCode>
                <c:ptCount val="201"/>
                <c:pt idx="0">
                  <c:v>0.35469778040507688</c:v>
                </c:pt>
                <c:pt idx="1">
                  <c:v>0.35469922935008247</c:v>
                </c:pt>
                <c:pt idx="2">
                  <c:v>0.3546951935788612</c:v>
                </c:pt>
                <c:pt idx="3">
                  <c:v>0.35469353146114629</c:v>
                </c:pt>
                <c:pt idx="4">
                  <c:v>0.35468837610614934</c:v>
                </c:pt>
                <c:pt idx="5">
                  <c:v>0.35468335815183571</c:v>
                </c:pt>
                <c:pt idx="6">
                  <c:v>0.35468130136649179</c:v>
                </c:pt>
                <c:pt idx="7">
                  <c:v>0.35468009323278726</c:v>
                </c:pt>
                <c:pt idx="8">
                  <c:v>0.35467288961795906</c:v>
                </c:pt>
                <c:pt idx="9">
                  <c:v>0.3546699177806002</c:v>
                </c:pt>
                <c:pt idx="10">
                  <c:v>0.35466685168515732</c:v>
                </c:pt>
                <c:pt idx="11">
                  <c:v>0.35466208474679711</c:v>
                </c:pt>
                <c:pt idx="12">
                  <c:v>0.35465595918314846</c:v>
                </c:pt>
                <c:pt idx="13">
                  <c:v>0.35465371506988908</c:v>
                </c:pt>
                <c:pt idx="14">
                  <c:v>0.35465293697529404</c:v>
                </c:pt>
                <c:pt idx="15">
                  <c:v>0.35464570796954875</c:v>
                </c:pt>
                <c:pt idx="16">
                  <c:v>0.35463648543969922</c:v>
                </c:pt>
                <c:pt idx="17">
                  <c:v>0.35462900043888373</c:v>
                </c:pt>
                <c:pt idx="18">
                  <c:v>0.3546185520499045</c:v>
                </c:pt>
                <c:pt idx="19">
                  <c:v>0.35460736728581504</c:v>
                </c:pt>
                <c:pt idx="20">
                  <c:v>0.35459530794903582</c:v>
                </c:pt>
                <c:pt idx="21">
                  <c:v>0.35458206392226665</c:v>
                </c:pt>
                <c:pt idx="22">
                  <c:v>0.35456169509973939</c:v>
                </c:pt>
                <c:pt idx="23">
                  <c:v>0.35454253826569776</c:v>
                </c:pt>
                <c:pt idx="24">
                  <c:v>0.35452634171591479</c:v>
                </c:pt>
                <c:pt idx="25">
                  <c:v>0.35451536436376779</c:v>
                </c:pt>
                <c:pt idx="26">
                  <c:v>0.35450367094103002</c:v>
                </c:pt>
                <c:pt idx="27">
                  <c:v>0.35448715443713363</c:v>
                </c:pt>
                <c:pt idx="28">
                  <c:v>0.35446727173615133</c:v>
                </c:pt>
                <c:pt idx="29">
                  <c:v>0.35444633532346753</c:v>
                </c:pt>
                <c:pt idx="30">
                  <c:v>0.3544254440068465</c:v>
                </c:pt>
                <c:pt idx="31">
                  <c:v>0.35440409818360202</c:v>
                </c:pt>
                <c:pt idx="32">
                  <c:v>0.35438591992216262</c:v>
                </c:pt>
                <c:pt idx="33">
                  <c:v>0.35437733994824133</c:v>
                </c:pt>
                <c:pt idx="34">
                  <c:v>0.35436596476814802</c:v>
                </c:pt>
                <c:pt idx="35">
                  <c:v>0.35435888405049959</c:v>
                </c:pt>
                <c:pt idx="36">
                  <c:v>0.35435294179144466</c:v>
                </c:pt>
                <c:pt idx="37">
                  <c:v>0.35435119134107579</c:v>
                </c:pt>
                <c:pt idx="38">
                  <c:v>0.35435150727116904</c:v>
                </c:pt>
                <c:pt idx="39">
                  <c:v>0.3543474779341424</c:v>
                </c:pt>
                <c:pt idx="40">
                  <c:v>0.35434365591879874</c:v>
                </c:pt>
                <c:pt idx="41">
                  <c:v>0.35434459813905267</c:v>
                </c:pt>
                <c:pt idx="42">
                  <c:v>0.35435284815595131</c:v>
                </c:pt>
                <c:pt idx="43">
                  <c:v>0.35436111191700964</c:v>
                </c:pt>
                <c:pt idx="44">
                  <c:v>0.35436808639530742</c:v>
                </c:pt>
                <c:pt idx="45">
                  <c:v>0.35437600781191209</c:v>
                </c:pt>
                <c:pt idx="46">
                  <c:v>0.35438877758744969</c:v>
                </c:pt>
                <c:pt idx="47">
                  <c:v>0.35440433200109089</c:v>
                </c:pt>
                <c:pt idx="48">
                  <c:v>0.35441833339172729</c:v>
                </c:pt>
                <c:pt idx="49">
                  <c:v>0.35443253801977326</c:v>
                </c:pt>
                <c:pt idx="50">
                  <c:v>0.35444223341184156</c:v>
                </c:pt>
                <c:pt idx="51">
                  <c:v>0.3544552343554771</c:v>
                </c:pt>
                <c:pt idx="52">
                  <c:v>0.35446390472328088</c:v>
                </c:pt>
                <c:pt idx="53">
                  <c:v>0.35446615257278746</c:v>
                </c:pt>
                <c:pt idx="54">
                  <c:v>0.35446722578047746</c:v>
                </c:pt>
                <c:pt idx="55">
                  <c:v>0.35447221734906809</c:v>
                </c:pt>
                <c:pt idx="56">
                  <c:v>0.35448279079029088</c:v>
                </c:pt>
                <c:pt idx="57">
                  <c:v>0.35449275063577013</c:v>
                </c:pt>
                <c:pt idx="58">
                  <c:v>0.35450823846515955</c:v>
                </c:pt>
                <c:pt idx="59">
                  <c:v>0.35452324441113081</c:v>
                </c:pt>
                <c:pt idx="60">
                  <c:v>0.35453623099241172</c:v>
                </c:pt>
                <c:pt idx="61">
                  <c:v>0.35454527404220548</c:v>
                </c:pt>
                <c:pt idx="62">
                  <c:v>0.35455650087983931</c:v>
                </c:pt>
                <c:pt idx="63">
                  <c:v>0.3545737040241061</c:v>
                </c:pt>
                <c:pt idx="64">
                  <c:v>0.3545858102759426</c:v>
                </c:pt>
                <c:pt idx="65">
                  <c:v>0.35459465568162196</c:v>
                </c:pt>
                <c:pt idx="66">
                  <c:v>0.35460026330176153</c:v>
                </c:pt>
                <c:pt idx="67">
                  <c:v>0.35461407330473282</c:v>
                </c:pt>
                <c:pt idx="68">
                  <c:v>0.35462614666779196</c:v>
                </c:pt>
                <c:pt idx="69">
                  <c:v>0.35464275414197777</c:v>
                </c:pt>
                <c:pt idx="70">
                  <c:v>0.35465154133714</c:v>
                </c:pt>
                <c:pt idx="71">
                  <c:v>0.35466002980870598</c:v>
                </c:pt>
                <c:pt idx="72">
                  <c:v>0.35466675109648271</c:v>
                </c:pt>
                <c:pt idx="73">
                  <c:v>0.35466924624763468</c:v>
                </c:pt>
                <c:pt idx="74">
                  <c:v>0.35467313951749252</c:v>
                </c:pt>
                <c:pt idx="75">
                  <c:v>0.35468890414624871</c:v>
                </c:pt>
                <c:pt idx="76">
                  <c:v>0.35469981003941536</c:v>
                </c:pt>
                <c:pt idx="77">
                  <c:v>0.35470342918810221</c:v>
                </c:pt>
                <c:pt idx="78">
                  <c:v>0.35470410675734482</c:v>
                </c:pt>
                <c:pt idx="79">
                  <c:v>0.35470306729127921</c:v>
                </c:pt>
                <c:pt idx="80">
                  <c:v>0.35470392742524665</c:v>
                </c:pt>
                <c:pt idx="81">
                  <c:v>0.35470429334184467</c:v>
                </c:pt>
                <c:pt idx="82">
                  <c:v>0.35470816851300979</c:v>
                </c:pt>
                <c:pt idx="83">
                  <c:v>0.35470882022520089</c:v>
                </c:pt>
                <c:pt idx="84">
                  <c:v>0.35470706266885876</c:v>
                </c:pt>
                <c:pt idx="85">
                  <c:v>0.35470267498448316</c:v>
                </c:pt>
                <c:pt idx="86">
                  <c:v>0.35470099007454198</c:v>
                </c:pt>
                <c:pt idx="87">
                  <c:v>0.35469911568051776</c:v>
                </c:pt>
                <c:pt idx="88">
                  <c:v>0.3546976856106368</c:v>
                </c:pt>
                <c:pt idx="89">
                  <c:v>0.35469936121983614</c:v>
                </c:pt>
                <c:pt idx="90">
                  <c:v>0.35469814038508651</c:v>
                </c:pt>
                <c:pt idx="91">
                  <c:v>0.35469756006363956</c:v>
                </c:pt>
                <c:pt idx="92">
                  <c:v>0.35470181013465601</c:v>
                </c:pt>
                <c:pt idx="93">
                  <c:v>0.35470119365867053</c:v>
                </c:pt>
                <c:pt idx="94">
                  <c:v>0.35470175939436066</c:v>
                </c:pt>
                <c:pt idx="95">
                  <c:v>0.35469761639842606</c:v>
                </c:pt>
                <c:pt idx="96">
                  <c:v>0.35470441185713147</c:v>
                </c:pt>
                <c:pt idx="97">
                  <c:v>0.35471458765954056</c:v>
                </c:pt>
                <c:pt idx="98">
                  <c:v>0.35472434733604591</c:v>
                </c:pt>
                <c:pt idx="99">
                  <c:v>0.35473387294926662</c:v>
                </c:pt>
                <c:pt idx="100">
                  <c:v>0.35475131667354048</c:v>
                </c:pt>
                <c:pt idx="101">
                  <c:v>0.35476247370797193</c:v>
                </c:pt>
                <c:pt idx="102">
                  <c:v>0.35477787997433796</c:v>
                </c:pt>
                <c:pt idx="103">
                  <c:v>0.35479694679734641</c:v>
                </c:pt>
                <c:pt idx="104">
                  <c:v>0.35481343671929039</c:v>
                </c:pt>
                <c:pt idx="105">
                  <c:v>0.35482380160443078</c:v>
                </c:pt>
                <c:pt idx="106">
                  <c:v>0.35483734545558743</c:v>
                </c:pt>
                <c:pt idx="107">
                  <c:v>0.35484475159812157</c:v>
                </c:pt>
                <c:pt idx="108">
                  <c:v>0.35485375518647921</c:v>
                </c:pt>
                <c:pt idx="109">
                  <c:v>0.35485800576675153</c:v>
                </c:pt>
                <c:pt idx="110">
                  <c:v>0.35486635337269645</c:v>
                </c:pt>
                <c:pt idx="111">
                  <c:v>0.35487571018128289</c:v>
                </c:pt>
                <c:pt idx="112">
                  <c:v>0.35488530337059182</c:v>
                </c:pt>
                <c:pt idx="113">
                  <c:v>0.35489826919513245</c:v>
                </c:pt>
                <c:pt idx="114">
                  <c:v>0.35491120654344982</c:v>
                </c:pt>
                <c:pt idx="115">
                  <c:v>0.35492209229807165</c:v>
                </c:pt>
                <c:pt idx="116">
                  <c:v>0.35493541914930821</c:v>
                </c:pt>
                <c:pt idx="117">
                  <c:v>0.35495178610216721</c:v>
                </c:pt>
                <c:pt idx="118">
                  <c:v>0.35496688562950024</c:v>
                </c:pt>
                <c:pt idx="119">
                  <c:v>0.35497908549904988</c:v>
                </c:pt>
                <c:pt idx="120">
                  <c:v>0.35498784358219782</c:v>
                </c:pt>
                <c:pt idx="121">
                  <c:v>0.35499896748090132</c:v>
                </c:pt>
                <c:pt idx="122">
                  <c:v>0.35500808769266662</c:v>
                </c:pt>
                <c:pt idx="123">
                  <c:v>0.35501635482907379</c:v>
                </c:pt>
                <c:pt idx="124">
                  <c:v>0.35501539123290748</c:v>
                </c:pt>
                <c:pt idx="125">
                  <c:v>0.35500958264181665</c:v>
                </c:pt>
                <c:pt idx="126">
                  <c:v>0.35499854986180351</c:v>
                </c:pt>
                <c:pt idx="127">
                  <c:v>0.3549983281280808</c:v>
                </c:pt>
                <c:pt idx="128">
                  <c:v>0.35499616177940729</c:v>
                </c:pt>
                <c:pt idx="129">
                  <c:v>0.35499358085231986</c:v>
                </c:pt>
                <c:pt idx="130">
                  <c:v>0.35499333924717474</c:v>
                </c:pt>
                <c:pt idx="131">
                  <c:v>0.35499369571169603</c:v>
                </c:pt>
                <c:pt idx="132">
                  <c:v>0.35499079362650976</c:v>
                </c:pt>
                <c:pt idx="133">
                  <c:v>0.35499370874627367</c:v>
                </c:pt>
                <c:pt idx="134">
                  <c:v>0.35498990611751408</c:v>
                </c:pt>
                <c:pt idx="135">
                  <c:v>0.35498794609641754</c:v>
                </c:pt>
                <c:pt idx="136">
                  <c:v>0.35498288602275452</c:v>
                </c:pt>
                <c:pt idx="137">
                  <c:v>0.35497797480698534</c:v>
                </c:pt>
                <c:pt idx="138">
                  <c:v>0.35496896886585283</c:v>
                </c:pt>
                <c:pt idx="139">
                  <c:v>0.35495188232261454</c:v>
                </c:pt>
                <c:pt idx="140">
                  <c:v>0.35493751654935263</c:v>
                </c:pt>
                <c:pt idx="141">
                  <c:v>0.35493468602259037</c:v>
                </c:pt>
                <c:pt idx="142">
                  <c:v>0.35493390184650059</c:v>
                </c:pt>
                <c:pt idx="143">
                  <c:v>0.35493714781569863</c:v>
                </c:pt>
                <c:pt idx="144">
                  <c:v>0.35494442092227929</c:v>
                </c:pt>
                <c:pt idx="145">
                  <c:v>0.35495453404929417</c:v>
                </c:pt>
                <c:pt idx="146">
                  <c:v>0.35496296890616075</c:v>
                </c:pt>
                <c:pt idx="147">
                  <c:v>0.35497332326118192</c:v>
                </c:pt>
                <c:pt idx="148">
                  <c:v>0.3549817364000033</c:v>
                </c:pt>
                <c:pt idx="149">
                  <c:v>0.35499171033951238</c:v>
                </c:pt>
                <c:pt idx="150">
                  <c:v>0.35501248816063319</c:v>
                </c:pt>
                <c:pt idx="151">
                  <c:v>0.35503169641865928</c:v>
                </c:pt>
                <c:pt idx="152">
                  <c:v>0.35505725195794668</c:v>
                </c:pt>
                <c:pt idx="153">
                  <c:v>0.35507496962510271</c:v>
                </c:pt>
                <c:pt idx="154">
                  <c:v>0.3550935234145457</c:v>
                </c:pt>
                <c:pt idx="155">
                  <c:v>0.35510918758405663</c:v>
                </c:pt>
                <c:pt idx="156">
                  <c:v>0.35512912408990716</c:v>
                </c:pt>
                <c:pt idx="157">
                  <c:v>0.35514550683112461</c:v>
                </c:pt>
                <c:pt idx="158">
                  <c:v>0.35515719789780681</c:v>
                </c:pt>
                <c:pt idx="159">
                  <c:v>0.35517227914464411</c:v>
                </c:pt>
                <c:pt idx="160">
                  <c:v>0.35518594625935385</c:v>
                </c:pt>
                <c:pt idx="161">
                  <c:v>0.35519966739745934</c:v>
                </c:pt>
                <c:pt idx="162">
                  <c:v>0.3552195015792321</c:v>
                </c:pt>
                <c:pt idx="163">
                  <c:v>0.35524561099641261</c:v>
                </c:pt>
                <c:pt idx="164">
                  <c:v>0.35527312996564131</c:v>
                </c:pt>
                <c:pt idx="165">
                  <c:v>0.35530252542700502</c:v>
                </c:pt>
                <c:pt idx="166">
                  <c:v>0.35532988497314477</c:v>
                </c:pt>
                <c:pt idx="167">
                  <c:v>0.35535780879901741</c:v>
                </c:pt>
                <c:pt idx="168">
                  <c:v>0.35539149775770212</c:v>
                </c:pt>
                <c:pt idx="169">
                  <c:v>0.35542588313557311</c:v>
                </c:pt>
                <c:pt idx="170">
                  <c:v>0.35546174827096239</c:v>
                </c:pt>
                <c:pt idx="171">
                  <c:v>0.35549826043810251</c:v>
                </c:pt>
                <c:pt idx="172">
                  <c:v>0.35553312538223653</c:v>
                </c:pt>
                <c:pt idx="173">
                  <c:v>0.35556814410945969</c:v>
                </c:pt>
                <c:pt idx="174">
                  <c:v>0.35560328018900911</c:v>
                </c:pt>
                <c:pt idx="175">
                  <c:v>0.35563538874544265</c:v>
                </c:pt>
                <c:pt idx="176">
                  <c:v>0.35566419600080551</c:v>
                </c:pt>
                <c:pt idx="177">
                  <c:v>0.35569958706236254</c:v>
                </c:pt>
                <c:pt idx="178">
                  <c:v>0.3557344729073047</c:v>
                </c:pt>
                <c:pt idx="179">
                  <c:v>0.35576785513816461</c:v>
                </c:pt>
                <c:pt idx="180">
                  <c:v>0.35579995836363748</c:v>
                </c:pt>
                <c:pt idx="181">
                  <c:v>0.35583510849750677</c:v>
                </c:pt>
                <c:pt idx="182">
                  <c:v>0.35586962440348968</c:v>
                </c:pt>
                <c:pt idx="183">
                  <c:v>0.35590024562385558</c:v>
                </c:pt>
                <c:pt idx="184">
                  <c:v>0.3559312027456869</c:v>
                </c:pt>
                <c:pt idx="185">
                  <c:v>0.35596518932032312</c:v>
                </c:pt>
                <c:pt idx="186">
                  <c:v>0.3560036147898466</c:v>
                </c:pt>
                <c:pt idx="187">
                  <c:v>0.35604901793997235</c:v>
                </c:pt>
                <c:pt idx="188">
                  <c:v>0.35608801994900002</c:v>
                </c:pt>
                <c:pt idx="189">
                  <c:v>0.35612737951987672</c:v>
                </c:pt>
                <c:pt idx="190">
                  <c:v>0.35616752133856511</c:v>
                </c:pt>
                <c:pt idx="191">
                  <c:v>0.35620253809071362</c:v>
                </c:pt>
                <c:pt idx="192">
                  <c:v>0.35623921427278732</c:v>
                </c:pt>
                <c:pt idx="193">
                  <c:v>0.35626779979551976</c:v>
                </c:pt>
                <c:pt idx="194">
                  <c:v>0.35629813093292956</c:v>
                </c:pt>
                <c:pt idx="195">
                  <c:v>0.35632571699257959</c:v>
                </c:pt>
                <c:pt idx="196">
                  <c:v>0.3563550561424908</c:v>
                </c:pt>
                <c:pt idx="197">
                  <c:v>0.35637955767519069</c:v>
                </c:pt>
                <c:pt idx="198">
                  <c:v>0.35640596326821383</c:v>
                </c:pt>
                <c:pt idx="199">
                  <c:v>0.35643956243895808</c:v>
                </c:pt>
                <c:pt idx="200">
                  <c:v>0.35647300028230872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50-4693-87EC-E6FE089F4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6530336"/>
        <c:axId val="476532960"/>
      </c:lineChart>
      <c:catAx>
        <c:axId val="47653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76532960"/>
        <c:crosses val="autoZero"/>
        <c:auto val="1"/>
        <c:lblAlgn val="ctr"/>
        <c:lblOffset val="100"/>
        <c:noMultiLvlLbl val="0"/>
      </c:catAx>
      <c:valAx>
        <c:axId val="476532960"/>
        <c:scaling>
          <c:orientation val="minMax"/>
          <c:min val="0.35400000000000004"/>
        </c:scaling>
        <c:delete val="0"/>
        <c:axPos val="l"/>
        <c:numFmt formatCode="0.0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7653033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/>
              <a:t>Función impulso-respuesta de 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'Ejercicio 1.e (4)'!$F$1</c:f>
              <c:strCache>
                <c:ptCount val="1"/>
                <c:pt idx="0">
                  <c:v>Y_EEN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'Ejercicio 1.e (4)'!$A$2:$A$52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'Ejercicio 1.e (4)'!$F$2:$F$52</c:f>
              <c:numCache>
                <c:formatCode>0.0000000</c:formatCode>
                <c:ptCount val="51"/>
                <c:pt idx="0">
                  <c:v>0.36465001891249188</c:v>
                </c:pt>
                <c:pt idx="1">
                  <c:v>0.36465001891249188</c:v>
                </c:pt>
                <c:pt idx="2">
                  <c:v>0.36465001891249188</c:v>
                </c:pt>
                <c:pt idx="3">
                  <c:v>0.36465001891249188</c:v>
                </c:pt>
                <c:pt idx="4">
                  <c:v>0.36465001891249188</c:v>
                </c:pt>
                <c:pt idx="5">
                  <c:v>0.36465001891249188</c:v>
                </c:pt>
                <c:pt idx="6">
                  <c:v>0.36465001891249188</c:v>
                </c:pt>
                <c:pt idx="7">
                  <c:v>0.36465001891249188</c:v>
                </c:pt>
                <c:pt idx="8">
                  <c:v>0.36465001891249188</c:v>
                </c:pt>
                <c:pt idx="9">
                  <c:v>0.36465001891249188</c:v>
                </c:pt>
                <c:pt idx="10">
                  <c:v>0.36465001891249188</c:v>
                </c:pt>
                <c:pt idx="11">
                  <c:v>0.36465001891249188</c:v>
                </c:pt>
                <c:pt idx="12">
                  <c:v>0.36465001891249188</c:v>
                </c:pt>
                <c:pt idx="13">
                  <c:v>0.36465001891249188</c:v>
                </c:pt>
                <c:pt idx="14">
                  <c:v>0.36465001891249188</c:v>
                </c:pt>
                <c:pt idx="15">
                  <c:v>0.36465001891249188</c:v>
                </c:pt>
                <c:pt idx="16">
                  <c:v>0.36465001891249188</c:v>
                </c:pt>
                <c:pt idx="17">
                  <c:v>0.36465001891249188</c:v>
                </c:pt>
                <c:pt idx="18">
                  <c:v>0.36465001891249188</c:v>
                </c:pt>
                <c:pt idx="19">
                  <c:v>0.36465001891249188</c:v>
                </c:pt>
                <c:pt idx="20">
                  <c:v>0.36465001891249188</c:v>
                </c:pt>
                <c:pt idx="21">
                  <c:v>0.36465001891249188</c:v>
                </c:pt>
                <c:pt idx="22">
                  <c:v>0.36465001891249188</c:v>
                </c:pt>
                <c:pt idx="23">
                  <c:v>0.36465001891249188</c:v>
                </c:pt>
                <c:pt idx="24">
                  <c:v>0.36465001891249188</c:v>
                </c:pt>
                <c:pt idx="25">
                  <c:v>0.36465001891249188</c:v>
                </c:pt>
                <c:pt idx="26">
                  <c:v>0.36465001891249188</c:v>
                </c:pt>
                <c:pt idx="27">
                  <c:v>0.36465001891249188</c:v>
                </c:pt>
                <c:pt idx="28">
                  <c:v>0.36465001891249188</c:v>
                </c:pt>
                <c:pt idx="29">
                  <c:v>0.36465001891249188</c:v>
                </c:pt>
                <c:pt idx="30">
                  <c:v>0.36465001891249188</c:v>
                </c:pt>
                <c:pt idx="31">
                  <c:v>0.36465001891249188</c:v>
                </c:pt>
                <c:pt idx="32">
                  <c:v>0.36465001891249188</c:v>
                </c:pt>
                <c:pt idx="33">
                  <c:v>0.36465001891249188</c:v>
                </c:pt>
                <c:pt idx="34">
                  <c:v>0.36465001891249188</c:v>
                </c:pt>
                <c:pt idx="35">
                  <c:v>0.36465001891249188</c:v>
                </c:pt>
                <c:pt idx="36">
                  <c:v>0.36465001891249188</c:v>
                </c:pt>
                <c:pt idx="37">
                  <c:v>0.36465001891249188</c:v>
                </c:pt>
                <c:pt idx="38">
                  <c:v>0.36465001891249188</c:v>
                </c:pt>
                <c:pt idx="39">
                  <c:v>0.36465001891249188</c:v>
                </c:pt>
                <c:pt idx="40">
                  <c:v>0.36465001891249188</c:v>
                </c:pt>
                <c:pt idx="41">
                  <c:v>0.36465001891249188</c:v>
                </c:pt>
                <c:pt idx="42">
                  <c:v>0.36465001891249188</c:v>
                </c:pt>
                <c:pt idx="43">
                  <c:v>0.36465001891249188</c:v>
                </c:pt>
                <c:pt idx="44">
                  <c:v>0.36465001891249188</c:v>
                </c:pt>
                <c:pt idx="45">
                  <c:v>0.36465001891249188</c:v>
                </c:pt>
                <c:pt idx="46">
                  <c:v>0.36465001891249188</c:v>
                </c:pt>
                <c:pt idx="47">
                  <c:v>0.36465001891249188</c:v>
                </c:pt>
                <c:pt idx="48">
                  <c:v>0.36465001891249188</c:v>
                </c:pt>
                <c:pt idx="49">
                  <c:v>0.36465001891249188</c:v>
                </c:pt>
                <c:pt idx="50">
                  <c:v>0.36465001891249188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65-4CDC-A7A2-DE1B05583A58}"/>
            </c:ext>
          </c:extLst>
        </c:ser>
        <c:ser>
          <c:idx val="1"/>
          <c:order val="1"/>
          <c:tx>
            <c:strRef>
              <c:f>'Ejercicio 1.e (4)'!$G$1</c:f>
              <c:strCache>
                <c:ptCount val="1"/>
                <c:pt idx="0">
                  <c:v>Y_t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'Ejercicio 1.e (4)'!$A$2:$A$52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'Ejercicio 1.e (4)'!$G$2:$G$52</c:f>
              <c:numCache>
                <c:formatCode>0.0000000</c:formatCode>
                <c:ptCount val="51"/>
                <c:pt idx="0">
                  <c:v>0.36465001891249188</c:v>
                </c:pt>
                <c:pt idx="1">
                  <c:v>0.37201965217121535</c:v>
                </c:pt>
                <c:pt idx="2">
                  <c:v>0.37165086649859885</c:v>
                </c:pt>
                <c:pt idx="3">
                  <c:v>0.37130085627162263</c:v>
                </c:pt>
                <c:pt idx="4">
                  <c:v>0.37096864942249635</c:v>
                </c:pt>
                <c:pt idx="5">
                  <c:v>0.37065332577449966</c:v>
                </c:pt>
                <c:pt idx="6">
                  <c:v>0.37035401412095259</c:v>
                </c:pt>
                <c:pt idx="7">
                  <c:v>0.37006988948292269</c:v>
                </c:pt>
                <c:pt idx="8">
                  <c:v>0.36980017053342212</c:v>
                </c:pt>
                <c:pt idx="9">
                  <c:v>0.36954411717680075</c:v>
                </c:pt>
                <c:pt idx="10">
                  <c:v>0.36930102827290939</c:v>
                </c:pt>
                <c:pt idx="11">
                  <c:v>0.36907023949640499</c:v>
                </c:pt>
                <c:pt idx="12">
                  <c:v>0.36885112132229142</c:v>
                </c:pt>
                <c:pt idx="13">
                  <c:v>0.36864307712945693</c:v>
                </c:pt>
                <c:pt idx="14">
                  <c:v>0.36844554141457453</c:v>
                </c:pt>
                <c:pt idx="15">
                  <c:v>0.36825797810929162</c:v>
                </c:pt>
                <c:pt idx="16">
                  <c:v>0.36807987899414651</c:v>
                </c:pt>
                <c:pt idx="17">
                  <c:v>0.36791076220311442</c:v>
                </c:pt>
                <c:pt idx="18">
                  <c:v>0.36775017081312711</c:v>
                </c:pt>
                <c:pt idx="19">
                  <c:v>0.36759767151329464</c:v>
                </c:pt>
                <c:pt idx="20">
                  <c:v>0.36745285334893518</c:v>
                </c:pt>
                <c:pt idx="21">
                  <c:v>0.36731532653584642</c:v>
                </c:pt>
                <c:pt idx="22">
                  <c:v>0.36718472134056979</c:v>
                </c:pt>
                <c:pt idx="23">
                  <c:v>0.36706068702267947</c:v>
                </c:pt>
                <c:pt idx="24">
                  <c:v>0.36694289083539811</c:v>
                </c:pt>
                <c:pt idx="25">
                  <c:v>0.36683101708108251</c:v>
                </c:pt>
                <c:pt idx="26">
                  <c:v>0.36672476621835043</c:v>
                </c:pt>
                <c:pt idx="27">
                  <c:v>0.36662385401783087</c:v>
                </c:pt>
                <c:pt idx="28">
                  <c:v>0.36652801076371083</c:v>
                </c:pt>
                <c:pt idx="29">
                  <c:v>0.36643698049843754</c:v>
                </c:pt>
                <c:pt idx="30">
                  <c:v>0.36635052030809562</c:v>
                </c:pt>
                <c:pt idx="31">
                  <c:v>0.36626839964614188</c:v>
                </c:pt>
                <c:pt idx="32">
                  <c:v>0.36619039969331829</c:v>
                </c:pt>
                <c:pt idx="33">
                  <c:v>0.36611631275170231</c:v>
                </c:pt>
                <c:pt idx="34">
                  <c:v>0.36604594167097654</c:v>
                </c:pt>
                <c:pt idx="35">
                  <c:v>0.36597909930511902</c:v>
                </c:pt>
                <c:pt idx="36">
                  <c:v>0.36591560799782114</c:v>
                </c:pt>
                <c:pt idx="37">
                  <c:v>0.36585529909504377</c:v>
                </c:pt>
                <c:pt idx="38">
                  <c:v>0.36579801248321564</c:v>
                </c:pt>
                <c:pt idx="39">
                  <c:v>0.36574359615166763</c:v>
                </c:pt>
                <c:pt idx="40">
                  <c:v>0.36569190577797883</c:v>
                </c:pt>
                <c:pt idx="41">
                  <c:v>0.36564280433498536</c:v>
                </c:pt>
                <c:pt idx="42">
                  <c:v>0.36559616171828047</c:v>
                </c:pt>
                <c:pt idx="43">
                  <c:v>0.36555185439309612</c:v>
                </c:pt>
                <c:pt idx="44">
                  <c:v>0.36550976505952443</c:v>
                </c:pt>
                <c:pt idx="45">
                  <c:v>0.36546978233509397</c:v>
                </c:pt>
                <c:pt idx="46">
                  <c:v>0.36543180045377355</c:v>
                </c:pt>
                <c:pt idx="47">
                  <c:v>0.36539571898052609</c:v>
                </c:pt>
                <c:pt idx="48">
                  <c:v>0.365361442540589</c:v>
                </c:pt>
                <c:pt idx="49">
                  <c:v>0.36532888056269625</c:v>
                </c:pt>
                <c:pt idx="50">
                  <c:v>0.365297947035509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65-4CDC-A7A2-DE1B05583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9603296"/>
        <c:axId val="569605264"/>
      </c:lineChart>
      <c:catAx>
        <c:axId val="56960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69605264"/>
        <c:crosses val="autoZero"/>
        <c:auto val="1"/>
        <c:lblAlgn val="ctr"/>
        <c:lblOffset val="100"/>
        <c:noMultiLvlLbl val="0"/>
      </c:catAx>
      <c:valAx>
        <c:axId val="569605264"/>
        <c:scaling>
          <c:orientation val="minMax"/>
          <c:max val="0.37500000000000006"/>
          <c:min val="0.34000000000000008"/>
        </c:scaling>
        <c:delete val="0"/>
        <c:axPos val="l"/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6960329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/>
              <a:t>Función impulso-respuesta de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'Ejercicio 1.e (4)'!$I$1</c:f>
              <c:strCache>
                <c:ptCount val="1"/>
                <c:pt idx="0">
                  <c:v>C_EEN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'Ejercicio 1.e (4)'!$A$2:$A$52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'Ejercicio 1.e (4)'!$I$2:$I$52</c:f>
              <c:numCache>
                <c:formatCode>0.0000000</c:formatCode>
                <c:ptCount val="51"/>
                <c:pt idx="0">
                  <c:v>0.35071066245124149</c:v>
                </c:pt>
                <c:pt idx="1">
                  <c:v>0.35071066245124149</c:v>
                </c:pt>
                <c:pt idx="2">
                  <c:v>0.35071066245124149</c:v>
                </c:pt>
                <c:pt idx="3">
                  <c:v>0.35071066245124149</c:v>
                </c:pt>
                <c:pt idx="4">
                  <c:v>0.35071066245124149</c:v>
                </c:pt>
                <c:pt idx="5">
                  <c:v>0.35071066245124149</c:v>
                </c:pt>
                <c:pt idx="6">
                  <c:v>0.35071066245124149</c:v>
                </c:pt>
                <c:pt idx="7">
                  <c:v>0.35071066245124149</c:v>
                </c:pt>
                <c:pt idx="8">
                  <c:v>0.35071066245124149</c:v>
                </c:pt>
                <c:pt idx="9">
                  <c:v>0.35071066245124149</c:v>
                </c:pt>
                <c:pt idx="10">
                  <c:v>0.35071066245124149</c:v>
                </c:pt>
                <c:pt idx="11">
                  <c:v>0.35071066245124149</c:v>
                </c:pt>
                <c:pt idx="12">
                  <c:v>0.35071066245124149</c:v>
                </c:pt>
                <c:pt idx="13">
                  <c:v>0.35071066245124149</c:v>
                </c:pt>
                <c:pt idx="14">
                  <c:v>0.35071066245124149</c:v>
                </c:pt>
                <c:pt idx="15">
                  <c:v>0.35071066245124149</c:v>
                </c:pt>
                <c:pt idx="16">
                  <c:v>0.35071066245124149</c:v>
                </c:pt>
                <c:pt idx="17">
                  <c:v>0.35071066245124149</c:v>
                </c:pt>
                <c:pt idx="18">
                  <c:v>0.35071066245124149</c:v>
                </c:pt>
                <c:pt idx="19">
                  <c:v>0.35071066245124149</c:v>
                </c:pt>
                <c:pt idx="20">
                  <c:v>0.35071066245124149</c:v>
                </c:pt>
                <c:pt idx="21">
                  <c:v>0.35071066245124149</c:v>
                </c:pt>
                <c:pt idx="22">
                  <c:v>0.35071066245124149</c:v>
                </c:pt>
                <c:pt idx="23">
                  <c:v>0.35071066245124149</c:v>
                </c:pt>
                <c:pt idx="24">
                  <c:v>0.35071066245124149</c:v>
                </c:pt>
                <c:pt idx="25">
                  <c:v>0.35071066245124149</c:v>
                </c:pt>
                <c:pt idx="26">
                  <c:v>0.35071066245124149</c:v>
                </c:pt>
                <c:pt idx="27">
                  <c:v>0.35071066245124149</c:v>
                </c:pt>
                <c:pt idx="28">
                  <c:v>0.35071066245124149</c:v>
                </c:pt>
                <c:pt idx="29">
                  <c:v>0.35071066245124149</c:v>
                </c:pt>
                <c:pt idx="30">
                  <c:v>0.35071066245124149</c:v>
                </c:pt>
                <c:pt idx="31">
                  <c:v>0.35071066245124149</c:v>
                </c:pt>
                <c:pt idx="32">
                  <c:v>0.35071066245124149</c:v>
                </c:pt>
                <c:pt idx="33">
                  <c:v>0.35071066245124149</c:v>
                </c:pt>
                <c:pt idx="34">
                  <c:v>0.35071066245124149</c:v>
                </c:pt>
                <c:pt idx="35">
                  <c:v>0.35071066245124149</c:v>
                </c:pt>
                <c:pt idx="36">
                  <c:v>0.35071066245124149</c:v>
                </c:pt>
                <c:pt idx="37">
                  <c:v>0.35071066245124149</c:v>
                </c:pt>
                <c:pt idx="38">
                  <c:v>0.35071066245124149</c:v>
                </c:pt>
                <c:pt idx="39">
                  <c:v>0.35071066245124149</c:v>
                </c:pt>
                <c:pt idx="40">
                  <c:v>0.35071066245124149</c:v>
                </c:pt>
                <c:pt idx="41">
                  <c:v>0.35071066245124149</c:v>
                </c:pt>
                <c:pt idx="42">
                  <c:v>0.35071066245124149</c:v>
                </c:pt>
                <c:pt idx="43">
                  <c:v>0.35071066245124149</c:v>
                </c:pt>
                <c:pt idx="44">
                  <c:v>0.35071066245124149</c:v>
                </c:pt>
                <c:pt idx="45">
                  <c:v>0.35071066245124149</c:v>
                </c:pt>
                <c:pt idx="46">
                  <c:v>0.35071066245124149</c:v>
                </c:pt>
                <c:pt idx="47">
                  <c:v>0.35071066245124149</c:v>
                </c:pt>
                <c:pt idx="48">
                  <c:v>0.35071066245124149</c:v>
                </c:pt>
                <c:pt idx="49">
                  <c:v>0.35071066245124149</c:v>
                </c:pt>
                <c:pt idx="50">
                  <c:v>0.35071066245124149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CD-4737-A352-EB0F52FDE94F}"/>
            </c:ext>
          </c:extLst>
        </c:ser>
        <c:ser>
          <c:idx val="1"/>
          <c:order val="1"/>
          <c:tx>
            <c:strRef>
              <c:f>'Ejercicio 1.e (4)'!$H$1</c:f>
              <c:strCache>
                <c:ptCount val="1"/>
                <c:pt idx="0">
                  <c:v>C_t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'Ejercicio 1.e (4)'!$A$2:$A$52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'Ejercicio 1.e (4)'!$H$2:$H$52</c:f>
              <c:numCache>
                <c:formatCode>0.0000000</c:formatCode>
                <c:ptCount val="51"/>
                <c:pt idx="0">
                  <c:v>0.35071066245124149</c:v>
                </c:pt>
                <c:pt idx="1">
                  <c:v>0.3577985791607971</c:v>
                </c:pt>
                <c:pt idx="2">
                  <c:v>0.35744389093691714</c:v>
                </c:pt>
                <c:pt idx="3">
                  <c:v>0.35710726043588598</c:v>
                </c:pt>
                <c:pt idx="4">
                  <c:v>0.35678775274882923</c:v>
                </c:pt>
                <c:pt idx="5">
                  <c:v>0.35648448287431977</c:v>
                </c:pt>
                <c:pt idx="6">
                  <c:v>0.35619661290900911</c:v>
                </c:pt>
                <c:pt idx="7">
                  <c:v>0.3559233494101634</c:v>
                </c:pt>
                <c:pt idx="8">
                  <c:v>0.35566394091832482</c:v>
                </c:pt>
                <c:pt idx="9">
                  <c:v>0.35541767562923654</c:v>
                </c:pt>
                <c:pt idx="10">
                  <c:v>0.35518387920500338</c:v>
                </c:pt>
                <c:pt idx="11">
                  <c:v>0.35496191271522903</c:v>
                </c:pt>
                <c:pt idx="12">
                  <c:v>0.35475117069956241</c:v>
                </c:pt>
                <c:pt idx="13">
                  <c:v>0.35455107934373109</c:v>
                </c:pt>
                <c:pt idx="14">
                  <c:v>0.3543610947617179</c:v>
                </c:pt>
                <c:pt idx="15">
                  <c:v>0.35418070137727908</c:v>
                </c:pt>
                <c:pt idx="16">
                  <c:v>0.35400941039849126</c:v>
                </c:pt>
                <c:pt idx="17">
                  <c:v>0.35384675837946383</c:v>
                </c:pt>
                <c:pt idx="18">
                  <c:v>0.35369230586377665</c:v>
                </c:pt>
                <c:pt idx="19">
                  <c:v>0.35354563610457274</c:v>
                </c:pt>
                <c:pt idx="20">
                  <c:v>0.35340635385659991</c:v>
                </c:pt>
                <c:pt idx="21">
                  <c:v>0.35327408423580842</c:v>
                </c:pt>
                <c:pt idx="22">
                  <c:v>0.35314847164241914</c:v>
                </c:pt>
                <c:pt idx="23">
                  <c:v>0.35302917874364531</c:v>
                </c:pt>
                <c:pt idx="24">
                  <c:v>0.3529158855125113</c:v>
                </c:pt>
                <c:pt idx="25">
                  <c:v>0.352808288319444</c:v>
                </c:pt>
                <c:pt idx="26">
                  <c:v>0.35270609907353112</c:v>
                </c:pt>
                <c:pt idx="27">
                  <c:v>0.35260904441054447</c:v>
                </c:pt>
                <c:pt idx="28">
                  <c:v>0.35251686492500878</c:v>
                </c:pt>
                <c:pt idx="29">
                  <c:v>0.35242931444377662</c:v>
                </c:pt>
                <c:pt idx="30">
                  <c:v>0.35234615933872299</c:v>
                </c:pt>
                <c:pt idx="31">
                  <c:v>0.35226717787633166</c:v>
                </c:pt>
                <c:pt idx="32">
                  <c:v>0.3521921596020765</c:v>
                </c:pt>
                <c:pt idx="33">
                  <c:v>0.35212090475763519</c:v>
                </c:pt>
                <c:pt idx="34">
                  <c:v>0.35205322372909076</c:v>
                </c:pt>
                <c:pt idx="35">
                  <c:v>0.35198893652439073</c:v>
                </c:pt>
                <c:pt idx="36">
                  <c:v>0.3519278722784358</c:v>
                </c:pt>
                <c:pt idx="37">
                  <c:v>0.35186986878426946</c:v>
                </c:pt>
                <c:pt idx="38">
                  <c:v>0.35181477204892925</c:v>
                </c:pt>
                <c:pt idx="39">
                  <c:v>0.35176243587260791</c:v>
                </c:pt>
                <c:pt idx="40">
                  <c:v>0.35171272144985044</c:v>
                </c:pt>
                <c:pt idx="41">
                  <c:v>0.35166549699158517</c:v>
                </c:pt>
                <c:pt idx="42">
                  <c:v>0.35162063736686389</c:v>
                </c:pt>
                <c:pt idx="43">
                  <c:v>0.35157802376324143</c:v>
                </c:pt>
                <c:pt idx="44">
                  <c:v>0.35153754336479509</c:v>
                </c:pt>
                <c:pt idx="45">
                  <c:v>0.35149908904683441</c:v>
                </c:pt>
                <c:pt idx="46">
                  <c:v>0.35146255908641166</c:v>
                </c:pt>
                <c:pt idx="47">
                  <c:v>0.35142785688778688</c:v>
                </c:pt>
                <c:pt idx="48">
                  <c:v>0.35139489072205721</c:v>
                </c:pt>
                <c:pt idx="49">
                  <c:v>0.35136357348019459</c:v>
                </c:pt>
                <c:pt idx="50">
                  <c:v>0.35133382243878741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CD-4737-A352-EB0F52FDE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729752"/>
        <c:axId val="595730080"/>
      </c:lineChart>
      <c:catAx>
        <c:axId val="595729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95730080"/>
        <c:crosses val="autoZero"/>
        <c:auto val="1"/>
        <c:lblAlgn val="ctr"/>
        <c:lblOffset val="100"/>
        <c:noMultiLvlLbl val="0"/>
      </c:catAx>
      <c:valAx>
        <c:axId val="595730080"/>
        <c:scaling>
          <c:orientation val="minMax"/>
          <c:min val="0.33000000000000007"/>
        </c:scaling>
        <c:delete val="0"/>
        <c:axPos val="l"/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9572975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/>
              <a:t>Función impulso-respuesta de 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'Ejercicio 1.e (4)'!$K$1</c:f>
              <c:strCache>
                <c:ptCount val="1"/>
                <c:pt idx="0">
                  <c:v>I_EEN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'Ejercicio 1.e (4)'!$A$2:$A$52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'Ejercicio 1.e (4)'!$K$2:$K$52</c:f>
              <c:numCache>
                <c:formatCode>0.0000000</c:formatCode>
                <c:ptCount val="51"/>
                <c:pt idx="0">
                  <c:v>4.2563733648606582E-4</c:v>
                </c:pt>
                <c:pt idx="1">
                  <c:v>4.2563733648606582E-4</c:v>
                </c:pt>
                <c:pt idx="2">
                  <c:v>4.2563733648606582E-4</c:v>
                </c:pt>
                <c:pt idx="3">
                  <c:v>4.2563733648606582E-4</c:v>
                </c:pt>
                <c:pt idx="4">
                  <c:v>4.2563733648606582E-4</c:v>
                </c:pt>
                <c:pt idx="5">
                  <c:v>4.2563733648606582E-4</c:v>
                </c:pt>
                <c:pt idx="6">
                  <c:v>4.2563733648606582E-4</c:v>
                </c:pt>
                <c:pt idx="7">
                  <c:v>4.2563733648606582E-4</c:v>
                </c:pt>
                <c:pt idx="8">
                  <c:v>4.2563733648606582E-4</c:v>
                </c:pt>
                <c:pt idx="9">
                  <c:v>4.2563733648606582E-4</c:v>
                </c:pt>
                <c:pt idx="10">
                  <c:v>4.2563733648606582E-4</c:v>
                </c:pt>
                <c:pt idx="11">
                  <c:v>4.2563733648606582E-4</c:v>
                </c:pt>
                <c:pt idx="12">
                  <c:v>4.2563733648606582E-4</c:v>
                </c:pt>
                <c:pt idx="13">
                  <c:v>4.2563733648606582E-4</c:v>
                </c:pt>
                <c:pt idx="14">
                  <c:v>4.2563733648606582E-4</c:v>
                </c:pt>
                <c:pt idx="15">
                  <c:v>4.2563733648606582E-4</c:v>
                </c:pt>
                <c:pt idx="16">
                  <c:v>4.2563733648606582E-4</c:v>
                </c:pt>
                <c:pt idx="17">
                  <c:v>4.2563733648606582E-4</c:v>
                </c:pt>
                <c:pt idx="18">
                  <c:v>4.2563733648606582E-4</c:v>
                </c:pt>
                <c:pt idx="19">
                  <c:v>4.2563733648606582E-4</c:v>
                </c:pt>
                <c:pt idx="20">
                  <c:v>4.2563733648606582E-4</c:v>
                </c:pt>
                <c:pt idx="21">
                  <c:v>4.2563733648606582E-4</c:v>
                </c:pt>
                <c:pt idx="22">
                  <c:v>4.2563733648606582E-4</c:v>
                </c:pt>
                <c:pt idx="23">
                  <c:v>4.2563733648606582E-4</c:v>
                </c:pt>
                <c:pt idx="24">
                  <c:v>4.2563733648606582E-4</c:v>
                </c:pt>
                <c:pt idx="25">
                  <c:v>4.2563733648606582E-4</c:v>
                </c:pt>
                <c:pt idx="26">
                  <c:v>4.2563733648606582E-4</c:v>
                </c:pt>
                <c:pt idx="27">
                  <c:v>4.2563733648606582E-4</c:v>
                </c:pt>
                <c:pt idx="28">
                  <c:v>4.2563733648606582E-4</c:v>
                </c:pt>
                <c:pt idx="29">
                  <c:v>4.2563733648606582E-4</c:v>
                </c:pt>
                <c:pt idx="30">
                  <c:v>4.2563733648606582E-4</c:v>
                </c:pt>
                <c:pt idx="31">
                  <c:v>4.2563733648606582E-4</c:v>
                </c:pt>
                <c:pt idx="32">
                  <c:v>4.2563733648606582E-4</c:v>
                </c:pt>
                <c:pt idx="33">
                  <c:v>4.2563733648606582E-4</c:v>
                </c:pt>
                <c:pt idx="34">
                  <c:v>4.2563733648606582E-4</c:v>
                </c:pt>
                <c:pt idx="35">
                  <c:v>4.2563733648606582E-4</c:v>
                </c:pt>
                <c:pt idx="36">
                  <c:v>4.2563733648606582E-4</c:v>
                </c:pt>
                <c:pt idx="37">
                  <c:v>4.2563733648606582E-4</c:v>
                </c:pt>
                <c:pt idx="38">
                  <c:v>4.2563733648606582E-4</c:v>
                </c:pt>
                <c:pt idx="39">
                  <c:v>4.2563733648606582E-4</c:v>
                </c:pt>
                <c:pt idx="40">
                  <c:v>4.2563733648606582E-4</c:v>
                </c:pt>
                <c:pt idx="41">
                  <c:v>4.2563733648606582E-4</c:v>
                </c:pt>
                <c:pt idx="42">
                  <c:v>4.2563733648606582E-4</c:v>
                </c:pt>
                <c:pt idx="43">
                  <c:v>4.2563733648606582E-4</c:v>
                </c:pt>
                <c:pt idx="44">
                  <c:v>4.2563733648606582E-4</c:v>
                </c:pt>
                <c:pt idx="45">
                  <c:v>4.2563733648606582E-4</c:v>
                </c:pt>
                <c:pt idx="46">
                  <c:v>4.2563733648606582E-4</c:v>
                </c:pt>
                <c:pt idx="47">
                  <c:v>4.2563733648606582E-4</c:v>
                </c:pt>
                <c:pt idx="48">
                  <c:v>4.2563733648606582E-4</c:v>
                </c:pt>
                <c:pt idx="49">
                  <c:v>4.2563733648606582E-4</c:v>
                </c:pt>
                <c:pt idx="50">
                  <c:v>4.2563733648606582E-4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2-481F-9692-01DD1BCFD2CD}"/>
            </c:ext>
          </c:extLst>
        </c:ser>
        <c:ser>
          <c:idx val="1"/>
          <c:order val="1"/>
          <c:tx>
            <c:strRef>
              <c:f>'Ejercicio 1.e (4)'!$J$1</c:f>
              <c:strCache>
                <c:ptCount val="1"/>
                <c:pt idx="0">
                  <c:v>I_t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'Ejercicio 1.e (4)'!$A$2:$A$52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'Ejercicio 1.e (4)'!$J$2:$J$52</c:f>
              <c:numCache>
                <c:formatCode>0.0000000</c:formatCode>
                <c:ptCount val="51"/>
                <c:pt idx="0">
                  <c:v>4.2563733648606582E-4</c:v>
                </c:pt>
                <c:pt idx="1">
                  <c:v>4.3423953286185962E-4</c:v>
                </c:pt>
                <c:pt idx="2">
                  <c:v>4.3380906818810247E-4</c:v>
                </c:pt>
                <c:pt idx="3">
                  <c:v>4.3340051913277173E-4</c:v>
                </c:pt>
                <c:pt idx="4">
                  <c:v>4.3301275105080031E-4</c:v>
                </c:pt>
                <c:pt idx="5">
                  <c:v>4.3264468986691597E-4</c:v>
                </c:pt>
                <c:pt idx="6">
                  <c:v>4.3229531866607255E-4</c:v>
                </c:pt>
                <c:pt idx="7">
                  <c:v>4.3196367449251192E-4</c:v>
                </c:pt>
                <c:pt idx="8">
                  <c:v>4.3164884534316041E-4</c:v>
                </c:pt>
                <c:pt idx="9">
                  <c:v>4.3134996734217829E-4</c:v>
                </c:pt>
                <c:pt idx="10">
                  <c:v>4.3106622208449204E-4</c:v>
                </c:pt>
                <c:pt idx="11">
                  <c:v>4.3079683413707007E-4</c:v>
                </c:pt>
                <c:pt idx="12">
                  <c:v>4.30541068687548E-4</c:v>
                </c:pt>
                <c:pt idx="13">
                  <c:v>4.3029822933058444E-4</c:v>
                </c:pt>
                <c:pt idx="14">
                  <c:v>4.3006765598303825E-4</c:v>
                </c:pt>
                <c:pt idx="15">
                  <c:v>4.2984872291971024E-4</c:v>
                </c:pt>
                <c:pt idx="16">
                  <c:v>4.2964083692198843E-4</c:v>
                </c:pt>
                <c:pt idx="17">
                  <c:v>4.2944343553228157E-4</c:v>
                </c:pt>
                <c:pt idx="18">
                  <c:v>4.2925598540763697E-4</c:v>
                </c:pt>
                <c:pt idx="19">
                  <c:v>4.2907798076639148E-4</c:v>
                </c:pt>
                <c:pt idx="20">
                  <c:v>4.2890894192214134E-4</c:v>
                </c:pt>
                <c:pt idx="21">
                  <c:v>4.287484138997019E-4</c:v>
                </c:pt>
                <c:pt idx="22">
                  <c:v>4.2859596512809738E-4</c:v>
                </c:pt>
                <c:pt idx="23">
                  <c:v>4.2845118620594855E-4</c:v>
                </c:pt>
                <c:pt idx="24">
                  <c:v>4.2831368873494282E-4</c:v>
                </c:pt>
                <c:pt idx="25">
                  <c:v>4.2818310421735084E-4</c:v>
                </c:pt>
                <c:pt idx="26">
                  <c:v>4.2805908301382124E-4</c:v>
                </c:pt>
                <c:pt idx="27">
                  <c:v>4.2794129335793093E-4</c:v>
                </c:pt>
                <c:pt idx="28">
                  <c:v>4.2782942042419168E-4</c:v>
                </c:pt>
                <c:pt idx="29">
                  <c:v>4.2772316544642948E-4</c:v>
                </c:pt>
                <c:pt idx="30">
                  <c:v>4.2762224488364169E-4</c:v>
                </c:pt>
                <c:pt idx="31">
                  <c:v>4.2752638963062758E-4</c:v>
                </c:pt>
                <c:pt idx="32">
                  <c:v>4.2743534427084706E-4</c:v>
                </c:pt>
                <c:pt idx="33">
                  <c:v>4.2734886636912675E-4</c:v>
                </c:pt>
                <c:pt idx="34">
                  <c:v>4.272667258019739E-4</c:v>
                </c:pt>
                <c:pt idx="35">
                  <c:v>4.271887041233987E-4</c:v>
                </c:pt>
                <c:pt idx="36">
                  <c:v>4.2711459396426891E-4</c:v>
                </c:pt>
                <c:pt idx="37">
                  <c:v>4.2704419846334148E-4</c:v>
                </c:pt>
                <c:pt idx="38">
                  <c:v>4.2697733072822501E-4</c:v>
                </c:pt>
                <c:pt idx="39">
                  <c:v>4.269138133246321E-4</c:v>
                </c:pt>
                <c:pt idx="40">
                  <c:v>4.2685347779237439E-4</c:v>
                </c:pt>
                <c:pt idx="41">
                  <c:v>4.2679616418664443E-4</c:v>
                </c:pt>
                <c:pt idx="42">
                  <c:v>4.2674172064321558E-4</c:v>
                </c:pt>
                <c:pt idx="43">
                  <c:v>4.2669000296626457E-4</c:v>
                </c:pt>
                <c:pt idx="44">
                  <c:v>4.2664087423760206E-4</c:v>
                </c:pt>
                <c:pt idx="45">
                  <c:v>4.265942044461599E-4</c:v>
                </c:pt>
                <c:pt idx="46">
                  <c:v>4.2654987013665357E-4</c:v>
                </c:pt>
                <c:pt idx="47">
                  <c:v>4.2650775407639569E-4</c:v>
                </c:pt>
                <c:pt idx="48">
                  <c:v>4.2646774493929881E-4</c:v>
                </c:pt>
                <c:pt idx="49">
                  <c:v>4.2642973700615151E-4</c:v>
                </c:pt>
                <c:pt idx="50">
                  <c:v>4.2639362988031241E-4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2-481F-9692-01DD1BCFD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142880"/>
        <c:axId val="567138288"/>
      </c:lineChart>
      <c:catAx>
        <c:axId val="56714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67138288"/>
        <c:crosses val="autoZero"/>
        <c:auto val="1"/>
        <c:lblAlgn val="ctr"/>
        <c:lblOffset val="100"/>
        <c:noMultiLvlLbl val="0"/>
      </c:catAx>
      <c:valAx>
        <c:axId val="567138288"/>
        <c:scaling>
          <c:orientation val="minMax"/>
          <c:min val="4.0000000000000013E-4"/>
        </c:scaling>
        <c:delete val="0"/>
        <c:axPos val="l"/>
        <c:numFmt formatCode="0.00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6714288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/>
              <a:t>Función impulso-respuesta de 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'Ejercicio 1.e (4)'!$C$1</c:f>
              <c:strCache>
                <c:ptCount val="1"/>
                <c:pt idx="0">
                  <c:v>L_EEN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'Ejercicio 1.e (4)'!$A$2:$A$52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'Ejercicio 1.e (4)'!$C$2:$C$52</c:f>
              <c:numCache>
                <c:formatCode>0.0000000</c:formatCode>
                <c:ptCount val="51"/>
                <c:pt idx="0">
                  <c:v>0.37037037037037035</c:v>
                </c:pt>
                <c:pt idx="1">
                  <c:v>0.37037037037037035</c:v>
                </c:pt>
                <c:pt idx="2">
                  <c:v>0.37037037037037035</c:v>
                </c:pt>
                <c:pt idx="3">
                  <c:v>0.37037037037037035</c:v>
                </c:pt>
                <c:pt idx="4">
                  <c:v>0.37037037037037035</c:v>
                </c:pt>
                <c:pt idx="5">
                  <c:v>0.37037037037037035</c:v>
                </c:pt>
                <c:pt idx="6">
                  <c:v>0.37037037037037035</c:v>
                </c:pt>
                <c:pt idx="7">
                  <c:v>0.37037037037037035</c:v>
                </c:pt>
                <c:pt idx="8">
                  <c:v>0.37037037037037035</c:v>
                </c:pt>
                <c:pt idx="9">
                  <c:v>0.37037037037037035</c:v>
                </c:pt>
                <c:pt idx="10">
                  <c:v>0.37037037037037035</c:v>
                </c:pt>
                <c:pt idx="11">
                  <c:v>0.37037037037037035</c:v>
                </c:pt>
                <c:pt idx="12">
                  <c:v>0.37037037037037035</c:v>
                </c:pt>
                <c:pt idx="13">
                  <c:v>0.37037037037037035</c:v>
                </c:pt>
                <c:pt idx="14">
                  <c:v>0.37037037037037035</c:v>
                </c:pt>
                <c:pt idx="15">
                  <c:v>0.37037037037037035</c:v>
                </c:pt>
                <c:pt idx="16">
                  <c:v>0.37037037037037035</c:v>
                </c:pt>
                <c:pt idx="17">
                  <c:v>0.37037037037037035</c:v>
                </c:pt>
                <c:pt idx="18">
                  <c:v>0.37037037037037035</c:v>
                </c:pt>
                <c:pt idx="19">
                  <c:v>0.37037037037037035</c:v>
                </c:pt>
                <c:pt idx="20">
                  <c:v>0.37037037037037035</c:v>
                </c:pt>
                <c:pt idx="21">
                  <c:v>0.37037037037037035</c:v>
                </c:pt>
                <c:pt idx="22">
                  <c:v>0.37037037037037035</c:v>
                </c:pt>
                <c:pt idx="23">
                  <c:v>0.37037037037037035</c:v>
                </c:pt>
                <c:pt idx="24">
                  <c:v>0.37037037037037035</c:v>
                </c:pt>
                <c:pt idx="25">
                  <c:v>0.37037037037037035</c:v>
                </c:pt>
                <c:pt idx="26">
                  <c:v>0.37037037037037035</c:v>
                </c:pt>
                <c:pt idx="27">
                  <c:v>0.37037037037037035</c:v>
                </c:pt>
                <c:pt idx="28">
                  <c:v>0.37037037037037035</c:v>
                </c:pt>
                <c:pt idx="29">
                  <c:v>0.37037037037037035</c:v>
                </c:pt>
                <c:pt idx="30">
                  <c:v>0.37037037037037035</c:v>
                </c:pt>
                <c:pt idx="31">
                  <c:v>0.37037037037037035</c:v>
                </c:pt>
                <c:pt idx="32">
                  <c:v>0.37037037037037035</c:v>
                </c:pt>
                <c:pt idx="33">
                  <c:v>0.37037037037037035</c:v>
                </c:pt>
                <c:pt idx="34">
                  <c:v>0.37037037037037035</c:v>
                </c:pt>
                <c:pt idx="35">
                  <c:v>0.37037037037037035</c:v>
                </c:pt>
                <c:pt idx="36">
                  <c:v>0.37037037037037035</c:v>
                </c:pt>
                <c:pt idx="37">
                  <c:v>0.37037037037037035</c:v>
                </c:pt>
                <c:pt idx="38">
                  <c:v>0.37037037037037035</c:v>
                </c:pt>
                <c:pt idx="39">
                  <c:v>0.37037037037037035</c:v>
                </c:pt>
                <c:pt idx="40">
                  <c:v>0.37037037037037035</c:v>
                </c:pt>
                <c:pt idx="41">
                  <c:v>0.37037037037037035</c:v>
                </c:pt>
                <c:pt idx="42">
                  <c:v>0.37037037037037035</c:v>
                </c:pt>
                <c:pt idx="43">
                  <c:v>0.37037037037037035</c:v>
                </c:pt>
                <c:pt idx="44">
                  <c:v>0.37037037037037035</c:v>
                </c:pt>
                <c:pt idx="45">
                  <c:v>0.37037037037037035</c:v>
                </c:pt>
                <c:pt idx="46">
                  <c:v>0.37037037037037035</c:v>
                </c:pt>
                <c:pt idx="47">
                  <c:v>0.37037037037037035</c:v>
                </c:pt>
                <c:pt idx="48">
                  <c:v>0.37037037037037035</c:v>
                </c:pt>
                <c:pt idx="49">
                  <c:v>0.37037037037037035</c:v>
                </c:pt>
                <c:pt idx="50">
                  <c:v>0.37037037037037035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5E-4DCE-A042-90A71C807378}"/>
            </c:ext>
          </c:extLst>
        </c:ser>
        <c:ser>
          <c:idx val="1"/>
          <c:order val="1"/>
          <c:tx>
            <c:strRef>
              <c:f>'Ejercicio 1.e (4)'!$B$1</c:f>
              <c:strCache>
                <c:ptCount val="1"/>
                <c:pt idx="0">
                  <c:v>L_t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'Ejercicio 1.e (4)'!$A$2:$A$52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'Ejercicio 1.e (4)'!$B$2:$B$52</c:f>
              <c:numCache>
                <c:formatCode>0.0000000</c:formatCode>
                <c:ptCount val="51"/>
                <c:pt idx="0">
                  <c:v>0.37037037037037035</c:v>
                </c:pt>
                <c:pt idx="1">
                  <c:v>0.37037037037037035</c:v>
                </c:pt>
                <c:pt idx="2">
                  <c:v>0.37037037037037035</c:v>
                </c:pt>
                <c:pt idx="3">
                  <c:v>0.37037037037037035</c:v>
                </c:pt>
                <c:pt idx="4">
                  <c:v>0.37037037037037035</c:v>
                </c:pt>
                <c:pt idx="5">
                  <c:v>0.37037037037037035</c:v>
                </c:pt>
                <c:pt idx="6">
                  <c:v>0.37037037037037035</c:v>
                </c:pt>
                <c:pt idx="7">
                  <c:v>0.37037037037037035</c:v>
                </c:pt>
                <c:pt idx="8">
                  <c:v>0.37037037037037035</c:v>
                </c:pt>
                <c:pt idx="9">
                  <c:v>0.37037037037037035</c:v>
                </c:pt>
                <c:pt idx="10">
                  <c:v>0.37037037037037035</c:v>
                </c:pt>
                <c:pt idx="11">
                  <c:v>0.37037037037037035</c:v>
                </c:pt>
                <c:pt idx="12">
                  <c:v>0.37037037037037035</c:v>
                </c:pt>
                <c:pt idx="13">
                  <c:v>0.37037037037037035</c:v>
                </c:pt>
                <c:pt idx="14">
                  <c:v>0.37037037037037035</c:v>
                </c:pt>
                <c:pt idx="15">
                  <c:v>0.37037037037037035</c:v>
                </c:pt>
                <c:pt idx="16">
                  <c:v>0.37037037037037035</c:v>
                </c:pt>
                <c:pt idx="17">
                  <c:v>0.37037037037037035</c:v>
                </c:pt>
                <c:pt idx="18">
                  <c:v>0.37037037037037035</c:v>
                </c:pt>
                <c:pt idx="19">
                  <c:v>0.37037037037037035</c:v>
                </c:pt>
                <c:pt idx="20">
                  <c:v>0.37037037037037035</c:v>
                </c:pt>
                <c:pt idx="21">
                  <c:v>0.37037037037037035</c:v>
                </c:pt>
                <c:pt idx="22">
                  <c:v>0.37037037037037035</c:v>
                </c:pt>
                <c:pt idx="23">
                  <c:v>0.37037037037037035</c:v>
                </c:pt>
                <c:pt idx="24">
                  <c:v>0.37037037037037035</c:v>
                </c:pt>
                <c:pt idx="25">
                  <c:v>0.37037037037037035</c:v>
                </c:pt>
                <c:pt idx="26">
                  <c:v>0.37037037037037035</c:v>
                </c:pt>
                <c:pt idx="27">
                  <c:v>0.37037037037037035</c:v>
                </c:pt>
                <c:pt idx="28">
                  <c:v>0.37037037037037035</c:v>
                </c:pt>
                <c:pt idx="29">
                  <c:v>0.37037037037037035</c:v>
                </c:pt>
                <c:pt idx="30">
                  <c:v>0.37037037037037035</c:v>
                </c:pt>
                <c:pt idx="31">
                  <c:v>0.37037037037037035</c:v>
                </c:pt>
                <c:pt idx="32">
                  <c:v>0.37037037037037035</c:v>
                </c:pt>
                <c:pt idx="33">
                  <c:v>0.37037037037037035</c:v>
                </c:pt>
                <c:pt idx="34">
                  <c:v>0.37037037037037035</c:v>
                </c:pt>
                <c:pt idx="35">
                  <c:v>0.37037037037037035</c:v>
                </c:pt>
                <c:pt idx="36">
                  <c:v>0.37037037037037035</c:v>
                </c:pt>
                <c:pt idx="37">
                  <c:v>0.37037037037037035</c:v>
                </c:pt>
                <c:pt idx="38">
                  <c:v>0.37037037037037035</c:v>
                </c:pt>
                <c:pt idx="39">
                  <c:v>0.37037037037037035</c:v>
                </c:pt>
                <c:pt idx="40">
                  <c:v>0.37037037037037035</c:v>
                </c:pt>
                <c:pt idx="41">
                  <c:v>0.37037037037037035</c:v>
                </c:pt>
                <c:pt idx="42">
                  <c:v>0.37037037037037035</c:v>
                </c:pt>
                <c:pt idx="43">
                  <c:v>0.37037037037037035</c:v>
                </c:pt>
                <c:pt idx="44">
                  <c:v>0.37037037037037035</c:v>
                </c:pt>
                <c:pt idx="45">
                  <c:v>0.37037037037037035</c:v>
                </c:pt>
                <c:pt idx="46">
                  <c:v>0.37037037037037035</c:v>
                </c:pt>
                <c:pt idx="47">
                  <c:v>0.37037037037037035</c:v>
                </c:pt>
                <c:pt idx="48">
                  <c:v>0.37037037037037035</c:v>
                </c:pt>
                <c:pt idx="49">
                  <c:v>0.37037037037037035</c:v>
                </c:pt>
                <c:pt idx="50">
                  <c:v>0.37037037037037035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5E-4DCE-A042-90A71C807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146488"/>
        <c:axId val="567147144"/>
      </c:lineChart>
      <c:catAx>
        <c:axId val="567146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67147144"/>
        <c:crosses val="autoZero"/>
        <c:auto val="1"/>
        <c:lblAlgn val="ctr"/>
        <c:lblOffset val="100"/>
        <c:noMultiLvlLbl val="0"/>
      </c:catAx>
      <c:valAx>
        <c:axId val="567147144"/>
        <c:scaling>
          <c:orientation val="minMax"/>
          <c:max val="0.37050000000000005"/>
          <c:min val="0.37000000000000005"/>
        </c:scaling>
        <c:delete val="0"/>
        <c:axPos val="l"/>
        <c:numFmt formatCode="0.0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671464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/>
              <a:t>Función impulso-respuesta de 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'Ejercicio 1.e (4)'!$E$1</c:f>
              <c:strCache>
                <c:ptCount val="1"/>
                <c:pt idx="0">
                  <c:v>K_EEN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'Ejercicio 1.e (4)'!$A$2:$A$52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'Ejercicio 1.e (4)'!$E$2:$E$52</c:f>
              <c:numCache>
                <c:formatCode>0.0000000</c:formatCode>
                <c:ptCount val="51"/>
                <c:pt idx="0">
                  <c:v>0.35469778040507688</c:v>
                </c:pt>
                <c:pt idx="1">
                  <c:v>0.35469778040507688</c:v>
                </c:pt>
                <c:pt idx="2">
                  <c:v>0.35469778040507688</c:v>
                </c:pt>
                <c:pt idx="3">
                  <c:v>0.35469778040507688</c:v>
                </c:pt>
                <c:pt idx="4">
                  <c:v>0.35469778040507688</c:v>
                </c:pt>
                <c:pt idx="5">
                  <c:v>0.35469778040507688</c:v>
                </c:pt>
                <c:pt idx="6">
                  <c:v>0.35469778040507688</c:v>
                </c:pt>
                <c:pt idx="7">
                  <c:v>0.35469778040507688</c:v>
                </c:pt>
                <c:pt idx="8">
                  <c:v>0.35469778040507688</c:v>
                </c:pt>
                <c:pt idx="9">
                  <c:v>0.35469778040507688</c:v>
                </c:pt>
                <c:pt idx="10">
                  <c:v>0.35469778040507688</c:v>
                </c:pt>
                <c:pt idx="11">
                  <c:v>0.35469778040507688</c:v>
                </c:pt>
                <c:pt idx="12">
                  <c:v>0.35469778040507688</c:v>
                </c:pt>
                <c:pt idx="13">
                  <c:v>0.35469778040507688</c:v>
                </c:pt>
                <c:pt idx="14">
                  <c:v>0.35469778040507688</c:v>
                </c:pt>
                <c:pt idx="15">
                  <c:v>0.35469778040507688</c:v>
                </c:pt>
                <c:pt idx="16">
                  <c:v>0.35469778040507688</c:v>
                </c:pt>
                <c:pt idx="17">
                  <c:v>0.35469778040507688</c:v>
                </c:pt>
                <c:pt idx="18">
                  <c:v>0.35469778040507688</c:v>
                </c:pt>
                <c:pt idx="19">
                  <c:v>0.35469778040507688</c:v>
                </c:pt>
                <c:pt idx="20">
                  <c:v>0.35469778040507688</c:v>
                </c:pt>
                <c:pt idx="21">
                  <c:v>0.35469778040507688</c:v>
                </c:pt>
                <c:pt idx="22">
                  <c:v>0.35469778040507688</c:v>
                </c:pt>
                <c:pt idx="23">
                  <c:v>0.35469778040507688</c:v>
                </c:pt>
                <c:pt idx="24">
                  <c:v>0.35469778040507688</c:v>
                </c:pt>
                <c:pt idx="25">
                  <c:v>0.35469778040507688</c:v>
                </c:pt>
                <c:pt idx="26">
                  <c:v>0.35469778040507688</c:v>
                </c:pt>
                <c:pt idx="27">
                  <c:v>0.35469778040507688</c:v>
                </c:pt>
                <c:pt idx="28">
                  <c:v>0.35469778040507688</c:v>
                </c:pt>
                <c:pt idx="29">
                  <c:v>0.35469778040507688</c:v>
                </c:pt>
                <c:pt idx="30">
                  <c:v>0.35469778040507688</c:v>
                </c:pt>
                <c:pt idx="31">
                  <c:v>0.35469778040507688</c:v>
                </c:pt>
                <c:pt idx="32">
                  <c:v>0.35469778040507688</c:v>
                </c:pt>
                <c:pt idx="33">
                  <c:v>0.35469778040507688</c:v>
                </c:pt>
                <c:pt idx="34">
                  <c:v>0.35469778040507688</c:v>
                </c:pt>
                <c:pt idx="35">
                  <c:v>0.35469778040507688</c:v>
                </c:pt>
                <c:pt idx="36">
                  <c:v>0.35469778040507688</c:v>
                </c:pt>
                <c:pt idx="37">
                  <c:v>0.35469778040507688</c:v>
                </c:pt>
                <c:pt idx="38">
                  <c:v>0.35469778040507688</c:v>
                </c:pt>
                <c:pt idx="39">
                  <c:v>0.35469778040507688</c:v>
                </c:pt>
                <c:pt idx="40">
                  <c:v>0.35469778040507688</c:v>
                </c:pt>
                <c:pt idx="41">
                  <c:v>0.35469778040507688</c:v>
                </c:pt>
                <c:pt idx="42">
                  <c:v>0.35469778040507688</c:v>
                </c:pt>
                <c:pt idx="43">
                  <c:v>0.35469778040507688</c:v>
                </c:pt>
                <c:pt idx="44">
                  <c:v>0.35469778040507688</c:v>
                </c:pt>
                <c:pt idx="45">
                  <c:v>0.35469778040507688</c:v>
                </c:pt>
                <c:pt idx="46">
                  <c:v>0.35469778040507688</c:v>
                </c:pt>
                <c:pt idx="47">
                  <c:v>0.35469778040507688</c:v>
                </c:pt>
                <c:pt idx="48">
                  <c:v>0.35469778040507688</c:v>
                </c:pt>
                <c:pt idx="49">
                  <c:v>0.35469778040507688</c:v>
                </c:pt>
                <c:pt idx="50">
                  <c:v>0.35469778040507688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11-49EF-AC1D-CDE1EE423D10}"/>
            </c:ext>
          </c:extLst>
        </c:ser>
        <c:ser>
          <c:idx val="1"/>
          <c:order val="1"/>
          <c:tx>
            <c:strRef>
              <c:f>'Ejercicio 1.e (4)'!$D$1</c:f>
              <c:strCache>
                <c:ptCount val="1"/>
                <c:pt idx="0">
                  <c:v>K_t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'Ejercicio 1.e (4)'!$A$2:$A$52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'Ejercicio 1.e (4)'!$D$2:$D$52</c:f>
              <c:numCache>
                <c:formatCode>0.0000000</c:formatCode>
                <c:ptCount val="51"/>
                <c:pt idx="0">
                  <c:v>0.35469778040507688</c:v>
                </c:pt>
                <c:pt idx="1">
                  <c:v>0.35470629325396041</c:v>
                </c:pt>
                <c:pt idx="2">
                  <c:v>0.35471437411154716</c:v>
                </c:pt>
                <c:pt idx="3">
                  <c:v>0.35472204456355866</c:v>
                </c:pt>
                <c:pt idx="4">
                  <c:v>0.35472932511827299</c:v>
                </c:pt>
                <c:pt idx="5">
                  <c:v>0.35473623526021691</c:v>
                </c:pt>
                <c:pt idx="6">
                  <c:v>0.35474279350119026</c:v>
                </c:pt>
                <c:pt idx="7">
                  <c:v>0.3547490174287557</c:v>
                </c:pt>
                <c:pt idx="8">
                  <c:v>0.35475492375231799</c:v>
                </c:pt>
                <c:pt idx="9">
                  <c:v>0.35476052834691246</c:v>
                </c:pt>
                <c:pt idx="10">
                  <c:v>0.35476584629481517</c:v>
                </c:pt>
                <c:pt idx="11">
                  <c:v>0.35477089192508365</c:v>
                </c:pt>
                <c:pt idx="12">
                  <c:v>0.35477567885112998</c:v>
                </c:pt>
                <c:pt idx="13">
                  <c:v>0.3547802200064239</c:v>
                </c:pt>
                <c:pt idx="14">
                  <c:v>0.354784527678418</c:v>
                </c:pt>
                <c:pt idx="15">
                  <c:v>0.35478861354078411</c:v>
                </c:pt>
                <c:pt idx="16">
                  <c:v>0.35479248868404434</c:v>
                </c:pt>
                <c:pt idx="17">
                  <c:v>0.35479616364467548</c:v>
                </c:pt>
                <c:pt idx="18">
                  <c:v>0.35479964843276418</c:v>
                </c:pt>
                <c:pt idx="19">
                  <c:v>0.35480295255828359</c:v>
                </c:pt>
                <c:pt idx="20">
                  <c:v>0.35480608505606032</c:v>
                </c:pt>
                <c:pt idx="21">
                  <c:v>0.35480905450949696</c:v>
                </c:pt>
                <c:pt idx="22">
                  <c:v>0.35481186907311169</c:v>
                </c:pt>
                <c:pt idx="23">
                  <c:v>0.3548145364939545</c:v>
                </c:pt>
                <c:pt idx="24">
                  <c:v>0.35481706413195441</c:v>
                </c:pt>
                <c:pt idx="25">
                  <c:v>0.35481945897925288</c:v>
                </c:pt>
                <c:pt idx="26">
                  <c:v>0.35482172767857223</c:v>
                </c:pt>
                <c:pt idx="27">
                  <c:v>0.35482387654066766</c:v>
                </c:pt>
                <c:pt idx="28">
                  <c:v>0.35482591156090881</c:v>
                </c:pt>
                <c:pt idx="29">
                  <c:v>0.3548278384350339</c:v>
                </c:pt>
                <c:pt idx="30">
                  <c:v>0.3548296625741168</c:v>
                </c:pt>
                <c:pt idx="31">
                  <c:v>0.35483138911878864</c:v>
                </c:pt>
                <c:pt idx="32">
                  <c:v>0.35483302295274793</c:v>
                </c:pt>
                <c:pt idx="33">
                  <c:v>0.35483456871559782</c:v>
                </c:pt>
                <c:pt idx="34">
                  <c:v>0.35483603081504117</c:v>
                </c:pt>
                <c:pt idx="35">
                  <c:v>0.35483741343846764</c:v>
                </c:pt>
                <c:pt idx="36">
                  <c:v>0.35483872056396154</c:v>
                </c:pt>
                <c:pt idx="37">
                  <c:v>0.35483995597076079</c:v>
                </c:pt>
                <c:pt idx="38">
                  <c:v>0.35484112324919287</c:v>
                </c:pt>
                <c:pt idx="39">
                  <c:v>0.35484222581011526</c:v>
                </c:pt>
                <c:pt idx="40">
                  <c:v>0.35484326689388357</c:v>
                </c:pt>
                <c:pt idx="41">
                  <c:v>0.35484424957887234</c:v>
                </c:pt>
                <c:pt idx="42">
                  <c:v>0.3548451767895705</c:v>
                </c:pt>
                <c:pt idx="43">
                  <c:v>0.35484605130427127</c:v>
                </c:pt>
                <c:pt idx="44">
                  <c:v>0.35484687576237944</c:v>
                </c:pt>
                <c:pt idx="45">
                  <c:v>0.35484765267135249</c:v>
                </c:pt>
                <c:pt idx="46">
                  <c:v>0.35484838441329514</c:v>
                </c:pt>
                <c:pt idx="47">
                  <c:v>0.354849073251225</c:v>
                </c:pt>
                <c:pt idx="48">
                  <c:v>0.35484972133502463</c:v>
                </c:pt>
                <c:pt idx="49">
                  <c:v>0.35485033070709615</c:v>
                </c:pt>
                <c:pt idx="50">
                  <c:v>0.35485090330773378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11-49EF-AC1D-CDE1EE423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6530336"/>
        <c:axId val="476532960"/>
      </c:lineChart>
      <c:catAx>
        <c:axId val="47653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76532960"/>
        <c:crosses val="autoZero"/>
        <c:auto val="1"/>
        <c:lblAlgn val="ctr"/>
        <c:lblOffset val="100"/>
        <c:noMultiLvlLbl val="0"/>
      </c:catAx>
      <c:valAx>
        <c:axId val="476532960"/>
        <c:scaling>
          <c:orientation val="minMax"/>
          <c:min val="0.35400000000000004"/>
        </c:scaling>
        <c:delete val="0"/>
        <c:axPos val="l"/>
        <c:numFmt formatCode="0.0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7653033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</xdr:colOff>
      <xdr:row>0</xdr:row>
      <xdr:rowOff>9525</xdr:rowOff>
    </xdr:from>
    <xdr:to>
      <xdr:col>18</xdr:col>
      <xdr:colOff>9525</xdr:colOff>
      <xdr:row>14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A7A2025-9147-47EE-A704-06E7B5375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9525</xdr:colOff>
      <xdr:row>14</xdr:row>
      <xdr:rowOff>95250</xdr:rowOff>
    </xdr:from>
    <xdr:to>
      <xdr:col>18</xdr:col>
      <xdr:colOff>9525</xdr:colOff>
      <xdr:row>28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BE864B8-00EB-42B8-9AA0-21A0F2D8E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2382</xdr:colOff>
      <xdr:row>28</xdr:row>
      <xdr:rowOff>183356</xdr:rowOff>
    </xdr:from>
    <xdr:to>
      <xdr:col>18</xdr:col>
      <xdr:colOff>2382</xdr:colOff>
      <xdr:row>43</xdr:row>
      <xdr:rowOff>69056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25C4A28-9AE6-4FCC-9E98-7E560CFE88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5953</xdr:colOff>
      <xdr:row>43</xdr:row>
      <xdr:rowOff>80962</xdr:rowOff>
    </xdr:from>
    <xdr:to>
      <xdr:col>18</xdr:col>
      <xdr:colOff>5953</xdr:colOff>
      <xdr:row>57</xdr:row>
      <xdr:rowOff>157162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0A78B11-9746-4688-91A6-F15760F2C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5953</xdr:colOff>
      <xdr:row>57</xdr:row>
      <xdr:rowOff>164305</xdr:rowOff>
    </xdr:from>
    <xdr:to>
      <xdr:col>18</xdr:col>
      <xdr:colOff>5953</xdr:colOff>
      <xdr:row>72</xdr:row>
      <xdr:rowOff>50005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7580266-F7E4-430E-82CD-C5316B750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</xdr:colOff>
      <xdr:row>0</xdr:row>
      <xdr:rowOff>9525</xdr:rowOff>
    </xdr:from>
    <xdr:to>
      <xdr:col>18</xdr:col>
      <xdr:colOff>9525</xdr:colOff>
      <xdr:row>14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A23C17-E55D-4CD2-A81A-F6B2C33F05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9525</xdr:colOff>
      <xdr:row>14</xdr:row>
      <xdr:rowOff>95250</xdr:rowOff>
    </xdr:from>
    <xdr:to>
      <xdr:col>18</xdr:col>
      <xdr:colOff>9525</xdr:colOff>
      <xdr:row>28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5BB9B06-FDEF-48EB-8CAD-AD204BB39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2382</xdr:colOff>
      <xdr:row>28</xdr:row>
      <xdr:rowOff>183356</xdr:rowOff>
    </xdr:from>
    <xdr:to>
      <xdr:col>18</xdr:col>
      <xdr:colOff>2382</xdr:colOff>
      <xdr:row>43</xdr:row>
      <xdr:rowOff>69056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410FC51-4F10-4169-9830-0CD87D7087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5953</xdr:colOff>
      <xdr:row>43</xdr:row>
      <xdr:rowOff>80962</xdr:rowOff>
    </xdr:from>
    <xdr:to>
      <xdr:col>18</xdr:col>
      <xdr:colOff>5953</xdr:colOff>
      <xdr:row>57</xdr:row>
      <xdr:rowOff>157162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F86B069-A05C-4B40-8C06-910EC48A1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5953</xdr:colOff>
      <xdr:row>57</xdr:row>
      <xdr:rowOff>164305</xdr:rowOff>
    </xdr:from>
    <xdr:to>
      <xdr:col>18</xdr:col>
      <xdr:colOff>5953</xdr:colOff>
      <xdr:row>72</xdr:row>
      <xdr:rowOff>50005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A5F89E3-DF32-44B7-8E91-F2C064A006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A557-82E1-48C8-9681-48412CAAB6B3}">
  <dimension ref="A1:N202"/>
  <sheetViews>
    <sheetView tabSelected="1" zoomScale="80" zoomScaleNormal="80" workbookViewId="0"/>
  </sheetViews>
  <sheetFormatPr baseColWidth="10" defaultRowHeight="15" customHeight="1" x14ac:dyDescent="0.25"/>
  <cols>
    <col min="1" max="16384" width="11.42578125" style="1"/>
  </cols>
  <sheetData>
    <row r="1" spans="1:14" ht="15" customHeight="1" thickBot="1" x14ac:dyDescent="0.3">
      <c r="A1" s="4" t="s">
        <v>0</v>
      </c>
      <c r="B1" s="4" t="s">
        <v>1</v>
      </c>
      <c r="C1" s="4" t="s">
        <v>8</v>
      </c>
      <c r="D1" s="4" t="s">
        <v>10</v>
      </c>
      <c r="E1" s="4" t="s">
        <v>9</v>
      </c>
      <c r="F1" s="4" t="s">
        <v>15</v>
      </c>
      <c r="G1" s="4" t="s">
        <v>11</v>
      </c>
      <c r="H1" s="4" t="s">
        <v>12</v>
      </c>
      <c r="I1" s="4" t="s">
        <v>16</v>
      </c>
      <c r="J1" s="4" t="s">
        <v>13</v>
      </c>
      <c r="K1" s="4" t="s">
        <v>14</v>
      </c>
      <c r="L1" s="2"/>
      <c r="M1" s="5" t="s">
        <v>3</v>
      </c>
      <c r="N1" s="10">
        <v>0.36</v>
      </c>
    </row>
    <row r="2" spans="1:14" ht="15" customHeight="1" thickBot="1" x14ac:dyDescent="0.3">
      <c r="A2" s="2">
        <v>0</v>
      </c>
      <c r="B2" s="8">
        <v>3.4041704566334374E-3</v>
      </c>
      <c r="C2" s="7">
        <v>1</v>
      </c>
      <c r="D2" s="7">
        <f>LN(C2)</f>
        <v>0</v>
      </c>
      <c r="E2" s="7">
        <f t="shared" ref="E2:E65" si="0">$N$6*D2+B2</f>
        <v>3.4041704566334374E-3</v>
      </c>
      <c r="F2" s="7">
        <f t="shared" ref="F2:F65" si="1">((1-$N$2*(1-$N$4))*(1-$N$1))/(((1-$N$2*(1-$N$4))*(1-$N$1))*$N$3+(1-$N$2*(1-$N$4))*(1-$N$1))</f>
        <v>0.37037037037037035</v>
      </c>
      <c r="G2" s="7">
        <f>((($F2^(1-$N$1)*(($N$2*$N$1*$N$4)/(1-$N$2*(1-$N$1))))^$N$4)*$N$5)^(1/($N$4*(1-$N$1)))</f>
        <v>0.35469778040507688</v>
      </c>
      <c r="H2" s="7">
        <f t="shared" ref="H2:H33" si="2">G3</f>
        <v>0.35469922935008247</v>
      </c>
      <c r="I2" s="7">
        <f t="shared" ref="I2:I65" si="3">$C2*$G2^$N$1*$F2^(1-$N$1)</f>
        <v>0.36465001891249188</v>
      </c>
      <c r="J2" s="7">
        <f t="shared" ref="J2:J65" si="4">$C2*$G2^$N$1*$F2^(1-$N$1)*((1-$N$2*(1-$N$4*(1-$N$1)))/(1-$N$2*(1-$N$4)))</f>
        <v>0.35071066245124149</v>
      </c>
      <c r="K2" s="7">
        <f t="shared" ref="K2:K65" si="5">$C2*$G2^$N$1*$F2^(1-$N$1)*(($N$2*$N$1*$N$4)/(1-$N$2*(1-$N$1)))</f>
        <v>4.2563733648606582E-4</v>
      </c>
      <c r="L2" s="6"/>
      <c r="M2" s="5" t="s">
        <v>4</v>
      </c>
      <c r="N2" s="11">
        <v>0.99</v>
      </c>
    </row>
    <row r="3" spans="1:14" ht="15" customHeight="1" thickBot="1" x14ac:dyDescent="0.3">
      <c r="A3" s="2">
        <v>1</v>
      </c>
      <c r="B3" s="7">
        <v>-1.2713076102954801E-2</v>
      </c>
      <c r="C3" s="7">
        <f t="shared" ref="C3:C34" si="6">EXP(D3)</f>
        <v>1.0034099712252831</v>
      </c>
      <c r="D3" s="7">
        <f t="shared" ref="D3:D34" si="7">E2</f>
        <v>3.4041704566334374E-3</v>
      </c>
      <c r="E3" s="7">
        <f t="shared" si="0"/>
        <v>-9.4791141691530356E-3</v>
      </c>
      <c r="F3" s="7">
        <f t="shared" si="1"/>
        <v>0.37037037037037035</v>
      </c>
      <c r="G3" s="7">
        <f t="shared" ref="G3:G34" si="8">(($C3*$G2^$N$1*$F3^(1-$N$1)*(($N$2*$N$1*$N$4)/(1-$N$2*(1-$N$1))))^$N$4)*($N$5*$G2^(1-$N$4))</f>
        <v>0.35469922935008247</v>
      </c>
      <c r="H3" s="7">
        <f t="shared" si="2"/>
        <v>0.3546951935788612</v>
      </c>
      <c r="I3" s="7">
        <f t="shared" si="3"/>
        <v>0.36589400306820669</v>
      </c>
      <c r="J3" s="7">
        <f t="shared" si="4"/>
        <v>0.35190709323336711</v>
      </c>
      <c r="K3" s="7">
        <f t="shared" si="5"/>
        <v>4.2708937563376261E-4</v>
      </c>
      <c r="M3" s="5" t="s">
        <v>6</v>
      </c>
      <c r="N3" s="10">
        <v>1.7</v>
      </c>
    </row>
    <row r="4" spans="1:14" ht="15" customHeight="1" thickBot="1" x14ac:dyDescent="0.3">
      <c r="A4" s="2">
        <v>2</v>
      </c>
      <c r="B4" s="7">
        <v>5.0954440666828305E-3</v>
      </c>
      <c r="C4" s="7">
        <f t="shared" si="6"/>
        <v>0.99056567101389836</v>
      </c>
      <c r="D4" s="7">
        <f t="shared" si="7"/>
        <v>-9.4791141691530356E-3</v>
      </c>
      <c r="E4" s="7">
        <f t="shared" si="0"/>
        <v>-3.9097143940125534E-3</v>
      </c>
      <c r="F4" s="7">
        <f t="shared" si="1"/>
        <v>0.37037037037037035</v>
      </c>
      <c r="G4" s="7">
        <f t="shared" si="8"/>
        <v>0.3546951935788612</v>
      </c>
      <c r="H4" s="7">
        <f t="shared" si="2"/>
        <v>0.35469353146114629</v>
      </c>
      <c r="I4" s="7">
        <f t="shared" si="3"/>
        <v>0.36120884231237849</v>
      </c>
      <c r="J4" s="7">
        <f t="shared" si="4"/>
        <v>0.34740103057836585</v>
      </c>
      <c r="K4" s="7">
        <f t="shared" si="5"/>
        <v>4.216206268563265E-4</v>
      </c>
      <c r="M4" s="5" t="s">
        <v>5</v>
      </c>
      <c r="N4" s="10">
        <v>1.1999999999999999E-3</v>
      </c>
    </row>
    <row r="5" spans="1:14" ht="15" customHeight="1" thickBot="1" x14ac:dyDescent="0.3">
      <c r="A5" s="2">
        <v>3</v>
      </c>
      <c r="B5" s="7">
        <v>-8.4057546700933017E-3</v>
      </c>
      <c r="C5" s="7">
        <f t="shared" si="6"/>
        <v>0.99609791858847485</v>
      </c>
      <c r="D5" s="7">
        <f t="shared" si="7"/>
        <v>-3.9097143940125534E-3</v>
      </c>
      <c r="E5" s="7">
        <f t="shared" si="0"/>
        <v>-1.2119983344405227E-2</v>
      </c>
      <c r="F5" s="7">
        <f t="shared" si="1"/>
        <v>0.37037037037037035</v>
      </c>
      <c r="G5" s="7">
        <f t="shared" si="8"/>
        <v>0.35469353146114629</v>
      </c>
      <c r="H5" s="7">
        <f t="shared" si="2"/>
        <v>0.35468837610614934</v>
      </c>
      <c r="I5" s="7">
        <f t="shared" si="3"/>
        <v>0.36322555844370913</v>
      </c>
      <c r="J5" s="7">
        <f t="shared" si="4"/>
        <v>0.34934065436476913</v>
      </c>
      <c r="K5" s="7">
        <f t="shared" si="5"/>
        <v>4.2397463655896703E-4</v>
      </c>
      <c r="M5" s="5" t="s">
        <v>7</v>
      </c>
      <c r="N5" s="10">
        <f>N4^(-N4)</f>
        <v>1.0081031749039164</v>
      </c>
    </row>
    <row r="6" spans="1:14" ht="15" customHeight="1" thickBot="1" x14ac:dyDescent="0.3">
      <c r="A6" s="2">
        <v>4</v>
      </c>
      <c r="B6" s="7">
        <v>-2.9265265766298398E-4</v>
      </c>
      <c r="C6" s="7">
        <f t="shared" si="6"/>
        <v>0.9879531678251664</v>
      </c>
      <c r="D6" s="7">
        <f t="shared" si="7"/>
        <v>-1.2119983344405227E-2</v>
      </c>
      <c r="E6" s="7">
        <f t="shared" si="0"/>
        <v>-1.180663683484795E-2</v>
      </c>
      <c r="F6" s="7">
        <f t="shared" si="1"/>
        <v>0.37037037037037035</v>
      </c>
      <c r="G6" s="7">
        <f t="shared" si="8"/>
        <v>0.35468837610614934</v>
      </c>
      <c r="H6" s="7">
        <f t="shared" si="2"/>
        <v>0.35468335815183571</v>
      </c>
      <c r="I6" s="7">
        <f t="shared" si="3"/>
        <v>0.36025370269188373</v>
      </c>
      <c r="J6" s="7">
        <f t="shared" si="4"/>
        <v>0.34648240276631703</v>
      </c>
      <c r="K6" s="7">
        <f t="shared" si="5"/>
        <v>4.2050574117703283E-4</v>
      </c>
      <c r="M6" s="5" t="s">
        <v>2</v>
      </c>
      <c r="N6" s="10">
        <v>0.95</v>
      </c>
    </row>
    <row r="7" spans="1:14" ht="15" customHeight="1" x14ac:dyDescent="0.25">
      <c r="A7" s="2">
        <v>5</v>
      </c>
      <c r="B7" s="7">
        <v>6.3578227127436548E-3</v>
      </c>
      <c r="C7" s="7">
        <f t="shared" si="6"/>
        <v>0.98826278800857892</v>
      </c>
      <c r="D7" s="7">
        <f t="shared" si="7"/>
        <v>-1.180663683484795E-2</v>
      </c>
      <c r="E7" s="7">
        <f t="shared" si="0"/>
        <v>-4.8584822803618977E-3</v>
      </c>
      <c r="F7" s="7">
        <f t="shared" si="1"/>
        <v>0.37037037037037035</v>
      </c>
      <c r="G7" s="7">
        <f t="shared" si="8"/>
        <v>0.35468335815183571</v>
      </c>
      <c r="H7" s="7">
        <f t="shared" si="2"/>
        <v>0.35468130136649179</v>
      </c>
      <c r="I7" s="7">
        <f t="shared" si="3"/>
        <v>0.36036476922831534</v>
      </c>
      <c r="J7" s="7">
        <f t="shared" si="4"/>
        <v>0.34658922359875322</v>
      </c>
      <c r="K7" s="7">
        <f t="shared" si="5"/>
        <v>4.2063538347043096E-4</v>
      </c>
    </row>
    <row r="8" spans="1:14" ht="15" customHeight="1" x14ac:dyDescent="0.25">
      <c r="A8" s="2">
        <v>6</v>
      </c>
      <c r="B8" s="7">
        <v>1.7472757463110611E-3</v>
      </c>
      <c r="C8" s="7">
        <f t="shared" si="6"/>
        <v>0.99515330105390842</v>
      </c>
      <c r="D8" s="7">
        <f t="shared" si="7"/>
        <v>-4.8584822803618977E-3</v>
      </c>
      <c r="E8" s="7">
        <f t="shared" si="0"/>
        <v>-2.8682824200327419E-3</v>
      </c>
      <c r="F8" s="7">
        <f t="shared" si="1"/>
        <v>0.37037037037037035</v>
      </c>
      <c r="G8" s="7">
        <f t="shared" si="8"/>
        <v>0.35468130136649179</v>
      </c>
      <c r="H8" s="7">
        <f t="shared" si="2"/>
        <v>0.35468009323278726</v>
      </c>
      <c r="I8" s="7">
        <f t="shared" si="3"/>
        <v>0.3628766006106503</v>
      </c>
      <c r="J8" s="7">
        <f t="shared" si="4"/>
        <v>0.34900503602813887</v>
      </c>
      <c r="K8" s="7">
        <f t="shared" si="5"/>
        <v>4.2356731590928741E-4</v>
      </c>
    </row>
    <row r="9" spans="1:14" ht="15" customHeight="1" x14ac:dyDescent="0.25">
      <c r="A9" s="2">
        <v>7</v>
      </c>
      <c r="B9" s="7">
        <v>-1.4232364264898933E-2</v>
      </c>
      <c r="C9" s="7">
        <f t="shared" si="6"/>
        <v>0.99713582717189209</v>
      </c>
      <c r="D9" s="7">
        <f t="shared" si="7"/>
        <v>-2.8682824200327419E-3</v>
      </c>
      <c r="E9" s="7">
        <f t="shared" si="0"/>
        <v>-1.6957232563930037E-2</v>
      </c>
      <c r="F9" s="7">
        <f t="shared" si="1"/>
        <v>0.37037037037037035</v>
      </c>
      <c r="G9" s="7">
        <f t="shared" si="8"/>
        <v>0.35468009323278726</v>
      </c>
      <c r="H9" s="7">
        <f t="shared" si="2"/>
        <v>0.35467288961795906</v>
      </c>
      <c r="I9" s="7">
        <f t="shared" si="3"/>
        <v>0.3635990708410558</v>
      </c>
      <c r="J9" s="7">
        <f t="shared" si="4"/>
        <v>0.34969988862642604</v>
      </c>
      <c r="K9" s="7">
        <f t="shared" si="5"/>
        <v>4.244106184970053E-4</v>
      </c>
    </row>
    <row r="10" spans="1:14" ht="15" customHeight="1" x14ac:dyDescent="0.25">
      <c r="A10" s="2">
        <v>8</v>
      </c>
      <c r="B10" s="7">
        <v>9.0818502940237522E-3</v>
      </c>
      <c r="C10" s="7">
        <f t="shared" si="6"/>
        <v>0.98318573206871396</v>
      </c>
      <c r="D10" s="7">
        <f t="shared" si="7"/>
        <v>-1.6957232563930037E-2</v>
      </c>
      <c r="E10" s="7">
        <f t="shared" si="0"/>
        <v>-7.0275206417097814E-3</v>
      </c>
      <c r="F10" s="7">
        <f t="shared" si="1"/>
        <v>0.37037037037037035</v>
      </c>
      <c r="G10" s="7">
        <f t="shared" si="8"/>
        <v>0.35467288961795906</v>
      </c>
      <c r="H10" s="7">
        <f t="shared" si="2"/>
        <v>0.3546699177806002</v>
      </c>
      <c r="I10" s="7">
        <f t="shared" si="3"/>
        <v>0.3585096383793081</v>
      </c>
      <c r="J10" s="7">
        <f t="shared" si="4"/>
        <v>0.34480500822717747</v>
      </c>
      <c r="K10" s="7">
        <f t="shared" si="5"/>
        <v>4.1846998401217928E-4</v>
      </c>
    </row>
    <row r="11" spans="1:14" ht="15" customHeight="1" x14ac:dyDescent="0.25">
      <c r="A11" s="2">
        <v>9</v>
      </c>
      <c r="B11" s="7">
        <v>-5.7826810007099994E-4</v>
      </c>
      <c r="C11" s="7">
        <f t="shared" si="6"/>
        <v>0.9929971146393799</v>
      </c>
      <c r="D11" s="7">
        <f t="shared" si="7"/>
        <v>-7.0275206417097814E-3</v>
      </c>
      <c r="E11" s="7">
        <f t="shared" si="0"/>
        <v>-7.2544127096952921E-3</v>
      </c>
      <c r="F11" s="7">
        <f t="shared" si="1"/>
        <v>0.37037037037037035</v>
      </c>
      <c r="G11" s="7">
        <f t="shared" si="8"/>
        <v>0.3546699177806002</v>
      </c>
      <c r="H11" s="7">
        <f t="shared" si="2"/>
        <v>0.35466685168515732</v>
      </c>
      <c r="I11" s="7">
        <f t="shared" si="3"/>
        <v>0.36208617660408071</v>
      </c>
      <c r="J11" s="7">
        <f t="shared" si="4"/>
        <v>0.34824482730036171</v>
      </c>
      <c r="K11" s="7">
        <f t="shared" si="5"/>
        <v>4.2264469435052739E-4</v>
      </c>
    </row>
    <row r="12" spans="1:14" ht="15" customHeight="1" x14ac:dyDescent="0.25">
      <c r="A12" s="2">
        <v>10</v>
      </c>
      <c r="B12" s="7">
        <v>-4.3646991798595991E-3</v>
      </c>
      <c r="C12" s="7">
        <f t="shared" si="6"/>
        <v>0.9927718370283537</v>
      </c>
      <c r="D12" s="7">
        <f t="shared" si="7"/>
        <v>-7.2544127096952921E-3</v>
      </c>
      <c r="E12" s="7">
        <f t="shared" si="0"/>
        <v>-1.1256391254070127E-2</v>
      </c>
      <c r="F12" s="7">
        <f t="shared" si="1"/>
        <v>0.37037037037037035</v>
      </c>
      <c r="G12" s="7">
        <f t="shared" si="8"/>
        <v>0.35466685168515732</v>
      </c>
      <c r="H12" s="7">
        <f t="shared" si="2"/>
        <v>0.35466208474679711</v>
      </c>
      <c r="I12" s="7">
        <f t="shared" si="3"/>
        <v>0.36200290481956615</v>
      </c>
      <c r="J12" s="7">
        <f t="shared" si="4"/>
        <v>0.34816473871899351</v>
      </c>
      <c r="K12" s="7">
        <f t="shared" si="5"/>
        <v>4.2254749545096081E-4</v>
      </c>
    </row>
    <row r="13" spans="1:14" ht="15" customHeight="1" x14ac:dyDescent="0.25">
      <c r="A13" s="2">
        <v>11</v>
      </c>
      <c r="B13" s="7">
        <v>-3.7639210859197192E-3</v>
      </c>
      <c r="C13" s="7">
        <f t="shared" si="6"/>
        <v>0.98880672487603261</v>
      </c>
      <c r="D13" s="7">
        <f t="shared" si="7"/>
        <v>-1.1256391254070127E-2</v>
      </c>
      <c r="E13" s="7">
        <f t="shared" si="0"/>
        <v>-1.445749277728634E-2</v>
      </c>
      <c r="F13" s="7">
        <f t="shared" si="1"/>
        <v>0.37037037037037035</v>
      </c>
      <c r="G13" s="7">
        <f t="shared" si="8"/>
        <v>0.35466208474679711</v>
      </c>
      <c r="H13" s="7">
        <f t="shared" si="2"/>
        <v>0.35465595918314846</v>
      </c>
      <c r="I13" s="7">
        <f t="shared" si="3"/>
        <v>0.36055532738130225</v>
      </c>
      <c r="J13" s="7">
        <f t="shared" si="4"/>
        <v>0.34677249734783688</v>
      </c>
      <c r="K13" s="7">
        <f t="shared" si="5"/>
        <v>4.2085781226647198E-4</v>
      </c>
    </row>
    <row r="14" spans="1:14" ht="15" customHeight="1" x14ac:dyDescent="0.25">
      <c r="A14" s="2">
        <v>12</v>
      </c>
      <c r="B14" s="7">
        <v>8.3861550592700951E-3</v>
      </c>
      <c r="C14" s="7">
        <f t="shared" si="6"/>
        <v>0.98564651493785782</v>
      </c>
      <c r="D14" s="7">
        <f t="shared" si="7"/>
        <v>-1.445749277728634E-2</v>
      </c>
      <c r="E14" s="7">
        <f t="shared" si="0"/>
        <v>-5.3484630791519275E-3</v>
      </c>
      <c r="F14" s="7">
        <f t="shared" si="1"/>
        <v>0.37037037037037035</v>
      </c>
      <c r="G14" s="7">
        <f t="shared" si="8"/>
        <v>0.35465595918314846</v>
      </c>
      <c r="H14" s="7">
        <f t="shared" si="2"/>
        <v>0.35465371506988908</v>
      </c>
      <c r="I14" s="7">
        <f t="shared" si="3"/>
        <v>0.3594007638253372</v>
      </c>
      <c r="J14" s="7">
        <f t="shared" si="4"/>
        <v>0.34566206891357504</v>
      </c>
      <c r="K14" s="7">
        <f t="shared" si="5"/>
        <v>4.1951014921621236E-4</v>
      </c>
    </row>
    <row r="15" spans="1:14" ht="15" customHeight="1" x14ac:dyDescent="0.25">
      <c r="A15" s="2">
        <v>13</v>
      </c>
      <c r="B15" s="7">
        <v>3.1732270144857466E-3</v>
      </c>
      <c r="C15" s="7">
        <f t="shared" si="6"/>
        <v>0.99466581448382207</v>
      </c>
      <c r="D15" s="7">
        <f t="shared" si="7"/>
        <v>-5.3484630791519275E-3</v>
      </c>
      <c r="E15" s="7">
        <f t="shared" si="0"/>
        <v>-1.9078129107085841E-3</v>
      </c>
      <c r="F15" s="7">
        <f t="shared" si="1"/>
        <v>0.37037037037037035</v>
      </c>
      <c r="G15" s="7">
        <f t="shared" si="8"/>
        <v>0.35465371506988908</v>
      </c>
      <c r="H15" s="7">
        <f t="shared" si="2"/>
        <v>0.35465293697529404</v>
      </c>
      <c r="I15" s="7">
        <f t="shared" si="3"/>
        <v>0.36268868578637298</v>
      </c>
      <c r="J15" s="7">
        <f t="shared" si="4"/>
        <v>0.34882430456210672</v>
      </c>
      <c r="K15" s="7">
        <f t="shared" si="5"/>
        <v>4.2334797253579693E-4</v>
      </c>
    </row>
    <row r="16" spans="1:14" ht="15" customHeight="1" x14ac:dyDescent="0.25">
      <c r="A16" s="2">
        <v>14</v>
      </c>
      <c r="B16" s="7">
        <v>-1.5254772733896971E-2</v>
      </c>
      <c r="C16" s="7">
        <f t="shared" si="6"/>
        <v>0.99809400580756724</v>
      </c>
      <c r="D16" s="7">
        <f t="shared" si="7"/>
        <v>-1.9078129107085841E-3</v>
      </c>
      <c r="E16" s="7">
        <f t="shared" si="0"/>
        <v>-1.7067194999070126E-2</v>
      </c>
      <c r="F16" s="7">
        <f t="shared" si="1"/>
        <v>0.37037037037037035</v>
      </c>
      <c r="G16" s="7">
        <f t="shared" si="8"/>
        <v>0.35465293697529404</v>
      </c>
      <c r="H16" s="7">
        <f t="shared" si="2"/>
        <v>0.35464570796954875</v>
      </c>
      <c r="I16" s="7">
        <f t="shared" si="3"/>
        <v>0.36393843245832586</v>
      </c>
      <c r="J16" s="7">
        <f t="shared" si="4"/>
        <v>0.35002627757865551</v>
      </c>
      <c r="K16" s="7">
        <f t="shared" si="5"/>
        <v>4.2480673797428163E-4</v>
      </c>
    </row>
    <row r="17" spans="1:11" ht="15" customHeight="1" x14ac:dyDescent="0.25">
      <c r="A17" s="2">
        <v>15</v>
      </c>
      <c r="B17" s="7">
        <v>-5.5511691243737005E-3</v>
      </c>
      <c r="C17" s="7">
        <f t="shared" si="6"/>
        <v>0.98307762451541447</v>
      </c>
      <c r="D17" s="7">
        <f t="shared" si="7"/>
        <v>-1.7067194999070126E-2</v>
      </c>
      <c r="E17" s="7">
        <f t="shared" si="0"/>
        <v>-2.176500437349032E-2</v>
      </c>
      <c r="F17" s="7">
        <f t="shared" si="1"/>
        <v>0.37037037037037035</v>
      </c>
      <c r="G17" s="7">
        <f t="shared" si="8"/>
        <v>0.35464570796954875</v>
      </c>
      <c r="H17" s="7">
        <f t="shared" si="2"/>
        <v>0.35463648543969922</v>
      </c>
      <c r="I17" s="7">
        <f t="shared" si="3"/>
        <v>0.35846032754993512</v>
      </c>
      <c r="J17" s="7">
        <f t="shared" si="4"/>
        <v>0.34475758238667703</v>
      </c>
      <c r="K17" s="7">
        <f t="shared" si="5"/>
        <v>4.184124260004264E-4</v>
      </c>
    </row>
    <row r="18" spans="1:11" ht="15" customHeight="1" x14ac:dyDescent="0.25">
      <c r="A18" s="2">
        <v>16</v>
      </c>
      <c r="B18" s="7">
        <v>2.9775264920317568E-3</v>
      </c>
      <c r="C18" s="7">
        <f t="shared" si="6"/>
        <v>0.97847014424089185</v>
      </c>
      <c r="D18" s="7">
        <f t="shared" si="7"/>
        <v>-2.176500437349032E-2</v>
      </c>
      <c r="E18" s="7">
        <f t="shared" si="0"/>
        <v>-1.7699227662784044E-2</v>
      </c>
      <c r="F18" s="7">
        <f t="shared" si="1"/>
        <v>0.37037037037037035</v>
      </c>
      <c r="G18" s="7">
        <f t="shared" si="8"/>
        <v>0.35463648543969922</v>
      </c>
      <c r="H18" s="7">
        <f t="shared" si="2"/>
        <v>0.35462900043888373</v>
      </c>
      <c r="I18" s="7">
        <f t="shared" si="3"/>
        <v>0.35677695845842156</v>
      </c>
      <c r="J18" s="7">
        <f t="shared" si="4"/>
        <v>0.34313856289232636</v>
      </c>
      <c r="K18" s="7">
        <f t="shared" si="5"/>
        <v>4.1644751526609641E-4</v>
      </c>
    </row>
    <row r="19" spans="1:11" ht="15" customHeight="1" x14ac:dyDescent="0.25">
      <c r="A19" s="2">
        <v>17</v>
      </c>
      <c r="B19" s="7">
        <v>-7.8626044341945089E-3</v>
      </c>
      <c r="C19" s="7">
        <f t="shared" si="6"/>
        <v>0.98245648365708704</v>
      </c>
      <c r="D19" s="7">
        <f t="shared" si="7"/>
        <v>-1.7699227662784044E-2</v>
      </c>
      <c r="E19" s="7">
        <f t="shared" si="0"/>
        <v>-2.4676870713839349E-2</v>
      </c>
      <c r="F19" s="7">
        <f t="shared" si="1"/>
        <v>0.37037037037037035</v>
      </c>
      <c r="G19" s="7">
        <f t="shared" si="8"/>
        <v>0.35462900043888373</v>
      </c>
      <c r="H19" s="7">
        <f t="shared" si="2"/>
        <v>0.3546185520499045</v>
      </c>
      <c r="I19" s="7">
        <f t="shared" si="3"/>
        <v>0.35822776483887597</v>
      </c>
      <c r="J19" s="7">
        <f t="shared" si="4"/>
        <v>0.34453390977396126</v>
      </c>
      <c r="K19" s="7">
        <f t="shared" si="5"/>
        <v>4.1814096742983205E-4</v>
      </c>
    </row>
    <row r="20" spans="1:11" ht="15" customHeight="1" x14ac:dyDescent="0.25">
      <c r="A20" s="2">
        <v>18</v>
      </c>
      <c r="B20" s="7">
        <v>-2.9839156923117116E-3</v>
      </c>
      <c r="C20" s="7">
        <f t="shared" si="6"/>
        <v>0.975625114146767</v>
      </c>
      <c r="D20" s="7">
        <f t="shared" si="7"/>
        <v>-2.4676870713839349E-2</v>
      </c>
      <c r="E20" s="7">
        <f t="shared" si="0"/>
        <v>-2.6426942870459092E-2</v>
      </c>
      <c r="F20" s="7">
        <f t="shared" si="1"/>
        <v>0.37037037037037035</v>
      </c>
      <c r="G20" s="7">
        <f t="shared" si="8"/>
        <v>0.3546185520499045</v>
      </c>
      <c r="H20" s="7">
        <f t="shared" si="2"/>
        <v>0.35460736728581504</v>
      </c>
      <c r="I20" s="7">
        <f t="shared" si="3"/>
        <v>0.35573310651821954</v>
      </c>
      <c r="J20" s="7">
        <f t="shared" si="4"/>
        <v>0.34213461393726785</v>
      </c>
      <c r="K20" s="7">
        <f t="shared" si="5"/>
        <v>4.1522908022847196E-4</v>
      </c>
    </row>
    <row r="21" spans="1:11" ht="15" customHeight="1" x14ac:dyDescent="0.25">
      <c r="A21" s="2">
        <v>19</v>
      </c>
      <c r="B21" s="7">
        <v>-3.3976903068833053E-3</v>
      </c>
      <c r="C21" s="7">
        <f t="shared" si="6"/>
        <v>0.97391919297717111</v>
      </c>
      <c r="D21" s="7">
        <f t="shared" si="7"/>
        <v>-2.6426942870459092E-2</v>
      </c>
      <c r="E21" s="7">
        <f t="shared" si="0"/>
        <v>-2.8503286033819443E-2</v>
      </c>
      <c r="F21" s="7">
        <f t="shared" si="1"/>
        <v>0.37037037037037035</v>
      </c>
      <c r="G21" s="7">
        <f t="shared" si="8"/>
        <v>0.35460736728581504</v>
      </c>
      <c r="H21" s="7">
        <f t="shared" si="2"/>
        <v>0.35459530794903582</v>
      </c>
      <c r="I21" s="7">
        <f t="shared" si="3"/>
        <v>0.35510706020858712</v>
      </c>
      <c r="J21" s="7">
        <f t="shared" si="4"/>
        <v>0.34153249929421603</v>
      </c>
      <c r="K21" s="7">
        <f t="shared" si="5"/>
        <v>4.1449832835701016E-4</v>
      </c>
    </row>
    <row r="22" spans="1:11" ht="15" customHeight="1" x14ac:dyDescent="0.25">
      <c r="A22" s="2">
        <v>20</v>
      </c>
      <c r="B22" s="7">
        <v>-4.2321289583924226E-3</v>
      </c>
      <c r="C22" s="7">
        <f t="shared" si="6"/>
        <v>0.9718991004475761</v>
      </c>
      <c r="D22" s="7">
        <f t="shared" si="7"/>
        <v>-2.8503286033819443E-2</v>
      </c>
      <c r="E22" s="7">
        <f t="shared" si="0"/>
        <v>-3.1310250690520888E-2</v>
      </c>
      <c r="F22" s="7">
        <f t="shared" si="1"/>
        <v>0.37037037037037035</v>
      </c>
      <c r="G22" s="7">
        <f t="shared" si="8"/>
        <v>0.35459530794903582</v>
      </c>
      <c r="H22" s="7">
        <f t="shared" si="2"/>
        <v>0.35458206392226665</v>
      </c>
      <c r="I22" s="7">
        <f t="shared" si="3"/>
        <v>0.35436616252272385</v>
      </c>
      <c r="J22" s="7">
        <f t="shared" si="4"/>
        <v>0.3408199236607562</v>
      </c>
      <c r="K22" s="7">
        <f t="shared" si="5"/>
        <v>4.1363351634202654E-4</v>
      </c>
    </row>
    <row r="23" spans="1:11" ht="15" customHeight="1" x14ac:dyDescent="0.25">
      <c r="A23" s="2">
        <v>21</v>
      </c>
      <c r="B23" s="7">
        <v>-1.8335958884563297E-2</v>
      </c>
      <c r="C23" s="7">
        <f t="shared" si="6"/>
        <v>0.9691748392638847</v>
      </c>
      <c r="D23" s="7">
        <f t="shared" si="7"/>
        <v>-3.1310250690520888E-2</v>
      </c>
      <c r="E23" s="7">
        <f t="shared" si="0"/>
        <v>-4.8080697040558139E-2</v>
      </c>
      <c r="F23" s="7">
        <f t="shared" si="1"/>
        <v>0.37037037037037035</v>
      </c>
      <c r="G23" s="7">
        <f t="shared" si="8"/>
        <v>0.35458206392226665</v>
      </c>
      <c r="H23" s="7">
        <f t="shared" si="2"/>
        <v>0.35456169509973939</v>
      </c>
      <c r="I23" s="7">
        <f t="shared" si="3"/>
        <v>0.35336811248858258</v>
      </c>
      <c r="J23" s="7">
        <f t="shared" si="4"/>
        <v>0.33986002575734442</v>
      </c>
      <c r="K23" s="7">
        <f t="shared" si="5"/>
        <v>4.1246854352924942E-4</v>
      </c>
    </row>
    <row r="24" spans="1:11" ht="15" customHeight="1" x14ac:dyDescent="0.25">
      <c r="A24" s="2">
        <v>22</v>
      </c>
      <c r="B24" s="7">
        <v>4.0516852095606737E-4</v>
      </c>
      <c r="C24" s="7">
        <f t="shared" si="6"/>
        <v>0.95305687510495762</v>
      </c>
      <c r="D24" s="7">
        <f t="shared" si="7"/>
        <v>-4.8080697040558139E-2</v>
      </c>
      <c r="E24" s="7">
        <f t="shared" si="0"/>
        <v>-4.5271493667574166E-2</v>
      </c>
      <c r="F24" s="7">
        <f t="shared" si="1"/>
        <v>0.37037037037037035</v>
      </c>
      <c r="G24" s="7">
        <f t="shared" si="8"/>
        <v>0.35456169509973939</v>
      </c>
      <c r="H24" s="7">
        <f t="shared" si="2"/>
        <v>0.35454253826569776</v>
      </c>
      <c r="I24" s="7">
        <f t="shared" si="3"/>
        <v>0.34748420063326524</v>
      </c>
      <c r="J24" s="7">
        <f t="shared" si="4"/>
        <v>0.33420103626726499</v>
      </c>
      <c r="K24" s="7">
        <f t="shared" si="5"/>
        <v>4.0560055383961479E-4</v>
      </c>
    </row>
    <row r="25" spans="1:11" ht="15" customHeight="1" x14ac:dyDescent="0.25">
      <c r="A25" s="2">
        <v>23</v>
      </c>
      <c r="B25" s="7">
        <v>4.6577497414546087E-3</v>
      </c>
      <c r="C25" s="7">
        <f t="shared" si="6"/>
        <v>0.95573796980009618</v>
      </c>
      <c r="D25" s="7">
        <f t="shared" si="7"/>
        <v>-4.5271493667574166E-2</v>
      </c>
      <c r="E25" s="7">
        <f t="shared" si="0"/>
        <v>-3.8350169242740845E-2</v>
      </c>
      <c r="F25" s="7">
        <f t="shared" si="1"/>
        <v>0.37037037037037035</v>
      </c>
      <c r="G25" s="7">
        <f t="shared" si="8"/>
        <v>0.35454253826569776</v>
      </c>
      <c r="H25" s="7">
        <f t="shared" si="2"/>
        <v>0.35452634171591479</v>
      </c>
      <c r="I25" s="7">
        <f t="shared" si="3"/>
        <v>0.34845494888479672</v>
      </c>
      <c r="J25" s="7">
        <f t="shared" si="4"/>
        <v>0.33513467604434038</v>
      </c>
      <c r="K25" s="7">
        <f t="shared" si="5"/>
        <v>4.0673365867644612E-4</v>
      </c>
    </row>
    <row r="26" spans="1:11" ht="15" customHeight="1" x14ac:dyDescent="0.25">
      <c r="A26" s="2">
        <v>24</v>
      </c>
      <c r="B26" s="7">
        <v>1.0319990906282328E-2</v>
      </c>
      <c r="C26" s="7">
        <f t="shared" si="6"/>
        <v>0.96237588744602975</v>
      </c>
      <c r="D26" s="7">
        <f t="shared" si="7"/>
        <v>-3.8350169242740845E-2</v>
      </c>
      <c r="E26" s="7">
        <f t="shared" si="0"/>
        <v>-2.6112669874321474E-2</v>
      </c>
      <c r="F26" s="7">
        <f t="shared" si="1"/>
        <v>0.37037037037037035</v>
      </c>
      <c r="G26" s="7">
        <f t="shared" si="8"/>
        <v>0.35452634171591479</v>
      </c>
      <c r="H26" s="7">
        <f t="shared" si="2"/>
        <v>0.35451536436376779</v>
      </c>
      <c r="I26" s="7">
        <f t="shared" si="3"/>
        <v>0.35086931371529645</v>
      </c>
      <c r="J26" s="7">
        <f t="shared" si="4"/>
        <v>0.33745674774374357</v>
      </c>
      <c r="K26" s="7">
        <f t="shared" si="5"/>
        <v>4.0955182338907743E-4</v>
      </c>
    </row>
    <row r="27" spans="1:11" ht="15" customHeight="1" x14ac:dyDescent="0.25">
      <c r="A27" s="2">
        <v>25</v>
      </c>
      <c r="B27" s="7">
        <v>-3.0095179681666195E-3</v>
      </c>
      <c r="C27" s="7">
        <f t="shared" si="6"/>
        <v>0.97422531758077258</v>
      </c>
      <c r="D27" s="7">
        <f t="shared" si="7"/>
        <v>-2.6112669874321474E-2</v>
      </c>
      <c r="E27" s="7">
        <f t="shared" si="0"/>
        <v>-2.7816554348772018E-2</v>
      </c>
      <c r="F27" s="7">
        <f t="shared" si="1"/>
        <v>0.37037037037037035</v>
      </c>
      <c r="G27" s="7">
        <f t="shared" si="8"/>
        <v>0.35451536436376779</v>
      </c>
      <c r="H27" s="7">
        <f t="shared" si="2"/>
        <v>0.35450367094103002</v>
      </c>
      <c r="I27" s="7">
        <f t="shared" si="3"/>
        <v>0.35518549740209798</v>
      </c>
      <c r="J27" s="7">
        <f t="shared" si="4"/>
        <v>0.34160793809490236</v>
      </c>
      <c r="K27" s="7">
        <f t="shared" si="5"/>
        <v>4.1458988408550563E-4</v>
      </c>
    </row>
    <row r="28" spans="1:11" ht="15" customHeight="1" x14ac:dyDescent="0.25">
      <c r="A28" s="2">
        <v>26</v>
      </c>
      <c r="B28" s="7">
        <v>-1.2750933819916099E-2</v>
      </c>
      <c r="C28" s="7">
        <f t="shared" si="6"/>
        <v>0.9725667635809977</v>
      </c>
      <c r="D28" s="7">
        <f t="shared" si="7"/>
        <v>-2.7816554348772018E-2</v>
      </c>
      <c r="E28" s="7">
        <f t="shared" si="0"/>
        <v>-3.9176660451249512E-2</v>
      </c>
      <c r="F28" s="7">
        <f t="shared" si="1"/>
        <v>0.37037037037037035</v>
      </c>
      <c r="G28" s="7">
        <f t="shared" si="8"/>
        <v>0.35450367094103002</v>
      </c>
      <c r="H28" s="7">
        <f t="shared" si="2"/>
        <v>0.35448715443713363</v>
      </c>
      <c r="I28" s="7">
        <f t="shared" si="3"/>
        <v>0.35457660719220113</v>
      </c>
      <c r="J28" s="7">
        <f t="shared" si="4"/>
        <v>0.34102232373099839</v>
      </c>
      <c r="K28" s="7">
        <f t="shared" si="5"/>
        <v>4.1387915765273079E-4</v>
      </c>
    </row>
    <row r="29" spans="1:11" ht="15" customHeight="1" x14ac:dyDescent="0.25">
      <c r="A29" s="2">
        <v>27</v>
      </c>
      <c r="B29" s="7">
        <v>-9.9041699286317453E-3</v>
      </c>
      <c r="C29" s="7">
        <f t="shared" si="6"/>
        <v>0.9615808208388138</v>
      </c>
      <c r="D29" s="7">
        <f t="shared" si="7"/>
        <v>-3.9176660451249512E-2</v>
      </c>
      <c r="E29" s="7">
        <f t="shared" si="0"/>
        <v>-4.7121997357318778E-2</v>
      </c>
      <c r="F29" s="7">
        <f t="shared" si="1"/>
        <v>0.37037037037037035</v>
      </c>
      <c r="G29" s="7">
        <f t="shared" si="8"/>
        <v>0.35448715443713363</v>
      </c>
      <c r="H29" s="7">
        <f t="shared" si="2"/>
        <v>0.35446727173615133</v>
      </c>
      <c r="I29" s="7">
        <f t="shared" si="3"/>
        <v>0.35056549225879147</v>
      </c>
      <c r="J29" s="7">
        <f t="shared" si="4"/>
        <v>0.33716454037023091</v>
      </c>
      <c r="K29" s="7">
        <f t="shared" si="5"/>
        <v>4.0919718812565479E-4</v>
      </c>
    </row>
    <row r="30" spans="1:11" ht="15" customHeight="1" x14ac:dyDescent="0.25">
      <c r="A30" s="2">
        <v>28</v>
      </c>
      <c r="B30" s="7">
        <v>-4.871981218457222E-3</v>
      </c>
      <c r="C30" s="7">
        <f t="shared" si="6"/>
        <v>0.95397100854893602</v>
      </c>
      <c r="D30" s="7">
        <f t="shared" si="7"/>
        <v>-4.7121997357318778E-2</v>
      </c>
      <c r="E30" s="7">
        <f t="shared" si="0"/>
        <v>-4.963787870791006E-2</v>
      </c>
      <c r="F30" s="7">
        <f t="shared" si="1"/>
        <v>0.37037037037037035</v>
      </c>
      <c r="G30" s="7">
        <f t="shared" si="8"/>
        <v>0.35446727173615133</v>
      </c>
      <c r="H30" s="7">
        <f t="shared" si="2"/>
        <v>0.35444633532346753</v>
      </c>
      <c r="I30" s="7">
        <f t="shared" si="3"/>
        <v>0.34778414468929664</v>
      </c>
      <c r="J30" s="7">
        <f t="shared" si="4"/>
        <v>0.33448951446041797</v>
      </c>
      <c r="K30" s="7">
        <f t="shared" si="5"/>
        <v>4.0595066321156762E-4</v>
      </c>
    </row>
    <row r="31" spans="1:11" ht="15" customHeight="1" x14ac:dyDescent="0.25">
      <c r="A31" s="2">
        <v>29</v>
      </c>
      <c r="B31" s="7">
        <v>-2.416572897345759E-3</v>
      </c>
      <c r="C31" s="7">
        <f t="shared" si="6"/>
        <v>0.95157394730474487</v>
      </c>
      <c r="D31" s="7">
        <f t="shared" si="7"/>
        <v>-4.963787870791006E-2</v>
      </c>
      <c r="E31" s="7">
        <f t="shared" si="0"/>
        <v>-4.9572557669860316E-2</v>
      </c>
      <c r="F31" s="7">
        <f t="shared" si="1"/>
        <v>0.37037037037037035</v>
      </c>
      <c r="G31" s="7">
        <f t="shared" si="8"/>
        <v>0.35444633532346753</v>
      </c>
      <c r="H31" s="7">
        <f t="shared" si="2"/>
        <v>0.3544254440068465</v>
      </c>
      <c r="I31" s="7">
        <f t="shared" si="3"/>
        <v>0.34690288423892618</v>
      </c>
      <c r="J31" s="7">
        <f t="shared" si="4"/>
        <v>0.33364194166373135</v>
      </c>
      <c r="K31" s="7">
        <f t="shared" si="5"/>
        <v>4.0492201291294746E-4</v>
      </c>
    </row>
    <row r="32" spans="1:11" ht="15" customHeight="1" x14ac:dyDescent="0.25">
      <c r="A32" s="2">
        <v>30</v>
      </c>
      <c r="B32" s="7">
        <v>-3.5879565984942019E-3</v>
      </c>
      <c r="C32" s="7">
        <f t="shared" si="6"/>
        <v>0.95163610713291402</v>
      </c>
      <c r="D32" s="7">
        <f t="shared" si="7"/>
        <v>-4.9572557669860316E-2</v>
      </c>
      <c r="E32" s="7">
        <f t="shared" si="0"/>
        <v>-5.0681886384861499E-2</v>
      </c>
      <c r="F32" s="7">
        <f t="shared" si="1"/>
        <v>0.37037037037037035</v>
      </c>
      <c r="G32" s="7">
        <f t="shared" si="8"/>
        <v>0.3544254440068465</v>
      </c>
      <c r="H32" s="7">
        <f t="shared" si="2"/>
        <v>0.35440409818360202</v>
      </c>
      <c r="I32" s="7">
        <f t="shared" si="3"/>
        <v>0.34691818360374632</v>
      </c>
      <c r="J32" s="7">
        <f t="shared" si="4"/>
        <v>0.33365665618475937</v>
      </c>
      <c r="K32" s="7">
        <f t="shared" si="5"/>
        <v>4.0493987107983136E-4</v>
      </c>
    </row>
    <row r="33" spans="1:11" ht="15" customHeight="1" x14ac:dyDescent="0.25">
      <c r="A33" s="2">
        <v>31</v>
      </c>
      <c r="B33" s="7">
        <v>4.8728452384239063E-3</v>
      </c>
      <c r="C33" s="7">
        <f t="shared" si="6"/>
        <v>0.95058101520312743</v>
      </c>
      <c r="D33" s="7">
        <f t="shared" si="7"/>
        <v>-5.0681886384861499E-2</v>
      </c>
      <c r="E33" s="7">
        <f t="shared" si="0"/>
        <v>-4.3274946827194516E-2</v>
      </c>
      <c r="F33" s="7">
        <f t="shared" si="1"/>
        <v>0.37037037037037035</v>
      </c>
      <c r="G33" s="7">
        <f t="shared" si="8"/>
        <v>0.35440409818360202</v>
      </c>
      <c r="H33" s="7">
        <f t="shared" si="2"/>
        <v>0.35438591992216262</v>
      </c>
      <c r="I33" s="7">
        <f t="shared" si="3"/>
        <v>0.3465260371499157</v>
      </c>
      <c r="J33" s="7">
        <f t="shared" si="4"/>
        <v>0.3332795001845732</v>
      </c>
      <c r="K33" s="7">
        <f t="shared" si="5"/>
        <v>4.0448213855970506E-4</v>
      </c>
    </row>
    <row r="34" spans="1:11" ht="15" customHeight="1" x14ac:dyDescent="0.25">
      <c r="A34" s="2">
        <v>32</v>
      </c>
      <c r="B34" s="7">
        <v>2.0372317521832883E-2</v>
      </c>
      <c r="C34" s="7">
        <f t="shared" si="6"/>
        <v>0.95764805157329891</v>
      </c>
      <c r="D34" s="7">
        <f t="shared" si="7"/>
        <v>-4.3274946827194516E-2</v>
      </c>
      <c r="E34" s="7">
        <f t="shared" si="0"/>
        <v>-2.0738881964001907E-2</v>
      </c>
      <c r="F34" s="7">
        <f t="shared" si="1"/>
        <v>0.37037037037037035</v>
      </c>
      <c r="G34" s="7">
        <f t="shared" si="8"/>
        <v>0.35438591992216262</v>
      </c>
      <c r="H34" s="7">
        <f t="shared" ref="H34:H65" si="9">G35</f>
        <v>0.35437733994824133</v>
      </c>
      <c r="I34" s="7">
        <f t="shared" si="3"/>
        <v>0.34909581738138984</v>
      </c>
      <c r="J34" s="7">
        <f t="shared" si="4"/>
        <v>0.335751046271482</v>
      </c>
      <c r="K34" s="7">
        <f t="shared" si="5"/>
        <v>4.0748171172945631E-4</v>
      </c>
    </row>
    <row r="35" spans="1:11" ht="15" customHeight="1" x14ac:dyDescent="0.25">
      <c r="A35" s="2">
        <v>33</v>
      </c>
      <c r="B35" s="7">
        <v>-7.6261585491010919E-3</v>
      </c>
      <c r="C35" s="7">
        <f t="shared" ref="C35:C66" si="10">EXP(D35)</f>
        <v>0.97947468968806739</v>
      </c>
      <c r="D35" s="7">
        <f t="shared" ref="D35:D66" si="11">E34</f>
        <v>-2.0738881964001907E-2</v>
      </c>
      <c r="E35" s="7">
        <f t="shared" si="0"/>
        <v>-2.7328096414902903E-2</v>
      </c>
      <c r="F35" s="7">
        <f t="shared" si="1"/>
        <v>0.37037037037037035</v>
      </c>
      <c r="G35" s="7">
        <f t="shared" ref="G35:G66" si="12">(($C35*$G34^$N$1*$F35^(1-$N$1)*(($N$2*$N$1*$N$4)/(1-$N$2*(1-$N$1))))^$N$4)*($N$5*$G34^(1-$N$4))</f>
        <v>0.35437733994824133</v>
      </c>
      <c r="H35" s="7">
        <f t="shared" si="9"/>
        <v>0.35436596476814802</v>
      </c>
      <c r="I35" s="7">
        <f t="shared" si="3"/>
        <v>0.35704926939033432</v>
      </c>
      <c r="J35" s="7">
        <f t="shared" si="4"/>
        <v>0.34340046428371712</v>
      </c>
      <c r="K35" s="7">
        <f t="shared" si="5"/>
        <v>4.167653699040889E-4</v>
      </c>
    </row>
    <row r="36" spans="1:11" ht="15" customHeight="1" x14ac:dyDescent="0.25">
      <c r="A36" s="2">
        <v>34</v>
      </c>
      <c r="B36" s="7">
        <v>8.7113903646240942E-3</v>
      </c>
      <c r="C36" s="7">
        <f t="shared" si="10"/>
        <v>0.97304193757469215</v>
      </c>
      <c r="D36" s="7">
        <f t="shared" si="11"/>
        <v>-2.7328096414902903E-2</v>
      </c>
      <c r="E36" s="7">
        <f t="shared" si="0"/>
        <v>-1.7250301229533662E-2</v>
      </c>
      <c r="F36" s="7">
        <f t="shared" si="1"/>
        <v>0.37037037037037035</v>
      </c>
      <c r="G36" s="7">
        <f t="shared" si="12"/>
        <v>0.35436596476814802</v>
      </c>
      <c r="H36" s="7">
        <f t="shared" si="9"/>
        <v>0.35435888405049959</v>
      </c>
      <c r="I36" s="7">
        <f t="shared" si="3"/>
        <v>0.35470023044007759</v>
      </c>
      <c r="J36" s="7">
        <f t="shared" si="4"/>
        <v>0.34114122127359675</v>
      </c>
      <c r="K36" s="7">
        <f t="shared" si="5"/>
        <v>4.1402345675385475E-4</v>
      </c>
    </row>
    <row r="37" spans="1:11" ht="15" customHeight="1" x14ac:dyDescent="0.25">
      <c r="A37" s="2">
        <v>35</v>
      </c>
      <c r="B37" s="7">
        <v>1.8016862668446265E-3</v>
      </c>
      <c r="C37" s="7">
        <f t="shared" si="10"/>
        <v>0.98289763335659064</v>
      </c>
      <c r="D37" s="7">
        <f t="shared" si="11"/>
        <v>-1.7250301229533662E-2</v>
      </c>
      <c r="E37" s="7">
        <f t="shared" si="0"/>
        <v>-1.4586099901212353E-2</v>
      </c>
      <c r="F37" s="7">
        <f t="shared" si="1"/>
        <v>0.37037037037037035</v>
      </c>
      <c r="G37" s="7">
        <f t="shared" si="12"/>
        <v>0.35435888405049959</v>
      </c>
      <c r="H37" s="7">
        <f t="shared" si="9"/>
        <v>0.35435294179144466</v>
      </c>
      <c r="I37" s="7">
        <f t="shared" si="3"/>
        <v>0.35829032207671013</v>
      </c>
      <c r="J37" s="7">
        <f t="shared" si="4"/>
        <v>0.34459407565681893</v>
      </c>
      <c r="K37" s="7">
        <f t="shared" si="5"/>
        <v>4.1821398729740005E-4</v>
      </c>
    </row>
    <row r="38" spans="1:11" ht="15" customHeight="1" x14ac:dyDescent="0.25">
      <c r="A38" s="2">
        <v>36</v>
      </c>
      <c r="B38" s="7">
        <v>9.1177298600086942E-3</v>
      </c>
      <c r="C38" s="7">
        <f t="shared" si="10"/>
        <v>0.98551976192520885</v>
      </c>
      <c r="D38" s="7">
        <f t="shared" si="11"/>
        <v>-1.4586099901212353E-2</v>
      </c>
      <c r="E38" s="7">
        <f t="shared" si="0"/>
        <v>-4.7390650461430397E-3</v>
      </c>
      <c r="F38" s="7">
        <f t="shared" si="1"/>
        <v>0.37037037037037035</v>
      </c>
      <c r="G38" s="7">
        <f t="shared" si="12"/>
        <v>0.35435294179144466</v>
      </c>
      <c r="H38" s="7">
        <f t="shared" si="9"/>
        <v>0.35435119134107579</v>
      </c>
      <c r="I38" s="7">
        <f t="shared" si="3"/>
        <v>0.35924398359682158</v>
      </c>
      <c r="J38" s="7">
        <f t="shared" si="4"/>
        <v>0.34551128187134217</v>
      </c>
      <c r="K38" s="7">
        <f t="shared" si="5"/>
        <v>4.1932714766563492E-4</v>
      </c>
    </row>
    <row r="39" spans="1:11" ht="15" customHeight="1" x14ac:dyDescent="0.25">
      <c r="A39" s="2">
        <v>37</v>
      </c>
      <c r="B39" s="7">
        <v>4.6194145397748798E-3</v>
      </c>
      <c r="C39" s="7">
        <f t="shared" si="10"/>
        <v>0.99527214660470631</v>
      </c>
      <c r="D39" s="7">
        <f t="shared" si="11"/>
        <v>-4.7390650461430397E-3</v>
      </c>
      <c r="E39" s="7">
        <f t="shared" si="0"/>
        <v>1.1730274593899255E-4</v>
      </c>
      <c r="F39" s="7">
        <f t="shared" si="1"/>
        <v>0.37037037037037035</v>
      </c>
      <c r="G39" s="7">
        <f t="shared" si="12"/>
        <v>0.35435119134107579</v>
      </c>
      <c r="H39" s="7">
        <f t="shared" si="9"/>
        <v>0.35435150727116904</v>
      </c>
      <c r="I39" s="7">
        <f t="shared" si="3"/>
        <v>0.36279830063489171</v>
      </c>
      <c r="J39" s="7">
        <f t="shared" si="4"/>
        <v>0.3489297291998269</v>
      </c>
      <c r="K39" s="7">
        <f t="shared" si="5"/>
        <v>4.2347592034806353E-4</v>
      </c>
    </row>
    <row r="40" spans="1:11" ht="15" customHeight="1" x14ac:dyDescent="0.25">
      <c r="A40" s="2">
        <v>38</v>
      </c>
      <c r="B40" s="7">
        <v>-1.0212443157797679E-2</v>
      </c>
      <c r="C40" s="7">
        <f t="shared" si="10"/>
        <v>1.0001173096261751</v>
      </c>
      <c r="D40" s="7">
        <f t="shared" si="11"/>
        <v>1.1730274593899255E-4</v>
      </c>
      <c r="E40" s="7">
        <f t="shared" si="0"/>
        <v>-1.0101005549155636E-2</v>
      </c>
      <c r="F40" s="7">
        <f t="shared" si="1"/>
        <v>0.37037037037037035</v>
      </c>
      <c r="G40" s="7">
        <f t="shared" si="12"/>
        <v>0.35435150727116904</v>
      </c>
      <c r="H40" s="7">
        <f t="shared" si="9"/>
        <v>0.3543474779341424</v>
      </c>
      <c r="I40" s="7">
        <f t="shared" si="3"/>
        <v>0.36456458473736963</v>
      </c>
      <c r="J40" s="7">
        <f t="shared" si="4"/>
        <v>0.35062849414026087</v>
      </c>
      <c r="K40" s="7">
        <f t="shared" si="5"/>
        <v>4.2553761353842311E-4</v>
      </c>
    </row>
    <row r="41" spans="1:11" ht="15" customHeight="1" x14ac:dyDescent="0.25">
      <c r="A41" s="2">
        <v>39</v>
      </c>
      <c r="B41" s="7">
        <v>-2.4863311409717426E-5</v>
      </c>
      <c r="C41" s="7">
        <f t="shared" si="10"/>
        <v>0.98994983827215277</v>
      </c>
      <c r="D41" s="7">
        <f t="shared" si="11"/>
        <v>-1.0101005549155636E-2</v>
      </c>
      <c r="E41" s="7">
        <f t="shared" si="0"/>
        <v>-9.6208185831075706E-3</v>
      </c>
      <c r="F41" s="7">
        <f t="shared" si="1"/>
        <v>0.37037037037037035</v>
      </c>
      <c r="G41" s="7">
        <f t="shared" si="12"/>
        <v>0.3543474779341424</v>
      </c>
      <c r="H41" s="7">
        <f t="shared" si="9"/>
        <v>0.35434365591879874</v>
      </c>
      <c r="I41" s="7">
        <f t="shared" si="3"/>
        <v>0.36085684234317439</v>
      </c>
      <c r="J41" s="7">
        <f t="shared" si="4"/>
        <v>0.3470624863963292</v>
      </c>
      <c r="K41" s="7">
        <f t="shared" si="5"/>
        <v>4.2120975527655243E-4</v>
      </c>
    </row>
    <row r="42" spans="1:11" ht="15" customHeight="1" x14ac:dyDescent="0.25">
      <c r="A42" s="2">
        <v>40</v>
      </c>
      <c r="B42" s="7">
        <v>1.0716371434682515E-2</v>
      </c>
      <c r="C42" s="7">
        <f t="shared" si="10"/>
        <v>0.99042531343088325</v>
      </c>
      <c r="D42" s="7">
        <f t="shared" si="11"/>
        <v>-9.6208185831075706E-3</v>
      </c>
      <c r="E42" s="7">
        <f t="shared" si="0"/>
        <v>1.5765937807303235E-3</v>
      </c>
      <c r="F42" s="7">
        <f t="shared" si="1"/>
        <v>0.37037037037037035</v>
      </c>
      <c r="G42" s="7">
        <f t="shared" si="12"/>
        <v>0.35434365591879874</v>
      </c>
      <c r="H42" s="7">
        <f t="shared" si="9"/>
        <v>0.35434459813905267</v>
      </c>
      <c r="I42" s="7">
        <f t="shared" si="3"/>
        <v>0.36102876082611668</v>
      </c>
      <c r="J42" s="7">
        <f t="shared" si="4"/>
        <v>0.34722783300791071</v>
      </c>
      <c r="K42" s="7">
        <f t="shared" si="5"/>
        <v>4.2141042693808292E-4</v>
      </c>
    </row>
    <row r="43" spans="1:11" ht="15" customHeight="1" x14ac:dyDescent="0.25">
      <c r="A43" s="2">
        <v>41</v>
      </c>
      <c r="B43" s="7">
        <v>1.7266484064748511E-2</v>
      </c>
      <c r="C43" s="7">
        <f t="shared" si="10"/>
        <v>1.0015778372581055</v>
      </c>
      <c r="D43" s="7">
        <f t="shared" si="11"/>
        <v>1.5765937807303235E-3</v>
      </c>
      <c r="E43" s="7">
        <f t="shared" si="0"/>
        <v>1.8764248156442318E-2</v>
      </c>
      <c r="F43" s="7">
        <f t="shared" si="1"/>
        <v>0.37037037037037035</v>
      </c>
      <c r="G43" s="7">
        <f t="shared" si="12"/>
        <v>0.35434459813905267</v>
      </c>
      <c r="H43" s="7">
        <f t="shared" si="9"/>
        <v>0.35435284815595131</v>
      </c>
      <c r="I43" s="7">
        <f t="shared" si="3"/>
        <v>0.36509441620315991</v>
      </c>
      <c r="J43" s="7">
        <f t="shared" si="4"/>
        <v>0.35113807191269314</v>
      </c>
      <c r="K43" s="7">
        <f t="shared" si="5"/>
        <v>4.261560587384482E-4</v>
      </c>
    </row>
    <row r="44" spans="1:11" ht="15" customHeight="1" x14ac:dyDescent="0.25">
      <c r="A44" s="2">
        <v>42</v>
      </c>
      <c r="B44" s="7">
        <v>9.8498276202008128E-4</v>
      </c>
      <c r="C44" s="7">
        <f t="shared" si="10"/>
        <v>1.0189414029851145</v>
      </c>
      <c r="D44" s="7">
        <f t="shared" si="11"/>
        <v>1.8764248156442318E-2</v>
      </c>
      <c r="E44" s="7">
        <f t="shared" si="0"/>
        <v>1.8811018510640282E-2</v>
      </c>
      <c r="F44" s="7">
        <f t="shared" si="1"/>
        <v>0.37037037037037035</v>
      </c>
      <c r="G44" s="7">
        <f t="shared" si="12"/>
        <v>0.35435284815595131</v>
      </c>
      <c r="H44" s="7">
        <f t="shared" si="9"/>
        <v>0.35436111191700964</v>
      </c>
      <c r="I44" s="7">
        <f t="shared" si="3"/>
        <v>0.37142688353978198</v>
      </c>
      <c r="J44" s="7">
        <f t="shared" si="4"/>
        <v>0.35722847010107373</v>
      </c>
      <c r="K44" s="7">
        <f t="shared" si="5"/>
        <v>4.3354762432394638E-4</v>
      </c>
    </row>
    <row r="45" spans="1:11" ht="15" customHeight="1" x14ac:dyDescent="0.25">
      <c r="A45" s="2">
        <v>43</v>
      </c>
      <c r="B45" s="7">
        <v>-2.076853888866026E-3</v>
      </c>
      <c r="C45" s="7">
        <f t="shared" si="10"/>
        <v>1.0189890603499061</v>
      </c>
      <c r="D45" s="7">
        <f t="shared" si="11"/>
        <v>1.8811018510640282E-2</v>
      </c>
      <c r="E45" s="7">
        <f t="shared" si="0"/>
        <v>1.5793613696242242E-2</v>
      </c>
      <c r="F45" s="7">
        <f t="shared" si="1"/>
        <v>0.37037037037037035</v>
      </c>
      <c r="G45" s="7">
        <f t="shared" si="12"/>
        <v>0.35436111191700964</v>
      </c>
      <c r="H45" s="7">
        <f t="shared" si="9"/>
        <v>0.35436808639530742</v>
      </c>
      <c r="I45" s="7">
        <f t="shared" si="3"/>
        <v>0.37144737413381296</v>
      </c>
      <c r="J45" s="7">
        <f t="shared" si="4"/>
        <v>0.35724817740789916</v>
      </c>
      <c r="K45" s="7">
        <f t="shared" si="5"/>
        <v>4.3357154194745935E-4</v>
      </c>
    </row>
    <row r="46" spans="1:11" ht="15" customHeight="1" x14ac:dyDescent="0.25">
      <c r="A46" s="2">
        <v>44</v>
      </c>
      <c r="B46" s="7">
        <v>3.0287310437415726E-3</v>
      </c>
      <c r="C46" s="7">
        <f t="shared" si="10"/>
        <v>1.0159189920022393</v>
      </c>
      <c r="D46" s="7">
        <f t="shared" si="11"/>
        <v>1.5793613696242242E-2</v>
      </c>
      <c r="E46" s="7">
        <f t="shared" si="0"/>
        <v>1.8032664055171704E-2</v>
      </c>
      <c r="F46" s="7">
        <f t="shared" si="1"/>
        <v>0.37037037037037035</v>
      </c>
      <c r="G46" s="7">
        <f t="shared" si="12"/>
        <v>0.35436808639530742</v>
      </c>
      <c r="H46" s="7">
        <f t="shared" si="9"/>
        <v>0.35437600781191209</v>
      </c>
      <c r="I46" s="7">
        <f t="shared" si="3"/>
        <v>0.37033088023393174</v>
      </c>
      <c r="J46" s="7">
        <f t="shared" si="4"/>
        <v>0.3561743633534864</v>
      </c>
      <c r="K46" s="7">
        <f t="shared" si="5"/>
        <v>4.3226831566170281E-4</v>
      </c>
    </row>
    <row r="47" spans="1:11" ht="15" customHeight="1" x14ac:dyDescent="0.25">
      <c r="A47" s="2">
        <v>45</v>
      </c>
      <c r="B47" s="7">
        <v>1.231635451404145E-2</v>
      </c>
      <c r="C47" s="7">
        <f t="shared" si="10"/>
        <v>1.0181962342645938</v>
      </c>
      <c r="D47" s="7">
        <f t="shared" si="11"/>
        <v>1.8032664055171704E-2</v>
      </c>
      <c r="E47" s="7">
        <f t="shared" si="0"/>
        <v>2.9447385366454568E-2</v>
      </c>
      <c r="F47" s="7">
        <f t="shared" si="1"/>
        <v>0.37037037037037035</v>
      </c>
      <c r="G47" s="7">
        <f t="shared" si="12"/>
        <v>0.35437600781191209</v>
      </c>
      <c r="H47" s="7">
        <f t="shared" si="9"/>
        <v>0.35438877758744969</v>
      </c>
      <c r="I47" s="7">
        <f t="shared" si="3"/>
        <v>0.37116398554236879</v>
      </c>
      <c r="J47" s="7">
        <f t="shared" si="4"/>
        <v>0.3569756218190282</v>
      </c>
      <c r="K47" s="7">
        <f t="shared" si="5"/>
        <v>4.3324075692347235E-4</v>
      </c>
    </row>
    <row r="48" spans="1:11" ht="15" customHeight="1" x14ac:dyDescent="0.25">
      <c r="A48" s="2">
        <v>46</v>
      </c>
      <c r="B48" s="7">
        <v>8.042070476221852E-3</v>
      </c>
      <c r="C48" s="7">
        <f t="shared" si="10"/>
        <v>1.0298852470114859</v>
      </c>
      <c r="D48" s="7">
        <f t="shared" si="11"/>
        <v>2.9447385366454568E-2</v>
      </c>
      <c r="E48" s="7">
        <f t="shared" si="0"/>
        <v>3.6017086574353693E-2</v>
      </c>
      <c r="F48" s="7">
        <f t="shared" si="1"/>
        <v>0.37037037037037035</v>
      </c>
      <c r="G48" s="7">
        <f t="shared" si="12"/>
        <v>0.35438877758744969</v>
      </c>
      <c r="H48" s="7">
        <f t="shared" si="9"/>
        <v>0.35440433200109089</v>
      </c>
      <c r="I48" s="7">
        <f t="shared" si="3"/>
        <v>0.37542986195149503</v>
      </c>
      <c r="J48" s="7">
        <f t="shared" si="4"/>
        <v>0.36107842797228612</v>
      </c>
      <c r="K48" s="7">
        <f t="shared" si="5"/>
        <v>4.3822009650495465E-4</v>
      </c>
    </row>
    <row r="49" spans="1:11" ht="15" customHeight="1" x14ac:dyDescent="0.25">
      <c r="A49" s="2">
        <v>47</v>
      </c>
      <c r="B49" s="7">
        <v>-1.824230366764823E-3</v>
      </c>
      <c r="C49" s="7">
        <f t="shared" si="10"/>
        <v>1.0366735595394512</v>
      </c>
      <c r="D49" s="7">
        <f t="shared" si="11"/>
        <v>3.6017086574353693E-2</v>
      </c>
      <c r="E49" s="7">
        <f t="shared" si="0"/>
        <v>3.2392001878871181E-2</v>
      </c>
      <c r="F49" s="7">
        <f t="shared" si="1"/>
        <v>0.37037037037037035</v>
      </c>
      <c r="G49" s="7">
        <f t="shared" si="12"/>
        <v>0.35440433200109089</v>
      </c>
      <c r="H49" s="7">
        <f t="shared" si="9"/>
        <v>0.35441833339172729</v>
      </c>
      <c r="I49" s="7">
        <f t="shared" si="3"/>
        <v>0.37791041476886056</v>
      </c>
      <c r="J49" s="7">
        <f t="shared" si="4"/>
        <v>0.36346415751212835</v>
      </c>
      <c r="K49" s="7">
        <f t="shared" si="5"/>
        <v>4.4111551907299748E-4</v>
      </c>
    </row>
    <row r="50" spans="1:11" ht="15" customHeight="1" x14ac:dyDescent="0.25">
      <c r="A50" s="2">
        <v>48</v>
      </c>
      <c r="B50" s="7">
        <v>2.1214304979366716E-3</v>
      </c>
      <c r="C50" s="7">
        <f t="shared" si="10"/>
        <v>1.0329223334486779</v>
      </c>
      <c r="D50" s="7">
        <f t="shared" si="11"/>
        <v>3.2392001878871181E-2</v>
      </c>
      <c r="E50" s="7">
        <f t="shared" si="0"/>
        <v>3.2893832282864292E-2</v>
      </c>
      <c r="F50" s="7">
        <f t="shared" si="1"/>
        <v>0.37037037037037035</v>
      </c>
      <c r="G50" s="7">
        <f t="shared" si="12"/>
        <v>0.35441833339172729</v>
      </c>
      <c r="H50" s="7">
        <f t="shared" si="9"/>
        <v>0.35443253801977326</v>
      </c>
      <c r="I50" s="7">
        <f t="shared" si="3"/>
        <v>0.37654829291410591</v>
      </c>
      <c r="J50" s="7">
        <f t="shared" si="4"/>
        <v>0.36215410504196799</v>
      </c>
      <c r="K50" s="7">
        <f t="shared" si="5"/>
        <v>4.3952558382506768E-4</v>
      </c>
    </row>
    <row r="51" spans="1:11" ht="15" customHeight="1" x14ac:dyDescent="0.25">
      <c r="A51" s="2">
        <v>49</v>
      </c>
      <c r="B51" s="7">
        <v>-8.9326476881979033E-3</v>
      </c>
      <c r="C51" s="7">
        <f t="shared" si="10"/>
        <v>1.0334408153646797</v>
      </c>
      <c r="D51" s="7">
        <f t="shared" si="11"/>
        <v>3.2893832282864292E-2</v>
      </c>
      <c r="E51" s="7">
        <f t="shared" si="0"/>
        <v>2.2316492980523173E-2</v>
      </c>
      <c r="F51" s="7">
        <f t="shared" si="1"/>
        <v>0.37037037037037035</v>
      </c>
      <c r="G51" s="7">
        <f t="shared" si="12"/>
        <v>0.35443253801977326</v>
      </c>
      <c r="H51" s="7">
        <f t="shared" si="9"/>
        <v>0.35444223341184156</v>
      </c>
      <c r="I51" s="7">
        <f t="shared" si="3"/>
        <v>0.37674273933972241</v>
      </c>
      <c r="J51" s="7">
        <f t="shared" si="4"/>
        <v>0.36234111842796102</v>
      </c>
      <c r="K51" s="7">
        <f t="shared" si="5"/>
        <v>4.3975255120309078E-4</v>
      </c>
    </row>
    <row r="52" spans="1:11" ht="15" customHeight="1" x14ac:dyDescent="0.25">
      <c r="A52" s="2">
        <v>50</v>
      </c>
      <c r="B52" s="7">
        <v>8.9041805040324107E-3</v>
      </c>
      <c r="C52" s="7">
        <f t="shared" si="10"/>
        <v>1.0225673686559671</v>
      </c>
      <c r="D52" s="7">
        <f t="shared" si="11"/>
        <v>2.2316492980523173E-2</v>
      </c>
      <c r="E52" s="7">
        <f t="shared" si="0"/>
        <v>3.0104848835529423E-2</v>
      </c>
      <c r="F52" s="7">
        <f t="shared" si="1"/>
        <v>0.37037037037037035</v>
      </c>
      <c r="G52" s="7">
        <f t="shared" si="12"/>
        <v>0.35444223341184156</v>
      </c>
      <c r="H52" s="7">
        <f t="shared" si="9"/>
        <v>0.3544552343554771</v>
      </c>
      <c r="I52" s="7">
        <f t="shared" si="3"/>
        <v>0.37278247543253168</v>
      </c>
      <c r="J52" s="7">
        <f t="shared" si="4"/>
        <v>0.35853224222794111</v>
      </c>
      <c r="K52" s="7">
        <f t="shared" si="5"/>
        <v>4.3512993748085464E-4</v>
      </c>
    </row>
    <row r="53" spans="1:11" ht="15" customHeight="1" x14ac:dyDescent="0.25">
      <c r="A53" s="2">
        <v>51</v>
      </c>
      <c r="B53" s="7">
        <v>-8.6533873400185257E-3</v>
      </c>
      <c r="C53" s="7">
        <f t="shared" si="10"/>
        <v>1.0305625815757027</v>
      </c>
      <c r="D53" s="7">
        <f t="shared" si="11"/>
        <v>3.0104848835529423E-2</v>
      </c>
      <c r="E53" s="7">
        <f t="shared" si="0"/>
        <v>1.9946219053734424E-2</v>
      </c>
      <c r="F53" s="7">
        <f t="shared" si="1"/>
        <v>0.37037037037037035</v>
      </c>
      <c r="G53" s="7">
        <f t="shared" si="12"/>
        <v>0.3544552343554771</v>
      </c>
      <c r="H53" s="7">
        <f t="shared" si="9"/>
        <v>0.35446390472328088</v>
      </c>
      <c r="I53" s="7">
        <f t="shared" si="3"/>
        <v>0.37570213457643881</v>
      </c>
      <c r="J53" s="7">
        <f t="shared" si="4"/>
        <v>0.36134029252105576</v>
      </c>
      <c r="K53" s="7">
        <f t="shared" si="5"/>
        <v>4.385379064291794E-4</v>
      </c>
    </row>
    <row r="54" spans="1:11" ht="15" customHeight="1" x14ac:dyDescent="0.25">
      <c r="A54" s="2">
        <v>52</v>
      </c>
      <c r="B54" s="7">
        <v>-1.4086435839999467E-2</v>
      </c>
      <c r="C54" s="7">
        <f t="shared" si="10"/>
        <v>1.0201464741086914</v>
      </c>
      <c r="D54" s="7">
        <f t="shared" si="11"/>
        <v>1.9946219053734424E-2</v>
      </c>
      <c r="E54" s="7">
        <f t="shared" si="0"/>
        <v>4.8624722610482347E-3</v>
      </c>
      <c r="F54" s="7">
        <f t="shared" si="1"/>
        <v>0.37037037037037035</v>
      </c>
      <c r="G54" s="7">
        <f t="shared" si="12"/>
        <v>0.35446390472328088</v>
      </c>
      <c r="H54" s="7">
        <f t="shared" si="9"/>
        <v>0.35446615257278746</v>
      </c>
      <c r="I54" s="7">
        <f t="shared" si="3"/>
        <v>0.37190811098212911</v>
      </c>
      <c r="J54" s="7">
        <f t="shared" si="4"/>
        <v>0.35769130182009734</v>
      </c>
      <c r="K54" s="7">
        <f t="shared" si="5"/>
        <v>4.3410933653066858E-4</v>
      </c>
    </row>
    <row r="55" spans="1:11" ht="15" customHeight="1" x14ac:dyDescent="0.25">
      <c r="A55" s="2">
        <v>53</v>
      </c>
      <c r="B55" s="7">
        <v>-2.5143663151538931E-3</v>
      </c>
      <c r="C55" s="7">
        <f t="shared" si="10"/>
        <v>1.0048743132636959</v>
      </c>
      <c r="D55" s="7">
        <f t="shared" si="11"/>
        <v>4.8624722610482347E-3</v>
      </c>
      <c r="E55" s="7">
        <f t="shared" si="0"/>
        <v>2.1049823328419294E-3</v>
      </c>
      <c r="F55" s="7">
        <f t="shared" si="1"/>
        <v>0.37037037037037035</v>
      </c>
      <c r="G55" s="7">
        <f t="shared" si="12"/>
        <v>0.35446615257278746</v>
      </c>
      <c r="H55" s="7">
        <f t="shared" si="9"/>
        <v>0.35446722578047746</v>
      </c>
      <c r="I55" s="7">
        <f t="shared" si="3"/>
        <v>0.36634127577991921</v>
      </c>
      <c r="J55" s="7">
        <f t="shared" si="4"/>
        <v>0.35233726819808775</v>
      </c>
      <c r="K55" s="7">
        <f t="shared" si="5"/>
        <v>4.2761145421822005E-4</v>
      </c>
    </row>
    <row r="56" spans="1:11" ht="15" customHeight="1" x14ac:dyDescent="0.25">
      <c r="A56" s="2">
        <v>54</v>
      </c>
      <c r="B56" s="7">
        <v>9.3189555627759546E-3</v>
      </c>
      <c r="C56" s="7">
        <f t="shared" si="10"/>
        <v>1.0021071993634831</v>
      </c>
      <c r="D56" s="7">
        <f t="shared" si="11"/>
        <v>2.1049823328419294E-3</v>
      </c>
      <c r="E56" s="7">
        <f t="shared" si="0"/>
        <v>1.1318688778975787E-2</v>
      </c>
      <c r="F56" s="7">
        <f t="shared" si="1"/>
        <v>0.37037037037037035</v>
      </c>
      <c r="G56" s="7">
        <f t="shared" si="12"/>
        <v>0.35446722578047746</v>
      </c>
      <c r="H56" s="7">
        <f t="shared" si="9"/>
        <v>0.35447221734906809</v>
      </c>
      <c r="I56" s="7">
        <f t="shared" si="3"/>
        <v>0.36533288310449885</v>
      </c>
      <c r="J56" s="7">
        <f t="shared" si="4"/>
        <v>0.35136742301814677</v>
      </c>
      <c r="K56" s="7">
        <f t="shared" si="5"/>
        <v>4.2643440896870103E-4</v>
      </c>
    </row>
    <row r="57" spans="1:11" ht="15" customHeight="1" x14ac:dyDescent="0.25">
      <c r="A57" s="2">
        <v>55</v>
      </c>
      <c r="B57" s="7">
        <v>1.3696990208700299E-2</v>
      </c>
      <c r="C57" s="7">
        <f t="shared" si="10"/>
        <v>1.0113829875002269</v>
      </c>
      <c r="D57" s="7">
        <f t="shared" si="11"/>
        <v>1.1318688778975787E-2</v>
      </c>
      <c r="E57" s="7">
        <f t="shared" si="0"/>
        <v>2.4449744548727295E-2</v>
      </c>
      <c r="F57" s="7">
        <f t="shared" si="1"/>
        <v>0.37037037037037035</v>
      </c>
      <c r="G57" s="7">
        <f t="shared" si="12"/>
        <v>0.35447221734906809</v>
      </c>
      <c r="H57" s="7">
        <f t="shared" si="9"/>
        <v>0.35448279079029088</v>
      </c>
      <c r="I57" s="7">
        <f t="shared" si="3"/>
        <v>0.36871637695280696</v>
      </c>
      <c r="J57" s="7">
        <f t="shared" si="4"/>
        <v>0.35462157715881776</v>
      </c>
      <c r="K57" s="7">
        <f t="shared" si="5"/>
        <v>4.3038378846936809E-4</v>
      </c>
    </row>
    <row r="58" spans="1:11" ht="15" customHeight="1" x14ac:dyDescent="0.25">
      <c r="A58" s="2">
        <v>56</v>
      </c>
      <c r="B58" s="7">
        <v>-2.0158950064796954E-4</v>
      </c>
      <c r="C58" s="7">
        <f t="shared" si="10"/>
        <v>1.0247510904846215</v>
      </c>
      <c r="D58" s="7">
        <f t="shared" si="11"/>
        <v>2.4449744548727295E-2</v>
      </c>
      <c r="E58" s="7">
        <f t="shared" si="0"/>
        <v>2.3025667820642959E-2</v>
      </c>
      <c r="F58" s="7">
        <f t="shared" si="1"/>
        <v>0.37037037037037035</v>
      </c>
      <c r="G58" s="7">
        <f t="shared" si="12"/>
        <v>0.35448279079029088</v>
      </c>
      <c r="H58" s="7">
        <f t="shared" si="9"/>
        <v>0.35449275063577013</v>
      </c>
      <c r="I58" s="7">
        <f t="shared" si="3"/>
        <v>0.37359395144048718</v>
      </c>
      <c r="J58" s="7">
        <f t="shared" si="4"/>
        <v>0.35931269820916417</v>
      </c>
      <c r="K58" s="7">
        <f t="shared" si="5"/>
        <v>4.3607713196524986E-4</v>
      </c>
    </row>
    <row r="59" spans="1:11" ht="15" customHeight="1" x14ac:dyDescent="0.25">
      <c r="A59" s="2">
        <v>57</v>
      </c>
      <c r="B59" s="7">
        <v>1.4163197192829102E-2</v>
      </c>
      <c r="C59" s="7">
        <f t="shared" si="10"/>
        <v>1.0232928049063104</v>
      </c>
      <c r="D59" s="7">
        <f t="shared" si="11"/>
        <v>2.3025667820642959E-2</v>
      </c>
      <c r="E59" s="7">
        <f t="shared" si="0"/>
        <v>3.6037581622439911E-2</v>
      </c>
      <c r="F59" s="7">
        <f t="shared" si="1"/>
        <v>0.37037037037037035</v>
      </c>
      <c r="G59" s="7">
        <f t="shared" si="12"/>
        <v>0.35449275063577013</v>
      </c>
      <c r="H59" s="7">
        <f t="shared" si="9"/>
        <v>0.35450823846515955</v>
      </c>
      <c r="I59" s="7">
        <f t="shared" si="3"/>
        <v>0.37306607707161871</v>
      </c>
      <c r="J59" s="7">
        <f t="shared" si="4"/>
        <v>0.35880500272035271</v>
      </c>
      <c r="K59" s="7">
        <f t="shared" si="5"/>
        <v>4.3546097118447017E-4</v>
      </c>
    </row>
    <row r="60" spans="1:11" ht="15" customHeight="1" x14ac:dyDescent="0.25">
      <c r="A60" s="2">
        <v>58</v>
      </c>
      <c r="B60" s="7">
        <v>6.9554744186461903E-4</v>
      </c>
      <c r="C60" s="7">
        <f t="shared" si="10"/>
        <v>1.036694806431631</v>
      </c>
      <c r="D60" s="7">
        <f t="shared" si="11"/>
        <v>3.6037581622439911E-2</v>
      </c>
      <c r="E60" s="7">
        <f t="shared" si="0"/>
        <v>3.4931249983182533E-2</v>
      </c>
      <c r="F60" s="7">
        <f t="shared" si="1"/>
        <v>0.37037037037037035</v>
      </c>
      <c r="G60" s="7">
        <f t="shared" si="12"/>
        <v>0.35450823846515955</v>
      </c>
      <c r="H60" s="7">
        <f t="shared" si="9"/>
        <v>0.35452324441113081</v>
      </c>
      <c r="I60" s="7">
        <f t="shared" si="3"/>
        <v>0.37795804454061294</v>
      </c>
      <c r="J60" s="7">
        <f t="shared" si="4"/>
        <v>0.36350996655624546</v>
      </c>
      <c r="K60" s="7">
        <f t="shared" si="5"/>
        <v>4.4117111487207785E-4</v>
      </c>
    </row>
    <row r="61" spans="1:11" ht="15" customHeight="1" x14ac:dyDescent="0.25">
      <c r="A61" s="2">
        <v>59</v>
      </c>
      <c r="B61" s="7">
        <v>-2.9743205232080072E-3</v>
      </c>
      <c r="C61" s="7">
        <f t="shared" si="10"/>
        <v>1.0355485123746326</v>
      </c>
      <c r="D61" s="7">
        <f t="shared" si="11"/>
        <v>3.4931249983182533E-2</v>
      </c>
      <c r="E61" s="7">
        <f t="shared" si="0"/>
        <v>3.0210366960815395E-2</v>
      </c>
      <c r="F61" s="7">
        <f t="shared" si="1"/>
        <v>0.37037037037037035</v>
      </c>
      <c r="G61" s="7">
        <f t="shared" si="12"/>
        <v>0.35452324441113081</v>
      </c>
      <c r="H61" s="7">
        <f t="shared" si="9"/>
        <v>0.35453623099241172</v>
      </c>
      <c r="I61" s="7">
        <f t="shared" si="3"/>
        <v>0.37754588184887156</v>
      </c>
      <c r="J61" s="7">
        <f t="shared" si="4"/>
        <v>0.36311355947229851</v>
      </c>
      <c r="K61" s="7">
        <f t="shared" si="5"/>
        <v>4.4069001842010202E-4</v>
      </c>
    </row>
    <row r="62" spans="1:11" ht="15" customHeight="1" x14ac:dyDescent="0.25">
      <c r="A62" s="2">
        <v>60</v>
      </c>
      <c r="B62" s="7">
        <v>-7.7360937211778946E-3</v>
      </c>
      <c r="C62" s="7">
        <f t="shared" si="10"/>
        <v>1.0306713303446826</v>
      </c>
      <c r="D62" s="7">
        <f t="shared" si="11"/>
        <v>3.0210366960815395E-2</v>
      </c>
      <c r="E62" s="7">
        <f t="shared" si="0"/>
        <v>2.0963754891596728E-2</v>
      </c>
      <c r="F62" s="7">
        <f t="shared" si="1"/>
        <v>0.37037037037037035</v>
      </c>
      <c r="G62" s="7">
        <f t="shared" si="12"/>
        <v>0.35453623099241172</v>
      </c>
      <c r="H62" s="7">
        <f t="shared" si="9"/>
        <v>0.35454527404220548</v>
      </c>
      <c r="I62" s="7">
        <f t="shared" si="3"/>
        <v>0.3757726876917355</v>
      </c>
      <c r="J62" s="7">
        <f t="shared" si="4"/>
        <v>0.36140814862559539</v>
      </c>
      <c r="K62" s="7">
        <f t="shared" si="5"/>
        <v>4.386202594759864E-4</v>
      </c>
    </row>
    <row r="63" spans="1:11" ht="15" customHeight="1" x14ac:dyDescent="0.25">
      <c r="A63" s="2">
        <v>61</v>
      </c>
      <c r="B63" s="7">
        <v>6.196660251589492E-3</v>
      </c>
      <c r="C63" s="7">
        <f t="shared" si="10"/>
        <v>1.0211850380043488</v>
      </c>
      <c r="D63" s="7">
        <f t="shared" si="11"/>
        <v>2.0963754891596728E-2</v>
      </c>
      <c r="E63" s="7">
        <f t="shared" si="0"/>
        <v>2.6112227398606382E-2</v>
      </c>
      <c r="F63" s="7">
        <f t="shared" si="1"/>
        <v>0.37037037037037035</v>
      </c>
      <c r="G63" s="7">
        <f t="shared" si="12"/>
        <v>0.35454527404220548</v>
      </c>
      <c r="H63" s="7">
        <f t="shared" si="9"/>
        <v>0.35455650087983931</v>
      </c>
      <c r="I63" s="7">
        <f t="shared" si="3"/>
        <v>0.37231749698828998</v>
      </c>
      <c r="J63" s="7">
        <f t="shared" si="4"/>
        <v>0.35808503836191119</v>
      </c>
      <c r="K63" s="7">
        <f t="shared" si="5"/>
        <v>4.345871918994319E-4</v>
      </c>
    </row>
    <row r="64" spans="1:11" ht="15" customHeight="1" x14ac:dyDescent="0.25">
      <c r="A64" s="2">
        <v>62</v>
      </c>
      <c r="B64" s="7">
        <v>1.5370915207313374E-2</v>
      </c>
      <c r="C64" s="7">
        <f t="shared" si="10"/>
        <v>1.0264561385117907</v>
      </c>
      <c r="D64" s="7">
        <f t="shared" si="11"/>
        <v>2.6112227398606382E-2</v>
      </c>
      <c r="E64" s="7">
        <f t="shared" si="0"/>
        <v>4.0177531235989439E-2</v>
      </c>
      <c r="F64" s="7">
        <f t="shared" si="1"/>
        <v>0.37037037037037035</v>
      </c>
      <c r="G64" s="7">
        <f t="shared" si="12"/>
        <v>0.35455650087983931</v>
      </c>
      <c r="H64" s="7">
        <f t="shared" si="9"/>
        <v>0.3545737040241061</v>
      </c>
      <c r="I64" s="7">
        <f t="shared" si="3"/>
        <v>0.37424357245332079</v>
      </c>
      <c r="J64" s="7">
        <f t="shared" si="4"/>
        <v>0.35993748637298378</v>
      </c>
      <c r="K64" s="7">
        <f t="shared" si="5"/>
        <v>4.3683540138328663E-4</v>
      </c>
    </row>
    <row r="65" spans="1:11" ht="15" customHeight="1" x14ac:dyDescent="0.25">
      <c r="A65" s="2">
        <v>63</v>
      </c>
      <c r="B65" s="7">
        <v>-9.9404587672324851E-3</v>
      </c>
      <c r="C65" s="7">
        <f t="shared" si="10"/>
        <v>1.0409955670183257</v>
      </c>
      <c r="D65" s="7">
        <f t="shared" si="11"/>
        <v>4.0177531235989439E-2</v>
      </c>
      <c r="E65" s="7">
        <f t="shared" si="0"/>
        <v>2.8228195906957479E-2</v>
      </c>
      <c r="F65" s="7">
        <f t="shared" si="1"/>
        <v>0.37037037037037035</v>
      </c>
      <c r="G65" s="7">
        <f t="shared" si="12"/>
        <v>0.3545737040241061</v>
      </c>
      <c r="H65" s="7">
        <f t="shared" si="9"/>
        <v>0.3545858102759426</v>
      </c>
      <c r="I65" s="7">
        <f t="shared" si="3"/>
        <v>0.3795512445060687</v>
      </c>
      <c r="J65" s="7">
        <f t="shared" si="4"/>
        <v>0.36504226379009364</v>
      </c>
      <c r="K65" s="7">
        <f t="shared" si="5"/>
        <v>4.4303077579245482E-4</v>
      </c>
    </row>
    <row r="66" spans="1:11" ht="15" customHeight="1" x14ac:dyDescent="0.25">
      <c r="A66" s="2">
        <v>64</v>
      </c>
      <c r="B66" s="7">
        <v>-6.23099367658142E-3</v>
      </c>
      <c r="C66" s="7">
        <f t="shared" si="10"/>
        <v>1.028630386885395</v>
      </c>
      <c r="D66" s="7">
        <f t="shared" si="11"/>
        <v>2.8228195906957479E-2</v>
      </c>
      <c r="E66" s="7">
        <f t="shared" ref="E66:E129" si="13">$N$6*D66+B66</f>
        <v>2.0585792435028182E-2</v>
      </c>
      <c r="F66" s="7">
        <f t="shared" ref="F66:F129" si="14">((1-$N$2*(1-$N$4))*(1-$N$1))/(((1-$N$2*(1-$N$4))*(1-$N$1))*$N$3+(1-$N$2*(1-$N$4))*(1-$N$1))</f>
        <v>0.37037037037037035</v>
      </c>
      <c r="G66" s="7">
        <f t="shared" si="12"/>
        <v>0.3545858102759426</v>
      </c>
      <c r="H66" s="7">
        <f t="shared" ref="H66:H97" si="15">G67</f>
        <v>0.35459465568162196</v>
      </c>
      <c r="I66" s="7">
        <f t="shared" ref="I66:I129" si="16">$C66*$G66^$N$1*$F66^(1-$N$1)</f>
        <v>0.37504745901645553</v>
      </c>
      <c r="J66" s="7">
        <f t="shared" ref="J66:J129" si="17">$C66*$G66^$N$1*$F66^(1-$N$1)*((1-$N$2*(1-$N$4*(1-$N$1)))/(1-$N$2*(1-$N$4)))</f>
        <v>0.36071064302859962</v>
      </c>
      <c r="K66" s="7">
        <f t="shared" ref="K66:K129" si="18">$C66*$G66^$N$1*$F66^(1-$N$1)*(($N$2*$N$1*$N$4)/(1-$N$2*(1-$N$1)))</f>
        <v>4.3777373709650023E-4</v>
      </c>
    </row>
    <row r="67" spans="1:11" ht="15" customHeight="1" x14ac:dyDescent="0.25">
      <c r="A67" s="2">
        <v>65</v>
      </c>
      <c r="B67" s="7">
        <v>-6.5642325353110209E-3</v>
      </c>
      <c r="C67" s="7">
        <f t="shared" ref="C67:C98" si="19">EXP(D67)</f>
        <v>1.020799141330595</v>
      </c>
      <c r="D67" s="7">
        <f t="shared" ref="D67:D98" si="20">E66</f>
        <v>2.0585792435028182E-2</v>
      </c>
      <c r="E67" s="7">
        <f t="shared" si="13"/>
        <v>1.2992270277965751E-2</v>
      </c>
      <c r="F67" s="7">
        <f t="shared" si="14"/>
        <v>0.37037037037037035</v>
      </c>
      <c r="G67" s="7">
        <f t="shared" ref="G67:G98" si="21">(($C67*$G66^$N$1*$F67^(1-$N$1)*(($N$2*$N$1*$N$4)/(1-$N$2*(1-$N$1))))^$N$4)*($N$5*$G66^(1-$N$4))</f>
        <v>0.35459465568162196</v>
      </c>
      <c r="H67" s="7">
        <f t="shared" si="15"/>
        <v>0.35460026330176153</v>
      </c>
      <c r="I67" s="7">
        <f t="shared" si="16"/>
        <v>0.37219546217065158</v>
      </c>
      <c r="J67" s="7">
        <f t="shared" si="17"/>
        <v>0.35796766852915013</v>
      </c>
      <c r="K67" s="7">
        <f t="shared" si="18"/>
        <v>4.3444474689176927E-4</v>
      </c>
    </row>
    <row r="68" spans="1:11" ht="15" customHeight="1" x14ac:dyDescent="0.25">
      <c r="A68" s="2">
        <v>66</v>
      </c>
      <c r="B68" s="7">
        <v>1.9935123418690637E-2</v>
      </c>
      <c r="C68" s="7">
        <f t="shared" si="19"/>
        <v>1.0130770365256525</v>
      </c>
      <c r="D68" s="7">
        <f t="shared" si="20"/>
        <v>1.2992270277965751E-2</v>
      </c>
      <c r="E68" s="7">
        <f t="shared" si="13"/>
        <v>3.2277780182758099E-2</v>
      </c>
      <c r="F68" s="7">
        <f t="shared" si="14"/>
        <v>0.37037037037037035</v>
      </c>
      <c r="G68" s="7">
        <f t="shared" si="21"/>
        <v>0.35460026330176153</v>
      </c>
      <c r="H68" s="7">
        <f t="shared" si="15"/>
        <v>0.35461407330473282</v>
      </c>
      <c r="I68" s="7">
        <f t="shared" si="16"/>
        <v>0.36938199416756995</v>
      </c>
      <c r="J68" s="7">
        <f t="shared" si="17"/>
        <v>0.35526175004301142</v>
      </c>
      <c r="K68" s="7">
        <f t="shared" si="18"/>
        <v>4.3116072943664383E-4</v>
      </c>
    </row>
    <row r="69" spans="1:11" ht="15" customHeight="1" x14ac:dyDescent="0.25">
      <c r="A69" s="2">
        <v>67</v>
      </c>
      <c r="B69" s="7">
        <v>-2.4433575163129717E-3</v>
      </c>
      <c r="C69" s="7">
        <f t="shared" si="19"/>
        <v>1.0328043580456019</v>
      </c>
      <c r="D69" s="7">
        <f t="shared" si="20"/>
        <v>3.2277780182758099E-2</v>
      </c>
      <c r="E69" s="7">
        <f t="shared" si="13"/>
        <v>2.8220533657307222E-2</v>
      </c>
      <c r="F69" s="7">
        <f t="shared" si="14"/>
        <v>0.37037037037037035</v>
      </c>
      <c r="G69" s="7">
        <f t="shared" si="21"/>
        <v>0.35461407330473282</v>
      </c>
      <c r="H69" s="7">
        <f t="shared" si="15"/>
        <v>0.35462614666779196</v>
      </c>
      <c r="I69" s="7">
        <f t="shared" si="16"/>
        <v>0.3765801299134961</v>
      </c>
      <c r="J69" s="7">
        <f t="shared" si="17"/>
        <v>0.36218472501884308</v>
      </c>
      <c r="K69" s="7">
        <f t="shared" si="18"/>
        <v>4.3956274552784937E-4</v>
      </c>
    </row>
    <row r="70" spans="1:11" ht="15" customHeight="1" x14ac:dyDescent="0.25">
      <c r="A70" s="2">
        <v>68</v>
      </c>
      <c r="B70" s="7">
        <v>1.2086093192920089E-2</v>
      </c>
      <c r="C70" s="7">
        <f t="shared" si="19"/>
        <v>1.0286225052927684</v>
      </c>
      <c r="D70" s="7">
        <f t="shared" si="20"/>
        <v>2.8220533657307222E-2</v>
      </c>
      <c r="E70" s="7">
        <f t="shared" si="13"/>
        <v>3.8895600167361946E-2</v>
      </c>
      <c r="F70" s="7">
        <f t="shared" si="14"/>
        <v>0.37037037037037035</v>
      </c>
      <c r="G70" s="7">
        <f t="shared" si="21"/>
        <v>0.35462614666779196</v>
      </c>
      <c r="H70" s="7">
        <f t="shared" si="15"/>
        <v>0.35464275414197777</v>
      </c>
      <c r="I70" s="7">
        <f t="shared" si="16"/>
        <v>0.37505994369590379</v>
      </c>
      <c r="J70" s="7">
        <f t="shared" si="17"/>
        <v>0.36072265046030866</v>
      </c>
      <c r="K70" s="7">
        <f t="shared" si="18"/>
        <v>4.3778830982495664E-4</v>
      </c>
    </row>
    <row r="71" spans="1:11" ht="15" customHeight="1" x14ac:dyDescent="0.25">
      <c r="A71" s="2">
        <v>69</v>
      </c>
      <c r="B71" s="7">
        <v>-1.6402373148594052E-2</v>
      </c>
      <c r="C71" s="7">
        <f t="shared" si="19"/>
        <v>1.0396619374518838</v>
      </c>
      <c r="D71" s="7">
        <f t="shared" si="20"/>
        <v>3.8895600167361946E-2</v>
      </c>
      <c r="E71" s="7">
        <f t="shared" si="13"/>
        <v>2.0548447010399797E-2</v>
      </c>
      <c r="F71" s="7">
        <f t="shared" si="14"/>
        <v>0.37037037037037035</v>
      </c>
      <c r="G71" s="7">
        <f t="shared" si="21"/>
        <v>0.35464275414197777</v>
      </c>
      <c r="H71" s="7">
        <f t="shared" si="15"/>
        <v>0.35465154133714</v>
      </c>
      <c r="I71" s="7">
        <f t="shared" si="16"/>
        <v>0.37909157110139813</v>
      </c>
      <c r="J71" s="7">
        <f t="shared" si="17"/>
        <v>0.3646001621696302</v>
      </c>
      <c r="K71" s="7">
        <f t="shared" si="18"/>
        <v>4.4249422251267998E-4</v>
      </c>
    </row>
    <row r="72" spans="1:11" ht="15" customHeight="1" x14ac:dyDescent="0.25">
      <c r="A72" s="2">
        <v>70</v>
      </c>
      <c r="B72" s="7">
        <v>3.4086724554072134E-4</v>
      </c>
      <c r="C72" s="7">
        <f t="shared" si="19"/>
        <v>1.0207610198650374</v>
      </c>
      <c r="D72" s="7">
        <f t="shared" si="20"/>
        <v>2.0548447010399797E-2</v>
      </c>
      <c r="E72" s="7">
        <f t="shared" si="13"/>
        <v>1.9861891905420526E-2</v>
      </c>
      <c r="F72" s="7">
        <f t="shared" si="14"/>
        <v>0.37037037037037035</v>
      </c>
      <c r="G72" s="7">
        <f t="shared" si="21"/>
        <v>0.35465154133714</v>
      </c>
      <c r="H72" s="7">
        <f t="shared" si="15"/>
        <v>0.35466002980870598</v>
      </c>
      <c r="I72" s="7">
        <f t="shared" si="16"/>
        <v>0.37220305605846649</v>
      </c>
      <c r="J72" s="7">
        <f t="shared" si="17"/>
        <v>0.35797497212791063</v>
      </c>
      <c r="K72" s="7">
        <f t="shared" si="18"/>
        <v>4.3445361084903093E-4</v>
      </c>
    </row>
    <row r="73" spans="1:11" ht="15" customHeight="1" x14ac:dyDescent="0.25">
      <c r="A73" s="2">
        <v>71</v>
      </c>
      <c r="B73" s="7">
        <v>-3.144270976918051E-3</v>
      </c>
      <c r="C73" s="7">
        <f t="shared" si="19"/>
        <v>1.020060451692731</v>
      </c>
      <c r="D73" s="7">
        <f t="shared" si="20"/>
        <v>1.9861891905420526E-2</v>
      </c>
      <c r="E73" s="7">
        <f t="shared" si="13"/>
        <v>1.5724526333231448E-2</v>
      </c>
      <c r="F73" s="7">
        <f t="shared" si="14"/>
        <v>0.37037037037037035</v>
      </c>
      <c r="G73" s="7">
        <f t="shared" si="21"/>
        <v>0.35466002980870598</v>
      </c>
      <c r="H73" s="7">
        <f t="shared" si="15"/>
        <v>0.35466675109648271</v>
      </c>
      <c r="I73" s="7">
        <f t="shared" si="16"/>
        <v>0.37195081070709862</v>
      </c>
      <c r="J73" s="7">
        <f t="shared" si="17"/>
        <v>0.35773236927671015</v>
      </c>
      <c r="K73" s="7">
        <f t="shared" si="18"/>
        <v>4.3415917773802383E-4</v>
      </c>
    </row>
    <row r="74" spans="1:11" ht="15" customHeight="1" x14ac:dyDescent="0.25">
      <c r="A74" s="2">
        <v>72</v>
      </c>
      <c r="B74" s="7">
        <v>-9.13164512894582E-3</v>
      </c>
      <c r="C74" s="7">
        <f t="shared" si="19"/>
        <v>1.0158488072625165</v>
      </c>
      <c r="D74" s="7">
        <f t="shared" si="20"/>
        <v>1.5724526333231448E-2</v>
      </c>
      <c r="E74" s="7">
        <f t="shared" si="13"/>
        <v>5.8066548876240555E-3</v>
      </c>
      <c r="F74" s="7">
        <f t="shared" si="14"/>
        <v>0.37037037037037035</v>
      </c>
      <c r="G74" s="7">
        <f t="shared" si="21"/>
        <v>0.35466675109648271</v>
      </c>
      <c r="H74" s="7">
        <f t="shared" si="15"/>
        <v>0.35466924624763468</v>
      </c>
      <c r="I74" s="7">
        <f t="shared" si="16"/>
        <v>0.37041762046810217</v>
      </c>
      <c r="J74" s="7">
        <f t="shared" si="17"/>
        <v>0.35625778779722511</v>
      </c>
      <c r="K74" s="7">
        <f t="shared" si="18"/>
        <v>4.3236956310534371E-4</v>
      </c>
    </row>
    <row r="75" spans="1:11" ht="15" customHeight="1" x14ac:dyDescent="0.25">
      <c r="A75" s="2">
        <v>73</v>
      </c>
      <c r="B75" s="7">
        <v>3.5797938835457899E-3</v>
      </c>
      <c r="C75" s="7">
        <f t="shared" si="19"/>
        <v>1.0058235461862703</v>
      </c>
      <c r="D75" s="7">
        <f t="shared" si="20"/>
        <v>5.8066548876240555E-3</v>
      </c>
      <c r="E75" s="7">
        <f t="shared" si="13"/>
        <v>9.0961160267886421E-3</v>
      </c>
      <c r="F75" s="7">
        <f t="shared" si="14"/>
        <v>0.37037037037037035</v>
      </c>
      <c r="G75" s="7">
        <f t="shared" si="21"/>
        <v>0.35466924624763468</v>
      </c>
      <c r="H75" s="7">
        <f t="shared" si="15"/>
        <v>0.35467313951749252</v>
      </c>
      <c r="I75" s="7">
        <f t="shared" si="16"/>
        <v>0.36676295284582949</v>
      </c>
      <c r="J75" s="7">
        <f t="shared" si="17"/>
        <v>0.35274282595334838</v>
      </c>
      <c r="K75" s="7">
        <f t="shared" si="18"/>
        <v>4.2810365631305771E-4</v>
      </c>
    </row>
    <row r="76" spans="1:11" ht="15" customHeight="1" x14ac:dyDescent="0.25">
      <c r="A76" s="2">
        <v>74</v>
      </c>
      <c r="B76" s="7">
        <v>2.8353679226711392E-2</v>
      </c>
      <c r="C76" s="7">
        <f t="shared" si="19"/>
        <v>1.0091376114103556</v>
      </c>
      <c r="D76" s="7">
        <f t="shared" si="20"/>
        <v>9.0961160267886421E-3</v>
      </c>
      <c r="E76" s="7">
        <f t="shared" si="13"/>
        <v>3.69949894521606E-2</v>
      </c>
      <c r="F76" s="7">
        <f t="shared" si="14"/>
        <v>0.37037037037037035</v>
      </c>
      <c r="G76" s="7">
        <f t="shared" si="21"/>
        <v>0.35467313951749252</v>
      </c>
      <c r="H76" s="7">
        <f t="shared" si="15"/>
        <v>0.35468890414624871</v>
      </c>
      <c r="I76" s="7">
        <f t="shared" si="16"/>
        <v>0.36797284593259522</v>
      </c>
      <c r="J76" s="7">
        <f t="shared" si="17"/>
        <v>0.35390646885461641</v>
      </c>
      <c r="K76" s="7">
        <f t="shared" si="18"/>
        <v>4.2951590269774104E-4</v>
      </c>
    </row>
    <row r="77" spans="1:11" ht="15" customHeight="1" x14ac:dyDescent="0.25">
      <c r="A77" s="2">
        <v>75</v>
      </c>
      <c r="B77" s="7">
        <v>-9.5385075837839395E-3</v>
      </c>
      <c r="C77" s="7">
        <f t="shared" si="19"/>
        <v>1.0376878214406595</v>
      </c>
      <c r="D77" s="7">
        <f t="shared" si="20"/>
        <v>3.69949894521606E-2</v>
      </c>
      <c r="E77" s="7">
        <f t="shared" si="13"/>
        <v>2.5606732395768626E-2</v>
      </c>
      <c r="F77" s="7">
        <f t="shared" si="14"/>
        <v>0.37037037037037035</v>
      </c>
      <c r="G77" s="7">
        <f t="shared" si="21"/>
        <v>0.35468890414624871</v>
      </c>
      <c r="H77" s="7">
        <f t="shared" si="15"/>
        <v>0.35469981003941536</v>
      </c>
      <c r="I77" s="7">
        <f t="shared" si="16"/>
        <v>0.37838947476521401</v>
      </c>
      <c r="J77" s="7">
        <f t="shared" si="17"/>
        <v>0.36392490463940419</v>
      </c>
      <c r="K77" s="7">
        <f t="shared" si="18"/>
        <v>4.416747013307498E-4</v>
      </c>
    </row>
    <row r="78" spans="1:11" ht="15" customHeight="1" x14ac:dyDescent="0.25">
      <c r="A78" s="2">
        <v>76</v>
      </c>
      <c r="B78" s="7">
        <v>-1.5819932741578668E-2</v>
      </c>
      <c r="C78" s="7">
        <f t="shared" si="19"/>
        <v>1.0259374011837503</v>
      </c>
      <c r="D78" s="7">
        <f t="shared" si="20"/>
        <v>2.5606732395768626E-2</v>
      </c>
      <c r="E78" s="7">
        <f t="shared" si="13"/>
        <v>8.5064630344015256E-3</v>
      </c>
      <c r="F78" s="7">
        <f t="shared" si="14"/>
        <v>0.37037037037037035</v>
      </c>
      <c r="G78" s="7">
        <f t="shared" si="21"/>
        <v>0.35469981003941536</v>
      </c>
      <c r="H78" s="7">
        <f t="shared" si="15"/>
        <v>0.35470342918810221</v>
      </c>
      <c r="I78" s="7">
        <f t="shared" si="16"/>
        <v>0.37410886339638533</v>
      </c>
      <c r="J78" s="7">
        <f t="shared" si="17"/>
        <v>0.35980792679490692</v>
      </c>
      <c r="K78" s="7">
        <f t="shared" si="18"/>
        <v>4.3667816238364101E-4</v>
      </c>
    </row>
    <row r="79" spans="1:11" ht="15" customHeight="1" x14ac:dyDescent="0.25">
      <c r="A79" s="2">
        <v>77</v>
      </c>
      <c r="B79" s="7">
        <v>-6.4790810938575305E-3</v>
      </c>
      <c r="C79" s="7">
        <f t="shared" si="19"/>
        <v>1.0085427457974372</v>
      </c>
      <c r="D79" s="7">
        <f t="shared" si="20"/>
        <v>8.5064630344015256E-3</v>
      </c>
      <c r="E79" s="7">
        <f t="shared" si="13"/>
        <v>1.6020587888239176E-3</v>
      </c>
      <c r="F79" s="7">
        <f t="shared" si="14"/>
        <v>0.37037037037037035</v>
      </c>
      <c r="G79" s="7">
        <f t="shared" si="21"/>
        <v>0.35470342918810221</v>
      </c>
      <c r="H79" s="7">
        <f t="shared" si="15"/>
        <v>0.35470410675734482</v>
      </c>
      <c r="I79" s="7">
        <f t="shared" si="16"/>
        <v>0.36776723979828818</v>
      </c>
      <c r="J79" s="7">
        <f t="shared" si="17"/>
        <v>0.3537087223584503</v>
      </c>
      <c r="K79" s="7">
        <f t="shared" si="18"/>
        <v>4.29275909161932E-4</v>
      </c>
    </row>
    <row r="80" spans="1:11" ht="15" customHeight="1" x14ac:dyDescent="0.25">
      <c r="A80" s="2">
        <v>78</v>
      </c>
      <c r="B80" s="7">
        <v>-3.9526412365376018E-3</v>
      </c>
      <c r="C80" s="7">
        <f t="shared" si="19"/>
        <v>1.0016033427705853</v>
      </c>
      <c r="D80" s="7">
        <f t="shared" si="20"/>
        <v>1.6020587888239176E-3</v>
      </c>
      <c r="E80" s="7">
        <f t="shared" si="13"/>
        <v>-2.4306853871548803E-3</v>
      </c>
      <c r="F80" s="7">
        <f t="shared" si="14"/>
        <v>0.37037037037037035</v>
      </c>
      <c r="G80" s="7">
        <f t="shared" si="21"/>
        <v>0.35470410675734482</v>
      </c>
      <c r="H80" s="7">
        <f t="shared" si="15"/>
        <v>0.35470306729127921</v>
      </c>
      <c r="I80" s="7">
        <f t="shared" si="16"/>
        <v>0.36523702301413863</v>
      </c>
      <c r="J80" s="7">
        <f t="shared" si="17"/>
        <v>0.35127522733996436</v>
      </c>
      <c r="K80" s="7">
        <f t="shared" si="18"/>
        <v>4.2632251638287881E-4</v>
      </c>
    </row>
    <row r="81" spans="1:11" ht="15" customHeight="1" x14ac:dyDescent="0.25">
      <c r="A81" s="2">
        <v>79</v>
      </c>
      <c r="B81" s="7">
        <v>4.3394720705691725E-3</v>
      </c>
      <c r="C81" s="7">
        <f t="shared" si="19"/>
        <v>0.99757226633651586</v>
      </c>
      <c r="D81" s="7">
        <f t="shared" si="20"/>
        <v>-2.4306853871548803E-3</v>
      </c>
      <c r="E81" s="7">
        <f t="shared" si="13"/>
        <v>2.0303209527720361E-3</v>
      </c>
      <c r="F81" s="7">
        <f t="shared" si="14"/>
        <v>0.37037037037037035</v>
      </c>
      <c r="G81" s="7">
        <f t="shared" si="21"/>
        <v>0.35470306729127921</v>
      </c>
      <c r="H81" s="7">
        <f t="shared" si="15"/>
        <v>0.35470392742524665</v>
      </c>
      <c r="I81" s="7">
        <f t="shared" si="16"/>
        <v>0.36376669770849906</v>
      </c>
      <c r="J81" s="7">
        <f t="shared" si="17"/>
        <v>0.3498611076766841</v>
      </c>
      <c r="K81" s="7">
        <f t="shared" si="18"/>
        <v>4.2460628077502964E-4</v>
      </c>
    </row>
    <row r="82" spans="1:11" ht="15" customHeight="1" x14ac:dyDescent="0.25">
      <c r="A82" s="2">
        <v>80</v>
      </c>
      <c r="B82" s="7">
        <v>-1.0580379239399917E-3</v>
      </c>
      <c r="C82" s="7">
        <f t="shared" si="19"/>
        <v>1.0020323834499651</v>
      </c>
      <c r="D82" s="7">
        <f t="shared" si="20"/>
        <v>2.0303209527720361E-3</v>
      </c>
      <c r="E82" s="7">
        <f t="shared" si="13"/>
        <v>8.707669811934425E-4</v>
      </c>
      <c r="F82" s="7">
        <f t="shared" si="14"/>
        <v>0.37037037037037035</v>
      </c>
      <c r="G82" s="7">
        <f t="shared" si="21"/>
        <v>0.35470392742524665</v>
      </c>
      <c r="H82" s="7">
        <f t="shared" si="15"/>
        <v>0.35470429334184467</v>
      </c>
      <c r="I82" s="7">
        <f t="shared" si="16"/>
        <v>0.36539340720540064</v>
      </c>
      <c r="J82" s="7">
        <f t="shared" si="17"/>
        <v>0.35142563348412958</v>
      </c>
      <c r="K82" s="7">
        <f t="shared" si="18"/>
        <v>4.2650505565940431E-4</v>
      </c>
    </row>
    <row r="83" spans="1:11" ht="15" customHeight="1" x14ac:dyDescent="0.25">
      <c r="A83" s="2">
        <v>81</v>
      </c>
      <c r="B83" s="7">
        <v>8.2887027019751258E-3</v>
      </c>
      <c r="C83" s="7">
        <f t="shared" si="19"/>
        <v>1.0008711462088262</v>
      </c>
      <c r="D83" s="7">
        <f t="shared" si="20"/>
        <v>8.707669811934425E-4</v>
      </c>
      <c r="E83" s="7">
        <f t="shared" si="13"/>
        <v>9.1159313341088958E-3</v>
      </c>
      <c r="F83" s="7">
        <f t="shared" si="14"/>
        <v>0.37037037037037035</v>
      </c>
      <c r="G83" s="7">
        <f t="shared" si="21"/>
        <v>0.35470429334184467</v>
      </c>
      <c r="H83" s="7">
        <f t="shared" si="15"/>
        <v>0.35470816851300979</v>
      </c>
      <c r="I83" s="7">
        <f t="shared" si="16"/>
        <v>0.36497009492416643</v>
      </c>
      <c r="J83" s="7">
        <f t="shared" si="17"/>
        <v>0.35101850302238397</v>
      </c>
      <c r="K83" s="7">
        <f t="shared" si="18"/>
        <v>4.2601094486126496E-4</v>
      </c>
    </row>
    <row r="84" spans="1:11" ht="15" customHeight="1" x14ac:dyDescent="0.25">
      <c r="A84" s="2">
        <v>82</v>
      </c>
      <c r="B84" s="7">
        <v>-7.110293154255487E-3</v>
      </c>
      <c r="C84" s="7">
        <f t="shared" si="19"/>
        <v>1.0091576079803726</v>
      </c>
      <c r="D84" s="7">
        <f t="shared" si="20"/>
        <v>9.1159313341088958E-3</v>
      </c>
      <c r="E84" s="7">
        <f t="shared" si="13"/>
        <v>1.5498416131479644E-3</v>
      </c>
      <c r="F84" s="7">
        <f t="shared" si="14"/>
        <v>0.37037037037037035</v>
      </c>
      <c r="G84" s="7">
        <f t="shared" si="21"/>
        <v>0.35470816851300979</v>
      </c>
      <c r="H84" s="7">
        <f t="shared" si="15"/>
        <v>0.35470882022520089</v>
      </c>
      <c r="I84" s="7">
        <f t="shared" si="16"/>
        <v>0.36799322065639645</v>
      </c>
      <c r="J84" s="7">
        <f t="shared" si="17"/>
        <v>0.35392606472054533</v>
      </c>
      <c r="K84" s="7">
        <f t="shared" si="18"/>
        <v>4.2953968507185487E-4</v>
      </c>
    </row>
    <row r="85" spans="1:11" ht="15" customHeight="1" x14ac:dyDescent="0.25">
      <c r="A85" s="2">
        <v>83</v>
      </c>
      <c r="B85" s="7">
        <v>-5.5815462474129163E-3</v>
      </c>
      <c r="C85" s="7">
        <f t="shared" si="19"/>
        <v>1.001551043238357</v>
      </c>
      <c r="D85" s="7">
        <f t="shared" si="20"/>
        <v>1.5498416131479644E-3</v>
      </c>
      <c r="E85" s="7">
        <f t="shared" si="13"/>
        <v>-4.1091967149223503E-3</v>
      </c>
      <c r="F85" s="7">
        <f t="shared" si="14"/>
        <v>0.37037037037037035</v>
      </c>
      <c r="G85" s="7">
        <f t="shared" si="21"/>
        <v>0.35470882022520089</v>
      </c>
      <c r="H85" s="7">
        <f t="shared" si="15"/>
        <v>0.35470706266885876</v>
      </c>
      <c r="I85" s="7">
        <f t="shared" si="16"/>
        <v>0.36521969900384299</v>
      </c>
      <c r="J85" s="7">
        <f t="shared" si="17"/>
        <v>0.35125856556891821</v>
      </c>
      <c r="K85" s="7">
        <f t="shared" si="18"/>
        <v>4.2630229495077391E-4</v>
      </c>
    </row>
    <row r="86" spans="1:11" ht="15" customHeight="1" x14ac:dyDescent="0.25">
      <c r="A86" s="2">
        <v>84</v>
      </c>
      <c r="B86" s="7">
        <v>-6.3878133005346172E-3</v>
      </c>
      <c r="C86" s="7">
        <f t="shared" si="19"/>
        <v>0.99589923448146367</v>
      </c>
      <c r="D86" s="7">
        <f t="shared" si="20"/>
        <v>-4.1091967149223503E-3</v>
      </c>
      <c r="E86" s="7">
        <f t="shared" si="13"/>
        <v>-1.029155017971085E-2</v>
      </c>
      <c r="F86" s="7">
        <f t="shared" si="14"/>
        <v>0.37037037037037035</v>
      </c>
      <c r="G86" s="7">
        <f t="shared" si="21"/>
        <v>0.35470706266885876</v>
      </c>
      <c r="H86" s="7">
        <f t="shared" si="15"/>
        <v>0.35470267498448316</v>
      </c>
      <c r="I86" s="7">
        <f t="shared" si="16"/>
        <v>0.36315809594748516</v>
      </c>
      <c r="J86" s="7">
        <f t="shared" si="17"/>
        <v>0.34927577073522242</v>
      </c>
      <c r="K86" s="7">
        <f t="shared" si="18"/>
        <v>4.2389589103389861E-4</v>
      </c>
    </row>
    <row r="87" spans="1:11" ht="15" customHeight="1" x14ac:dyDescent="0.25">
      <c r="A87" s="2">
        <v>85</v>
      </c>
      <c r="B87" s="7">
        <v>5.8272917158319615E-3</v>
      </c>
      <c r="C87" s="7">
        <f t="shared" si="19"/>
        <v>0.98976122661599086</v>
      </c>
      <c r="D87" s="7">
        <f t="shared" si="20"/>
        <v>-1.029155017971085E-2</v>
      </c>
      <c r="E87" s="7">
        <f t="shared" si="13"/>
        <v>-3.9496809548933455E-3</v>
      </c>
      <c r="F87" s="7">
        <f t="shared" si="14"/>
        <v>0.37037037037037035</v>
      </c>
      <c r="G87" s="7">
        <f t="shared" si="21"/>
        <v>0.35470267498448316</v>
      </c>
      <c r="H87" s="7">
        <f t="shared" si="15"/>
        <v>0.35470099007454198</v>
      </c>
      <c r="I87" s="7">
        <f t="shared" si="16"/>
        <v>0.36091824293781422</v>
      </c>
      <c r="J87" s="7">
        <f t="shared" si="17"/>
        <v>0.34712153985061189</v>
      </c>
      <c r="K87" s="7">
        <f t="shared" si="18"/>
        <v>4.2128142505361456E-4</v>
      </c>
    </row>
    <row r="88" spans="1:11" ht="15" customHeight="1" x14ac:dyDescent="0.25">
      <c r="A88" s="2">
        <v>86</v>
      </c>
      <c r="B88" s="7">
        <v>-6.4571850089123473E-4</v>
      </c>
      <c r="C88" s="7">
        <f t="shared" si="19"/>
        <v>0.99605810877590428</v>
      </c>
      <c r="D88" s="7">
        <f t="shared" si="20"/>
        <v>-3.9496809548933455E-3</v>
      </c>
      <c r="E88" s="7">
        <f t="shared" si="13"/>
        <v>-4.3979154080399131E-3</v>
      </c>
      <c r="F88" s="7">
        <f t="shared" si="14"/>
        <v>0.37037037037037035</v>
      </c>
      <c r="G88" s="7">
        <f t="shared" si="21"/>
        <v>0.35470099007454198</v>
      </c>
      <c r="H88" s="7">
        <f t="shared" si="15"/>
        <v>0.35469911568051776</v>
      </c>
      <c r="I88" s="7">
        <f t="shared" si="16"/>
        <v>0.36321379141897919</v>
      </c>
      <c r="J88" s="7">
        <f t="shared" si="17"/>
        <v>0.34932933715422732</v>
      </c>
      <c r="K88" s="7">
        <f t="shared" si="18"/>
        <v>4.2396090151219706E-4</v>
      </c>
    </row>
    <row r="89" spans="1:11" ht="15" customHeight="1" x14ac:dyDescent="0.25">
      <c r="A89" s="2">
        <v>87</v>
      </c>
      <c r="B89" s="7">
        <v>8.2060296335839666E-4</v>
      </c>
      <c r="C89" s="7">
        <f t="shared" si="19"/>
        <v>0.99561174126033802</v>
      </c>
      <c r="D89" s="7">
        <f t="shared" si="20"/>
        <v>-4.3979154080399131E-3</v>
      </c>
      <c r="E89" s="7">
        <f t="shared" si="13"/>
        <v>-3.3574166742795205E-3</v>
      </c>
      <c r="F89" s="7">
        <f t="shared" si="14"/>
        <v>0.37037037037037035</v>
      </c>
      <c r="G89" s="7">
        <f t="shared" si="21"/>
        <v>0.35469911568051776</v>
      </c>
      <c r="H89" s="7">
        <f t="shared" si="15"/>
        <v>0.3546976856106368</v>
      </c>
      <c r="I89" s="7">
        <f t="shared" si="16"/>
        <v>0.36305033229765848</v>
      </c>
      <c r="J89" s="7">
        <f t="shared" si="17"/>
        <v>0.34917212653103019</v>
      </c>
      <c r="K89" s="7">
        <f t="shared" si="18"/>
        <v>4.2377010403128431E-4</v>
      </c>
    </row>
    <row r="90" spans="1:11" ht="15" customHeight="1" x14ac:dyDescent="0.25">
      <c r="A90" s="2">
        <v>88</v>
      </c>
      <c r="B90" s="7">
        <v>7.1260728873312473E-3</v>
      </c>
      <c r="C90" s="7">
        <f t="shared" si="19"/>
        <v>0.99664821314676877</v>
      </c>
      <c r="D90" s="7">
        <f t="shared" si="20"/>
        <v>-3.3574166742795205E-3</v>
      </c>
      <c r="E90" s="7">
        <f t="shared" si="13"/>
        <v>3.9365270467657029E-3</v>
      </c>
      <c r="F90" s="7">
        <f t="shared" si="14"/>
        <v>0.37037037037037035</v>
      </c>
      <c r="G90" s="7">
        <f t="shared" si="21"/>
        <v>0.3546976856106368</v>
      </c>
      <c r="H90" s="7">
        <f t="shared" si="15"/>
        <v>0.35469936121983614</v>
      </c>
      <c r="I90" s="7">
        <f t="shared" si="16"/>
        <v>0.3634277548071419</v>
      </c>
      <c r="J90" s="7">
        <f t="shared" si="17"/>
        <v>0.34953512143425192</v>
      </c>
      <c r="K90" s="7">
        <f t="shared" si="18"/>
        <v>4.2421065004344551E-4</v>
      </c>
    </row>
    <row r="91" spans="1:11" ht="15" customHeight="1" x14ac:dyDescent="0.25">
      <c r="A91" s="2">
        <v>89</v>
      </c>
      <c r="B91" s="7">
        <v>-6.6050915847881697E-3</v>
      </c>
      <c r="C91" s="7">
        <f t="shared" si="19"/>
        <v>1.0039442853462721</v>
      </c>
      <c r="D91" s="7">
        <f t="shared" si="20"/>
        <v>3.9365270467657029E-3</v>
      </c>
      <c r="E91" s="7">
        <f t="shared" si="13"/>
        <v>-2.8653908903607524E-3</v>
      </c>
      <c r="F91" s="7">
        <f t="shared" si="14"/>
        <v>0.37037037037037035</v>
      </c>
      <c r="G91" s="7">
        <f t="shared" si="21"/>
        <v>0.35469936121983614</v>
      </c>
      <c r="H91" s="7">
        <f t="shared" si="15"/>
        <v>0.35469814038508651</v>
      </c>
      <c r="I91" s="7">
        <f t="shared" si="16"/>
        <v>0.36608889000655587</v>
      </c>
      <c r="J91" s="7">
        <f t="shared" si="17"/>
        <v>0.35209453029275728</v>
      </c>
      <c r="K91" s="7">
        <f t="shared" si="18"/>
        <v>4.2731685719979206E-4</v>
      </c>
    </row>
    <row r="92" spans="1:11" ht="15" customHeight="1" x14ac:dyDescent="0.25">
      <c r="A92" s="2">
        <v>90</v>
      </c>
      <c r="B92" s="7">
        <v>1.3593535186373629E-3</v>
      </c>
      <c r="C92" s="7">
        <f t="shared" si="19"/>
        <v>0.99713871042389179</v>
      </c>
      <c r="D92" s="7">
        <f t="shared" si="20"/>
        <v>-2.8653908903607524E-3</v>
      </c>
      <c r="E92" s="7">
        <f t="shared" si="13"/>
        <v>-1.3627678272053519E-3</v>
      </c>
      <c r="F92" s="7">
        <f t="shared" si="14"/>
        <v>0.37037037037037035</v>
      </c>
      <c r="G92" s="7">
        <f t="shared" si="21"/>
        <v>0.35469814038508651</v>
      </c>
      <c r="H92" s="7">
        <f t="shared" si="15"/>
        <v>0.35469756006363956</v>
      </c>
      <c r="I92" s="7">
        <f t="shared" si="16"/>
        <v>0.36360678246216527</v>
      </c>
      <c r="J92" s="7">
        <f t="shared" si="17"/>
        <v>0.34970730545792916</v>
      </c>
      <c r="K92" s="7">
        <f t="shared" si="18"/>
        <v>4.244196198783265E-4</v>
      </c>
    </row>
    <row r="93" spans="1:11" ht="15" customHeight="1" x14ac:dyDescent="0.25">
      <c r="A93" s="2">
        <v>91</v>
      </c>
      <c r="B93" s="7">
        <v>1.1279371392447501E-2</v>
      </c>
      <c r="C93" s="7">
        <f t="shared" si="19"/>
        <v>0.99863816031920616</v>
      </c>
      <c r="D93" s="7">
        <f t="shared" si="20"/>
        <v>-1.3627678272053519E-3</v>
      </c>
      <c r="E93" s="7">
        <f t="shared" si="13"/>
        <v>9.9847419566024172E-3</v>
      </c>
      <c r="F93" s="7">
        <f t="shared" si="14"/>
        <v>0.37037037037037035</v>
      </c>
      <c r="G93" s="7">
        <f t="shared" si="21"/>
        <v>0.35469756006363956</v>
      </c>
      <c r="H93" s="7">
        <f t="shared" si="15"/>
        <v>0.35470181013465601</v>
      </c>
      <c r="I93" s="7">
        <f t="shared" si="16"/>
        <v>0.36415334260958604</v>
      </c>
      <c r="J93" s="7">
        <f t="shared" si="17"/>
        <v>0.3502329724301757</v>
      </c>
      <c r="K93" s="7">
        <f t="shared" si="18"/>
        <v>4.2505759161372199E-4</v>
      </c>
    </row>
    <row r="94" spans="1:11" ht="15" customHeight="1" x14ac:dyDescent="0.25">
      <c r="A94" s="2">
        <v>92</v>
      </c>
      <c r="B94" s="7">
        <v>-1.0926578397629783E-2</v>
      </c>
      <c r="C94" s="7">
        <f t="shared" si="19"/>
        <v>1.0100347558124583</v>
      </c>
      <c r="D94" s="7">
        <f t="shared" si="20"/>
        <v>9.9847419566024172E-3</v>
      </c>
      <c r="E94" s="7">
        <f t="shared" si="13"/>
        <v>-1.4410735388574875E-3</v>
      </c>
      <c r="F94" s="7">
        <f t="shared" si="14"/>
        <v>0.37037037037037035</v>
      </c>
      <c r="G94" s="7">
        <f t="shared" si="21"/>
        <v>0.35470181013465601</v>
      </c>
      <c r="H94" s="7">
        <f t="shared" si="15"/>
        <v>0.35470119365867053</v>
      </c>
      <c r="I94" s="7">
        <f t="shared" si="16"/>
        <v>0.36831069917670323</v>
      </c>
      <c r="J94" s="7">
        <f t="shared" si="17"/>
        <v>0.3542314070937691</v>
      </c>
      <c r="K94" s="7">
        <f t="shared" si="18"/>
        <v>4.2991026152809067E-4</v>
      </c>
    </row>
    <row r="95" spans="1:11" ht="15" customHeight="1" x14ac:dyDescent="0.25">
      <c r="A95" s="2">
        <v>93</v>
      </c>
      <c r="B95" s="7">
        <v>2.7043142836191691E-3</v>
      </c>
      <c r="C95" s="7">
        <f t="shared" si="19"/>
        <v>0.9985599643090165</v>
      </c>
      <c r="D95" s="7">
        <f t="shared" si="20"/>
        <v>-1.4410735388574875E-3</v>
      </c>
      <c r="E95" s="7">
        <f t="shared" si="13"/>
        <v>1.3352944217045561E-3</v>
      </c>
      <c r="F95" s="7">
        <f t="shared" si="14"/>
        <v>0.37037037037037035</v>
      </c>
      <c r="G95" s="7">
        <f t="shared" si="21"/>
        <v>0.35470119365867053</v>
      </c>
      <c r="H95" s="7">
        <f t="shared" si="15"/>
        <v>0.35470175939436066</v>
      </c>
      <c r="I95" s="7">
        <f t="shared" si="16"/>
        <v>0.36412617129613539</v>
      </c>
      <c r="J95" s="7">
        <f t="shared" si="17"/>
        <v>0.3502068397855968</v>
      </c>
      <c r="K95" s="7">
        <f t="shared" si="18"/>
        <v>4.2502587592775973E-4</v>
      </c>
    </row>
    <row r="96" spans="1:11" ht="15" customHeight="1" x14ac:dyDescent="0.25">
      <c r="A96" s="2">
        <v>94</v>
      </c>
      <c r="B96" s="7">
        <v>-1.0994926924468018E-2</v>
      </c>
      <c r="C96" s="7">
        <f t="shared" si="19"/>
        <v>1.0013361863242409</v>
      </c>
      <c r="D96" s="7">
        <f t="shared" si="20"/>
        <v>1.3352944217045561E-3</v>
      </c>
      <c r="E96" s="7">
        <f t="shared" si="13"/>
        <v>-9.7263972238486908E-3</v>
      </c>
      <c r="F96" s="7">
        <f t="shared" si="14"/>
        <v>0.37037037037037035</v>
      </c>
      <c r="G96" s="7">
        <f t="shared" si="21"/>
        <v>0.35470175939436066</v>
      </c>
      <c r="H96" s="7">
        <f t="shared" si="15"/>
        <v>0.35469761639842606</v>
      </c>
      <c r="I96" s="7">
        <f t="shared" si="16"/>
        <v>0.365138733871262</v>
      </c>
      <c r="J96" s="7">
        <f t="shared" si="17"/>
        <v>0.35118069546385799</v>
      </c>
      <c r="K96" s="7">
        <f t="shared" si="18"/>
        <v>4.2620778848815862E-4</v>
      </c>
    </row>
    <row r="97" spans="1:11" ht="15" customHeight="1" x14ac:dyDescent="0.25">
      <c r="A97" s="2">
        <v>95</v>
      </c>
      <c r="B97" s="7">
        <v>2.5205008569173515E-2</v>
      </c>
      <c r="C97" s="7">
        <f t="shared" si="19"/>
        <v>0.99032075119240226</v>
      </c>
      <c r="D97" s="7">
        <f t="shared" si="20"/>
        <v>-9.7263972238486908E-3</v>
      </c>
      <c r="E97" s="7">
        <f t="shared" si="13"/>
        <v>1.596493120651726E-2</v>
      </c>
      <c r="F97" s="7">
        <f t="shared" si="14"/>
        <v>0.37037037037037035</v>
      </c>
      <c r="G97" s="7">
        <f t="shared" si="21"/>
        <v>0.35469761639842606</v>
      </c>
      <c r="H97" s="7">
        <f t="shared" si="15"/>
        <v>0.35470441185713147</v>
      </c>
      <c r="I97" s="7">
        <f t="shared" si="16"/>
        <v>0.36112042054022769</v>
      </c>
      <c r="J97" s="7">
        <f t="shared" si="17"/>
        <v>0.34731598887624671</v>
      </c>
      <c r="K97" s="7">
        <f t="shared" si="18"/>
        <v>4.2151741663931376E-4</v>
      </c>
    </row>
    <row r="98" spans="1:11" ht="15" customHeight="1" x14ac:dyDescent="0.25">
      <c r="A98" s="2">
        <v>96</v>
      </c>
      <c r="B98" s="7">
        <v>8.7517037172801793E-3</v>
      </c>
      <c r="C98" s="7">
        <f t="shared" si="19"/>
        <v>1.0160930516238948</v>
      </c>
      <c r="D98" s="7">
        <f t="shared" si="20"/>
        <v>1.596493120651726E-2</v>
      </c>
      <c r="E98" s="7">
        <f t="shared" si="13"/>
        <v>2.3918388363471575E-2</v>
      </c>
      <c r="F98" s="7">
        <f t="shared" si="14"/>
        <v>0.37037037037037035</v>
      </c>
      <c r="G98" s="7">
        <f t="shared" si="21"/>
        <v>0.35470441185713147</v>
      </c>
      <c r="H98" s="7">
        <f t="shared" ref="H98:H129" si="22">G99</f>
        <v>0.35471458765954056</v>
      </c>
      <c r="I98" s="7">
        <f t="shared" si="16"/>
        <v>0.37052084428097998</v>
      </c>
      <c r="J98" s="7">
        <f t="shared" si="17"/>
        <v>0.35635706570732395</v>
      </c>
      <c r="K98" s="7">
        <f t="shared" si="18"/>
        <v>4.3249005098823555E-4</v>
      </c>
    </row>
    <row r="99" spans="1:11" ht="15" customHeight="1" x14ac:dyDescent="0.25">
      <c r="A99" s="2">
        <v>97</v>
      </c>
      <c r="B99" s="7">
        <v>2.3601387511007488E-4</v>
      </c>
      <c r="C99" s="7">
        <f t="shared" ref="C99:C130" si="23">EXP(D99)</f>
        <v>1.0242067272925275</v>
      </c>
      <c r="D99" s="7">
        <f t="shared" ref="D99:D130" si="24">E98</f>
        <v>2.3918388363471575E-2</v>
      </c>
      <c r="E99" s="7">
        <f t="shared" si="13"/>
        <v>2.295848282040807E-2</v>
      </c>
      <c r="F99" s="7">
        <f t="shared" si="14"/>
        <v>0.37037037037037035</v>
      </c>
      <c r="G99" s="7">
        <f t="shared" ref="G99:G130" si="25">(($C99*$G98^$N$1*$F99^(1-$N$1)*(($N$2*$N$1*$N$4)/(1-$N$2*(1-$N$1))))^$N$4)*($N$5*$G98^(1-$N$4))</f>
        <v>0.35471458765954056</v>
      </c>
      <c r="H99" s="7">
        <f t="shared" si="22"/>
        <v>0.35472434733604591</v>
      </c>
      <c r="I99" s="7">
        <f t="shared" si="16"/>
        <v>0.3734833733378618</v>
      </c>
      <c r="J99" s="7">
        <f t="shared" si="17"/>
        <v>0.35920634713933564</v>
      </c>
      <c r="K99" s="7">
        <f t="shared" si="18"/>
        <v>4.3594805979567885E-4</v>
      </c>
    </row>
    <row r="100" spans="1:11" ht="15" customHeight="1" x14ac:dyDescent="0.25">
      <c r="A100" s="2">
        <v>98</v>
      </c>
      <c r="B100" s="7">
        <v>6.1504579207394272E-4</v>
      </c>
      <c r="C100" s="7">
        <f t="shared" si="23"/>
        <v>1.0232240572884026</v>
      </c>
      <c r="D100" s="7">
        <f t="shared" si="24"/>
        <v>2.295848282040807E-2</v>
      </c>
      <c r="E100" s="7">
        <f t="shared" si="13"/>
        <v>2.2425604471461608E-2</v>
      </c>
      <c r="F100" s="7">
        <f t="shared" si="14"/>
        <v>0.37037037037037035</v>
      </c>
      <c r="G100" s="7">
        <f t="shared" si="25"/>
        <v>0.35472434733604591</v>
      </c>
      <c r="H100" s="7">
        <f t="shared" si="22"/>
        <v>0.35473387294926662</v>
      </c>
      <c r="I100" s="7">
        <f t="shared" si="16"/>
        <v>0.37312873239812699</v>
      </c>
      <c r="J100" s="7">
        <f t="shared" si="17"/>
        <v>0.35886526294228099</v>
      </c>
      <c r="K100" s="7">
        <f t="shared" si="18"/>
        <v>4.3553410554593599E-4</v>
      </c>
    </row>
    <row r="101" spans="1:11" ht="15" customHeight="1" x14ac:dyDescent="0.25">
      <c r="A101" s="2">
        <v>99</v>
      </c>
      <c r="B101" s="7">
        <v>1.9738217815756798E-2</v>
      </c>
      <c r="C101" s="7">
        <f t="shared" si="23"/>
        <v>1.0226789485933623</v>
      </c>
      <c r="D101" s="7">
        <f t="shared" si="24"/>
        <v>2.2425604471461608E-2</v>
      </c>
      <c r="E101" s="7">
        <f t="shared" si="13"/>
        <v>4.1042542063645326E-2</v>
      </c>
      <c r="F101" s="7">
        <f t="shared" si="14"/>
        <v>0.37037037037037035</v>
      </c>
      <c r="G101" s="7">
        <f t="shared" si="25"/>
        <v>0.35473387294926662</v>
      </c>
      <c r="H101" s="7">
        <f t="shared" si="22"/>
        <v>0.35475131667354048</v>
      </c>
      <c r="I101" s="7">
        <f t="shared" si="16"/>
        <v>0.37293355833107555</v>
      </c>
      <c r="J101" s="7">
        <f t="shared" si="17"/>
        <v>0.35867754973016308</v>
      </c>
      <c r="K101" s="7">
        <f t="shared" si="18"/>
        <v>4.3530628882924231E-4</v>
      </c>
    </row>
    <row r="102" spans="1:11" ht="15" customHeight="1" x14ac:dyDescent="0.25">
      <c r="A102" s="2">
        <v>100</v>
      </c>
      <c r="B102" s="7">
        <v>-1.2685654837696347E-2</v>
      </c>
      <c r="C102" s="7">
        <f t="shared" si="23"/>
        <v>1.0418964290268622</v>
      </c>
      <c r="D102" s="7">
        <f t="shared" si="24"/>
        <v>4.1042542063645326E-2</v>
      </c>
      <c r="E102" s="7">
        <f t="shared" si="13"/>
        <v>2.630476012276671E-2</v>
      </c>
      <c r="F102" s="7">
        <f t="shared" si="14"/>
        <v>0.37037037037037035</v>
      </c>
      <c r="G102" s="7">
        <f t="shared" si="25"/>
        <v>0.35475131667354048</v>
      </c>
      <c r="H102" s="7">
        <f t="shared" si="22"/>
        <v>0.35476247370797193</v>
      </c>
      <c r="I102" s="7">
        <f t="shared" si="16"/>
        <v>0.37994819550813314</v>
      </c>
      <c r="J102" s="7">
        <f t="shared" si="17"/>
        <v>0.36542404067662687</v>
      </c>
      <c r="K102" s="7">
        <f t="shared" si="18"/>
        <v>4.4349411641626194E-4</v>
      </c>
    </row>
    <row r="103" spans="1:11" ht="15" customHeight="1" x14ac:dyDescent="0.25">
      <c r="A103" s="2">
        <v>101</v>
      </c>
      <c r="B103" s="7">
        <v>1.1315569281578064E-2</v>
      </c>
      <c r="C103" s="7">
        <f t="shared" si="23"/>
        <v>1.0266537839343648</v>
      </c>
      <c r="D103" s="7">
        <f t="shared" si="24"/>
        <v>2.630476012276671E-2</v>
      </c>
      <c r="E103" s="7">
        <f t="shared" si="13"/>
        <v>3.6305091398206438E-2</v>
      </c>
      <c r="F103" s="7">
        <f t="shared" si="14"/>
        <v>0.37037037037037035</v>
      </c>
      <c r="G103" s="7">
        <f t="shared" si="25"/>
        <v>0.35476247370797193</v>
      </c>
      <c r="H103" s="7">
        <f t="shared" si="22"/>
        <v>0.35477787997433796</v>
      </c>
      <c r="I103" s="7">
        <f t="shared" si="16"/>
        <v>0.37439390152352209</v>
      </c>
      <c r="J103" s="7">
        <f t="shared" si="17"/>
        <v>0.36008206886321159</v>
      </c>
      <c r="K103" s="7">
        <f t="shared" si="18"/>
        <v>4.370108728263644E-4</v>
      </c>
    </row>
    <row r="104" spans="1:11" ht="15" customHeight="1" x14ac:dyDescent="0.25">
      <c r="A104" s="2">
        <v>102</v>
      </c>
      <c r="B104" s="7">
        <v>1.0439293873787392E-2</v>
      </c>
      <c r="C104" s="7">
        <f t="shared" si="23"/>
        <v>1.0369721695238532</v>
      </c>
      <c r="D104" s="7">
        <f t="shared" si="24"/>
        <v>3.6305091398206438E-2</v>
      </c>
      <c r="E104" s="7">
        <f t="shared" si="13"/>
        <v>4.4929130702083507E-2</v>
      </c>
      <c r="F104" s="7">
        <f t="shared" si="14"/>
        <v>0.37037037037037035</v>
      </c>
      <c r="G104" s="7">
        <f t="shared" si="25"/>
        <v>0.35477787997433796</v>
      </c>
      <c r="H104" s="7">
        <f t="shared" si="22"/>
        <v>0.35479694679734641</v>
      </c>
      <c r="I104" s="7">
        <f t="shared" si="16"/>
        <v>0.37816265997633602</v>
      </c>
      <c r="J104" s="7">
        <f t="shared" si="17"/>
        <v>0.36370676022493692</v>
      </c>
      <c r="K104" s="7">
        <f t="shared" si="18"/>
        <v>4.4140995201604632E-4</v>
      </c>
    </row>
    <row r="105" spans="1:11" ht="15" customHeight="1" x14ac:dyDescent="0.25">
      <c r="A105" s="2">
        <v>103</v>
      </c>
      <c r="B105" s="7">
        <v>-3.7737777347501833E-3</v>
      </c>
      <c r="C105" s="7">
        <f t="shared" si="23"/>
        <v>1.0459537312754372</v>
      </c>
      <c r="D105" s="7">
        <f t="shared" si="24"/>
        <v>4.4929130702083507E-2</v>
      </c>
      <c r="E105" s="7">
        <f t="shared" si="13"/>
        <v>3.8908896432229147E-2</v>
      </c>
      <c r="F105" s="7">
        <f t="shared" si="14"/>
        <v>0.37037037037037035</v>
      </c>
      <c r="G105" s="7">
        <f t="shared" si="25"/>
        <v>0.35479694679734641</v>
      </c>
      <c r="H105" s="7">
        <f t="shared" si="22"/>
        <v>0.35481343671929039</v>
      </c>
      <c r="I105" s="7">
        <f t="shared" si="16"/>
        <v>0.38144543261386665</v>
      </c>
      <c r="J105" s="7">
        <f t="shared" si="17"/>
        <v>0.36686404339146123</v>
      </c>
      <c r="K105" s="7">
        <f t="shared" si="18"/>
        <v>4.4524176479339103E-4</v>
      </c>
    </row>
    <row r="106" spans="1:11" ht="15" customHeight="1" x14ac:dyDescent="0.25">
      <c r="A106" s="2">
        <v>104</v>
      </c>
      <c r="B106" s="7">
        <v>-1.2411646821419708E-2</v>
      </c>
      <c r="C106" s="7">
        <f t="shared" si="23"/>
        <v>1.0396757611642782</v>
      </c>
      <c r="D106" s="7">
        <f t="shared" si="24"/>
        <v>3.8908896432229147E-2</v>
      </c>
      <c r="E106" s="7">
        <f t="shared" si="13"/>
        <v>2.4551804789197981E-2</v>
      </c>
      <c r="F106" s="7">
        <f t="shared" si="14"/>
        <v>0.37037037037037035</v>
      </c>
      <c r="G106" s="7">
        <f t="shared" si="25"/>
        <v>0.35481343671929039</v>
      </c>
      <c r="H106" s="7">
        <f t="shared" si="22"/>
        <v>0.35482380160443078</v>
      </c>
      <c r="I106" s="7">
        <f t="shared" si="16"/>
        <v>0.37916228414928577</v>
      </c>
      <c r="J106" s="7">
        <f t="shared" si="17"/>
        <v>0.36466817209307018</v>
      </c>
      <c r="K106" s="7">
        <f t="shared" si="18"/>
        <v>4.4257676224062915E-4</v>
      </c>
    </row>
    <row r="107" spans="1:11" ht="15" customHeight="1" x14ac:dyDescent="0.25">
      <c r="A107" s="2">
        <v>105</v>
      </c>
      <c r="B107" s="7">
        <v>8.7113903646240942E-3</v>
      </c>
      <c r="C107" s="7">
        <f t="shared" si="23"/>
        <v>1.0248556821645742</v>
      </c>
      <c r="D107" s="7">
        <f t="shared" si="24"/>
        <v>2.4551804789197981E-2</v>
      </c>
      <c r="E107" s="7">
        <f t="shared" si="13"/>
        <v>3.2035604914362178E-2</v>
      </c>
      <c r="F107" s="7">
        <f t="shared" si="14"/>
        <v>0.37037037037037035</v>
      </c>
      <c r="G107" s="7">
        <f t="shared" si="25"/>
        <v>0.35482380160443078</v>
      </c>
      <c r="H107" s="7">
        <f t="shared" si="22"/>
        <v>0.35483734545558743</v>
      </c>
      <c r="I107" s="7">
        <f t="shared" si="16"/>
        <v>0.37376143830685338</v>
      </c>
      <c r="J107" s="7">
        <f t="shared" si="17"/>
        <v>0.35947378261012036</v>
      </c>
      <c r="K107" s="7">
        <f t="shared" si="18"/>
        <v>4.3627263082716988E-4</v>
      </c>
    </row>
    <row r="108" spans="1:11" ht="15" customHeight="1" x14ac:dyDescent="0.25">
      <c r="A108" s="2">
        <v>106</v>
      </c>
      <c r="B108" s="7">
        <v>-1.2788950698450208E-2</v>
      </c>
      <c r="C108" s="7">
        <f t="shared" si="23"/>
        <v>1.0325542686569464</v>
      </c>
      <c r="D108" s="7">
        <f t="shared" si="24"/>
        <v>3.2035604914362178E-2</v>
      </c>
      <c r="E108" s="7">
        <f t="shared" si="13"/>
        <v>1.7644873970193861E-2</v>
      </c>
      <c r="F108" s="7">
        <f t="shared" si="14"/>
        <v>0.37037037037037035</v>
      </c>
      <c r="G108" s="7">
        <f t="shared" si="25"/>
        <v>0.35483734545558743</v>
      </c>
      <c r="H108" s="7">
        <f t="shared" si="22"/>
        <v>0.35484475159812157</v>
      </c>
      <c r="I108" s="7">
        <f t="shared" si="16"/>
        <v>0.37657426157709623</v>
      </c>
      <c r="J108" s="7">
        <f t="shared" si="17"/>
        <v>0.36217908100941065</v>
      </c>
      <c r="K108" s="7">
        <f t="shared" si="18"/>
        <v>4.3955589571859305E-4</v>
      </c>
    </row>
    <row r="109" spans="1:11" ht="15" customHeight="1" x14ac:dyDescent="0.25">
      <c r="A109" s="2">
        <v>107</v>
      </c>
      <c r="B109" s="7">
        <v>4.6466652747767512E-3</v>
      </c>
      <c r="C109" s="7">
        <f t="shared" si="23"/>
        <v>1.0178014644092495</v>
      </c>
      <c r="D109" s="7">
        <f t="shared" si="24"/>
        <v>1.7644873970193861E-2</v>
      </c>
      <c r="E109" s="7">
        <f t="shared" si="13"/>
        <v>2.140929554646092E-2</v>
      </c>
      <c r="F109" s="7">
        <f t="shared" si="14"/>
        <v>0.37037037037037035</v>
      </c>
      <c r="G109" s="7">
        <f t="shared" si="25"/>
        <v>0.35484475159812157</v>
      </c>
      <c r="H109" s="7">
        <f t="shared" si="22"/>
        <v>0.35485375518647921</v>
      </c>
      <c r="I109" s="7">
        <f t="shared" si="16"/>
        <v>0.371196678390112</v>
      </c>
      <c r="J109" s="7">
        <f t="shared" si="17"/>
        <v>0.35700706492802248</v>
      </c>
      <c r="K109" s="7">
        <f t="shared" si="18"/>
        <v>4.3327891761430973E-4</v>
      </c>
    </row>
    <row r="110" spans="1:11" ht="15" customHeight="1" x14ac:dyDescent="0.25">
      <c r="A110" s="2">
        <v>108</v>
      </c>
      <c r="B110" s="7">
        <v>-1.0075518730445765E-2</v>
      </c>
      <c r="C110" s="7">
        <f t="shared" si="23"/>
        <v>1.0216401188258943</v>
      </c>
      <c r="D110" s="7">
        <f t="shared" si="24"/>
        <v>2.140929554646092E-2</v>
      </c>
      <c r="E110" s="7">
        <f t="shared" si="13"/>
        <v>1.0263312038692109E-2</v>
      </c>
      <c r="F110" s="7">
        <f t="shared" si="14"/>
        <v>0.37037037037037035</v>
      </c>
      <c r="G110" s="7">
        <f t="shared" si="25"/>
        <v>0.35485375518647921</v>
      </c>
      <c r="H110" s="7">
        <f t="shared" si="22"/>
        <v>0.35485800576675153</v>
      </c>
      <c r="I110" s="7">
        <f t="shared" si="16"/>
        <v>0.37260005598558155</v>
      </c>
      <c r="J110" s="7">
        <f t="shared" si="17"/>
        <v>0.35835679606925264</v>
      </c>
      <c r="K110" s="7">
        <f t="shared" si="18"/>
        <v>4.3491700858054995E-4</v>
      </c>
    </row>
    <row r="111" spans="1:11" ht="15" customHeight="1" x14ac:dyDescent="0.25">
      <c r="A111" s="2">
        <v>109</v>
      </c>
      <c r="B111" s="7">
        <v>1.0141820894205011E-2</v>
      </c>
      <c r="C111" s="7">
        <f t="shared" si="23"/>
        <v>1.0103161604709379</v>
      </c>
      <c r="D111" s="7">
        <f t="shared" si="24"/>
        <v>1.0263312038692109E-2</v>
      </c>
      <c r="E111" s="7">
        <f t="shared" si="13"/>
        <v>1.9891967330962514E-2</v>
      </c>
      <c r="F111" s="7">
        <f t="shared" si="14"/>
        <v>0.37037037037037035</v>
      </c>
      <c r="G111" s="7">
        <f t="shared" si="25"/>
        <v>0.35485800576675153</v>
      </c>
      <c r="H111" s="7">
        <f t="shared" si="22"/>
        <v>0.35486635337269645</v>
      </c>
      <c r="I111" s="7">
        <f t="shared" si="16"/>
        <v>0.36847170967724929</v>
      </c>
      <c r="J111" s="7">
        <f t="shared" si="17"/>
        <v>0.3543862626988134</v>
      </c>
      <c r="K111" s="7">
        <f t="shared" si="18"/>
        <v>4.3009820085907743E-4</v>
      </c>
    </row>
    <row r="112" spans="1:11" ht="15" customHeight="1" x14ac:dyDescent="0.25">
      <c r="A112" s="2">
        <v>110</v>
      </c>
      <c r="B112" s="7">
        <v>3.3790456654969603E-3</v>
      </c>
      <c r="C112" s="7">
        <f t="shared" si="23"/>
        <v>1.020091130906237</v>
      </c>
      <c r="D112" s="7">
        <f t="shared" si="24"/>
        <v>1.9891967330962514E-2</v>
      </c>
      <c r="E112" s="7">
        <f t="shared" si="13"/>
        <v>2.2276414629911347E-2</v>
      </c>
      <c r="F112" s="7">
        <f t="shared" si="14"/>
        <v>0.37037037037037035</v>
      </c>
      <c r="G112" s="7">
        <f t="shared" si="25"/>
        <v>0.35486635337269645</v>
      </c>
      <c r="H112" s="7">
        <f t="shared" si="22"/>
        <v>0.35487571018128289</v>
      </c>
      <c r="I112" s="7">
        <f t="shared" si="16"/>
        <v>0.37203988299269686</v>
      </c>
      <c r="J112" s="7">
        <f t="shared" si="17"/>
        <v>0.35781803662531297</v>
      </c>
      <c r="K112" s="7">
        <f t="shared" si="18"/>
        <v>4.342631472661479E-4</v>
      </c>
    </row>
    <row r="113" spans="1:11" ht="15" customHeight="1" x14ac:dyDescent="0.25">
      <c r="A113" s="2">
        <v>111</v>
      </c>
      <c r="B113" s="7">
        <v>1.6851799955475144E-3</v>
      </c>
      <c r="C113" s="7">
        <f t="shared" si="23"/>
        <v>1.0225263866636929</v>
      </c>
      <c r="D113" s="7">
        <f t="shared" si="24"/>
        <v>2.2276414629911347E-2</v>
      </c>
      <c r="E113" s="7">
        <f t="shared" si="13"/>
        <v>2.2847773893963294E-2</v>
      </c>
      <c r="F113" s="7">
        <f t="shared" si="14"/>
        <v>0.37037037037037035</v>
      </c>
      <c r="G113" s="7">
        <f t="shared" si="25"/>
        <v>0.35487571018128289</v>
      </c>
      <c r="H113" s="7">
        <f t="shared" si="22"/>
        <v>0.35488530337059182</v>
      </c>
      <c r="I113" s="7">
        <f t="shared" si="16"/>
        <v>0.37293159082673721</v>
      </c>
      <c r="J113" s="7">
        <f t="shared" si="17"/>
        <v>0.35867565743696667</v>
      </c>
      <c r="K113" s="7">
        <f t="shared" si="18"/>
        <v>4.3530399226195132E-4</v>
      </c>
    </row>
    <row r="114" spans="1:11" ht="15" customHeight="1" x14ac:dyDescent="0.25">
      <c r="A114" s="2">
        <v>112</v>
      </c>
      <c r="B114" s="7">
        <v>9.0783714767894708E-3</v>
      </c>
      <c r="C114" s="7">
        <f t="shared" si="23"/>
        <v>1.023110783521832</v>
      </c>
      <c r="D114" s="7">
        <f t="shared" si="24"/>
        <v>2.2847773893963294E-2</v>
      </c>
      <c r="E114" s="7">
        <f t="shared" si="13"/>
        <v>3.07837566760546E-2</v>
      </c>
      <c r="F114" s="7">
        <f t="shared" si="14"/>
        <v>0.37037037037037035</v>
      </c>
      <c r="G114" s="7">
        <f t="shared" si="25"/>
        <v>0.35488530337059182</v>
      </c>
      <c r="H114" s="7">
        <f t="shared" si="22"/>
        <v>0.35489826919513245</v>
      </c>
      <c r="I114" s="7">
        <f t="shared" si="16"/>
        <v>0.37314836093520221</v>
      </c>
      <c r="J114" s="7">
        <f t="shared" si="17"/>
        <v>0.3588841411457187</v>
      </c>
      <c r="K114" s="7">
        <f t="shared" si="18"/>
        <v>4.3555701693440851E-4</v>
      </c>
    </row>
    <row r="115" spans="1:11" ht="15" customHeight="1" x14ac:dyDescent="0.25">
      <c r="A115" s="2">
        <v>113</v>
      </c>
      <c r="B115" s="7">
        <v>1.4945953807909973E-3</v>
      </c>
      <c r="C115" s="7">
        <f t="shared" si="23"/>
        <v>1.0312624761475597</v>
      </c>
      <c r="D115" s="7">
        <f t="shared" si="24"/>
        <v>3.07837566760546E-2</v>
      </c>
      <c r="E115" s="7">
        <f t="shared" si="13"/>
        <v>3.0739164223042865E-2</v>
      </c>
      <c r="F115" s="7">
        <f t="shared" si="14"/>
        <v>0.37037037037037035</v>
      </c>
      <c r="G115" s="7">
        <f t="shared" si="25"/>
        <v>0.35489826919513245</v>
      </c>
      <c r="H115" s="7">
        <f t="shared" si="22"/>
        <v>0.35491120654344982</v>
      </c>
      <c r="I115" s="7">
        <f t="shared" si="16"/>
        <v>0.37612638840837481</v>
      </c>
      <c r="J115" s="7">
        <f t="shared" si="17"/>
        <v>0.36174832854115391</v>
      </c>
      <c r="K115" s="7">
        <f t="shared" si="18"/>
        <v>4.3903311625134749E-4</v>
      </c>
    </row>
    <row r="116" spans="1:11" ht="15" customHeight="1" x14ac:dyDescent="0.25">
      <c r="A116" s="2">
        <v>114</v>
      </c>
      <c r="B116" s="7">
        <v>-3.2578100217506289E-3</v>
      </c>
      <c r="C116" s="7">
        <f t="shared" si="23"/>
        <v>1.0312164906493599</v>
      </c>
      <c r="D116" s="7">
        <f t="shared" si="24"/>
        <v>3.0739164223042865E-2</v>
      </c>
      <c r="E116" s="7">
        <f t="shared" si="13"/>
        <v>2.594439599014009E-2</v>
      </c>
      <c r="F116" s="7">
        <f t="shared" si="14"/>
        <v>0.37037037037037035</v>
      </c>
      <c r="G116" s="7">
        <f t="shared" si="25"/>
        <v>0.35491120654344982</v>
      </c>
      <c r="H116" s="7">
        <f t="shared" si="22"/>
        <v>0.35492209229807165</v>
      </c>
      <c r="I116" s="7">
        <f t="shared" si="16"/>
        <v>0.37611455213525397</v>
      </c>
      <c r="J116" s="7">
        <f t="shared" si="17"/>
        <v>0.36173694472935664</v>
      </c>
      <c r="K116" s="7">
        <f t="shared" si="18"/>
        <v>4.3901930037446892E-4</v>
      </c>
    </row>
    <row r="117" spans="1:11" ht="15" customHeight="1" x14ac:dyDescent="0.25">
      <c r="A117" s="2">
        <v>115</v>
      </c>
      <c r="B117" s="7">
        <v>7.047401595627889E-3</v>
      </c>
      <c r="C117" s="7">
        <f t="shared" si="23"/>
        <v>1.0262838813878177</v>
      </c>
      <c r="D117" s="7">
        <f t="shared" si="24"/>
        <v>2.594439599014009E-2</v>
      </c>
      <c r="E117" s="7">
        <f t="shared" si="13"/>
        <v>3.1694577786260975E-2</v>
      </c>
      <c r="F117" s="7">
        <f t="shared" si="14"/>
        <v>0.37037037037037035</v>
      </c>
      <c r="G117" s="7">
        <f t="shared" si="25"/>
        <v>0.35492209229807165</v>
      </c>
      <c r="H117" s="7">
        <f t="shared" si="22"/>
        <v>0.35493541914930821</v>
      </c>
      <c r="I117" s="7">
        <f t="shared" si="16"/>
        <v>0.37431961961672977</v>
      </c>
      <c r="J117" s="7">
        <f t="shared" si="17"/>
        <v>0.36001062650646365</v>
      </c>
      <c r="K117" s="7">
        <f t="shared" si="18"/>
        <v>4.3692416735175484E-4</v>
      </c>
    </row>
    <row r="118" spans="1:11" ht="15" customHeight="1" x14ac:dyDescent="0.25">
      <c r="A118" s="2">
        <v>116</v>
      </c>
      <c r="B118" s="7">
        <v>8.7449734564870596E-3</v>
      </c>
      <c r="C118" s="7">
        <f t="shared" si="23"/>
        <v>1.0322021996760464</v>
      </c>
      <c r="D118" s="7">
        <f t="shared" si="24"/>
        <v>3.1694577786260975E-2</v>
      </c>
      <c r="E118" s="7">
        <f t="shared" si="13"/>
        <v>3.8854822353434987E-2</v>
      </c>
      <c r="F118" s="7">
        <f t="shared" si="14"/>
        <v>0.37037037037037035</v>
      </c>
      <c r="G118" s="7">
        <f t="shared" si="25"/>
        <v>0.35493541914930821</v>
      </c>
      <c r="H118" s="7">
        <f t="shared" si="22"/>
        <v>0.35495178610216721</v>
      </c>
      <c r="I118" s="7">
        <f t="shared" si="16"/>
        <v>0.3764833147111204</v>
      </c>
      <c r="J118" s="7">
        <f t="shared" si="17"/>
        <v>0.36209161073939838</v>
      </c>
      <c r="K118" s="7">
        <f t="shared" si="18"/>
        <v>4.3944973808856977E-4</v>
      </c>
    </row>
    <row r="119" spans="1:11" ht="15" customHeight="1" x14ac:dyDescent="0.25">
      <c r="A119" s="2">
        <v>117</v>
      </c>
      <c r="B119" s="7">
        <v>-1.0049689080915414E-3</v>
      </c>
      <c r="C119" s="7">
        <f t="shared" si="23"/>
        <v>1.0396195431752302</v>
      </c>
      <c r="D119" s="7">
        <f t="shared" si="24"/>
        <v>3.8854822353434987E-2</v>
      </c>
      <c r="E119" s="7">
        <f t="shared" si="13"/>
        <v>3.5907112327671693E-2</v>
      </c>
      <c r="F119" s="7">
        <f t="shared" si="14"/>
        <v>0.37037037037037035</v>
      </c>
      <c r="G119" s="7">
        <f t="shared" si="25"/>
        <v>0.35495178610216721</v>
      </c>
      <c r="H119" s="7">
        <f t="shared" si="22"/>
        <v>0.35496688562950024</v>
      </c>
      <c r="I119" s="7">
        <f t="shared" si="16"/>
        <v>0.37919499600304102</v>
      </c>
      <c r="J119" s="7">
        <f t="shared" si="17"/>
        <v>0.36469963348153994</v>
      </c>
      <c r="K119" s="7">
        <f t="shared" si="18"/>
        <v>4.4261494511621335E-4</v>
      </c>
    </row>
    <row r="120" spans="1:11" ht="15" customHeight="1" x14ac:dyDescent="0.25">
      <c r="A120" s="2">
        <v>118</v>
      </c>
      <c r="B120" s="7">
        <v>-4.9860091166920029E-3</v>
      </c>
      <c r="C120" s="7">
        <f t="shared" si="23"/>
        <v>1.0365595584143945</v>
      </c>
      <c r="D120" s="7">
        <f t="shared" si="24"/>
        <v>3.5907112327671693E-2</v>
      </c>
      <c r="E120" s="7">
        <f t="shared" si="13"/>
        <v>2.9125747594596102E-2</v>
      </c>
      <c r="F120" s="7">
        <f t="shared" si="14"/>
        <v>0.37037037037037035</v>
      </c>
      <c r="G120" s="7">
        <f t="shared" si="25"/>
        <v>0.35496688562950024</v>
      </c>
      <c r="H120" s="7">
        <f t="shared" si="22"/>
        <v>0.35497908549904988</v>
      </c>
      <c r="I120" s="7">
        <f t="shared" si="16"/>
        <v>0.37808467483150887</v>
      </c>
      <c r="J120" s="7">
        <f t="shared" si="17"/>
        <v>0.36363175619261778</v>
      </c>
      <c r="K120" s="7">
        <f t="shared" si="18"/>
        <v>4.413189239408835E-4</v>
      </c>
    </row>
    <row r="121" spans="1:11" ht="15" customHeight="1" x14ac:dyDescent="0.25">
      <c r="A121" s="2">
        <v>119</v>
      </c>
      <c r="B121" s="7">
        <v>-6.6022494138451293E-3</v>
      </c>
      <c r="C121" s="7">
        <f t="shared" si="23"/>
        <v>1.0295540502809117</v>
      </c>
      <c r="D121" s="7">
        <f t="shared" si="24"/>
        <v>2.9125747594596102E-2</v>
      </c>
      <c r="E121" s="7">
        <f t="shared" si="13"/>
        <v>2.1067210801021165E-2</v>
      </c>
      <c r="F121" s="7">
        <f t="shared" si="14"/>
        <v>0.37037037037037035</v>
      </c>
      <c r="G121" s="7">
        <f t="shared" si="25"/>
        <v>0.35497908549904988</v>
      </c>
      <c r="H121" s="7">
        <f t="shared" si="22"/>
        <v>0.35498784358219782</v>
      </c>
      <c r="I121" s="7">
        <f t="shared" si="16"/>
        <v>0.37553406492520136</v>
      </c>
      <c r="J121" s="7">
        <f t="shared" si="17"/>
        <v>0.36117864761315416</v>
      </c>
      <c r="K121" s="7">
        <f t="shared" si="18"/>
        <v>4.3834172731225466E-4</v>
      </c>
    </row>
    <row r="122" spans="1:11" ht="15" customHeight="1" x14ac:dyDescent="0.25">
      <c r="A122" s="2">
        <v>120</v>
      </c>
      <c r="B122" s="7">
        <v>6.6222355599165894E-3</v>
      </c>
      <c r="C122" s="7">
        <f t="shared" si="23"/>
        <v>1.0212906910962702</v>
      </c>
      <c r="D122" s="7">
        <f t="shared" si="24"/>
        <v>2.1067210801021165E-2</v>
      </c>
      <c r="E122" s="7">
        <f t="shared" si="13"/>
        <v>2.6636085820886696E-2</v>
      </c>
      <c r="F122" s="7">
        <f t="shared" si="14"/>
        <v>0.37037037037037035</v>
      </c>
      <c r="G122" s="7">
        <f t="shared" si="25"/>
        <v>0.35498784358219782</v>
      </c>
      <c r="H122" s="7">
        <f t="shared" si="22"/>
        <v>0.35499896748090132</v>
      </c>
      <c r="I122" s="7">
        <f t="shared" si="16"/>
        <v>0.37252327943266639</v>
      </c>
      <c r="J122" s="7">
        <f t="shared" si="17"/>
        <v>0.35828295442839958</v>
      </c>
      <c r="K122" s="7">
        <f t="shared" si="18"/>
        <v>4.3482739123297694E-4</v>
      </c>
    </row>
    <row r="123" spans="1:11" ht="15" customHeight="1" x14ac:dyDescent="0.25">
      <c r="A123" s="2">
        <v>121</v>
      </c>
      <c r="B123" s="7">
        <v>-3.3523292586323805E-3</v>
      </c>
      <c r="C123" s="7">
        <f t="shared" si="23"/>
        <v>1.0269939970736199</v>
      </c>
      <c r="D123" s="7">
        <f t="shared" si="24"/>
        <v>2.6636085820886696E-2</v>
      </c>
      <c r="E123" s="7">
        <f t="shared" si="13"/>
        <v>2.1951952271209978E-2</v>
      </c>
      <c r="F123" s="7">
        <f t="shared" si="14"/>
        <v>0.37037037037037035</v>
      </c>
      <c r="G123" s="7">
        <f t="shared" si="25"/>
        <v>0.35499896748090132</v>
      </c>
      <c r="H123" s="7">
        <f t="shared" si="22"/>
        <v>0.35500808769266662</v>
      </c>
      <c r="I123" s="7">
        <f t="shared" si="16"/>
        <v>0.37460782801591141</v>
      </c>
      <c r="J123" s="7">
        <f t="shared" si="17"/>
        <v>0.36028781765786538</v>
      </c>
      <c r="K123" s="7">
        <f t="shared" si="18"/>
        <v>4.3726057829106165E-4</v>
      </c>
    </row>
    <row r="124" spans="1:11" ht="15" customHeight="1" x14ac:dyDescent="0.25">
      <c r="A124" s="2">
        <v>122</v>
      </c>
      <c r="B124" s="7">
        <v>-8.8894012151286006E-4</v>
      </c>
      <c r="C124" s="7">
        <f t="shared" si="23"/>
        <v>1.0221946691582737</v>
      </c>
      <c r="D124" s="7">
        <f t="shared" si="24"/>
        <v>2.1951952271209978E-2</v>
      </c>
      <c r="E124" s="7">
        <f t="shared" si="13"/>
        <v>1.9965414536136619E-2</v>
      </c>
      <c r="F124" s="7">
        <f t="shared" si="14"/>
        <v>0.37037037037037035</v>
      </c>
      <c r="G124" s="7">
        <f t="shared" si="25"/>
        <v>0.35500808769266662</v>
      </c>
      <c r="H124" s="7">
        <f t="shared" si="22"/>
        <v>0.35501635482907379</v>
      </c>
      <c r="I124" s="7">
        <f t="shared" si="16"/>
        <v>0.3728606665801053</v>
      </c>
      <c r="J124" s="7">
        <f t="shared" si="17"/>
        <v>0.35860744438820741</v>
      </c>
      <c r="K124" s="7">
        <f t="shared" si="18"/>
        <v>4.3522120601249841E-4</v>
      </c>
    </row>
    <row r="125" spans="1:11" ht="15" customHeight="1" x14ac:dyDescent="0.25">
      <c r="A125" s="2">
        <v>123</v>
      </c>
      <c r="B125" s="7">
        <v>-2.0654442778322846E-2</v>
      </c>
      <c r="C125" s="7">
        <f t="shared" si="23"/>
        <v>1.020166056500329</v>
      </c>
      <c r="D125" s="7">
        <f t="shared" si="24"/>
        <v>1.9965414536136619E-2</v>
      </c>
      <c r="E125" s="7">
        <f t="shared" si="13"/>
        <v>-1.6872989689930597E-3</v>
      </c>
      <c r="F125" s="7">
        <f t="shared" si="14"/>
        <v>0.37037037037037035</v>
      </c>
      <c r="G125" s="7">
        <f t="shared" si="25"/>
        <v>0.35501635482907379</v>
      </c>
      <c r="H125" s="7">
        <f t="shared" si="22"/>
        <v>0.35501539123290748</v>
      </c>
      <c r="I125" s="7">
        <f t="shared" si="16"/>
        <v>0.37212381963256697</v>
      </c>
      <c r="J125" s="7">
        <f t="shared" si="17"/>
        <v>0.35789876464682951</v>
      </c>
      <c r="K125" s="7">
        <f t="shared" si="18"/>
        <v>4.3436112221740235E-4</v>
      </c>
    </row>
    <row r="126" spans="1:11" ht="15" customHeight="1" x14ac:dyDescent="0.25">
      <c r="A126" s="2">
        <v>124</v>
      </c>
      <c r="B126" s="7">
        <v>-1.1458951121312566E-2</v>
      </c>
      <c r="C126" s="7">
        <f t="shared" si="23"/>
        <v>0.9983141237196328</v>
      </c>
      <c r="D126" s="7">
        <f t="shared" si="24"/>
        <v>-1.6872989689930597E-3</v>
      </c>
      <c r="E126" s="7">
        <f t="shared" si="13"/>
        <v>-1.3061885141855974E-2</v>
      </c>
      <c r="F126" s="7">
        <f t="shared" si="14"/>
        <v>0.37037037037037035</v>
      </c>
      <c r="G126" s="7">
        <f t="shared" si="25"/>
        <v>0.35501539123290748</v>
      </c>
      <c r="H126" s="7">
        <f t="shared" si="22"/>
        <v>0.35500958264181665</v>
      </c>
      <c r="I126" s="7">
        <f t="shared" si="16"/>
        <v>0.36415258040252235</v>
      </c>
      <c r="J126" s="7">
        <f t="shared" si="17"/>
        <v>0.35023223935975101</v>
      </c>
      <c r="K126" s="7">
        <f t="shared" si="18"/>
        <v>4.2505670192835901E-4</v>
      </c>
    </row>
    <row r="127" spans="1:11" ht="15" customHeight="1" x14ac:dyDescent="0.25">
      <c r="A127" s="2">
        <v>125</v>
      </c>
      <c r="B127" s="7">
        <v>-1.2927102943649516E-2</v>
      </c>
      <c r="C127" s="7">
        <f t="shared" si="23"/>
        <v>0.98702305106868204</v>
      </c>
      <c r="D127" s="7">
        <f t="shared" si="24"/>
        <v>-1.3061885141855974E-2</v>
      </c>
      <c r="E127" s="7">
        <f t="shared" si="13"/>
        <v>-2.5335893828412691E-2</v>
      </c>
      <c r="F127" s="7">
        <f t="shared" si="14"/>
        <v>0.37037037037037035</v>
      </c>
      <c r="G127" s="7">
        <f t="shared" si="25"/>
        <v>0.35500958264181665</v>
      </c>
      <c r="H127" s="7">
        <f t="shared" si="22"/>
        <v>0.35499854986180351</v>
      </c>
      <c r="I127" s="7">
        <f t="shared" si="16"/>
        <v>0.36003184301890617</v>
      </c>
      <c r="J127" s="7">
        <f t="shared" si="17"/>
        <v>0.3462690240501628</v>
      </c>
      <c r="K127" s="7">
        <f t="shared" si="18"/>
        <v>4.2024677571595462E-4</v>
      </c>
    </row>
    <row r="128" spans="1:11" ht="15" customHeight="1" x14ac:dyDescent="0.25">
      <c r="A128" s="2">
        <v>126</v>
      </c>
      <c r="B128" s="7">
        <v>2.4091059458442032E-2</v>
      </c>
      <c r="C128" s="7">
        <f t="shared" si="23"/>
        <v>0.97498236646143943</v>
      </c>
      <c r="D128" s="7">
        <f t="shared" si="24"/>
        <v>-2.5335893828412691E-2</v>
      </c>
      <c r="E128" s="7">
        <f t="shared" si="13"/>
        <v>2.19603214499757E-5</v>
      </c>
      <c r="F128" s="7">
        <f t="shared" si="14"/>
        <v>0.37037037037037035</v>
      </c>
      <c r="G128" s="7">
        <f t="shared" si="25"/>
        <v>0.35499854986180351</v>
      </c>
      <c r="H128" s="7">
        <f t="shared" si="22"/>
        <v>0.3549983281280808</v>
      </c>
      <c r="I128" s="7">
        <f t="shared" si="16"/>
        <v>0.35563583917365388</v>
      </c>
      <c r="J128" s="7">
        <f t="shared" si="17"/>
        <v>0.34204106479952412</v>
      </c>
      <c r="K128" s="7">
        <f t="shared" si="18"/>
        <v>4.1511554502671476E-4</v>
      </c>
    </row>
    <row r="129" spans="1:11" ht="15" customHeight="1" x14ac:dyDescent="0.25">
      <c r="A129" s="2">
        <v>127</v>
      </c>
      <c r="B129" s="7">
        <v>-4.5641627366421744E-3</v>
      </c>
      <c r="C129" s="7">
        <f t="shared" si="23"/>
        <v>1.0000219605625795</v>
      </c>
      <c r="D129" s="7">
        <f t="shared" si="24"/>
        <v>2.19603214499757E-5</v>
      </c>
      <c r="E129" s="7">
        <f t="shared" si="13"/>
        <v>-4.5433004312646977E-3</v>
      </c>
      <c r="F129" s="7">
        <f t="shared" si="14"/>
        <v>0.37037037037037035</v>
      </c>
      <c r="G129" s="7">
        <f t="shared" si="25"/>
        <v>0.3549983281280808</v>
      </c>
      <c r="H129" s="7">
        <f t="shared" si="22"/>
        <v>0.35499616177940729</v>
      </c>
      <c r="I129" s="7">
        <f t="shared" si="16"/>
        <v>0.36476923214345086</v>
      </c>
      <c r="J129" s="7">
        <f t="shared" si="17"/>
        <v>0.35082531855719007</v>
      </c>
      <c r="K129" s="7">
        <f t="shared" si="18"/>
        <v>4.2577648799975725E-4</v>
      </c>
    </row>
    <row r="130" spans="1:11" ht="15" customHeight="1" x14ac:dyDescent="0.25">
      <c r="A130" s="2">
        <v>128</v>
      </c>
      <c r="B130" s="7">
        <v>-1.2043074093526229E-3</v>
      </c>
      <c r="C130" s="7">
        <f t="shared" si="23"/>
        <v>0.99546700474572769</v>
      </c>
      <c r="D130" s="7">
        <f t="shared" si="24"/>
        <v>-4.5433004312646977E-3</v>
      </c>
      <c r="E130" s="7">
        <f t="shared" ref="E130:E193" si="26">$N$6*D130+B130</f>
        <v>-5.5204428190540854E-3</v>
      </c>
      <c r="F130" s="7">
        <f t="shared" ref="F130:F193" si="27">((1-$N$2*(1-$N$4))*(1-$N$1))/(((1-$N$2*(1-$N$4))*(1-$N$1))*$N$3+(1-$N$2*(1-$N$4))*(1-$N$1))</f>
        <v>0.37037037037037035</v>
      </c>
      <c r="G130" s="7">
        <f t="shared" si="25"/>
        <v>0.35499616177940729</v>
      </c>
      <c r="H130" s="7">
        <f t="shared" ref="H130:H161" si="28">G131</f>
        <v>0.35499358085231986</v>
      </c>
      <c r="I130" s="7">
        <f t="shared" ref="I130:I193" si="29">$C130*$G130^$N$1*$F130^(1-$N$1)</f>
        <v>0.36310696319207614</v>
      </c>
      <c r="J130" s="7">
        <f t="shared" ref="J130:J193" si="30">$C130*$G130^$N$1*$F130^(1-$N$1)*((1-$N$2*(1-$N$4*(1-$N$1)))/(1-$N$2*(1-$N$4)))</f>
        <v>0.34922659261485395</v>
      </c>
      <c r="K130" s="7">
        <f t="shared" ref="K130:K193" si="31">$C130*$G130^$N$1*$F130^(1-$N$1)*(($N$2*$N$1*$N$4)/(1-$N$2*(1-$N$1)))</f>
        <v>4.238362063809692E-4</v>
      </c>
    </row>
    <row r="131" spans="1:11" ht="15" customHeight="1" x14ac:dyDescent="0.25">
      <c r="A131" s="2">
        <v>129</v>
      </c>
      <c r="B131" s="7">
        <v>5.2107679948676378E-3</v>
      </c>
      <c r="C131" s="7">
        <f t="shared" ref="C131:C162" si="32">EXP(D131)</f>
        <v>0.99449476682454507</v>
      </c>
      <c r="D131" s="7">
        <f t="shared" ref="D131:D162" si="33">E130</f>
        <v>-5.5204428190540854E-3</v>
      </c>
      <c r="E131" s="7">
        <f t="shared" si="26"/>
        <v>-3.3652683233743354E-5</v>
      </c>
      <c r="F131" s="7">
        <f t="shared" si="27"/>
        <v>0.37037037037037035</v>
      </c>
      <c r="G131" s="7">
        <f t="shared" ref="G131:G162" si="34">(($C131*$G130^$N$1*$F131^(1-$N$1)*(($N$2*$N$1*$N$4)/(1-$N$2*(1-$N$1))))^$N$4)*($N$5*$G130^(1-$N$4))</f>
        <v>0.35499358085231986</v>
      </c>
      <c r="H131" s="7">
        <f t="shared" si="28"/>
        <v>0.35499333924717474</v>
      </c>
      <c r="I131" s="7">
        <f t="shared" si="29"/>
        <v>0.36275137984294337</v>
      </c>
      <c r="J131" s="7">
        <f t="shared" si="30"/>
        <v>0.34888460203357574</v>
      </c>
      <c r="K131" s="7">
        <f t="shared" si="31"/>
        <v>4.2342115210488538E-4</v>
      </c>
    </row>
    <row r="132" spans="1:11" ht="15" customHeight="1" x14ac:dyDescent="0.25">
      <c r="A132" s="2">
        <v>130</v>
      </c>
      <c r="B132" s="7">
        <v>1.4018269212101586E-3</v>
      </c>
      <c r="C132" s="7">
        <f t="shared" si="32"/>
        <v>0.99996634788301142</v>
      </c>
      <c r="D132" s="7">
        <f t="shared" si="33"/>
        <v>-3.3652683233743354E-5</v>
      </c>
      <c r="E132" s="7">
        <f t="shared" si="26"/>
        <v>1.3698568721381024E-3</v>
      </c>
      <c r="F132" s="7">
        <f t="shared" si="27"/>
        <v>0.37037037037037035</v>
      </c>
      <c r="G132" s="7">
        <f t="shared" si="34"/>
        <v>0.35499333924717474</v>
      </c>
      <c r="H132" s="7">
        <f t="shared" si="28"/>
        <v>0.35499369571169603</v>
      </c>
      <c r="I132" s="7">
        <f t="shared" si="29"/>
        <v>0.36474710145903638</v>
      </c>
      <c r="J132" s="7">
        <f t="shared" si="30"/>
        <v>0.35080403385517728</v>
      </c>
      <c r="K132" s="7">
        <f t="shared" si="31"/>
        <v>4.2575065598253459E-4</v>
      </c>
    </row>
    <row r="133" spans="1:11" ht="15" customHeight="1" x14ac:dyDescent="0.25">
      <c r="A133" s="2">
        <v>131</v>
      </c>
      <c r="B133" s="7">
        <v>-7.5802063292940147E-3</v>
      </c>
      <c r="C133" s="7">
        <f t="shared" si="32"/>
        <v>1.0013707955546345</v>
      </c>
      <c r="D133" s="7">
        <f t="shared" si="33"/>
        <v>1.3698568721381024E-3</v>
      </c>
      <c r="E133" s="7">
        <f t="shared" si="26"/>
        <v>-6.2788423007628172E-3</v>
      </c>
      <c r="F133" s="7">
        <f t="shared" si="27"/>
        <v>0.37037037037037035</v>
      </c>
      <c r="G133" s="7">
        <f t="shared" si="34"/>
        <v>0.35499369571169603</v>
      </c>
      <c r="H133" s="7">
        <f t="shared" si="28"/>
        <v>0.35499079362650976</v>
      </c>
      <c r="I133" s="7">
        <f t="shared" si="29"/>
        <v>0.36525951895418057</v>
      </c>
      <c r="J133" s="7">
        <f t="shared" si="30"/>
        <v>0.35129686333509774</v>
      </c>
      <c r="K133" s="7">
        <f t="shared" si="31"/>
        <v>4.263487747443339E-4</v>
      </c>
    </row>
    <row r="134" spans="1:11" ht="15" customHeight="1" x14ac:dyDescent="0.25">
      <c r="A134" s="2">
        <v>132</v>
      </c>
      <c r="B134" s="7">
        <v>1.3336534721020143E-2</v>
      </c>
      <c r="C134" s="7">
        <f t="shared" si="32"/>
        <v>0.99374082843820088</v>
      </c>
      <c r="D134" s="7">
        <f t="shared" si="33"/>
        <v>-6.2788423007628172E-3</v>
      </c>
      <c r="E134" s="7">
        <f t="shared" si="26"/>
        <v>7.3716345352954678E-3</v>
      </c>
      <c r="F134" s="7">
        <f t="shared" si="27"/>
        <v>0.37037037037037035</v>
      </c>
      <c r="G134" s="7">
        <f t="shared" si="34"/>
        <v>0.35499079362650976</v>
      </c>
      <c r="H134" s="7">
        <f t="shared" si="28"/>
        <v>0.35499370874627367</v>
      </c>
      <c r="I134" s="7">
        <f t="shared" si="29"/>
        <v>0.36247534912569712</v>
      </c>
      <c r="J134" s="7">
        <f t="shared" si="30"/>
        <v>0.34861912305186327</v>
      </c>
      <c r="K134" s="7">
        <f t="shared" si="31"/>
        <v>4.2309895555152328E-4</v>
      </c>
    </row>
    <row r="135" spans="1:11" ht="15" customHeight="1" x14ac:dyDescent="0.25">
      <c r="A135" s="2">
        <v>133</v>
      </c>
      <c r="B135" s="7">
        <v>-1.5395880836877041E-2</v>
      </c>
      <c r="C135" s="7">
        <f t="shared" si="32"/>
        <v>1.0073988719200375</v>
      </c>
      <c r="D135" s="7">
        <f t="shared" si="33"/>
        <v>7.3716345352954678E-3</v>
      </c>
      <c r="E135" s="7">
        <f t="shared" si="26"/>
        <v>-8.3928280283463476E-3</v>
      </c>
      <c r="F135" s="7">
        <f t="shared" si="27"/>
        <v>0.37037037037037035</v>
      </c>
      <c r="G135" s="7">
        <f t="shared" si="34"/>
        <v>0.35499370874627367</v>
      </c>
      <c r="H135" s="7">
        <f t="shared" si="28"/>
        <v>0.35498990611751408</v>
      </c>
      <c r="I135" s="7">
        <f t="shared" si="29"/>
        <v>0.36745832198207906</v>
      </c>
      <c r="J135" s="7">
        <f t="shared" si="30"/>
        <v>0.35341161344210137</v>
      </c>
      <c r="K135" s="7">
        <f t="shared" si="31"/>
        <v>4.289153251782084E-4</v>
      </c>
    </row>
    <row r="136" spans="1:11" ht="15" customHeight="1" x14ac:dyDescent="0.25">
      <c r="A136" s="2">
        <v>134</v>
      </c>
      <c r="B136" s="7">
        <v>3.8989355743979104E-3</v>
      </c>
      <c r="C136" s="7">
        <f t="shared" si="32"/>
        <v>0.9916422934280138</v>
      </c>
      <c r="D136" s="7">
        <f t="shared" si="33"/>
        <v>-8.3928280283463476E-3</v>
      </c>
      <c r="E136" s="7">
        <f t="shared" si="26"/>
        <v>-4.0742510525311193E-3</v>
      </c>
      <c r="F136" s="7">
        <f t="shared" si="27"/>
        <v>0.37037037037037035</v>
      </c>
      <c r="G136" s="7">
        <f t="shared" si="34"/>
        <v>0.35498990611751408</v>
      </c>
      <c r="H136" s="7">
        <f t="shared" si="28"/>
        <v>0.35498794609641754</v>
      </c>
      <c r="I136" s="7">
        <f t="shared" si="29"/>
        <v>0.36170956522921421</v>
      </c>
      <c r="J136" s="7">
        <f t="shared" si="30"/>
        <v>0.34788261252478042</v>
      </c>
      <c r="K136" s="7">
        <f t="shared" si="31"/>
        <v>4.2220509513436223E-4</v>
      </c>
    </row>
    <row r="137" spans="1:11" ht="15" customHeight="1" x14ac:dyDescent="0.25">
      <c r="A137" s="2">
        <v>135</v>
      </c>
      <c r="B137" s="7">
        <v>-7.4847093856078573E-3</v>
      </c>
      <c r="C137" s="7">
        <f t="shared" si="32"/>
        <v>0.99593403744799036</v>
      </c>
      <c r="D137" s="7">
        <f t="shared" si="33"/>
        <v>-4.0742510525311193E-3</v>
      </c>
      <c r="E137" s="7">
        <f t="shared" si="26"/>
        <v>-1.1355247885512421E-2</v>
      </c>
      <c r="F137" s="7">
        <f t="shared" si="27"/>
        <v>0.37037037037037035</v>
      </c>
      <c r="G137" s="7">
        <f t="shared" si="34"/>
        <v>0.35498794609641754</v>
      </c>
      <c r="H137" s="7">
        <f t="shared" si="28"/>
        <v>0.35498288602275452</v>
      </c>
      <c r="I137" s="7">
        <f t="shared" si="29"/>
        <v>0.3632742915742781</v>
      </c>
      <c r="J137" s="7">
        <f t="shared" si="30"/>
        <v>0.34938752458996791</v>
      </c>
      <c r="K137" s="7">
        <f t="shared" si="31"/>
        <v>4.240315202524215E-4</v>
      </c>
    </row>
    <row r="138" spans="1:11" ht="15" customHeight="1" x14ac:dyDescent="0.25">
      <c r="A138" s="2">
        <v>136</v>
      </c>
      <c r="B138" s="7">
        <v>-2.2760104911867529E-4</v>
      </c>
      <c r="C138" s="7">
        <f t="shared" si="32"/>
        <v>0.98870897960552762</v>
      </c>
      <c r="D138" s="7">
        <f t="shared" si="33"/>
        <v>-1.1355247885512421E-2</v>
      </c>
      <c r="E138" s="7">
        <f t="shared" si="26"/>
        <v>-1.1015086540355474E-2</v>
      </c>
      <c r="F138" s="7">
        <f t="shared" si="27"/>
        <v>0.37037037037037035</v>
      </c>
      <c r="G138" s="7">
        <f t="shared" si="34"/>
        <v>0.35498288602275452</v>
      </c>
      <c r="H138" s="7">
        <f t="shared" si="28"/>
        <v>0.35497797480698534</v>
      </c>
      <c r="I138" s="7">
        <f t="shared" si="29"/>
        <v>0.36063704776208222</v>
      </c>
      <c r="J138" s="7">
        <f t="shared" si="30"/>
        <v>0.34685109383047136</v>
      </c>
      <c r="K138" s="7">
        <f t="shared" si="31"/>
        <v>4.2095320029172299E-4</v>
      </c>
    </row>
    <row r="139" spans="1:11" ht="15" customHeight="1" x14ac:dyDescent="0.25">
      <c r="A139" s="2">
        <v>137</v>
      </c>
      <c r="B139" s="7">
        <v>-1.0172584552492481E-2</v>
      </c>
      <c r="C139" s="7">
        <f t="shared" si="32"/>
        <v>0.98904535739011523</v>
      </c>
      <c r="D139" s="7">
        <f t="shared" si="33"/>
        <v>-1.1015086540355474E-2</v>
      </c>
      <c r="E139" s="7">
        <f t="shared" si="26"/>
        <v>-2.0636916765830182E-2</v>
      </c>
      <c r="F139" s="7">
        <f t="shared" si="27"/>
        <v>0.37037037037037035</v>
      </c>
      <c r="G139" s="7">
        <f t="shared" si="34"/>
        <v>0.35497797480698534</v>
      </c>
      <c r="H139" s="7">
        <f t="shared" si="28"/>
        <v>0.35496896886585283</v>
      </c>
      <c r="I139" s="7">
        <f t="shared" si="29"/>
        <v>0.36075794659432886</v>
      </c>
      <c r="J139" s="7">
        <f t="shared" si="30"/>
        <v>0.34696737110278097</v>
      </c>
      <c r="K139" s="7">
        <f t="shared" si="31"/>
        <v>4.2109431932167729E-4</v>
      </c>
    </row>
    <row r="140" spans="1:11" ht="15" customHeight="1" x14ac:dyDescent="0.25">
      <c r="A140" s="2">
        <v>138</v>
      </c>
      <c r="B140" s="7">
        <v>-2.0019524527015164E-2</v>
      </c>
      <c r="C140" s="7">
        <f t="shared" si="32"/>
        <v>0.97957456711082969</v>
      </c>
      <c r="D140" s="7">
        <f t="shared" si="33"/>
        <v>-2.0636916765830182E-2</v>
      </c>
      <c r="E140" s="7">
        <f t="shared" si="26"/>
        <v>-3.9624595454553838E-2</v>
      </c>
      <c r="F140" s="7">
        <f t="shared" si="27"/>
        <v>0.37037037037037035</v>
      </c>
      <c r="G140" s="7">
        <f t="shared" si="34"/>
        <v>0.35496896886585283</v>
      </c>
      <c r="H140" s="7">
        <f t="shared" si="28"/>
        <v>0.35495188232261454</v>
      </c>
      <c r="I140" s="7">
        <f t="shared" si="29"/>
        <v>0.35730017746028642</v>
      </c>
      <c r="J140" s="7">
        <f t="shared" si="30"/>
        <v>0.3436417809733191</v>
      </c>
      <c r="K140" s="7">
        <f t="shared" si="31"/>
        <v>4.1705824207482339E-4</v>
      </c>
    </row>
    <row r="141" spans="1:11" ht="15" customHeight="1" x14ac:dyDescent="0.25">
      <c r="A141" s="2">
        <v>139</v>
      </c>
      <c r="B141" s="7">
        <v>4.3739646571339108E-3</v>
      </c>
      <c r="C141" s="7">
        <f t="shared" si="32"/>
        <v>0.96115019158481241</v>
      </c>
      <c r="D141" s="7">
        <f t="shared" si="33"/>
        <v>-3.9624595454553838E-2</v>
      </c>
      <c r="E141" s="7">
        <f t="shared" si="26"/>
        <v>-3.3269401024692231E-2</v>
      </c>
      <c r="F141" s="7">
        <f t="shared" si="27"/>
        <v>0.37037037037037035</v>
      </c>
      <c r="G141" s="7">
        <f t="shared" si="34"/>
        <v>0.35495188232261454</v>
      </c>
      <c r="H141" s="7">
        <f t="shared" si="28"/>
        <v>0.35493751654935263</v>
      </c>
      <c r="I141" s="7">
        <f t="shared" si="29"/>
        <v>0.35057380463506205</v>
      </c>
      <c r="J141" s="7">
        <f t="shared" si="30"/>
        <v>0.33717253499202493</v>
      </c>
      <c r="K141" s="7">
        <f t="shared" si="31"/>
        <v>4.0920689073778199E-4</v>
      </c>
    </row>
    <row r="142" spans="1:11" ht="15" customHeight="1" x14ac:dyDescent="0.25">
      <c r="A142" s="2">
        <v>140</v>
      </c>
      <c r="B142" s="7">
        <v>2.5392728275619447E-2</v>
      </c>
      <c r="C142" s="7">
        <f t="shared" si="32"/>
        <v>0.96727793881697721</v>
      </c>
      <c r="D142" s="7">
        <f t="shared" si="33"/>
        <v>-3.3269401024692231E-2</v>
      </c>
      <c r="E142" s="7">
        <f t="shared" si="26"/>
        <v>-6.2132026978381702E-3</v>
      </c>
      <c r="F142" s="7">
        <f t="shared" si="27"/>
        <v>0.37037037037037035</v>
      </c>
      <c r="G142" s="7">
        <f t="shared" si="34"/>
        <v>0.35493751654935263</v>
      </c>
      <c r="H142" s="7">
        <f t="shared" si="28"/>
        <v>0.35493468602259037</v>
      </c>
      <c r="I142" s="7">
        <f t="shared" si="29"/>
        <v>0.35280372340015004</v>
      </c>
      <c r="J142" s="7">
        <f t="shared" si="30"/>
        <v>0.33931721138515614</v>
      </c>
      <c r="K142" s="7">
        <f t="shared" si="31"/>
        <v>4.1180976098192181E-4</v>
      </c>
    </row>
    <row r="143" spans="1:11" ht="15" customHeight="1" x14ac:dyDescent="0.25">
      <c r="A143" s="2">
        <v>141</v>
      </c>
      <c r="B143" s="7">
        <v>4.4887315198138822E-3</v>
      </c>
      <c r="C143" s="7">
        <f t="shared" si="32"/>
        <v>0.99380605933243116</v>
      </c>
      <c r="D143" s="7">
        <f t="shared" si="33"/>
        <v>-6.2132026978381702E-3</v>
      </c>
      <c r="E143" s="7">
        <f t="shared" si="26"/>
        <v>-1.4138110431323788E-3</v>
      </c>
      <c r="F143" s="7">
        <f t="shared" si="27"/>
        <v>0.37037037037037035</v>
      </c>
      <c r="G143" s="7">
        <f t="shared" si="34"/>
        <v>0.35493468602259037</v>
      </c>
      <c r="H143" s="7">
        <f t="shared" si="28"/>
        <v>0.35493390184650059</v>
      </c>
      <c r="I143" s="7">
        <f t="shared" si="29"/>
        <v>0.36247851564386036</v>
      </c>
      <c r="J143" s="7">
        <f t="shared" si="30"/>
        <v>0.34862216852457711</v>
      </c>
      <c r="K143" s="7">
        <f t="shared" si="31"/>
        <v>4.2310265166639241E-4</v>
      </c>
    </row>
    <row r="144" spans="1:11" ht="15" customHeight="1" x14ac:dyDescent="0.25">
      <c r="A144" s="2">
        <v>142</v>
      </c>
      <c r="B144" s="7">
        <v>9.3900553110870533E-3</v>
      </c>
      <c r="C144" s="7">
        <f t="shared" si="32"/>
        <v>0.99858718791686474</v>
      </c>
      <c r="D144" s="7">
        <f t="shared" si="33"/>
        <v>-1.4138110431323788E-3</v>
      </c>
      <c r="E144" s="7">
        <f t="shared" si="26"/>
        <v>8.0469348201112935E-3</v>
      </c>
      <c r="F144" s="7">
        <f t="shared" si="27"/>
        <v>0.37037037037037035</v>
      </c>
      <c r="G144" s="7">
        <f t="shared" si="34"/>
        <v>0.35493390184650059</v>
      </c>
      <c r="H144" s="7">
        <f t="shared" si="28"/>
        <v>0.35493714781569863</v>
      </c>
      <c r="I144" s="7">
        <f t="shared" si="29"/>
        <v>0.36422208369692738</v>
      </c>
      <c r="J144" s="7">
        <f t="shared" si="30"/>
        <v>0.35029908577455726</v>
      </c>
      <c r="K144" s="7">
        <f t="shared" si="31"/>
        <v>4.2513782957287634E-4</v>
      </c>
    </row>
    <row r="145" spans="1:11" ht="15" customHeight="1" x14ac:dyDescent="0.25">
      <c r="A145" s="2">
        <v>143</v>
      </c>
      <c r="B145" s="7">
        <v>9.8630380307440646E-3</v>
      </c>
      <c r="C145" s="7">
        <f t="shared" si="32"/>
        <v>1.0080793984191758</v>
      </c>
      <c r="D145" s="7">
        <f t="shared" si="33"/>
        <v>8.0469348201112935E-3</v>
      </c>
      <c r="E145" s="7">
        <f t="shared" si="26"/>
        <v>1.7507626109849794E-2</v>
      </c>
      <c r="F145" s="7">
        <f t="shared" si="27"/>
        <v>0.37037037037037035</v>
      </c>
      <c r="G145" s="7">
        <f t="shared" si="34"/>
        <v>0.35493714781569863</v>
      </c>
      <c r="H145" s="7">
        <f t="shared" si="28"/>
        <v>0.35494442092227929</v>
      </c>
      <c r="I145" s="7">
        <f t="shared" si="29"/>
        <v>0.36768545829554189</v>
      </c>
      <c r="J145" s="7">
        <f t="shared" si="30"/>
        <v>0.35363006709033884</v>
      </c>
      <c r="K145" s="7">
        <f t="shared" si="31"/>
        <v>4.291804497921325E-4</v>
      </c>
    </row>
    <row r="146" spans="1:11" ht="15" customHeight="1" x14ac:dyDescent="0.25">
      <c r="A146" s="2">
        <v>144</v>
      </c>
      <c r="B146" s="7">
        <v>7.555740921816323E-3</v>
      </c>
      <c r="C146" s="7">
        <f t="shared" si="32"/>
        <v>1.0176617829217161</v>
      </c>
      <c r="D146" s="7">
        <f t="shared" si="33"/>
        <v>1.7507626109849794E-2</v>
      </c>
      <c r="E146" s="7">
        <f t="shared" si="26"/>
        <v>2.4187985726173627E-2</v>
      </c>
      <c r="F146" s="7">
        <f t="shared" si="27"/>
        <v>0.37037037037037035</v>
      </c>
      <c r="G146" s="7">
        <f t="shared" si="34"/>
        <v>0.35494442092227929</v>
      </c>
      <c r="H146" s="7">
        <f t="shared" si="28"/>
        <v>0.35495453404929417</v>
      </c>
      <c r="I146" s="7">
        <f t="shared" si="29"/>
        <v>0.37118326183233702</v>
      </c>
      <c r="J146" s="7">
        <f t="shared" si="30"/>
        <v>0.35699416124059336</v>
      </c>
      <c r="K146" s="7">
        <f t="shared" si="31"/>
        <v>4.3326325715189378E-4</v>
      </c>
    </row>
    <row r="147" spans="1:11" ht="15" customHeight="1" x14ac:dyDescent="0.25">
      <c r="A147" s="2">
        <v>145</v>
      </c>
      <c r="B147" s="7">
        <v>-2.7130454327561893E-3</v>
      </c>
      <c r="C147" s="7">
        <f t="shared" si="32"/>
        <v>1.0244828879494869</v>
      </c>
      <c r="D147" s="7">
        <f t="shared" si="33"/>
        <v>2.4187985726173627E-2</v>
      </c>
      <c r="E147" s="7">
        <f t="shared" si="26"/>
        <v>2.0265541007108756E-2</v>
      </c>
      <c r="F147" s="7">
        <f t="shared" si="27"/>
        <v>0.37037037037037035</v>
      </c>
      <c r="G147" s="7">
        <f t="shared" si="34"/>
        <v>0.35495453404929417</v>
      </c>
      <c r="H147" s="7">
        <f t="shared" si="28"/>
        <v>0.35496296890616075</v>
      </c>
      <c r="I147" s="7">
        <f t="shared" si="29"/>
        <v>0.37367503318924739</v>
      </c>
      <c r="J147" s="7">
        <f t="shared" si="30"/>
        <v>0.35939068047255529</v>
      </c>
      <c r="K147" s="7">
        <f t="shared" si="31"/>
        <v>4.3617177454797302E-4</v>
      </c>
    </row>
    <row r="148" spans="1:11" ht="15" customHeight="1" x14ac:dyDescent="0.25">
      <c r="A148" s="2">
        <v>146</v>
      </c>
      <c r="B148" s="7">
        <v>5.5342297855531797E-3</v>
      </c>
      <c r="C148" s="7">
        <f t="shared" si="32"/>
        <v>1.020472281289456</v>
      </c>
      <c r="D148" s="7">
        <f t="shared" si="33"/>
        <v>2.0265541007108756E-2</v>
      </c>
      <c r="E148" s="7">
        <f t="shared" si="26"/>
        <v>2.4786493742306497E-2</v>
      </c>
      <c r="F148" s="7">
        <f t="shared" si="27"/>
        <v>0.37037037037037035</v>
      </c>
      <c r="G148" s="7">
        <f t="shared" si="34"/>
        <v>0.35496296890616075</v>
      </c>
      <c r="H148" s="7">
        <f t="shared" si="28"/>
        <v>0.35497332326118192</v>
      </c>
      <c r="I148" s="7">
        <f t="shared" si="29"/>
        <v>0.37221536853523246</v>
      </c>
      <c r="J148" s="7">
        <f t="shared" si="30"/>
        <v>0.35798681393967269</v>
      </c>
      <c r="K148" s="7">
        <f t="shared" si="31"/>
        <v>4.3446798257409448E-4</v>
      </c>
    </row>
    <row r="149" spans="1:11" ht="15" customHeight="1" x14ac:dyDescent="0.25">
      <c r="A149" s="2">
        <v>147</v>
      </c>
      <c r="B149" s="7">
        <v>-3.2997832022374496E-3</v>
      </c>
      <c r="C149" s="7">
        <f t="shared" si="32"/>
        <v>1.025096232697881</v>
      </c>
      <c r="D149" s="7">
        <f t="shared" si="33"/>
        <v>2.4786493742306497E-2</v>
      </c>
      <c r="E149" s="7">
        <f t="shared" si="26"/>
        <v>2.0247385852953721E-2</v>
      </c>
      <c r="F149" s="7">
        <f t="shared" si="27"/>
        <v>0.37037037037037035</v>
      </c>
      <c r="G149" s="7">
        <f t="shared" si="34"/>
        <v>0.35497332326118192</v>
      </c>
      <c r="H149" s="7">
        <f t="shared" si="28"/>
        <v>0.3549817364000033</v>
      </c>
      <c r="I149" s="7">
        <f t="shared" si="29"/>
        <v>0.3739058726348109</v>
      </c>
      <c r="J149" s="7">
        <f t="shared" si="30"/>
        <v>0.35961269569447929</v>
      </c>
      <c r="K149" s="7">
        <f t="shared" si="31"/>
        <v>4.3644122163879887E-4</v>
      </c>
    </row>
    <row r="150" spans="1:11" ht="15" customHeight="1" x14ac:dyDescent="0.25">
      <c r="A150" s="2">
        <v>148</v>
      </c>
      <c r="B150" s="7">
        <v>4.6910145101719536E-3</v>
      </c>
      <c r="C150" s="7">
        <f t="shared" si="32"/>
        <v>1.0204537546260559</v>
      </c>
      <c r="D150" s="7">
        <f t="shared" si="33"/>
        <v>2.0247385852953721E-2</v>
      </c>
      <c r="E150" s="7">
        <f t="shared" si="26"/>
        <v>2.3926031070477988E-2</v>
      </c>
      <c r="F150" s="7">
        <f t="shared" si="27"/>
        <v>0.37037037037037035</v>
      </c>
      <c r="G150" s="7">
        <f t="shared" si="34"/>
        <v>0.3549817364000033</v>
      </c>
      <c r="H150" s="7">
        <f t="shared" si="28"/>
        <v>0.35499171033951238</v>
      </c>
      <c r="I150" s="7">
        <f t="shared" si="29"/>
        <v>0.37221569539738208</v>
      </c>
      <c r="J150" s="7">
        <f t="shared" si="30"/>
        <v>0.35798712830697033</v>
      </c>
      <c r="K150" s="7">
        <f t="shared" si="31"/>
        <v>4.3446836410358179E-4</v>
      </c>
    </row>
    <row r="151" spans="1:11" ht="15" customHeight="1" x14ac:dyDescent="0.25">
      <c r="A151" s="2">
        <v>149</v>
      </c>
      <c r="B151" s="7">
        <v>2.6574343792162836E-2</v>
      </c>
      <c r="C151" s="7">
        <f t="shared" si="32"/>
        <v>1.0242145550343706</v>
      </c>
      <c r="D151" s="7">
        <f t="shared" si="33"/>
        <v>2.3926031070477988E-2</v>
      </c>
      <c r="E151" s="7">
        <f t="shared" si="26"/>
        <v>4.9304073309116923E-2</v>
      </c>
      <c r="F151" s="7">
        <f t="shared" si="27"/>
        <v>0.37037037037037035</v>
      </c>
      <c r="G151" s="7">
        <f t="shared" si="34"/>
        <v>0.35499171033951238</v>
      </c>
      <c r="H151" s="7">
        <f t="shared" si="28"/>
        <v>0.35501248816063319</v>
      </c>
      <c r="I151" s="7">
        <f t="shared" si="29"/>
        <v>0.37359124524779025</v>
      </c>
      <c r="J151" s="7">
        <f t="shared" si="30"/>
        <v>0.35931009546520631</v>
      </c>
      <c r="K151" s="7">
        <f t="shared" si="31"/>
        <v>4.3607397316477873E-4</v>
      </c>
    </row>
    <row r="152" spans="1:11" ht="15" customHeight="1" x14ac:dyDescent="0.25">
      <c r="A152" s="2">
        <v>150</v>
      </c>
      <c r="B152" s="7">
        <v>-1.1842757885460742E-3</v>
      </c>
      <c r="C152" s="7">
        <f t="shared" si="32"/>
        <v>1.0505397432742911</v>
      </c>
      <c r="D152" s="7">
        <f t="shared" si="33"/>
        <v>4.9304073309116923E-2</v>
      </c>
      <c r="E152" s="7">
        <f t="shared" si="26"/>
        <v>4.5654593855115E-2</v>
      </c>
      <c r="F152" s="7">
        <f t="shared" si="27"/>
        <v>0.37037037037037035</v>
      </c>
      <c r="G152" s="7">
        <f t="shared" si="34"/>
        <v>0.35501248816063319</v>
      </c>
      <c r="H152" s="7">
        <f t="shared" si="28"/>
        <v>0.35503169641865928</v>
      </c>
      <c r="I152" s="7">
        <f t="shared" si="29"/>
        <v>0.38320166273639045</v>
      </c>
      <c r="J152" s="7">
        <f t="shared" si="30"/>
        <v>0.36855313868212936</v>
      </c>
      <c r="K152" s="7">
        <f t="shared" si="31"/>
        <v>4.4729172248662516E-4</v>
      </c>
    </row>
    <row r="153" spans="1:11" ht="15" customHeight="1" x14ac:dyDescent="0.25">
      <c r="A153" s="2">
        <v>151</v>
      </c>
      <c r="B153" s="7">
        <v>1.7212369129993021E-2</v>
      </c>
      <c r="C153" s="7">
        <f t="shared" si="32"/>
        <v>1.0467128074748684</v>
      </c>
      <c r="D153" s="7">
        <f t="shared" si="33"/>
        <v>4.5654593855115E-2</v>
      </c>
      <c r="E153" s="7">
        <f t="shared" si="26"/>
        <v>6.0584233292352269E-2</v>
      </c>
      <c r="F153" s="7">
        <f t="shared" si="27"/>
        <v>0.37037037037037035</v>
      </c>
      <c r="G153" s="7">
        <f t="shared" si="34"/>
        <v>0.35503169641865928</v>
      </c>
      <c r="H153" s="7">
        <f t="shared" si="28"/>
        <v>0.35505725195794668</v>
      </c>
      <c r="I153" s="7">
        <f t="shared" si="29"/>
        <v>0.38181316163982493</v>
      </c>
      <c r="J153" s="7">
        <f t="shared" si="30"/>
        <v>0.36721771536076753</v>
      </c>
      <c r="K153" s="7">
        <f t="shared" si="31"/>
        <v>4.4567099609748993E-4</v>
      </c>
    </row>
    <row r="154" spans="1:11" ht="15" customHeight="1" x14ac:dyDescent="0.25">
      <c r="A154" s="2">
        <v>152</v>
      </c>
      <c r="B154" s="7">
        <v>-1.5323712432291359E-2</v>
      </c>
      <c r="C154" s="7">
        <f t="shared" si="32"/>
        <v>1.062457088059743</v>
      </c>
      <c r="D154" s="7">
        <f t="shared" si="33"/>
        <v>6.0584233292352269E-2</v>
      </c>
      <c r="E154" s="7">
        <f t="shared" si="26"/>
        <v>4.2231309195443295E-2</v>
      </c>
      <c r="F154" s="7">
        <f t="shared" si="27"/>
        <v>0.37037037037037035</v>
      </c>
      <c r="G154" s="7">
        <f t="shared" si="34"/>
        <v>0.35505725195794668</v>
      </c>
      <c r="H154" s="7">
        <f t="shared" si="28"/>
        <v>0.35507496962510271</v>
      </c>
      <c r="I154" s="7">
        <f t="shared" si="29"/>
        <v>0.38756630156410443</v>
      </c>
      <c r="J154" s="7">
        <f t="shared" si="30"/>
        <v>0.37275093189544967</v>
      </c>
      <c r="K154" s="7">
        <f t="shared" si="31"/>
        <v>4.5238634239338474E-4</v>
      </c>
    </row>
    <row r="155" spans="1:11" ht="15" customHeight="1" x14ac:dyDescent="0.25">
      <c r="A155" s="2">
        <v>153</v>
      </c>
      <c r="B155" s="7">
        <v>4.1036400943994522E-3</v>
      </c>
      <c r="C155" s="7">
        <f t="shared" si="32"/>
        <v>1.0431357377352104</v>
      </c>
      <c r="D155" s="7">
        <f t="shared" si="33"/>
        <v>4.2231309195443295E-2</v>
      </c>
      <c r="E155" s="7">
        <f t="shared" si="26"/>
        <v>4.422338383007058E-2</v>
      </c>
      <c r="F155" s="7">
        <f t="shared" si="27"/>
        <v>0.37037037037037035</v>
      </c>
      <c r="G155" s="7">
        <f t="shared" si="34"/>
        <v>0.35507496962510271</v>
      </c>
      <c r="H155" s="7">
        <f t="shared" si="28"/>
        <v>0.3550935234145457</v>
      </c>
      <c r="I155" s="7">
        <f t="shared" si="29"/>
        <v>0.38052503674794036</v>
      </c>
      <c r="J155" s="7">
        <f t="shared" si="30"/>
        <v>0.36597883119589059</v>
      </c>
      <c r="K155" s="7">
        <f t="shared" si="31"/>
        <v>4.4416743372368759E-4</v>
      </c>
    </row>
    <row r="156" spans="1:11" ht="15" customHeight="1" x14ac:dyDescent="0.25">
      <c r="A156" s="2">
        <v>154</v>
      </c>
      <c r="B156" s="7">
        <v>-4.5386968849925324E-3</v>
      </c>
      <c r="C156" s="7">
        <f t="shared" si="32"/>
        <v>1.0452158131236615</v>
      </c>
      <c r="D156" s="7">
        <f t="shared" si="33"/>
        <v>4.422338383007058E-2</v>
      </c>
      <c r="E156" s="7">
        <f t="shared" si="26"/>
        <v>3.7473517753574513E-2</v>
      </c>
      <c r="F156" s="7">
        <f t="shared" si="27"/>
        <v>0.37037037037037035</v>
      </c>
      <c r="G156" s="7">
        <f t="shared" si="34"/>
        <v>0.3550935234145457</v>
      </c>
      <c r="H156" s="7">
        <f t="shared" si="28"/>
        <v>0.35510918758405663</v>
      </c>
      <c r="I156" s="7">
        <f t="shared" si="29"/>
        <v>0.38129099881621353</v>
      </c>
      <c r="J156" s="7">
        <f t="shared" si="30"/>
        <v>0.36671551308384925</v>
      </c>
      <c r="K156" s="7">
        <f t="shared" si="31"/>
        <v>4.4506150211167631E-4</v>
      </c>
    </row>
    <row r="157" spans="1:11" ht="15" customHeight="1" x14ac:dyDescent="0.25">
      <c r="A157" s="2">
        <v>155</v>
      </c>
      <c r="B157" s="7">
        <v>1.1925658327527344E-2</v>
      </c>
      <c r="C157" s="7">
        <f t="shared" si="32"/>
        <v>1.0381845032599271</v>
      </c>
      <c r="D157" s="7">
        <f t="shared" si="33"/>
        <v>3.7473517753574513E-2</v>
      </c>
      <c r="E157" s="7">
        <f t="shared" si="26"/>
        <v>4.752550019342313E-2</v>
      </c>
      <c r="F157" s="7">
        <f t="shared" si="27"/>
        <v>0.37037037037037035</v>
      </c>
      <c r="G157" s="7">
        <f t="shared" si="34"/>
        <v>0.35510918758405663</v>
      </c>
      <c r="H157" s="7">
        <f t="shared" si="28"/>
        <v>0.35512912408990716</v>
      </c>
      <c r="I157" s="7">
        <f t="shared" si="29"/>
        <v>0.37873201638312842</v>
      </c>
      <c r="J157" s="7">
        <f t="shared" si="30"/>
        <v>0.36425435203143819</v>
      </c>
      <c r="K157" s="7">
        <f t="shared" si="31"/>
        <v>4.4207453266030663E-4</v>
      </c>
    </row>
    <row r="158" spans="1:11" ht="15" customHeight="1" x14ac:dyDescent="0.25">
      <c r="A158" s="2">
        <v>156</v>
      </c>
      <c r="B158" s="7">
        <v>-5.9291323850629851E-3</v>
      </c>
      <c r="C158" s="7">
        <f t="shared" si="32"/>
        <v>1.0486729421431953</v>
      </c>
      <c r="D158" s="7">
        <f t="shared" si="33"/>
        <v>4.752550019342313E-2</v>
      </c>
      <c r="E158" s="7">
        <f t="shared" si="26"/>
        <v>3.9220092798688988E-2</v>
      </c>
      <c r="F158" s="7">
        <f t="shared" si="27"/>
        <v>0.37037037037037035</v>
      </c>
      <c r="G158" s="7">
        <f t="shared" si="34"/>
        <v>0.35512912408990716</v>
      </c>
      <c r="H158" s="7">
        <f t="shared" si="28"/>
        <v>0.35514550683112461</v>
      </c>
      <c r="I158" s="7">
        <f t="shared" si="29"/>
        <v>0.38256595399880322</v>
      </c>
      <c r="J158" s="7">
        <f t="shared" si="30"/>
        <v>0.3679417309735814</v>
      </c>
      <c r="K158" s="7">
        <f t="shared" si="31"/>
        <v>4.4654969215668166E-4</v>
      </c>
    </row>
    <row r="159" spans="1:11" ht="15" customHeight="1" x14ac:dyDescent="0.25">
      <c r="A159" s="2">
        <v>157</v>
      </c>
      <c r="B159" s="7">
        <v>-9.0196181190549396E-3</v>
      </c>
      <c r="C159" s="7">
        <f t="shared" si="32"/>
        <v>1.0399993548314241</v>
      </c>
      <c r="D159" s="7">
        <f t="shared" si="33"/>
        <v>3.9220092798688988E-2</v>
      </c>
      <c r="E159" s="7">
        <f t="shared" si="26"/>
        <v>2.82394700396996E-2</v>
      </c>
      <c r="F159" s="7">
        <f t="shared" si="27"/>
        <v>0.37037037037037035</v>
      </c>
      <c r="G159" s="7">
        <f t="shared" si="34"/>
        <v>0.35514550683112461</v>
      </c>
      <c r="H159" s="7">
        <f t="shared" si="28"/>
        <v>0.35515719789780681</v>
      </c>
      <c r="I159" s="7">
        <f t="shared" si="29"/>
        <v>0.37940804690218843</v>
      </c>
      <c r="J159" s="7">
        <f t="shared" si="30"/>
        <v>0.36490454015396695</v>
      </c>
      <c r="K159" s="7">
        <f t="shared" si="31"/>
        <v>4.4286362854565486E-4</v>
      </c>
    </row>
    <row r="160" spans="1:11" ht="15" customHeight="1" x14ac:dyDescent="0.25">
      <c r="A160" s="2">
        <v>158</v>
      </c>
      <c r="B160" s="7">
        <v>9.3864855443825945E-3</v>
      </c>
      <c r="C160" s="7">
        <f t="shared" si="32"/>
        <v>1.0286419838662921</v>
      </c>
      <c r="D160" s="7">
        <f t="shared" si="33"/>
        <v>2.82394700396996E-2</v>
      </c>
      <c r="E160" s="7">
        <f t="shared" si="26"/>
        <v>3.621398208209721E-2</v>
      </c>
      <c r="F160" s="7">
        <f t="shared" si="27"/>
        <v>0.37037037037037035</v>
      </c>
      <c r="G160" s="7">
        <f t="shared" si="34"/>
        <v>0.35515719789780681</v>
      </c>
      <c r="H160" s="7">
        <f t="shared" si="28"/>
        <v>0.35517227914464411</v>
      </c>
      <c r="I160" s="7">
        <f t="shared" si="29"/>
        <v>0.37526914732993061</v>
      </c>
      <c r="J160" s="7">
        <f t="shared" si="30"/>
        <v>0.36092385693575479</v>
      </c>
      <c r="K160" s="7">
        <f t="shared" si="31"/>
        <v>4.3803250253838621E-4</v>
      </c>
    </row>
    <row r="161" spans="1:11" ht="15" customHeight="1" x14ac:dyDescent="0.25">
      <c r="A161" s="2">
        <v>159</v>
      </c>
      <c r="B161" s="7">
        <v>-1.4814418136666063E-3</v>
      </c>
      <c r="C161" s="7">
        <f t="shared" si="32"/>
        <v>1.0368776960024377</v>
      </c>
      <c r="D161" s="7">
        <f t="shared" si="33"/>
        <v>3.621398208209721E-2</v>
      </c>
      <c r="E161" s="7">
        <f t="shared" si="26"/>
        <v>3.2921841164325741E-2</v>
      </c>
      <c r="F161" s="7">
        <f t="shared" si="27"/>
        <v>0.37037037037037035</v>
      </c>
      <c r="G161" s="7">
        <f t="shared" si="34"/>
        <v>0.35517227914464411</v>
      </c>
      <c r="H161" s="7">
        <f t="shared" si="28"/>
        <v>0.35518594625935385</v>
      </c>
      <c r="I161" s="7">
        <f t="shared" si="29"/>
        <v>0.37827948221120655</v>
      </c>
      <c r="J161" s="7">
        <f t="shared" si="30"/>
        <v>0.36381911673461892</v>
      </c>
      <c r="K161" s="7">
        <f t="shared" si="31"/>
        <v>4.415463126421638E-4</v>
      </c>
    </row>
    <row r="162" spans="1:11" ht="15" customHeight="1" x14ac:dyDescent="0.25">
      <c r="A162" s="2">
        <v>160</v>
      </c>
      <c r="B162" s="7">
        <v>1.7962292986339889E-3</v>
      </c>
      <c r="C162" s="7">
        <f t="shared" si="32"/>
        <v>1.0334697612913442</v>
      </c>
      <c r="D162" s="7">
        <f t="shared" si="33"/>
        <v>3.2921841164325741E-2</v>
      </c>
      <c r="E162" s="7">
        <f t="shared" si="26"/>
        <v>3.3071978404743442E-2</v>
      </c>
      <c r="F162" s="7">
        <f t="shared" si="27"/>
        <v>0.37037037037037035</v>
      </c>
      <c r="G162" s="7">
        <f t="shared" si="34"/>
        <v>0.35518594625935385</v>
      </c>
      <c r="H162" s="7">
        <f t="shared" ref="H162:H193" si="35">G163</f>
        <v>0.35519966739745934</v>
      </c>
      <c r="I162" s="7">
        <f t="shared" si="29"/>
        <v>0.37704140350968335</v>
      </c>
      <c r="J162" s="7">
        <f t="shared" si="30"/>
        <v>0.36262836566082784</v>
      </c>
      <c r="K162" s="7">
        <f t="shared" si="31"/>
        <v>4.4010116662942514E-4</v>
      </c>
    </row>
    <row r="163" spans="1:11" ht="15" customHeight="1" x14ac:dyDescent="0.25">
      <c r="A163" s="2">
        <v>161</v>
      </c>
      <c r="B163" s="7">
        <v>1.6018202586565167E-2</v>
      </c>
      <c r="C163" s="7">
        <f t="shared" ref="C163:C194" si="36">EXP(D163)</f>
        <v>1.0336249352377622</v>
      </c>
      <c r="D163" s="7">
        <f t="shared" ref="D163:D194" si="37">E162</f>
        <v>3.3071978404743442E-2</v>
      </c>
      <c r="E163" s="7">
        <f t="shared" si="26"/>
        <v>4.7436582071071438E-2</v>
      </c>
      <c r="F163" s="7">
        <f t="shared" si="27"/>
        <v>0.37037037037037035</v>
      </c>
      <c r="G163" s="7">
        <f t="shared" ref="G163:G194" si="38">(($C163*$G162^$N$1*$F163^(1-$N$1)*(($N$2*$N$1*$N$4)/(1-$N$2*(1-$N$1))))^$N$4)*($N$5*$G162^(1-$N$4))</f>
        <v>0.35519966739745934</v>
      </c>
      <c r="H163" s="7">
        <f t="shared" si="35"/>
        <v>0.3552195015792321</v>
      </c>
      <c r="I163" s="7">
        <f t="shared" si="29"/>
        <v>0.37710325999365407</v>
      </c>
      <c r="J163" s="7">
        <f t="shared" si="30"/>
        <v>0.36268785757730981</v>
      </c>
      <c r="K163" s="7">
        <f t="shared" si="31"/>
        <v>4.4017336854281104E-4</v>
      </c>
    </row>
    <row r="164" spans="1:11" ht="15" customHeight="1" x14ac:dyDescent="0.25">
      <c r="A164" s="2">
        <v>162</v>
      </c>
      <c r="B164" s="7">
        <v>1.7125512385973707E-2</v>
      </c>
      <c r="C164" s="7">
        <f t="shared" si="36"/>
        <v>1.048579700259727</v>
      </c>
      <c r="D164" s="7">
        <f t="shared" si="37"/>
        <v>4.7436582071071438E-2</v>
      </c>
      <c r="E164" s="7">
        <f t="shared" si="26"/>
        <v>6.2190265353491571E-2</v>
      </c>
      <c r="F164" s="7">
        <f t="shared" si="27"/>
        <v>0.37037037037037035</v>
      </c>
      <c r="G164" s="7">
        <f t="shared" si="38"/>
        <v>0.3552195015792321</v>
      </c>
      <c r="H164" s="7">
        <f t="shared" si="35"/>
        <v>0.35524561099641261</v>
      </c>
      <c r="I164" s="7">
        <f t="shared" si="29"/>
        <v>0.38256698207333167</v>
      </c>
      <c r="J164" s="7">
        <f t="shared" si="30"/>
        <v>0.36794271974824266</v>
      </c>
      <c r="K164" s="7">
        <f t="shared" si="31"/>
        <v>4.4655089217555261E-4</v>
      </c>
    </row>
    <row r="165" spans="1:11" ht="15" customHeight="1" x14ac:dyDescent="0.25">
      <c r="A165" s="2">
        <v>163</v>
      </c>
      <c r="B165" s="7">
        <v>6.4583218772895634E-3</v>
      </c>
      <c r="C165" s="7">
        <f t="shared" si="36"/>
        <v>1.0641647991590764</v>
      </c>
      <c r="D165" s="7">
        <f t="shared" si="37"/>
        <v>6.2190265353491571E-2</v>
      </c>
      <c r="E165" s="7">
        <f t="shared" si="26"/>
        <v>6.5539073963106556E-2</v>
      </c>
      <c r="F165" s="7">
        <f t="shared" si="27"/>
        <v>0.37037037037037035</v>
      </c>
      <c r="G165" s="7">
        <f t="shared" si="38"/>
        <v>0.35524561099641261</v>
      </c>
      <c r="H165" s="7">
        <f t="shared" si="35"/>
        <v>0.35527312996564131</v>
      </c>
      <c r="I165" s="7">
        <f t="shared" si="29"/>
        <v>0.38826336982962639</v>
      </c>
      <c r="J165" s="7">
        <f t="shared" si="30"/>
        <v>0.3734213535614187</v>
      </c>
      <c r="K165" s="7">
        <f t="shared" si="31"/>
        <v>4.531999945653237E-4</v>
      </c>
    </row>
    <row r="166" spans="1:11" ht="15" customHeight="1" x14ac:dyDescent="0.25">
      <c r="A166" s="2">
        <v>164</v>
      </c>
      <c r="B166" s="7">
        <v>7.7227014116942883E-3</v>
      </c>
      <c r="C166" s="7">
        <f t="shared" si="36"/>
        <v>1.0677344571151985</v>
      </c>
      <c r="D166" s="7">
        <f t="shared" si="37"/>
        <v>6.5539073963106556E-2</v>
      </c>
      <c r="E166" s="7">
        <f t="shared" si="26"/>
        <v>6.998482167664552E-2</v>
      </c>
      <c r="F166" s="7">
        <f t="shared" si="27"/>
        <v>0.37037037037037035</v>
      </c>
      <c r="G166" s="7">
        <f t="shared" si="38"/>
        <v>0.35527312996564131</v>
      </c>
      <c r="H166" s="7">
        <f t="shared" si="35"/>
        <v>0.35530252542700502</v>
      </c>
      <c r="I166" s="7">
        <f t="shared" si="29"/>
        <v>0.38957663272607401</v>
      </c>
      <c r="J166" s="7">
        <f t="shared" si="30"/>
        <v>0.3746844147886178</v>
      </c>
      <c r="K166" s="7">
        <f t="shared" si="31"/>
        <v>4.5473289924750909E-4</v>
      </c>
    </row>
    <row r="167" spans="1:11" ht="15" customHeight="1" x14ac:dyDescent="0.25">
      <c r="A167" s="2">
        <v>165</v>
      </c>
      <c r="B167" s="7">
        <v>-1.2282043826417066E-3</v>
      </c>
      <c r="C167" s="7">
        <f t="shared" si="36"/>
        <v>1.0724919025017834</v>
      </c>
      <c r="D167" s="7">
        <f t="shared" si="37"/>
        <v>6.998482167664552E-2</v>
      </c>
      <c r="E167" s="7">
        <f t="shared" si="26"/>
        <v>6.5257376210171539E-2</v>
      </c>
      <c r="F167" s="7">
        <f t="shared" si="27"/>
        <v>0.37037037037037035</v>
      </c>
      <c r="G167" s="7">
        <f t="shared" si="38"/>
        <v>0.35530252542700502</v>
      </c>
      <c r="H167" s="7">
        <f t="shared" si="35"/>
        <v>0.35532988497314477</v>
      </c>
      <c r="I167" s="7">
        <f t="shared" si="29"/>
        <v>0.39132410333417184</v>
      </c>
      <c r="J167" s="7">
        <f t="shared" si="30"/>
        <v>0.37636508541193986</v>
      </c>
      <c r="K167" s="7">
        <f t="shared" si="31"/>
        <v>4.5677263240709223E-4</v>
      </c>
    </row>
    <row r="168" spans="1:11" ht="15" customHeight="1" x14ac:dyDescent="0.25">
      <c r="A168" s="2">
        <v>166</v>
      </c>
      <c r="B168" s="7">
        <v>4.6304762690851931E-3</v>
      </c>
      <c r="C168" s="7">
        <f t="shared" si="36"/>
        <v>1.0674337210782197</v>
      </c>
      <c r="D168" s="7">
        <f t="shared" si="37"/>
        <v>6.5257376210171539E-2</v>
      </c>
      <c r="E168" s="7">
        <f t="shared" si="26"/>
        <v>6.6624983668748153E-2</v>
      </c>
      <c r="F168" s="7">
        <f t="shared" si="27"/>
        <v>0.37037037037037035</v>
      </c>
      <c r="G168" s="7">
        <f t="shared" si="38"/>
        <v>0.35532988497314477</v>
      </c>
      <c r="H168" s="7">
        <f t="shared" si="35"/>
        <v>0.35535780879901741</v>
      </c>
      <c r="I168" s="7">
        <f t="shared" si="29"/>
        <v>0.38948930246589608</v>
      </c>
      <c r="J168" s="7">
        <f t="shared" si="30"/>
        <v>0.3746004228736019</v>
      </c>
      <c r="K168" s="7">
        <f t="shared" si="31"/>
        <v>4.5463096309665508E-4</v>
      </c>
    </row>
    <row r="169" spans="1:11" ht="15" customHeight="1" x14ac:dyDescent="0.25">
      <c r="A169" s="2">
        <v>167</v>
      </c>
      <c r="B169" s="7">
        <v>1.6894773580133915E-2</v>
      </c>
      <c r="C169" s="7">
        <f t="shared" si="36"/>
        <v>1.0688945500893396</v>
      </c>
      <c r="D169" s="7">
        <f t="shared" si="37"/>
        <v>6.6624983668748153E-2</v>
      </c>
      <c r="E169" s="7">
        <f t="shared" si="26"/>
        <v>8.0188508065444655E-2</v>
      </c>
      <c r="F169" s="7">
        <f t="shared" si="27"/>
        <v>0.37037037037037035</v>
      </c>
      <c r="G169" s="7">
        <f t="shared" si="38"/>
        <v>0.35535780879901741</v>
      </c>
      <c r="H169" s="7">
        <f t="shared" si="35"/>
        <v>0.35539149775770212</v>
      </c>
      <c r="I169" s="7">
        <f t="shared" si="29"/>
        <v>0.39003336912583542</v>
      </c>
      <c r="J169" s="7">
        <f t="shared" si="30"/>
        <v>0.37512369167609372</v>
      </c>
      <c r="K169" s="7">
        <f t="shared" si="31"/>
        <v>4.5526602431151007E-4</v>
      </c>
    </row>
    <row r="170" spans="1:11" ht="15" customHeight="1" x14ac:dyDescent="0.25">
      <c r="A170" s="2">
        <v>168</v>
      </c>
      <c r="B170" s="7">
        <v>5.6954377214424312E-3</v>
      </c>
      <c r="C170" s="7">
        <f t="shared" si="36"/>
        <v>1.0834912952730771</v>
      </c>
      <c r="D170" s="7">
        <f t="shared" si="37"/>
        <v>8.0188508065444655E-2</v>
      </c>
      <c r="E170" s="7">
        <f t="shared" si="26"/>
        <v>8.1874520383614854E-2</v>
      </c>
      <c r="F170" s="7">
        <f t="shared" si="27"/>
        <v>0.37037037037037035</v>
      </c>
      <c r="G170" s="7">
        <f t="shared" si="38"/>
        <v>0.35539149775770212</v>
      </c>
      <c r="H170" s="7">
        <f t="shared" si="35"/>
        <v>0.35542588313557311</v>
      </c>
      <c r="I170" s="7">
        <f t="shared" si="29"/>
        <v>0.3953731289040206</v>
      </c>
      <c r="J170" s="7">
        <f t="shared" si="30"/>
        <v>0.38025933021170344</v>
      </c>
      <c r="K170" s="7">
        <f t="shared" si="31"/>
        <v>4.6149885308316462E-4</v>
      </c>
    </row>
    <row r="171" spans="1:11" ht="15" customHeight="1" x14ac:dyDescent="0.25">
      <c r="A171" s="2">
        <v>169</v>
      </c>
      <c r="B171" s="7">
        <v>7.616949915245641E-3</v>
      </c>
      <c r="C171" s="7">
        <f t="shared" si="36"/>
        <v>1.0853196157958949</v>
      </c>
      <c r="D171" s="7">
        <f t="shared" si="37"/>
        <v>8.1874520383614854E-2</v>
      </c>
      <c r="E171" s="7">
        <f t="shared" si="26"/>
        <v>8.5397744279679749E-2</v>
      </c>
      <c r="F171" s="7">
        <f t="shared" si="27"/>
        <v>0.37037037037037035</v>
      </c>
      <c r="G171" s="7">
        <f t="shared" si="38"/>
        <v>0.35542588313557311</v>
      </c>
      <c r="H171" s="7">
        <f t="shared" si="35"/>
        <v>0.35546174827096239</v>
      </c>
      <c r="I171" s="7">
        <f t="shared" si="29"/>
        <v>0.39605408929488894</v>
      </c>
      <c r="J171" s="7">
        <f t="shared" si="30"/>
        <v>0.38091425975345072</v>
      </c>
      <c r="K171" s="7">
        <f t="shared" si="31"/>
        <v>4.6229370335599916E-4</v>
      </c>
    </row>
    <row r="172" spans="1:11" ht="15" customHeight="1" x14ac:dyDescent="0.25">
      <c r="A172" s="2">
        <v>170</v>
      </c>
      <c r="B172" s="7">
        <v>5.8427076510270126E-3</v>
      </c>
      <c r="C172" s="7">
        <f t="shared" si="36"/>
        <v>1.0891501838130853</v>
      </c>
      <c r="D172" s="7">
        <f t="shared" si="37"/>
        <v>8.5397744279679749E-2</v>
      </c>
      <c r="E172" s="7">
        <f t="shared" si="26"/>
        <v>8.6970564716722765E-2</v>
      </c>
      <c r="F172" s="7">
        <f t="shared" si="27"/>
        <v>0.37037037037037035</v>
      </c>
      <c r="G172" s="7">
        <f t="shared" si="38"/>
        <v>0.35546174827096239</v>
      </c>
      <c r="H172" s="7">
        <f t="shared" si="35"/>
        <v>0.35549826043810251</v>
      </c>
      <c r="I172" s="7">
        <f t="shared" si="29"/>
        <v>0.39746637519698175</v>
      </c>
      <c r="J172" s="7">
        <f t="shared" si="30"/>
        <v>0.38227255866639381</v>
      </c>
      <c r="K172" s="7">
        <f t="shared" si="31"/>
        <v>4.6394219253342015E-4</v>
      </c>
    </row>
    <row r="173" spans="1:11" ht="15" customHeight="1" x14ac:dyDescent="0.25">
      <c r="A173" s="2">
        <v>171</v>
      </c>
      <c r="B173" s="7">
        <v>5.4455995268654078E-4</v>
      </c>
      <c r="C173" s="7">
        <f t="shared" si="36"/>
        <v>1.0908645693380754</v>
      </c>
      <c r="D173" s="7">
        <f t="shared" si="37"/>
        <v>8.6970564716722765E-2</v>
      </c>
      <c r="E173" s="7">
        <f t="shared" si="26"/>
        <v>8.3166596433573159E-2</v>
      </c>
      <c r="F173" s="7">
        <f t="shared" si="27"/>
        <v>0.37037037037037035</v>
      </c>
      <c r="G173" s="7">
        <f t="shared" si="38"/>
        <v>0.35549826043810251</v>
      </c>
      <c r="H173" s="7">
        <f t="shared" si="35"/>
        <v>0.35553312538223653</v>
      </c>
      <c r="I173" s="7">
        <f t="shared" si="29"/>
        <v>0.39810673060383345</v>
      </c>
      <c r="J173" s="7">
        <f t="shared" si="30"/>
        <v>0.38288843541750706</v>
      </c>
      <c r="K173" s="7">
        <f t="shared" si="31"/>
        <v>4.6468964668298983E-4</v>
      </c>
    </row>
    <row r="174" spans="1:11" ht="15" customHeight="1" x14ac:dyDescent="0.25">
      <c r="A174" s="2">
        <v>172</v>
      </c>
      <c r="B174" s="7">
        <v>4.5734964260191191E-3</v>
      </c>
      <c r="C174" s="7">
        <f t="shared" si="36"/>
        <v>1.0867228376174503</v>
      </c>
      <c r="D174" s="7">
        <f t="shared" si="37"/>
        <v>8.3166596433573159E-2</v>
      </c>
      <c r="E174" s="7">
        <f t="shared" si="26"/>
        <v>8.358176303791362E-2</v>
      </c>
      <c r="F174" s="7">
        <f t="shared" si="27"/>
        <v>0.37037037037037035</v>
      </c>
      <c r="G174" s="7">
        <f t="shared" si="38"/>
        <v>0.35553312538223653</v>
      </c>
      <c r="H174" s="7">
        <f t="shared" si="35"/>
        <v>0.35556814410945969</v>
      </c>
      <c r="I174" s="7">
        <f t="shared" si="29"/>
        <v>0.39660922384360325</v>
      </c>
      <c r="J174" s="7">
        <f t="shared" si="30"/>
        <v>0.38144817335616987</v>
      </c>
      <c r="K174" s="7">
        <f t="shared" si="31"/>
        <v>4.6294168355194386E-4</v>
      </c>
    </row>
    <row r="175" spans="1:11" ht="15" customHeight="1" x14ac:dyDescent="0.25">
      <c r="A175" s="2">
        <v>173</v>
      </c>
      <c r="B175" s="7">
        <v>4.509047357714735E-3</v>
      </c>
      <c r="C175" s="7">
        <f t="shared" si="36"/>
        <v>1.0871741023163377</v>
      </c>
      <c r="D175" s="7">
        <f t="shared" si="37"/>
        <v>8.358176303791362E-2</v>
      </c>
      <c r="E175" s="7">
        <f t="shared" si="26"/>
        <v>8.3911722243732667E-2</v>
      </c>
      <c r="F175" s="7">
        <f t="shared" si="27"/>
        <v>0.37037037037037035</v>
      </c>
      <c r="G175" s="7">
        <f t="shared" si="38"/>
        <v>0.35556814410945969</v>
      </c>
      <c r="H175" s="7">
        <f t="shared" si="35"/>
        <v>0.35560328018900911</v>
      </c>
      <c r="I175" s="7">
        <f t="shared" si="29"/>
        <v>0.39678798557665124</v>
      </c>
      <c r="J175" s="7">
        <f t="shared" si="30"/>
        <v>0.38162010162318372</v>
      </c>
      <c r="K175" s="7">
        <f t="shared" si="31"/>
        <v>4.6315034298968939E-4</v>
      </c>
    </row>
    <row r="176" spans="1:11" ht="15" customHeight="1" x14ac:dyDescent="0.25">
      <c r="A176" s="2">
        <v>174</v>
      </c>
      <c r="B176" s="7">
        <v>-2.8434442356228828E-3</v>
      </c>
      <c r="C176" s="7">
        <f t="shared" si="36"/>
        <v>1.0875328846082299</v>
      </c>
      <c r="D176" s="7">
        <f t="shared" si="37"/>
        <v>8.3911722243732667E-2</v>
      </c>
      <c r="E176" s="7">
        <f t="shared" si="26"/>
        <v>7.6872691895923148E-2</v>
      </c>
      <c r="F176" s="7">
        <f t="shared" si="27"/>
        <v>0.37037037037037035</v>
      </c>
      <c r="G176" s="7">
        <f t="shared" si="38"/>
        <v>0.35560328018900911</v>
      </c>
      <c r="H176" s="7">
        <f t="shared" si="35"/>
        <v>0.35563538874544265</v>
      </c>
      <c r="I176" s="7">
        <f t="shared" si="29"/>
        <v>0.39693305058332307</v>
      </c>
      <c r="J176" s="7">
        <f t="shared" si="30"/>
        <v>0.38175962127750895</v>
      </c>
      <c r="K176" s="7">
        <f t="shared" si="31"/>
        <v>4.6331966996035918E-4</v>
      </c>
    </row>
    <row r="177" spans="1:11" ht="15" customHeight="1" x14ac:dyDescent="0.25">
      <c r="A177" s="2">
        <v>175</v>
      </c>
      <c r="B177" s="7">
        <v>-3.8403982216550503E-3</v>
      </c>
      <c r="C177" s="7">
        <f t="shared" si="36"/>
        <v>1.079904587035472</v>
      </c>
      <c r="D177" s="7">
        <f t="shared" si="37"/>
        <v>7.6872691895923148E-2</v>
      </c>
      <c r="E177" s="7">
        <f t="shared" si="26"/>
        <v>6.9188659079471942E-2</v>
      </c>
      <c r="F177" s="7">
        <f t="shared" si="27"/>
        <v>0.37037037037037035</v>
      </c>
      <c r="G177" s="7">
        <f t="shared" si="38"/>
        <v>0.35563538874544265</v>
      </c>
      <c r="H177" s="7">
        <f t="shared" si="35"/>
        <v>0.35566419600080551</v>
      </c>
      <c r="I177" s="7">
        <f t="shared" si="29"/>
        <v>0.39416164902555623</v>
      </c>
      <c r="J177" s="7">
        <f t="shared" si="30"/>
        <v>0.37909416117650163</v>
      </c>
      <c r="K177" s="7">
        <f t="shared" si="31"/>
        <v>4.6008475451760338E-4</v>
      </c>
    </row>
    <row r="178" spans="1:11" ht="15" customHeight="1" x14ac:dyDescent="0.25">
      <c r="A178" s="2">
        <v>176</v>
      </c>
      <c r="B178" s="7">
        <v>1.893049557111226E-2</v>
      </c>
      <c r="C178" s="7">
        <f t="shared" si="36"/>
        <v>1.071638364385888</v>
      </c>
      <c r="D178" s="7">
        <f t="shared" si="37"/>
        <v>6.9188659079471942E-2</v>
      </c>
      <c r="E178" s="7">
        <f t="shared" si="26"/>
        <v>8.4659721696610596E-2</v>
      </c>
      <c r="F178" s="7">
        <f t="shared" si="27"/>
        <v>0.37037037037037035</v>
      </c>
      <c r="G178" s="7">
        <f t="shared" si="38"/>
        <v>0.35566419600080551</v>
      </c>
      <c r="H178" s="7">
        <f t="shared" si="35"/>
        <v>0.35569958706236254</v>
      </c>
      <c r="I178" s="7">
        <f t="shared" si="29"/>
        <v>0.39115591053319793</v>
      </c>
      <c r="J178" s="7">
        <f t="shared" si="30"/>
        <v>0.37620332206190626</v>
      </c>
      <c r="K178" s="7">
        <f t="shared" si="31"/>
        <v>4.5657630954377206E-4</v>
      </c>
    </row>
    <row r="179" spans="1:11" ht="15" customHeight="1" x14ac:dyDescent="0.25">
      <c r="A179" s="2">
        <v>177</v>
      </c>
      <c r="B179" s="7">
        <v>3.1049125936988275E-3</v>
      </c>
      <c r="C179" s="7">
        <f t="shared" si="36"/>
        <v>1.0883466629258292</v>
      </c>
      <c r="D179" s="7">
        <f t="shared" si="37"/>
        <v>8.4659721696610596E-2</v>
      </c>
      <c r="E179" s="7">
        <f t="shared" si="26"/>
        <v>8.3531648205478884E-2</v>
      </c>
      <c r="F179" s="7">
        <f t="shared" si="27"/>
        <v>0.37037037037037035</v>
      </c>
      <c r="G179" s="7">
        <f t="shared" si="38"/>
        <v>0.35569958706236254</v>
      </c>
      <c r="H179" s="7">
        <f t="shared" si="35"/>
        <v>0.3557344729073047</v>
      </c>
      <c r="I179" s="7">
        <f t="shared" si="29"/>
        <v>0.39726879298959183</v>
      </c>
      <c r="J179" s="7">
        <f t="shared" si="30"/>
        <v>0.38208252936912696</v>
      </c>
      <c r="K179" s="7">
        <f t="shared" si="31"/>
        <v>4.6371156491754537E-4</v>
      </c>
    </row>
    <row r="180" spans="1:11" ht="15" customHeight="1" x14ac:dyDescent="0.25">
      <c r="A180" s="2">
        <v>178</v>
      </c>
      <c r="B180" s="7">
        <v>7.0934902396402322E-4</v>
      </c>
      <c r="C180" s="7">
        <f t="shared" si="36"/>
        <v>1.0871196201335669</v>
      </c>
      <c r="D180" s="7">
        <f t="shared" si="37"/>
        <v>8.3531648205478884E-2</v>
      </c>
      <c r="E180" s="7">
        <f t="shared" si="26"/>
        <v>8.0064414819168955E-2</v>
      </c>
      <c r="F180" s="7">
        <f t="shared" si="27"/>
        <v>0.37037037037037035</v>
      </c>
      <c r="G180" s="7">
        <f t="shared" si="38"/>
        <v>0.3557344729073047</v>
      </c>
      <c r="H180" s="7">
        <f t="shared" si="35"/>
        <v>0.35576785513816461</v>
      </c>
      <c r="I180" s="7">
        <f t="shared" si="29"/>
        <v>0.39683490763238777</v>
      </c>
      <c r="J180" s="7">
        <f t="shared" si="30"/>
        <v>0.38166523000491259</v>
      </c>
      <c r="K180" s="7">
        <f t="shared" si="31"/>
        <v>4.6320511270802288E-4</v>
      </c>
    </row>
    <row r="181" spans="1:11" ht="15" customHeight="1" x14ac:dyDescent="0.25">
      <c r="A181" s="2">
        <v>179</v>
      </c>
      <c r="B181" s="7">
        <v>1.0603343980619684E-3</v>
      </c>
      <c r="C181" s="7">
        <f t="shared" si="36"/>
        <v>1.0833568496630039</v>
      </c>
      <c r="D181" s="7">
        <f t="shared" si="37"/>
        <v>8.0064414819168955E-2</v>
      </c>
      <c r="E181" s="7">
        <f t="shared" si="26"/>
        <v>7.7121528476272475E-2</v>
      </c>
      <c r="F181" s="7">
        <f t="shared" si="27"/>
        <v>0.37037037037037035</v>
      </c>
      <c r="G181" s="7">
        <f t="shared" si="38"/>
        <v>0.35576785513816461</v>
      </c>
      <c r="H181" s="7">
        <f t="shared" si="35"/>
        <v>0.35579995836363748</v>
      </c>
      <c r="I181" s="7">
        <f t="shared" si="29"/>
        <v>0.39547473023018026</v>
      </c>
      <c r="J181" s="7">
        <f t="shared" si="30"/>
        <v>0.38035704765735079</v>
      </c>
      <c r="K181" s="7">
        <f t="shared" si="31"/>
        <v>4.6161744712020603E-4</v>
      </c>
    </row>
    <row r="182" spans="1:11" ht="15" customHeight="1" x14ac:dyDescent="0.25">
      <c r="A182" s="2">
        <v>180</v>
      </c>
      <c r="B182" s="7">
        <v>1.1042652658943553E-2</v>
      </c>
      <c r="C182" s="7">
        <f t="shared" si="36"/>
        <v>1.0801733402364404</v>
      </c>
      <c r="D182" s="7">
        <f t="shared" si="37"/>
        <v>7.7121528476272475E-2</v>
      </c>
      <c r="E182" s="7">
        <f t="shared" si="26"/>
        <v>8.4308104711402404E-2</v>
      </c>
      <c r="F182" s="7">
        <f t="shared" si="27"/>
        <v>0.37037037037037035</v>
      </c>
      <c r="G182" s="7">
        <f t="shared" si="38"/>
        <v>0.35579995836363748</v>
      </c>
      <c r="H182" s="7">
        <f t="shared" si="35"/>
        <v>0.35583510849750677</v>
      </c>
      <c r="I182" s="7">
        <f t="shared" si="29"/>
        <v>0.39432541281128597</v>
      </c>
      <c r="J182" s="7">
        <f t="shared" si="30"/>
        <v>0.37925166481780159</v>
      </c>
      <c r="K182" s="7">
        <f t="shared" si="31"/>
        <v>4.6027590761771499E-4</v>
      </c>
    </row>
    <row r="183" spans="1:11" ht="15" customHeight="1" x14ac:dyDescent="0.25">
      <c r="A183" s="2">
        <v>181</v>
      </c>
      <c r="B183" s="7">
        <v>2.7853388928633649E-3</v>
      </c>
      <c r="C183" s="7">
        <f t="shared" si="36"/>
        <v>1.0879640490240652</v>
      </c>
      <c r="D183" s="7">
        <f t="shared" si="37"/>
        <v>8.4308104711402404E-2</v>
      </c>
      <c r="E183" s="7">
        <f t="shared" si="26"/>
        <v>8.2878038368695645E-2</v>
      </c>
      <c r="F183" s="7">
        <f t="shared" si="27"/>
        <v>0.37037037037037035</v>
      </c>
      <c r="G183" s="7">
        <f t="shared" si="38"/>
        <v>0.35583510849750677</v>
      </c>
      <c r="H183" s="7">
        <f t="shared" si="35"/>
        <v>0.35586962440348968</v>
      </c>
      <c r="I183" s="7">
        <f t="shared" si="29"/>
        <v>0.39718359463825537</v>
      </c>
      <c r="J183" s="7">
        <f t="shared" si="30"/>
        <v>0.38200058786717372</v>
      </c>
      <c r="K183" s="7">
        <f t="shared" si="31"/>
        <v>4.6361211723495917E-4</v>
      </c>
    </row>
    <row r="184" spans="1:11" ht="15" customHeight="1" x14ac:dyDescent="0.25">
      <c r="A184" s="2">
        <v>182</v>
      </c>
      <c r="B184" s="7">
        <v>-4.9211394070880488E-3</v>
      </c>
      <c r="C184" s="7">
        <f t="shared" si="36"/>
        <v>1.0864093002174176</v>
      </c>
      <c r="D184" s="7">
        <f t="shared" si="37"/>
        <v>8.2878038368695645E-2</v>
      </c>
      <c r="E184" s="7">
        <f t="shared" si="26"/>
        <v>7.3812997043172804E-2</v>
      </c>
      <c r="F184" s="7">
        <f t="shared" si="27"/>
        <v>0.37037037037037035</v>
      </c>
      <c r="G184" s="7">
        <f t="shared" si="38"/>
        <v>0.35586962440348968</v>
      </c>
      <c r="H184" s="7">
        <f t="shared" si="35"/>
        <v>0.35590024562385558</v>
      </c>
      <c r="I184" s="7">
        <f t="shared" si="29"/>
        <v>0.39662985105316756</v>
      </c>
      <c r="J184" s="7">
        <f t="shared" si="30"/>
        <v>0.38146801205617153</v>
      </c>
      <c r="K184" s="7">
        <f t="shared" si="31"/>
        <v>4.6296576063978903E-4</v>
      </c>
    </row>
    <row r="185" spans="1:11" ht="15" customHeight="1" x14ac:dyDescent="0.25">
      <c r="A185" s="2">
        <v>183</v>
      </c>
      <c r="B185" s="7">
        <v>4.5259866965352558E-3</v>
      </c>
      <c r="C185" s="7">
        <f t="shared" si="36"/>
        <v>1.0766054582665108</v>
      </c>
      <c r="D185" s="7">
        <f t="shared" si="37"/>
        <v>7.3812997043172804E-2</v>
      </c>
      <c r="E185" s="7">
        <f t="shared" si="26"/>
        <v>7.464833388754942E-2</v>
      </c>
      <c r="F185" s="7">
        <f t="shared" si="27"/>
        <v>0.37037037037037035</v>
      </c>
      <c r="G185" s="7">
        <f t="shared" si="38"/>
        <v>0.35590024562385558</v>
      </c>
      <c r="H185" s="7">
        <f t="shared" si="35"/>
        <v>0.3559312027456869</v>
      </c>
      <c r="I185" s="7">
        <f t="shared" si="29"/>
        <v>0.39306280750102235</v>
      </c>
      <c r="J185" s="7">
        <f t="shared" si="30"/>
        <v>0.3780373247058838</v>
      </c>
      <c r="K185" s="7">
        <f t="shared" si="31"/>
        <v>4.5880213294769985E-4</v>
      </c>
    </row>
    <row r="186" spans="1:11" ht="15" customHeight="1" x14ac:dyDescent="0.25">
      <c r="A186" s="2">
        <v>184</v>
      </c>
      <c r="B186" s="7">
        <v>1.087391865439713E-2</v>
      </c>
      <c r="C186" s="7">
        <f t="shared" si="36"/>
        <v>1.0775051621982625</v>
      </c>
      <c r="D186" s="7">
        <f t="shared" si="37"/>
        <v>7.464833388754942E-2</v>
      </c>
      <c r="E186" s="7">
        <f t="shared" si="26"/>
        <v>8.1789835847569076E-2</v>
      </c>
      <c r="F186" s="7">
        <f t="shared" si="27"/>
        <v>0.37037037037037035</v>
      </c>
      <c r="G186" s="7">
        <f t="shared" si="38"/>
        <v>0.3559312027456869</v>
      </c>
      <c r="H186" s="7">
        <f t="shared" si="35"/>
        <v>0.35596518932032312</v>
      </c>
      <c r="I186" s="7">
        <f t="shared" si="29"/>
        <v>0.39340360272688996</v>
      </c>
      <c r="J186" s="7">
        <f t="shared" si="30"/>
        <v>0.37836509246462602</v>
      </c>
      <c r="K186" s="7">
        <f t="shared" si="31"/>
        <v>4.5919992580304662E-4</v>
      </c>
    </row>
    <row r="187" spans="1:11" ht="15" customHeight="1" x14ac:dyDescent="0.25">
      <c r="A187" s="2">
        <v>185</v>
      </c>
      <c r="B187" s="7">
        <v>1.4533634384861216E-2</v>
      </c>
      <c r="C187" s="7">
        <f t="shared" si="36"/>
        <v>1.0852277098993288</v>
      </c>
      <c r="D187" s="7">
        <f t="shared" si="37"/>
        <v>8.1789835847569076E-2</v>
      </c>
      <c r="E187" s="7">
        <f t="shared" si="26"/>
        <v>9.2233978440051836E-2</v>
      </c>
      <c r="F187" s="7">
        <f t="shared" si="27"/>
        <v>0.37037037037037035</v>
      </c>
      <c r="G187" s="7">
        <f t="shared" si="38"/>
        <v>0.35596518932032312</v>
      </c>
      <c r="H187" s="7">
        <f t="shared" si="35"/>
        <v>0.3560036147898466</v>
      </c>
      <c r="I187" s="7">
        <f t="shared" si="29"/>
        <v>0.39623677103921767</v>
      </c>
      <c r="J187" s="7">
        <f t="shared" si="30"/>
        <v>0.38108995818276209</v>
      </c>
      <c r="K187" s="7">
        <f t="shared" si="31"/>
        <v>4.6250693842263263E-4</v>
      </c>
    </row>
    <row r="188" spans="1:11" ht="15" customHeight="1" x14ac:dyDescent="0.25">
      <c r="A188" s="2">
        <v>186</v>
      </c>
      <c r="B188" s="7">
        <v>2.1002506400691345E-2</v>
      </c>
      <c r="C188" s="7">
        <f t="shared" si="36"/>
        <v>1.0966213778247011</v>
      </c>
      <c r="D188" s="7">
        <f t="shared" si="37"/>
        <v>9.2233978440051836E-2</v>
      </c>
      <c r="E188" s="7">
        <f t="shared" si="26"/>
        <v>0.10862478591874059</v>
      </c>
      <c r="F188" s="7">
        <f t="shared" si="27"/>
        <v>0.37037037037037035</v>
      </c>
      <c r="G188" s="7">
        <f t="shared" si="38"/>
        <v>0.3560036147898466</v>
      </c>
      <c r="H188" s="7">
        <f t="shared" si="35"/>
        <v>0.35604901793997235</v>
      </c>
      <c r="I188" s="7">
        <f t="shared" si="29"/>
        <v>0.40041236987424134</v>
      </c>
      <c r="J188" s="7">
        <f t="shared" si="30"/>
        <v>0.38510593777308044</v>
      </c>
      <c r="K188" s="7">
        <f t="shared" si="31"/>
        <v>4.673809016043E-4</v>
      </c>
    </row>
    <row r="189" spans="1:11" ht="15" customHeight="1" x14ac:dyDescent="0.25">
      <c r="A189" s="2">
        <v>187</v>
      </c>
      <c r="B189" s="7">
        <v>-9.4808001449564472E-3</v>
      </c>
      <c r="C189" s="7">
        <f t="shared" si="36"/>
        <v>1.1147440042142964</v>
      </c>
      <c r="D189" s="7">
        <f t="shared" si="37"/>
        <v>0.10862478591874059</v>
      </c>
      <c r="E189" s="7">
        <f t="shared" si="26"/>
        <v>9.3712746477847109E-2</v>
      </c>
      <c r="F189" s="7">
        <f t="shared" si="27"/>
        <v>0.37037037037037035</v>
      </c>
      <c r="G189" s="7">
        <f t="shared" si="38"/>
        <v>0.35604901793997235</v>
      </c>
      <c r="H189" s="7">
        <f t="shared" si="35"/>
        <v>0.35608801994900002</v>
      </c>
      <c r="I189" s="7">
        <f t="shared" si="29"/>
        <v>0.40704822124364182</v>
      </c>
      <c r="J189" s="7">
        <f t="shared" si="30"/>
        <v>0.39148812263250021</v>
      </c>
      <c r="K189" s="7">
        <f t="shared" si="31"/>
        <v>4.7512659187085352E-4</v>
      </c>
    </row>
    <row r="190" spans="1:11" ht="15" customHeight="1" x14ac:dyDescent="0.25">
      <c r="A190" s="2">
        <v>188</v>
      </c>
      <c r="B190" s="7">
        <v>5.5824330047471449E-3</v>
      </c>
      <c r="C190" s="7">
        <f t="shared" si="36"/>
        <v>1.0982442260801255</v>
      </c>
      <c r="D190" s="7">
        <f t="shared" si="37"/>
        <v>9.3712746477847109E-2</v>
      </c>
      <c r="E190" s="7">
        <f t="shared" si="26"/>
        <v>9.460954215870189E-2</v>
      </c>
      <c r="F190" s="7">
        <f t="shared" si="27"/>
        <v>0.37037037037037035</v>
      </c>
      <c r="G190" s="7">
        <f t="shared" si="38"/>
        <v>0.35608801994900002</v>
      </c>
      <c r="H190" s="7">
        <f t="shared" si="35"/>
        <v>0.35612737951987672</v>
      </c>
      <c r="I190" s="7">
        <f t="shared" si="29"/>
        <v>0.40103914914911371</v>
      </c>
      <c r="J190" s="7">
        <f t="shared" si="30"/>
        <v>0.38570875736255084</v>
      </c>
      <c r="K190" s="7">
        <f t="shared" si="31"/>
        <v>4.6811250902863795E-4</v>
      </c>
    </row>
    <row r="191" spans="1:11" ht="15" customHeight="1" x14ac:dyDescent="0.25">
      <c r="A191" s="2">
        <v>189</v>
      </c>
      <c r="B191" s="7">
        <v>6.6212805904797278E-3</v>
      </c>
      <c r="C191" s="7">
        <f t="shared" si="36"/>
        <v>1.0992295685179811</v>
      </c>
      <c r="D191" s="7">
        <f t="shared" si="37"/>
        <v>9.460954215870189E-2</v>
      </c>
      <c r="E191" s="7">
        <f t="shared" si="26"/>
        <v>9.6500345641246515E-2</v>
      </c>
      <c r="F191" s="7">
        <f t="shared" si="27"/>
        <v>0.37037037037037035</v>
      </c>
      <c r="G191" s="7">
        <f t="shared" si="38"/>
        <v>0.35612737951987672</v>
      </c>
      <c r="H191" s="7">
        <f t="shared" si="35"/>
        <v>0.35616752133856511</v>
      </c>
      <c r="I191" s="7">
        <f t="shared" si="29"/>
        <v>0.40141493253290905</v>
      </c>
      <c r="J191" s="7">
        <f t="shared" si="30"/>
        <v>0.38607017579840364</v>
      </c>
      <c r="K191" s="7">
        <f t="shared" si="31"/>
        <v>4.685511417731292E-4</v>
      </c>
    </row>
    <row r="192" spans="1:11" ht="15" customHeight="1" x14ac:dyDescent="0.25">
      <c r="A192" s="2">
        <v>190</v>
      </c>
      <c r="B192" s="7">
        <v>-7.1034037318895571E-3</v>
      </c>
      <c r="C192" s="7">
        <f t="shared" si="36"/>
        <v>1.1013099618018765</v>
      </c>
      <c r="D192" s="7">
        <f t="shared" si="37"/>
        <v>9.6500345641246515E-2</v>
      </c>
      <c r="E192" s="7">
        <f t="shared" si="26"/>
        <v>8.4571924627294626E-2</v>
      </c>
      <c r="F192" s="7">
        <f t="shared" si="27"/>
        <v>0.37037037037037035</v>
      </c>
      <c r="G192" s="7">
        <f t="shared" si="38"/>
        <v>0.35616752133856511</v>
      </c>
      <c r="H192" s="7">
        <f t="shared" si="35"/>
        <v>0.35620253809071362</v>
      </c>
      <c r="I192" s="7">
        <f t="shared" si="29"/>
        <v>0.40219096628200796</v>
      </c>
      <c r="J192" s="7">
        <f t="shared" si="30"/>
        <v>0.38681654436035429</v>
      </c>
      <c r="K192" s="7">
        <f t="shared" si="31"/>
        <v>4.6945696631956645E-4</v>
      </c>
    </row>
    <row r="193" spans="1:11" ht="15" customHeight="1" x14ac:dyDescent="0.25">
      <c r="A193" s="2">
        <v>191</v>
      </c>
      <c r="B193" s="7">
        <v>8.1652956396283116E-3</v>
      </c>
      <c r="C193" s="7">
        <f t="shared" si="36"/>
        <v>1.0882511134729669</v>
      </c>
      <c r="D193" s="7">
        <f t="shared" si="37"/>
        <v>8.4571924627294626E-2</v>
      </c>
      <c r="E193" s="7">
        <f t="shared" si="26"/>
        <v>8.8508624035558203E-2</v>
      </c>
      <c r="F193" s="7">
        <f t="shared" si="27"/>
        <v>0.37037037037037035</v>
      </c>
      <c r="G193" s="7">
        <f t="shared" si="38"/>
        <v>0.35620253809071362</v>
      </c>
      <c r="H193" s="7">
        <f t="shared" si="35"/>
        <v>0.35623921427278732</v>
      </c>
      <c r="I193" s="7">
        <f t="shared" si="29"/>
        <v>0.39743602872407235</v>
      </c>
      <c r="J193" s="7">
        <f t="shared" si="30"/>
        <v>0.38224337223813354</v>
      </c>
      <c r="K193" s="7">
        <f t="shared" si="31"/>
        <v>4.6390677064604599E-4</v>
      </c>
    </row>
    <row r="194" spans="1:11" ht="15" customHeight="1" x14ac:dyDescent="0.25">
      <c r="A194" s="2">
        <v>192</v>
      </c>
      <c r="B194" s="7">
        <v>-1.4441866369452327E-2</v>
      </c>
      <c r="C194" s="7">
        <f t="shared" si="36"/>
        <v>1.0925436747053507</v>
      </c>
      <c r="D194" s="7">
        <f t="shared" si="37"/>
        <v>8.8508624035558203E-2</v>
      </c>
      <c r="E194" s="7">
        <f t="shared" ref="E194:E202" si="39">$N$6*D194+B194</f>
        <v>6.9641326464327968E-2</v>
      </c>
      <c r="F194" s="7">
        <f t="shared" ref="F194:F202" si="40">((1-$N$2*(1-$N$4))*(1-$N$1))/(((1-$N$2*(1-$N$4))*(1-$N$1))*$N$3+(1-$N$2*(1-$N$4))*(1-$N$1))</f>
        <v>0.37037037037037035</v>
      </c>
      <c r="G194" s="7">
        <f t="shared" si="38"/>
        <v>0.35623921427278732</v>
      </c>
      <c r="H194" s="7">
        <f t="shared" ref="H194:H201" si="41">G195</f>
        <v>0.35626779979551976</v>
      </c>
      <c r="I194" s="7">
        <f t="shared" ref="I194:I202" si="42">$C194*$G194^$N$1*$F194^(1-$N$1)</f>
        <v>0.39901848805793966</v>
      </c>
      <c r="J194" s="7">
        <f t="shared" ref="J194:J202" si="43">$C194*$G194^$N$1*$F194^(1-$N$1)*((1-$N$2*(1-$N$4*(1-$N$1)))/(1-$N$2*(1-$N$4)))</f>
        <v>0.38376533941898794</v>
      </c>
      <c r="K194" s="7">
        <f t="shared" ref="K194:K202" si="44">$C194*$G194^$N$1*$F194^(1-$N$1)*(($N$2*$N$1*$N$4)/(1-$N$2*(1-$N$1)))</f>
        <v>4.6575389457592691E-4</v>
      </c>
    </row>
    <row r="195" spans="1:11" ht="15" customHeight="1" x14ac:dyDescent="0.25">
      <c r="A195" s="2">
        <v>193</v>
      </c>
      <c r="B195" s="7">
        <v>7.6108221946924459E-3</v>
      </c>
      <c r="C195" s="7">
        <f t="shared" ref="C195:C202" si="45">EXP(D195)</f>
        <v>1.0721235699318836</v>
      </c>
      <c r="D195" s="7">
        <f t="shared" ref="D195:D202" si="46">E194</f>
        <v>6.9641326464327968E-2</v>
      </c>
      <c r="E195" s="7">
        <f t="shared" si="39"/>
        <v>7.377008233580401E-2</v>
      </c>
      <c r="F195" s="7">
        <f t="shared" si="40"/>
        <v>0.37037037037037035</v>
      </c>
      <c r="G195" s="7">
        <f t="shared" ref="G195:G202" si="47">(($C195*$G194^$N$1*$F195^(1-$N$1)*(($N$2*$N$1*$N$4)/(1-$N$2*(1-$N$1))))^$N$4)*($N$5*$G194^(1-$N$4))</f>
        <v>0.35626779979551976</v>
      </c>
      <c r="H195" s="7">
        <f t="shared" si="41"/>
        <v>0.35629813093292956</v>
      </c>
      <c r="I195" s="7">
        <f t="shared" si="42"/>
        <v>0.39157197407823435</v>
      </c>
      <c r="J195" s="7">
        <f t="shared" si="43"/>
        <v>0.37660348088251105</v>
      </c>
      <c r="K195" s="7">
        <f t="shared" si="44"/>
        <v>4.5706195926249797E-4</v>
      </c>
    </row>
    <row r="196" spans="1:11" ht="15" customHeight="1" x14ac:dyDescent="0.25">
      <c r="A196" s="2">
        <v>194</v>
      </c>
      <c r="B196" s="7">
        <v>-2.6828956833924167E-3</v>
      </c>
      <c r="C196" s="7">
        <f t="shared" si="45"/>
        <v>1.0765592570496807</v>
      </c>
      <c r="D196" s="7">
        <f t="shared" si="46"/>
        <v>7.377008233580401E-2</v>
      </c>
      <c r="E196" s="7">
        <f t="shared" si="39"/>
        <v>6.7398682535621396E-2</v>
      </c>
      <c r="F196" s="7">
        <f t="shared" si="40"/>
        <v>0.37037037037037035</v>
      </c>
      <c r="G196" s="7">
        <f t="shared" si="47"/>
        <v>0.35629813093292956</v>
      </c>
      <c r="H196" s="7">
        <f t="shared" si="41"/>
        <v>0.35632571699257959</v>
      </c>
      <c r="I196" s="7">
        <f t="shared" si="42"/>
        <v>0.3932040718208496</v>
      </c>
      <c r="J196" s="7">
        <f t="shared" si="43"/>
        <v>0.37817318896097174</v>
      </c>
      <c r="K196" s="7">
        <f t="shared" si="44"/>
        <v>4.5896702357079951E-4</v>
      </c>
    </row>
    <row r="197" spans="1:11" ht="15" customHeight="1" x14ac:dyDescent="0.25">
      <c r="A197" s="2">
        <v>195</v>
      </c>
      <c r="B197" s="7">
        <v>7.5140860644751228E-3</v>
      </c>
      <c r="C197" s="7">
        <f t="shared" si="45"/>
        <v>1.0697218725995248</v>
      </c>
      <c r="D197" s="7">
        <f t="shared" si="46"/>
        <v>6.7398682535621396E-2</v>
      </c>
      <c r="E197" s="7">
        <f t="shared" si="39"/>
        <v>7.1542834473315442E-2</v>
      </c>
      <c r="F197" s="7">
        <f t="shared" si="40"/>
        <v>0.37037037037037035</v>
      </c>
      <c r="G197" s="7">
        <f t="shared" si="47"/>
        <v>0.35632571699257959</v>
      </c>
      <c r="H197" s="7">
        <f t="shared" si="41"/>
        <v>0.3563550561424908</v>
      </c>
      <c r="I197" s="7">
        <f t="shared" si="42"/>
        <v>0.39071766533334423</v>
      </c>
      <c r="J197" s="7">
        <f t="shared" si="43"/>
        <v>0.37578182951731476</v>
      </c>
      <c r="K197" s="7">
        <f t="shared" si="44"/>
        <v>4.5606476831267645E-4</v>
      </c>
    </row>
    <row r="198" spans="1:11" ht="15" customHeight="1" x14ac:dyDescent="0.25">
      <c r="A198" s="2">
        <v>196</v>
      </c>
      <c r="B198" s="7">
        <v>-7.6876858656760305E-3</v>
      </c>
      <c r="C198" s="7">
        <f t="shared" si="45"/>
        <v>1.0741641609719836</v>
      </c>
      <c r="D198" s="7">
        <f t="shared" si="46"/>
        <v>7.1542834473315442E-2</v>
      </c>
      <c r="E198" s="7">
        <f t="shared" si="39"/>
        <v>6.0278006883973639E-2</v>
      </c>
      <c r="F198" s="7">
        <f t="shared" si="40"/>
        <v>0.37037037037037035</v>
      </c>
      <c r="G198" s="7">
        <f t="shared" si="47"/>
        <v>0.3563550561424908</v>
      </c>
      <c r="H198" s="7">
        <f t="shared" si="41"/>
        <v>0.35637955767519069</v>
      </c>
      <c r="I198" s="7">
        <f t="shared" si="42"/>
        <v>0.3923518477523727</v>
      </c>
      <c r="J198" s="7">
        <f t="shared" si="43"/>
        <v>0.37735354258194836</v>
      </c>
      <c r="K198" s="7">
        <f t="shared" si="44"/>
        <v>4.579722659572455E-4</v>
      </c>
    </row>
    <row r="199" spans="1:11" ht="15" customHeight="1" x14ac:dyDescent="0.25">
      <c r="A199" s="2">
        <v>197</v>
      </c>
      <c r="B199" s="7">
        <v>7.5059688242617995E-3</v>
      </c>
      <c r="C199" s="7">
        <f t="shared" si="45"/>
        <v>1.0621317854522767</v>
      </c>
      <c r="D199" s="7">
        <f t="shared" si="46"/>
        <v>6.0278006883973639E-2</v>
      </c>
      <c r="E199" s="7">
        <f t="shared" si="39"/>
        <v>6.4770075364036755E-2</v>
      </c>
      <c r="F199" s="7">
        <f t="shared" si="40"/>
        <v>0.37037037037037035</v>
      </c>
      <c r="G199" s="7">
        <f t="shared" si="47"/>
        <v>0.35637955767519069</v>
      </c>
      <c r="H199" s="7">
        <f t="shared" si="41"/>
        <v>0.35640596326821383</v>
      </c>
      <c r="I199" s="7">
        <f t="shared" si="42"/>
        <v>0.38796647518025168</v>
      </c>
      <c r="J199" s="7">
        <f t="shared" si="43"/>
        <v>0.37313580820625603</v>
      </c>
      <c r="K199" s="7">
        <f t="shared" si="44"/>
        <v>4.5285344460996188E-4</v>
      </c>
    </row>
    <row r="200" spans="1:11" ht="15" customHeight="1" x14ac:dyDescent="0.25">
      <c r="A200" s="2">
        <v>198</v>
      </c>
      <c r="B200" s="7">
        <v>2.0099651010241359E-2</v>
      </c>
      <c r="C200" s="7">
        <f t="shared" si="45"/>
        <v>1.0669136864396958</v>
      </c>
      <c r="D200" s="7">
        <f t="shared" si="46"/>
        <v>6.4770075364036755E-2</v>
      </c>
      <c r="E200" s="7">
        <f t="shared" si="39"/>
        <v>8.1631222606076276E-2</v>
      </c>
      <c r="F200" s="7">
        <f t="shared" si="40"/>
        <v>0.37037037037037035</v>
      </c>
      <c r="G200" s="7">
        <f t="shared" si="47"/>
        <v>0.35640596326821383</v>
      </c>
      <c r="H200" s="7">
        <f t="shared" si="41"/>
        <v>0.35643956243895808</v>
      </c>
      <c r="I200" s="7">
        <f t="shared" si="42"/>
        <v>0.38972356225058891</v>
      </c>
      <c r="J200" s="7">
        <f t="shared" si="43"/>
        <v>0.37482572768647515</v>
      </c>
      <c r="K200" s="7">
        <f t="shared" si="44"/>
        <v>4.5490440257459568E-4</v>
      </c>
    </row>
    <row r="201" spans="1:11" ht="15" customHeight="1" x14ac:dyDescent="0.25">
      <c r="A201" s="2">
        <v>199</v>
      </c>
      <c r="B201" s="7">
        <v>3.7573499866994098E-3</v>
      </c>
      <c r="C201" s="7">
        <f t="shared" si="45"/>
        <v>1.0850555920649485</v>
      </c>
      <c r="D201" s="7">
        <f t="shared" si="46"/>
        <v>8.1631222606076276E-2</v>
      </c>
      <c r="E201" s="7">
        <f t="shared" si="39"/>
        <v>8.1307011462471865E-2</v>
      </c>
      <c r="F201" s="7">
        <f t="shared" si="40"/>
        <v>0.37037037037037035</v>
      </c>
      <c r="G201" s="7">
        <f t="shared" si="47"/>
        <v>0.35643956243895808</v>
      </c>
      <c r="H201" s="7">
        <f t="shared" si="41"/>
        <v>0.35647300028230872</v>
      </c>
      <c r="I201" s="7">
        <f t="shared" si="42"/>
        <v>0.39636391109916608</v>
      </c>
      <c r="J201" s="7">
        <f t="shared" si="43"/>
        <v>0.3812122381014128</v>
      </c>
      <c r="K201" s="7">
        <f t="shared" si="44"/>
        <v>4.6265534251880826E-4</v>
      </c>
    </row>
    <row r="202" spans="1:11" ht="15" customHeight="1" thickBot="1" x14ac:dyDescent="0.3">
      <c r="A202" s="3">
        <v>200</v>
      </c>
      <c r="B202" s="9">
        <v>5.1390543376328424E-3</v>
      </c>
      <c r="C202" s="9">
        <f t="shared" si="45"/>
        <v>1.0847038619710598</v>
      </c>
      <c r="D202" s="9">
        <f t="shared" si="46"/>
        <v>8.1307011462471865E-2</v>
      </c>
      <c r="E202" s="9">
        <f t="shared" si="39"/>
        <v>8.2380715226981108E-2</v>
      </c>
      <c r="F202" s="9">
        <f t="shared" si="40"/>
        <v>0.37037037037037035</v>
      </c>
      <c r="G202" s="9">
        <f t="shared" si="47"/>
        <v>0.35647300028230872</v>
      </c>
      <c r="H202" s="9"/>
      <c r="I202" s="9">
        <f t="shared" si="42"/>
        <v>0.39624880753337105</v>
      </c>
      <c r="J202" s="9">
        <f t="shared" si="43"/>
        <v>0.38110153456180823</v>
      </c>
      <c r="K202" s="9">
        <f t="shared" si="44"/>
        <v>4.6252098800729291E-4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0F940-3512-4BAC-9779-E212189674A1}">
  <dimension ref="A1:K202"/>
  <sheetViews>
    <sheetView zoomScale="80" zoomScaleNormal="80" workbookViewId="0"/>
  </sheetViews>
  <sheetFormatPr baseColWidth="10" defaultRowHeight="15" customHeight="1" x14ac:dyDescent="0.25"/>
  <cols>
    <col min="1" max="16384" width="11.42578125" style="1"/>
  </cols>
  <sheetData>
    <row r="1" spans="1:11" ht="15" customHeight="1" thickBot="1" x14ac:dyDescent="0.3">
      <c r="A1" s="4" t="s">
        <v>0</v>
      </c>
      <c r="B1" s="4" t="s">
        <v>15</v>
      </c>
      <c r="C1" s="4" t="s">
        <v>18</v>
      </c>
      <c r="D1" s="4" t="s">
        <v>11</v>
      </c>
      <c r="E1" s="4" t="s">
        <v>17</v>
      </c>
      <c r="F1" s="4" t="s">
        <v>21</v>
      </c>
      <c r="G1" s="4" t="s">
        <v>16</v>
      </c>
      <c r="H1" s="4" t="s">
        <v>13</v>
      </c>
      <c r="I1" s="4" t="s">
        <v>20</v>
      </c>
      <c r="J1" s="4" t="s">
        <v>14</v>
      </c>
      <c r="K1" s="4" t="s">
        <v>19</v>
      </c>
    </row>
    <row r="2" spans="1:11" ht="15" customHeight="1" x14ac:dyDescent="0.25">
      <c r="A2" s="2">
        <v>0</v>
      </c>
      <c r="B2" s="7">
        <f>'Ejercicio 1.e (1)'!F2</f>
        <v>0.37037037037037035</v>
      </c>
      <c r="C2" s="7">
        <f t="shared" ref="C2:C65" si="0">$B$2</f>
        <v>0.37037037037037035</v>
      </c>
      <c r="D2" s="7">
        <f>'Ejercicio 1.e (1)'!G2</f>
        <v>0.35469778040507688</v>
      </c>
      <c r="E2" s="7">
        <f t="shared" ref="E2:E65" si="1">$D$2</f>
        <v>0.35469778040507688</v>
      </c>
      <c r="F2" s="7">
        <f>$G$2</f>
        <v>0.36465001891249188</v>
      </c>
      <c r="G2" s="7">
        <f>'Ejercicio 1.e (1)'!I2</f>
        <v>0.36465001891249188</v>
      </c>
      <c r="H2" s="7">
        <f>'Ejercicio 1.e (1)'!J2</f>
        <v>0.35071066245124149</v>
      </c>
      <c r="I2" s="7">
        <f>$H$2</f>
        <v>0.35071066245124149</v>
      </c>
      <c r="J2" s="7">
        <f>'Ejercicio 1.e (1)'!K2</f>
        <v>4.2563733648606582E-4</v>
      </c>
      <c r="K2" s="7">
        <f>$J$2</f>
        <v>4.2563733648606582E-4</v>
      </c>
    </row>
    <row r="3" spans="1:11" ht="15" customHeight="1" x14ac:dyDescent="0.25">
      <c r="A3" s="2">
        <v>1</v>
      </c>
      <c r="B3" s="7">
        <f>'Ejercicio 1.e (1)'!F3</f>
        <v>0.37037037037037035</v>
      </c>
      <c r="C3" s="7">
        <f t="shared" si="0"/>
        <v>0.37037037037037035</v>
      </c>
      <c r="D3" s="7">
        <f>'Ejercicio 1.e (1)'!G3</f>
        <v>0.35469922935008247</v>
      </c>
      <c r="E3" s="7">
        <f t="shared" si="1"/>
        <v>0.35469778040507688</v>
      </c>
      <c r="F3" s="7">
        <f t="shared" ref="F3:F66" si="2">$G$2</f>
        <v>0.36465001891249188</v>
      </c>
      <c r="G3" s="7">
        <f>'Ejercicio 1.e (1)'!I3</f>
        <v>0.36589400306820669</v>
      </c>
      <c r="H3" s="7">
        <f>'Ejercicio 1.e (1)'!J3</f>
        <v>0.35190709323336711</v>
      </c>
      <c r="I3" s="7">
        <f t="shared" ref="I3:I66" si="3">$H$2</f>
        <v>0.35071066245124149</v>
      </c>
      <c r="J3" s="7">
        <f>'Ejercicio 1.e (1)'!K3</f>
        <v>4.2708937563376261E-4</v>
      </c>
      <c r="K3" s="7">
        <f t="shared" ref="K3:K66" si="4">$J$2</f>
        <v>4.2563733648606582E-4</v>
      </c>
    </row>
    <row r="4" spans="1:11" ht="15" customHeight="1" x14ac:dyDescent="0.25">
      <c r="A4" s="2">
        <v>2</v>
      </c>
      <c r="B4" s="7">
        <f>'Ejercicio 1.e (1)'!F4</f>
        <v>0.37037037037037035</v>
      </c>
      <c r="C4" s="7">
        <f t="shared" si="0"/>
        <v>0.37037037037037035</v>
      </c>
      <c r="D4" s="7">
        <f>'Ejercicio 1.e (1)'!G4</f>
        <v>0.3546951935788612</v>
      </c>
      <c r="E4" s="7">
        <f t="shared" si="1"/>
        <v>0.35469778040507688</v>
      </c>
      <c r="F4" s="7">
        <f t="shared" si="2"/>
        <v>0.36465001891249188</v>
      </c>
      <c r="G4" s="7">
        <f>'Ejercicio 1.e (1)'!I4</f>
        <v>0.36120884231237849</v>
      </c>
      <c r="H4" s="7">
        <f>'Ejercicio 1.e (1)'!J4</f>
        <v>0.34740103057836585</v>
      </c>
      <c r="I4" s="7">
        <f t="shared" si="3"/>
        <v>0.35071066245124149</v>
      </c>
      <c r="J4" s="7">
        <f>'Ejercicio 1.e (1)'!K4</f>
        <v>4.216206268563265E-4</v>
      </c>
      <c r="K4" s="7">
        <f t="shared" si="4"/>
        <v>4.2563733648606582E-4</v>
      </c>
    </row>
    <row r="5" spans="1:11" ht="15" customHeight="1" x14ac:dyDescent="0.25">
      <c r="A5" s="2">
        <v>3</v>
      </c>
      <c r="B5" s="7">
        <f>'Ejercicio 1.e (1)'!F5</f>
        <v>0.37037037037037035</v>
      </c>
      <c r="C5" s="7">
        <f t="shared" si="0"/>
        <v>0.37037037037037035</v>
      </c>
      <c r="D5" s="7">
        <f>'Ejercicio 1.e (1)'!G5</f>
        <v>0.35469353146114629</v>
      </c>
      <c r="E5" s="7">
        <f t="shared" si="1"/>
        <v>0.35469778040507688</v>
      </c>
      <c r="F5" s="7">
        <f t="shared" si="2"/>
        <v>0.36465001891249188</v>
      </c>
      <c r="G5" s="7">
        <f>'Ejercicio 1.e (1)'!I5</f>
        <v>0.36322555844370913</v>
      </c>
      <c r="H5" s="7">
        <f>'Ejercicio 1.e (1)'!J5</f>
        <v>0.34934065436476913</v>
      </c>
      <c r="I5" s="7">
        <f t="shared" si="3"/>
        <v>0.35071066245124149</v>
      </c>
      <c r="J5" s="7">
        <f>'Ejercicio 1.e (1)'!K5</f>
        <v>4.2397463655896703E-4</v>
      </c>
      <c r="K5" s="7">
        <f t="shared" si="4"/>
        <v>4.2563733648606582E-4</v>
      </c>
    </row>
    <row r="6" spans="1:11" ht="15" customHeight="1" x14ac:dyDescent="0.25">
      <c r="A6" s="2">
        <v>4</v>
      </c>
      <c r="B6" s="7">
        <f>'Ejercicio 1.e (1)'!F6</f>
        <v>0.37037037037037035</v>
      </c>
      <c r="C6" s="7">
        <f t="shared" si="0"/>
        <v>0.37037037037037035</v>
      </c>
      <c r="D6" s="7">
        <f>'Ejercicio 1.e (1)'!G6</f>
        <v>0.35468837610614934</v>
      </c>
      <c r="E6" s="7">
        <f t="shared" si="1"/>
        <v>0.35469778040507688</v>
      </c>
      <c r="F6" s="7">
        <f t="shared" si="2"/>
        <v>0.36465001891249188</v>
      </c>
      <c r="G6" s="7">
        <f>'Ejercicio 1.e (1)'!I6</f>
        <v>0.36025370269188373</v>
      </c>
      <c r="H6" s="7">
        <f>'Ejercicio 1.e (1)'!J6</f>
        <v>0.34648240276631703</v>
      </c>
      <c r="I6" s="7">
        <f t="shared" si="3"/>
        <v>0.35071066245124149</v>
      </c>
      <c r="J6" s="7">
        <f>'Ejercicio 1.e (1)'!K6</f>
        <v>4.2050574117703283E-4</v>
      </c>
      <c r="K6" s="7">
        <f t="shared" si="4"/>
        <v>4.2563733648606582E-4</v>
      </c>
    </row>
    <row r="7" spans="1:11" ht="15" customHeight="1" x14ac:dyDescent="0.25">
      <c r="A7" s="2">
        <v>5</v>
      </c>
      <c r="B7" s="7">
        <f>'Ejercicio 1.e (1)'!F7</f>
        <v>0.37037037037037035</v>
      </c>
      <c r="C7" s="7">
        <f t="shared" si="0"/>
        <v>0.37037037037037035</v>
      </c>
      <c r="D7" s="7">
        <f>'Ejercicio 1.e (1)'!G7</f>
        <v>0.35468335815183571</v>
      </c>
      <c r="E7" s="7">
        <f t="shared" si="1"/>
        <v>0.35469778040507688</v>
      </c>
      <c r="F7" s="7">
        <f t="shared" si="2"/>
        <v>0.36465001891249188</v>
      </c>
      <c r="G7" s="7">
        <f>'Ejercicio 1.e (1)'!I7</f>
        <v>0.36036476922831534</v>
      </c>
      <c r="H7" s="7">
        <f>'Ejercicio 1.e (1)'!J7</f>
        <v>0.34658922359875322</v>
      </c>
      <c r="I7" s="7">
        <f t="shared" si="3"/>
        <v>0.35071066245124149</v>
      </c>
      <c r="J7" s="7">
        <f>'Ejercicio 1.e (1)'!K7</f>
        <v>4.2063538347043096E-4</v>
      </c>
      <c r="K7" s="7">
        <f t="shared" si="4"/>
        <v>4.2563733648606582E-4</v>
      </c>
    </row>
    <row r="8" spans="1:11" ht="15" customHeight="1" x14ac:dyDescent="0.25">
      <c r="A8" s="2">
        <v>6</v>
      </c>
      <c r="B8" s="7">
        <f>'Ejercicio 1.e (1)'!F8</f>
        <v>0.37037037037037035</v>
      </c>
      <c r="C8" s="7">
        <f t="shared" si="0"/>
        <v>0.37037037037037035</v>
      </c>
      <c r="D8" s="7">
        <f>'Ejercicio 1.e (1)'!G8</f>
        <v>0.35468130136649179</v>
      </c>
      <c r="E8" s="7">
        <f t="shared" si="1"/>
        <v>0.35469778040507688</v>
      </c>
      <c r="F8" s="7">
        <f t="shared" si="2"/>
        <v>0.36465001891249188</v>
      </c>
      <c r="G8" s="7">
        <f>'Ejercicio 1.e (1)'!I8</f>
        <v>0.3628766006106503</v>
      </c>
      <c r="H8" s="7">
        <f>'Ejercicio 1.e (1)'!J8</f>
        <v>0.34900503602813887</v>
      </c>
      <c r="I8" s="7">
        <f t="shared" si="3"/>
        <v>0.35071066245124149</v>
      </c>
      <c r="J8" s="7">
        <f>'Ejercicio 1.e (1)'!K8</f>
        <v>4.2356731590928741E-4</v>
      </c>
      <c r="K8" s="7">
        <f t="shared" si="4"/>
        <v>4.2563733648606582E-4</v>
      </c>
    </row>
    <row r="9" spans="1:11" ht="15" customHeight="1" x14ac:dyDescent="0.25">
      <c r="A9" s="2">
        <v>7</v>
      </c>
      <c r="B9" s="7">
        <f>'Ejercicio 1.e (1)'!F9</f>
        <v>0.37037037037037035</v>
      </c>
      <c r="C9" s="7">
        <f t="shared" si="0"/>
        <v>0.37037037037037035</v>
      </c>
      <c r="D9" s="7">
        <f>'Ejercicio 1.e (1)'!G9</f>
        <v>0.35468009323278726</v>
      </c>
      <c r="E9" s="7">
        <f t="shared" si="1"/>
        <v>0.35469778040507688</v>
      </c>
      <c r="F9" s="7">
        <f t="shared" si="2"/>
        <v>0.36465001891249188</v>
      </c>
      <c r="G9" s="7">
        <f>'Ejercicio 1.e (1)'!I9</f>
        <v>0.3635990708410558</v>
      </c>
      <c r="H9" s="7">
        <f>'Ejercicio 1.e (1)'!J9</f>
        <v>0.34969988862642604</v>
      </c>
      <c r="I9" s="7">
        <f t="shared" si="3"/>
        <v>0.35071066245124149</v>
      </c>
      <c r="J9" s="7">
        <f>'Ejercicio 1.e (1)'!K9</f>
        <v>4.244106184970053E-4</v>
      </c>
      <c r="K9" s="7">
        <f t="shared" si="4"/>
        <v>4.2563733648606582E-4</v>
      </c>
    </row>
    <row r="10" spans="1:11" ht="15" customHeight="1" x14ac:dyDescent="0.25">
      <c r="A10" s="2">
        <v>8</v>
      </c>
      <c r="B10" s="7">
        <f>'Ejercicio 1.e (1)'!F10</f>
        <v>0.37037037037037035</v>
      </c>
      <c r="C10" s="7">
        <f t="shared" si="0"/>
        <v>0.37037037037037035</v>
      </c>
      <c r="D10" s="7">
        <f>'Ejercicio 1.e (1)'!G10</f>
        <v>0.35467288961795906</v>
      </c>
      <c r="E10" s="7">
        <f t="shared" si="1"/>
        <v>0.35469778040507688</v>
      </c>
      <c r="F10" s="7">
        <f t="shared" si="2"/>
        <v>0.36465001891249188</v>
      </c>
      <c r="G10" s="7">
        <f>'Ejercicio 1.e (1)'!I10</f>
        <v>0.3585096383793081</v>
      </c>
      <c r="H10" s="7">
        <f>'Ejercicio 1.e (1)'!J10</f>
        <v>0.34480500822717747</v>
      </c>
      <c r="I10" s="7">
        <f t="shared" si="3"/>
        <v>0.35071066245124149</v>
      </c>
      <c r="J10" s="7">
        <f>'Ejercicio 1.e (1)'!K10</f>
        <v>4.1846998401217928E-4</v>
      </c>
      <c r="K10" s="7">
        <f t="shared" si="4"/>
        <v>4.2563733648606582E-4</v>
      </c>
    </row>
    <row r="11" spans="1:11" ht="15" customHeight="1" x14ac:dyDescent="0.25">
      <c r="A11" s="2">
        <v>9</v>
      </c>
      <c r="B11" s="7">
        <f>'Ejercicio 1.e (1)'!F11</f>
        <v>0.37037037037037035</v>
      </c>
      <c r="C11" s="7">
        <f t="shared" si="0"/>
        <v>0.37037037037037035</v>
      </c>
      <c r="D11" s="7">
        <f>'Ejercicio 1.e (1)'!G11</f>
        <v>0.3546699177806002</v>
      </c>
      <c r="E11" s="7">
        <f t="shared" si="1"/>
        <v>0.35469778040507688</v>
      </c>
      <c r="F11" s="7">
        <f t="shared" si="2"/>
        <v>0.36465001891249188</v>
      </c>
      <c r="G11" s="7">
        <f>'Ejercicio 1.e (1)'!I11</f>
        <v>0.36208617660408071</v>
      </c>
      <c r="H11" s="7">
        <f>'Ejercicio 1.e (1)'!J11</f>
        <v>0.34824482730036171</v>
      </c>
      <c r="I11" s="7">
        <f t="shared" si="3"/>
        <v>0.35071066245124149</v>
      </c>
      <c r="J11" s="7">
        <f>'Ejercicio 1.e (1)'!K11</f>
        <v>4.2264469435052739E-4</v>
      </c>
      <c r="K11" s="7">
        <f t="shared" si="4"/>
        <v>4.2563733648606582E-4</v>
      </c>
    </row>
    <row r="12" spans="1:11" ht="15" customHeight="1" x14ac:dyDescent="0.25">
      <c r="A12" s="2">
        <v>10</v>
      </c>
      <c r="B12" s="7">
        <f>'Ejercicio 1.e (1)'!F12</f>
        <v>0.37037037037037035</v>
      </c>
      <c r="C12" s="7">
        <f t="shared" si="0"/>
        <v>0.37037037037037035</v>
      </c>
      <c r="D12" s="7">
        <f>'Ejercicio 1.e (1)'!G12</f>
        <v>0.35466685168515732</v>
      </c>
      <c r="E12" s="7">
        <f t="shared" si="1"/>
        <v>0.35469778040507688</v>
      </c>
      <c r="F12" s="7">
        <f t="shared" si="2"/>
        <v>0.36465001891249188</v>
      </c>
      <c r="G12" s="7">
        <f>'Ejercicio 1.e (1)'!I12</f>
        <v>0.36200290481956615</v>
      </c>
      <c r="H12" s="7">
        <f>'Ejercicio 1.e (1)'!J12</f>
        <v>0.34816473871899351</v>
      </c>
      <c r="I12" s="7">
        <f t="shared" si="3"/>
        <v>0.35071066245124149</v>
      </c>
      <c r="J12" s="7">
        <f>'Ejercicio 1.e (1)'!K12</f>
        <v>4.2254749545096081E-4</v>
      </c>
      <c r="K12" s="7">
        <f t="shared" si="4"/>
        <v>4.2563733648606582E-4</v>
      </c>
    </row>
    <row r="13" spans="1:11" ht="15" customHeight="1" x14ac:dyDescent="0.25">
      <c r="A13" s="2">
        <v>11</v>
      </c>
      <c r="B13" s="7">
        <f>'Ejercicio 1.e (1)'!F13</f>
        <v>0.37037037037037035</v>
      </c>
      <c r="C13" s="7">
        <f t="shared" si="0"/>
        <v>0.37037037037037035</v>
      </c>
      <c r="D13" s="7">
        <f>'Ejercicio 1.e (1)'!G13</f>
        <v>0.35466208474679711</v>
      </c>
      <c r="E13" s="7">
        <f t="shared" si="1"/>
        <v>0.35469778040507688</v>
      </c>
      <c r="F13" s="7">
        <f t="shared" si="2"/>
        <v>0.36465001891249188</v>
      </c>
      <c r="G13" s="7">
        <f>'Ejercicio 1.e (1)'!I13</f>
        <v>0.36055532738130225</v>
      </c>
      <c r="H13" s="7">
        <f>'Ejercicio 1.e (1)'!J13</f>
        <v>0.34677249734783688</v>
      </c>
      <c r="I13" s="7">
        <f t="shared" si="3"/>
        <v>0.35071066245124149</v>
      </c>
      <c r="J13" s="7">
        <f>'Ejercicio 1.e (1)'!K13</f>
        <v>4.2085781226647198E-4</v>
      </c>
      <c r="K13" s="7">
        <f t="shared" si="4"/>
        <v>4.2563733648606582E-4</v>
      </c>
    </row>
    <row r="14" spans="1:11" ht="15" customHeight="1" x14ac:dyDescent="0.25">
      <c r="A14" s="2">
        <v>12</v>
      </c>
      <c r="B14" s="7">
        <f>'Ejercicio 1.e (1)'!F14</f>
        <v>0.37037037037037035</v>
      </c>
      <c r="C14" s="7">
        <f t="shared" si="0"/>
        <v>0.37037037037037035</v>
      </c>
      <c r="D14" s="7">
        <f>'Ejercicio 1.e (1)'!G14</f>
        <v>0.35465595918314846</v>
      </c>
      <c r="E14" s="7">
        <f t="shared" si="1"/>
        <v>0.35469778040507688</v>
      </c>
      <c r="F14" s="7">
        <f t="shared" si="2"/>
        <v>0.36465001891249188</v>
      </c>
      <c r="G14" s="7">
        <f>'Ejercicio 1.e (1)'!I14</f>
        <v>0.3594007638253372</v>
      </c>
      <c r="H14" s="7">
        <f>'Ejercicio 1.e (1)'!J14</f>
        <v>0.34566206891357504</v>
      </c>
      <c r="I14" s="7">
        <f t="shared" si="3"/>
        <v>0.35071066245124149</v>
      </c>
      <c r="J14" s="7">
        <f>'Ejercicio 1.e (1)'!K14</f>
        <v>4.1951014921621236E-4</v>
      </c>
      <c r="K14" s="7">
        <f t="shared" si="4"/>
        <v>4.2563733648606582E-4</v>
      </c>
    </row>
    <row r="15" spans="1:11" ht="15" customHeight="1" x14ac:dyDescent="0.25">
      <c r="A15" s="2">
        <v>13</v>
      </c>
      <c r="B15" s="7">
        <f>'Ejercicio 1.e (1)'!F15</f>
        <v>0.37037037037037035</v>
      </c>
      <c r="C15" s="7">
        <f t="shared" si="0"/>
        <v>0.37037037037037035</v>
      </c>
      <c r="D15" s="7">
        <f>'Ejercicio 1.e (1)'!G15</f>
        <v>0.35465371506988908</v>
      </c>
      <c r="E15" s="7">
        <f t="shared" si="1"/>
        <v>0.35469778040507688</v>
      </c>
      <c r="F15" s="7">
        <f t="shared" si="2"/>
        <v>0.36465001891249188</v>
      </c>
      <c r="G15" s="7">
        <f>'Ejercicio 1.e (1)'!I15</f>
        <v>0.36268868578637298</v>
      </c>
      <c r="H15" s="7">
        <f>'Ejercicio 1.e (1)'!J15</f>
        <v>0.34882430456210672</v>
      </c>
      <c r="I15" s="7">
        <f t="shared" si="3"/>
        <v>0.35071066245124149</v>
      </c>
      <c r="J15" s="7">
        <f>'Ejercicio 1.e (1)'!K15</f>
        <v>4.2334797253579693E-4</v>
      </c>
      <c r="K15" s="7">
        <f t="shared" si="4"/>
        <v>4.2563733648606582E-4</v>
      </c>
    </row>
    <row r="16" spans="1:11" ht="15" customHeight="1" x14ac:dyDescent="0.25">
      <c r="A16" s="2">
        <v>14</v>
      </c>
      <c r="B16" s="7">
        <f>'Ejercicio 1.e (1)'!F16</f>
        <v>0.37037037037037035</v>
      </c>
      <c r="C16" s="7">
        <f t="shared" si="0"/>
        <v>0.37037037037037035</v>
      </c>
      <c r="D16" s="7">
        <f>'Ejercicio 1.e (1)'!G16</f>
        <v>0.35465293697529404</v>
      </c>
      <c r="E16" s="7">
        <f t="shared" si="1"/>
        <v>0.35469778040507688</v>
      </c>
      <c r="F16" s="7">
        <f t="shared" si="2"/>
        <v>0.36465001891249188</v>
      </c>
      <c r="G16" s="7">
        <f>'Ejercicio 1.e (1)'!I16</f>
        <v>0.36393843245832586</v>
      </c>
      <c r="H16" s="7">
        <f>'Ejercicio 1.e (1)'!J16</f>
        <v>0.35002627757865551</v>
      </c>
      <c r="I16" s="7">
        <f t="shared" si="3"/>
        <v>0.35071066245124149</v>
      </c>
      <c r="J16" s="7">
        <f>'Ejercicio 1.e (1)'!K16</f>
        <v>4.2480673797428163E-4</v>
      </c>
      <c r="K16" s="7">
        <f t="shared" si="4"/>
        <v>4.2563733648606582E-4</v>
      </c>
    </row>
    <row r="17" spans="1:11" ht="15" customHeight="1" x14ac:dyDescent="0.25">
      <c r="A17" s="2">
        <v>15</v>
      </c>
      <c r="B17" s="7">
        <f>'Ejercicio 1.e (1)'!F17</f>
        <v>0.37037037037037035</v>
      </c>
      <c r="C17" s="7">
        <f t="shared" si="0"/>
        <v>0.37037037037037035</v>
      </c>
      <c r="D17" s="7">
        <f>'Ejercicio 1.e (1)'!G17</f>
        <v>0.35464570796954875</v>
      </c>
      <c r="E17" s="7">
        <f t="shared" si="1"/>
        <v>0.35469778040507688</v>
      </c>
      <c r="F17" s="7">
        <f t="shared" si="2"/>
        <v>0.36465001891249188</v>
      </c>
      <c r="G17" s="7">
        <f>'Ejercicio 1.e (1)'!I17</f>
        <v>0.35846032754993512</v>
      </c>
      <c r="H17" s="7">
        <f>'Ejercicio 1.e (1)'!J17</f>
        <v>0.34475758238667703</v>
      </c>
      <c r="I17" s="7">
        <f t="shared" si="3"/>
        <v>0.35071066245124149</v>
      </c>
      <c r="J17" s="7">
        <f>'Ejercicio 1.e (1)'!K17</f>
        <v>4.184124260004264E-4</v>
      </c>
      <c r="K17" s="7">
        <f t="shared" si="4"/>
        <v>4.2563733648606582E-4</v>
      </c>
    </row>
    <row r="18" spans="1:11" ht="15" customHeight="1" x14ac:dyDescent="0.25">
      <c r="A18" s="2">
        <v>16</v>
      </c>
      <c r="B18" s="7">
        <f>'Ejercicio 1.e (1)'!F18</f>
        <v>0.37037037037037035</v>
      </c>
      <c r="C18" s="7">
        <f t="shared" si="0"/>
        <v>0.37037037037037035</v>
      </c>
      <c r="D18" s="7">
        <f>'Ejercicio 1.e (1)'!G18</f>
        <v>0.35463648543969922</v>
      </c>
      <c r="E18" s="7">
        <f t="shared" si="1"/>
        <v>0.35469778040507688</v>
      </c>
      <c r="F18" s="7">
        <f t="shared" si="2"/>
        <v>0.36465001891249188</v>
      </c>
      <c r="G18" s="7">
        <f>'Ejercicio 1.e (1)'!I18</f>
        <v>0.35677695845842156</v>
      </c>
      <c r="H18" s="7">
        <f>'Ejercicio 1.e (1)'!J18</f>
        <v>0.34313856289232636</v>
      </c>
      <c r="I18" s="7">
        <f t="shared" si="3"/>
        <v>0.35071066245124149</v>
      </c>
      <c r="J18" s="7">
        <f>'Ejercicio 1.e (1)'!K18</f>
        <v>4.1644751526609641E-4</v>
      </c>
      <c r="K18" s="7">
        <f t="shared" si="4"/>
        <v>4.2563733648606582E-4</v>
      </c>
    </row>
    <row r="19" spans="1:11" ht="15" customHeight="1" x14ac:dyDescent="0.25">
      <c r="A19" s="2">
        <v>17</v>
      </c>
      <c r="B19" s="7">
        <f>'Ejercicio 1.e (1)'!F19</f>
        <v>0.37037037037037035</v>
      </c>
      <c r="C19" s="7">
        <f t="shared" si="0"/>
        <v>0.37037037037037035</v>
      </c>
      <c r="D19" s="7">
        <f>'Ejercicio 1.e (1)'!G19</f>
        <v>0.35462900043888373</v>
      </c>
      <c r="E19" s="7">
        <f t="shared" si="1"/>
        <v>0.35469778040507688</v>
      </c>
      <c r="F19" s="7">
        <f t="shared" si="2"/>
        <v>0.36465001891249188</v>
      </c>
      <c r="G19" s="7">
        <f>'Ejercicio 1.e (1)'!I19</f>
        <v>0.35822776483887597</v>
      </c>
      <c r="H19" s="7">
        <f>'Ejercicio 1.e (1)'!J19</f>
        <v>0.34453390977396126</v>
      </c>
      <c r="I19" s="7">
        <f t="shared" si="3"/>
        <v>0.35071066245124149</v>
      </c>
      <c r="J19" s="7">
        <f>'Ejercicio 1.e (1)'!K19</f>
        <v>4.1814096742983205E-4</v>
      </c>
      <c r="K19" s="7">
        <f t="shared" si="4"/>
        <v>4.2563733648606582E-4</v>
      </c>
    </row>
    <row r="20" spans="1:11" ht="15" customHeight="1" x14ac:dyDescent="0.25">
      <c r="A20" s="2">
        <v>18</v>
      </c>
      <c r="B20" s="7">
        <f>'Ejercicio 1.e (1)'!F20</f>
        <v>0.37037037037037035</v>
      </c>
      <c r="C20" s="7">
        <f t="shared" si="0"/>
        <v>0.37037037037037035</v>
      </c>
      <c r="D20" s="7">
        <f>'Ejercicio 1.e (1)'!G20</f>
        <v>0.3546185520499045</v>
      </c>
      <c r="E20" s="7">
        <f t="shared" si="1"/>
        <v>0.35469778040507688</v>
      </c>
      <c r="F20" s="7">
        <f t="shared" si="2"/>
        <v>0.36465001891249188</v>
      </c>
      <c r="G20" s="7">
        <f>'Ejercicio 1.e (1)'!I20</f>
        <v>0.35573310651821954</v>
      </c>
      <c r="H20" s="7">
        <f>'Ejercicio 1.e (1)'!J20</f>
        <v>0.34213461393726785</v>
      </c>
      <c r="I20" s="7">
        <f t="shared" si="3"/>
        <v>0.35071066245124149</v>
      </c>
      <c r="J20" s="7">
        <f>'Ejercicio 1.e (1)'!K20</f>
        <v>4.1522908022847196E-4</v>
      </c>
      <c r="K20" s="7">
        <f t="shared" si="4"/>
        <v>4.2563733648606582E-4</v>
      </c>
    </row>
    <row r="21" spans="1:11" ht="15" customHeight="1" x14ac:dyDescent="0.25">
      <c r="A21" s="2">
        <v>19</v>
      </c>
      <c r="B21" s="7">
        <f>'Ejercicio 1.e (1)'!F21</f>
        <v>0.37037037037037035</v>
      </c>
      <c r="C21" s="7">
        <f t="shared" si="0"/>
        <v>0.37037037037037035</v>
      </c>
      <c r="D21" s="7">
        <f>'Ejercicio 1.e (1)'!G21</f>
        <v>0.35460736728581504</v>
      </c>
      <c r="E21" s="7">
        <f t="shared" si="1"/>
        <v>0.35469778040507688</v>
      </c>
      <c r="F21" s="7">
        <f t="shared" si="2"/>
        <v>0.36465001891249188</v>
      </c>
      <c r="G21" s="7">
        <f>'Ejercicio 1.e (1)'!I21</f>
        <v>0.35510706020858712</v>
      </c>
      <c r="H21" s="7">
        <f>'Ejercicio 1.e (1)'!J21</f>
        <v>0.34153249929421603</v>
      </c>
      <c r="I21" s="7">
        <f t="shared" si="3"/>
        <v>0.35071066245124149</v>
      </c>
      <c r="J21" s="7">
        <f>'Ejercicio 1.e (1)'!K21</f>
        <v>4.1449832835701016E-4</v>
      </c>
      <c r="K21" s="7">
        <f t="shared" si="4"/>
        <v>4.2563733648606582E-4</v>
      </c>
    </row>
    <row r="22" spans="1:11" ht="15" customHeight="1" x14ac:dyDescent="0.25">
      <c r="A22" s="2">
        <v>20</v>
      </c>
      <c r="B22" s="7">
        <f>'Ejercicio 1.e (1)'!F22</f>
        <v>0.37037037037037035</v>
      </c>
      <c r="C22" s="7">
        <f t="shared" si="0"/>
        <v>0.37037037037037035</v>
      </c>
      <c r="D22" s="7">
        <f>'Ejercicio 1.e (1)'!G22</f>
        <v>0.35459530794903582</v>
      </c>
      <c r="E22" s="7">
        <f t="shared" si="1"/>
        <v>0.35469778040507688</v>
      </c>
      <c r="F22" s="7">
        <f t="shared" si="2"/>
        <v>0.36465001891249188</v>
      </c>
      <c r="G22" s="7">
        <f>'Ejercicio 1.e (1)'!I22</f>
        <v>0.35436616252272385</v>
      </c>
      <c r="H22" s="7">
        <f>'Ejercicio 1.e (1)'!J22</f>
        <v>0.3408199236607562</v>
      </c>
      <c r="I22" s="7">
        <f t="shared" si="3"/>
        <v>0.35071066245124149</v>
      </c>
      <c r="J22" s="7">
        <f>'Ejercicio 1.e (1)'!K22</f>
        <v>4.1363351634202654E-4</v>
      </c>
      <c r="K22" s="7">
        <f t="shared" si="4"/>
        <v>4.2563733648606582E-4</v>
      </c>
    </row>
    <row r="23" spans="1:11" ht="15" customHeight="1" x14ac:dyDescent="0.25">
      <c r="A23" s="2">
        <v>21</v>
      </c>
      <c r="B23" s="7">
        <f>'Ejercicio 1.e (1)'!F23</f>
        <v>0.37037037037037035</v>
      </c>
      <c r="C23" s="7">
        <f t="shared" si="0"/>
        <v>0.37037037037037035</v>
      </c>
      <c r="D23" s="7">
        <f>'Ejercicio 1.e (1)'!G23</f>
        <v>0.35458206392226665</v>
      </c>
      <c r="E23" s="7">
        <f t="shared" si="1"/>
        <v>0.35469778040507688</v>
      </c>
      <c r="F23" s="7">
        <f t="shared" si="2"/>
        <v>0.36465001891249188</v>
      </c>
      <c r="G23" s="7">
        <f>'Ejercicio 1.e (1)'!I23</f>
        <v>0.35336811248858258</v>
      </c>
      <c r="H23" s="7">
        <f>'Ejercicio 1.e (1)'!J23</f>
        <v>0.33986002575734442</v>
      </c>
      <c r="I23" s="7">
        <f t="shared" si="3"/>
        <v>0.35071066245124149</v>
      </c>
      <c r="J23" s="7">
        <f>'Ejercicio 1.e (1)'!K23</f>
        <v>4.1246854352924942E-4</v>
      </c>
      <c r="K23" s="7">
        <f t="shared" si="4"/>
        <v>4.2563733648606582E-4</v>
      </c>
    </row>
    <row r="24" spans="1:11" ht="15" customHeight="1" x14ac:dyDescent="0.25">
      <c r="A24" s="2">
        <v>22</v>
      </c>
      <c r="B24" s="7">
        <f>'Ejercicio 1.e (1)'!F24</f>
        <v>0.37037037037037035</v>
      </c>
      <c r="C24" s="7">
        <f t="shared" si="0"/>
        <v>0.37037037037037035</v>
      </c>
      <c r="D24" s="7">
        <f>'Ejercicio 1.e (1)'!G24</f>
        <v>0.35456169509973939</v>
      </c>
      <c r="E24" s="7">
        <f t="shared" si="1"/>
        <v>0.35469778040507688</v>
      </c>
      <c r="F24" s="7">
        <f t="shared" si="2"/>
        <v>0.36465001891249188</v>
      </c>
      <c r="G24" s="7">
        <f>'Ejercicio 1.e (1)'!I24</f>
        <v>0.34748420063326524</v>
      </c>
      <c r="H24" s="7">
        <f>'Ejercicio 1.e (1)'!J24</f>
        <v>0.33420103626726499</v>
      </c>
      <c r="I24" s="7">
        <f t="shared" si="3"/>
        <v>0.35071066245124149</v>
      </c>
      <c r="J24" s="7">
        <f>'Ejercicio 1.e (1)'!K24</f>
        <v>4.0560055383961479E-4</v>
      </c>
      <c r="K24" s="7">
        <f t="shared" si="4"/>
        <v>4.2563733648606582E-4</v>
      </c>
    </row>
    <row r="25" spans="1:11" ht="15" customHeight="1" x14ac:dyDescent="0.25">
      <c r="A25" s="2">
        <v>23</v>
      </c>
      <c r="B25" s="7">
        <f>'Ejercicio 1.e (1)'!F25</f>
        <v>0.37037037037037035</v>
      </c>
      <c r="C25" s="7">
        <f t="shared" si="0"/>
        <v>0.37037037037037035</v>
      </c>
      <c r="D25" s="7">
        <f>'Ejercicio 1.e (1)'!G25</f>
        <v>0.35454253826569776</v>
      </c>
      <c r="E25" s="7">
        <f t="shared" si="1"/>
        <v>0.35469778040507688</v>
      </c>
      <c r="F25" s="7">
        <f t="shared" si="2"/>
        <v>0.36465001891249188</v>
      </c>
      <c r="G25" s="7">
        <f>'Ejercicio 1.e (1)'!I25</f>
        <v>0.34845494888479672</v>
      </c>
      <c r="H25" s="7">
        <f>'Ejercicio 1.e (1)'!J25</f>
        <v>0.33513467604434038</v>
      </c>
      <c r="I25" s="7">
        <f t="shared" si="3"/>
        <v>0.35071066245124149</v>
      </c>
      <c r="J25" s="7">
        <f>'Ejercicio 1.e (1)'!K25</f>
        <v>4.0673365867644612E-4</v>
      </c>
      <c r="K25" s="7">
        <f t="shared" si="4"/>
        <v>4.2563733648606582E-4</v>
      </c>
    </row>
    <row r="26" spans="1:11" ht="15" customHeight="1" x14ac:dyDescent="0.25">
      <c r="A26" s="2">
        <v>24</v>
      </c>
      <c r="B26" s="7">
        <f>'Ejercicio 1.e (1)'!F26</f>
        <v>0.37037037037037035</v>
      </c>
      <c r="C26" s="7">
        <f t="shared" si="0"/>
        <v>0.37037037037037035</v>
      </c>
      <c r="D26" s="7">
        <f>'Ejercicio 1.e (1)'!G26</f>
        <v>0.35452634171591479</v>
      </c>
      <c r="E26" s="7">
        <f t="shared" si="1"/>
        <v>0.35469778040507688</v>
      </c>
      <c r="F26" s="7">
        <f t="shared" si="2"/>
        <v>0.36465001891249188</v>
      </c>
      <c r="G26" s="7">
        <f>'Ejercicio 1.e (1)'!I26</f>
        <v>0.35086931371529645</v>
      </c>
      <c r="H26" s="7">
        <f>'Ejercicio 1.e (1)'!J26</f>
        <v>0.33745674774374357</v>
      </c>
      <c r="I26" s="7">
        <f t="shared" si="3"/>
        <v>0.35071066245124149</v>
      </c>
      <c r="J26" s="7">
        <f>'Ejercicio 1.e (1)'!K26</f>
        <v>4.0955182338907743E-4</v>
      </c>
      <c r="K26" s="7">
        <f t="shared" si="4"/>
        <v>4.2563733648606582E-4</v>
      </c>
    </row>
    <row r="27" spans="1:11" ht="15" customHeight="1" x14ac:dyDescent="0.25">
      <c r="A27" s="2">
        <v>25</v>
      </c>
      <c r="B27" s="7">
        <f>'Ejercicio 1.e (1)'!F27</f>
        <v>0.37037037037037035</v>
      </c>
      <c r="C27" s="7">
        <f t="shared" si="0"/>
        <v>0.37037037037037035</v>
      </c>
      <c r="D27" s="7">
        <f>'Ejercicio 1.e (1)'!G27</f>
        <v>0.35451536436376779</v>
      </c>
      <c r="E27" s="7">
        <f t="shared" si="1"/>
        <v>0.35469778040507688</v>
      </c>
      <c r="F27" s="7">
        <f t="shared" si="2"/>
        <v>0.36465001891249188</v>
      </c>
      <c r="G27" s="7">
        <f>'Ejercicio 1.e (1)'!I27</f>
        <v>0.35518549740209798</v>
      </c>
      <c r="H27" s="7">
        <f>'Ejercicio 1.e (1)'!J27</f>
        <v>0.34160793809490236</v>
      </c>
      <c r="I27" s="7">
        <f t="shared" si="3"/>
        <v>0.35071066245124149</v>
      </c>
      <c r="J27" s="7">
        <f>'Ejercicio 1.e (1)'!K27</f>
        <v>4.1458988408550563E-4</v>
      </c>
      <c r="K27" s="7">
        <f t="shared" si="4"/>
        <v>4.2563733648606582E-4</v>
      </c>
    </row>
    <row r="28" spans="1:11" ht="15" customHeight="1" x14ac:dyDescent="0.25">
      <c r="A28" s="2">
        <v>26</v>
      </c>
      <c r="B28" s="7">
        <f>'Ejercicio 1.e (1)'!F28</f>
        <v>0.37037037037037035</v>
      </c>
      <c r="C28" s="7">
        <f t="shared" si="0"/>
        <v>0.37037037037037035</v>
      </c>
      <c r="D28" s="7">
        <f>'Ejercicio 1.e (1)'!G28</f>
        <v>0.35450367094103002</v>
      </c>
      <c r="E28" s="7">
        <f t="shared" si="1"/>
        <v>0.35469778040507688</v>
      </c>
      <c r="F28" s="7">
        <f t="shared" si="2"/>
        <v>0.36465001891249188</v>
      </c>
      <c r="G28" s="7">
        <f>'Ejercicio 1.e (1)'!I28</f>
        <v>0.35457660719220113</v>
      </c>
      <c r="H28" s="7">
        <f>'Ejercicio 1.e (1)'!J28</f>
        <v>0.34102232373099839</v>
      </c>
      <c r="I28" s="7">
        <f t="shared" si="3"/>
        <v>0.35071066245124149</v>
      </c>
      <c r="J28" s="7">
        <f>'Ejercicio 1.e (1)'!K28</f>
        <v>4.1387915765273079E-4</v>
      </c>
      <c r="K28" s="7">
        <f t="shared" si="4"/>
        <v>4.2563733648606582E-4</v>
      </c>
    </row>
    <row r="29" spans="1:11" ht="15" customHeight="1" x14ac:dyDescent="0.25">
      <c r="A29" s="2">
        <v>27</v>
      </c>
      <c r="B29" s="7">
        <f>'Ejercicio 1.e (1)'!F29</f>
        <v>0.37037037037037035</v>
      </c>
      <c r="C29" s="7">
        <f t="shared" si="0"/>
        <v>0.37037037037037035</v>
      </c>
      <c r="D29" s="7">
        <f>'Ejercicio 1.e (1)'!G29</f>
        <v>0.35448715443713363</v>
      </c>
      <c r="E29" s="7">
        <f t="shared" si="1"/>
        <v>0.35469778040507688</v>
      </c>
      <c r="F29" s="7">
        <f t="shared" si="2"/>
        <v>0.36465001891249188</v>
      </c>
      <c r="G29" s="7">
        <f>'Ejercicio 1.e (1)'!I29</f>
        <v>0.35056549225879147</v>
      </c>
      <c r="H29" s="7">
        <f>'Ejercicio 1.e (1)'!J29</f>
        <v>0.33716454037023091</v>
      </c>
      <c r="I29" s="7">
        <f t="shared" si="3"/>
        <v>0.35071066245124149</v>
      </c>
      <c r="J29" s="7">
        <f>'Ejercicio 1.e (1)'!K29</f>
        <v>4.0919718812565479E-4</v>
      </c>
      <c r="K29" s="7">
        <f t="shared" si="4"/>
        <v>4.2563733648606582E-4</v>
      </c>
    </row>
    <row r="30" spans="1:11" ht="15" customHeight="1" x14ac:dyDescent="0.25">
      <c r="A30" s="2">
        <v>28</v>
      </c>
      <c r="B30" s="7">
        <f>'Ejercicio 1.e (1)'!F30</f>
        <v>0.37037037037037035</v>
      </c>
      <c r="C30" s="7">
        <f t="shared" si="0"/>
        <v>0.37037037037037035</v>
      </c>
      <c r="D30" s="7">
        <f>'Ejercicio 1.e (1)'!G30</f>
        <v>0.35446727173615133</v>
      </c>
      <c r="E30" s="7">
        <f t="shared" si="1"/>
        <v>0.35469778040507688</v>
      </c>
      <c r="F30" s="7">
        <f t="shared" si="2"/>
        <v>0.36465001891249188</v>
      </c>
      <c r="G30" s="7">
        <f>'Ejercicio 1.e (1)'!I30</f>
        <v>0.34778414468929664</v>
      </c>
      <c r="H30" s="7">
        <f>'Ejercicio 1.e (1)'!J30</f>
        <v>0.33448951446041797</v>
      </c>
      <c r="I30" s="7">
        <f t="shared" si="3"/>
        <v>0.35071066245124149</v>
      </c>
      <c r="J30" s="7">
        <f>'Ejercicio 1.e (1)'!K30</f>
        <v>4.0595066321156762E-4</v>
      </c>
      <c r="K30" s="7">
        <f t="shared" si="4"/>
        <v>4.2563733648606582E-4</v>
      </c>
    </row>
    <row r="31" spans="1:11" ht="15" customHeight="1" x14ac:dyDescent="0.25">
      <c r="A31" s="2">
        <v>29</v>
      </c>
      <c r="B31" s="7">
        <f>'Ejercicio 1.e (1)'!F31</f>
        <v>0.37037037037037035</v>
      </c>
      <c r="C31" s="7">
        <f t="shared" si="0"/>
        <v>0.37037037037037035</v>
      </c>
      <c r="D31" s="7">
        <f>'Ejercicio 1.e (1)'!G31</f>
        <v>0.35444633532346753</v>
      </c>
      <c r="E31" s="7">
        <f t="shared" si="1"/>
        <v>0.35469778040507688</v>
      </c>
      <c r="F31" s="7">
        <f t="shared" si="2"/>
        <v>0.36465001891249188</v>
      </c>
      <c r="G31" s="7">
        <f>'Ejercicio 1.e (1)'!I31</f>
        <v>0.34690288423892618</v>
      </c>
      <c r="H31" s="7">
        <f>'Ejercicio 1.e (1)'!J31</f>
        <v>0.33364194166373135</v>
      </c>
      <c r="I31" s="7">
        <f t="shared" si="3"/>
        <v>0.35071066245124149</v>
      </c>
      <c r="J31" s="7">
        <f>'Ejercicio 1.e (1)'!K31</f>
        <v>4.0492201291294746E-4</v>
      </c>
      <c r="K31" s="7">
        <f t="shared" si="4"/>
        <v>4.2563733648606582E-4</v>
      </c>
    </row>
    <row r="32" spans="1:11" ht="15" customHeight="1" x14ac:dyDescent="0.25">
      <c r="A32" s="2">
        <v>30</v>
      </c>
      <c r="B32" s="7">
        <f>'Ejercicio 1.e (1)'!F32</f>
        <v>0.37037037037037035</v>
      </c>
      <c r="C32" s="7">
        <f t="shared" si="0"/>
        <v>0.37037037037037035</v>
      </c>
      <c r="D32" s="7">
        <f>'Ejercicio 1.e (1)'!G32</f>
        <v>0.3544254440068465</v>
      </c>
      <c r="E32" s="7">
        <f t="shared" si="1"/>
        <v>0.35469778040507688</v>
      </c>
      <c r="F32" s="7">
        <f t="shared" si="2"/>
        <v>0.36465001891249188</v>
      </c>
      <c r="G32" s="7">
        <f>'Ejercicio 1.e (1)'!I32</f>
        <v>0.34691818360374632</v>
      </c>
      <c r="H32" s="7">
        <f>'Ejercicio 1.e (1)'!J32</f>
        <v>0.33365665618475937</v>
      </c>
      <c r="I32" s="7">
        <f t="shared" si="3"/>
        <v>0.35071066245124149</v>
      </c>
      <c r="J32" s="7">
        <f>'Ejercicio 1.e (1)'!K32</f>
        <v>4.0493987107983136E-4</v>
      </c>
      <c r="K32" s="7">
        <f t="shared" si="4"/>
        <v>4.2563733648606582E-4</v>
      </c>
    </row>
    <row r="33" spans="1:11" ht="15" customHeight="1" x14ac:dyDescent="0.25">
      <c r="A33" s="2">
        <v>31</v>
      </c>
      <c r="B33" s="7">
        <f>'Ejercicio 1.e (1)'!F33</f>
        <v>0.37037037037037035</v>
      </c>
      <c r="C33" s="7">
        <f t="shared" si="0"/>
        <v>0.37037037037037035</v>
      </c>
      <c r="D33" s="7">
        <f>'Ejercicio 1.e (1)'!G33</f>
        <v>0.35440409818360202</v>
      </c>
      <c r="E33" s="7">
        <f t="shared" si="1"/>
        <v>0.35469778040507688</v>
      </c>
      <c r="F33" s="7">
        <f t="shared" si="2"/>
        <v>0.36465001891249188</v>
      </c>
      <c r="G33" s="7">
        <f>'Ejercicio 1.e (1)'!I33</f>
        <v>0.3465260371499157</v>
      </c>
      <c r="H33" s="7">
        <f>'Ejercicio 1.e (1)'!J33</f>
        <v>0.3332795001845732</v>
      </c>
      <c r="I33" s="7">
        <f t="shared" si="3"/>
        <v>0.35071066245124149</v>
      </c>
      <c r="J33" s="7">
        <f>'Ejercicio 1.e (1)'!K33</f>
        <v>4.0448213855970506E-4</v>
      </c>
      <c r="K33" s="7">
        <f t="shared" si="4"/>
        <v>4.2563733648606582E-4</v>
      </c>
    </row>
    <row r="34" spans="1:11" ht="15" customHeight="1" x14ac:dyDescent="0.25">
      <c r="A34" s="2">
        <v>32</v>
      </c>
      <c r="B34" s="7">
        <f>'Ejercicio 1.e (1)'!F34</f>
        <v>0.37037037037037035</v>
      </c>
      <c r="C34" s="7">
        <f t="shared" si="0"/>
        <v>0.37037037037037035</v>
      </c>
      <c r="D34" s="7">
        <f>'Ejercicio 1.e (1)'!G34</f>
        <v>0.35438591992216262</v>
      </c>
      <c r="E34" s="7">
        <f t="shared" si="1"/>
        <v>0.35469778040507688</v>
      </c>
      <c r="F34" s="7">
        <f t="shared" si="2"/>
        <v>0.36465001891249188</v>
      </c>
      <c r="G34" s="7">
        <f>'Ejercicio 1.e (1)'!I34</f>
        <v>0.34909581738138984</v>
      </c>
      <c r="H34" s="7">
        <f>'Ejercicio 1.e (1)'!J34</f>
        <v>0.335751046271482</v>
      </c>
      <c r="I34" s="7">
        <f t="shared" si="3"/>
        <v>0.35071066245124149</v>
      </c>
      <c r="J34" s="7">
        <f>'Ejercicio 1.e (1)'!K34</f>
        <v>4.0748171172945631E-4</v>
      </c>
      <c r="K34" s="7">
        <f t="shared" si="4"/>
        <v>4.2563733648606582E-4</v>
      </c>
    </row>
    <row r="35" spans="1:11" ht="15" customHeight="1" x14ac:dyDescent="0.25">
      <c r="A35" s="2">
        <v>33</v>
      </c>
      <c r="B35" s="7">
        <f>'Ejercicio 1.e (1)'!F35</f>
        <v>0.37037037037037035</v>
      </c>
      <c r="C35" s="7">
        <f t="shared" si="0"/>
        <v>0.37037037037037035</v>
      </c>
      <c r="D35" s="7">
        <f>'Ejercicio 1.e (1)'!G35</f>
        <v>0.35437733994824133</v>
      </c>
      <c r="E35" s="7">
        <f t="shared" si="1"/>
        <v>0.35469778040507688</v>
      </c>
      <c r="F35" s="7">
        <f t="shared" si="2"/>
        <v>0.36465001891249188</v>
      </c>
      <c r="G35" s="7">
        <f>'Ejercicio 1.e (1)'!I35</f>
        <v>0.35704926939033432</v>
      </c>
      <c r="H35" s="7">
        <f>'Ejercicio 1.e (1)'!J35</f>
        <v>0.34340046428371712</v>
      </c>
      <c r="I35" s="7">
        <f t="shared" si="3"/>
        <v>0.35071066245124149</v>
      </c>
      <c r="J35" s="7">
        <f>'Ejercicio 1.e (1)'!K35</f>
        <v>4.167653699040889E-4</v>
      </c>
      <c r="K35" s="7">
        <f t="shared" si="4"/>
        <v>4.2563733648606582E-4</v>
      </c>
    </row>
    <row r="36" spans="1:11" ht="15" customHeight="1" x14ac:dyDescent="0.25">
      <c r="A36" s="2">
        <v>34</v>
      </c>
      <c r="B36" s="7">
        <f>'Ejercicio 1.e (1)'!F36</f>
        <v>0.37037037037037035</v>
      </c>
      <c r="C36" s="7">
        <f t="shared" si="0"/>
        <v>0.37037037037037035</v>
      </c>
      <c r="D36" s="7">
        <f>'Ejercicio 1.e (1)'!G36</f>
        <v>0.35436596476814802</v>
      </c>
      <c r="E36" s="7">
        <f t="shared" si="1"/>
        <v>0.35469778040507688</v>
      </c>
      <c r="F36" s="7">
        <f t="shared" si="2"/>
        <v>0.36465001891249188</v>
      </c>
      <c r="G36" s="7">
        <f>'Ejercicio 1.e (1)'!I36</f>
        <v>0.35470023044007759</v>
      </c>
      <c r="H36" s="7">
        <f>'Ejercicio 1.e (1)'!J36</f>
        <v>0.34114122127359675</v>
      </c>
      <c r="I36" s="7">
        <f t="shared" si="3"/>
        <v>0.35071066245124149</v>
      </c>
      <c r="J36" s="7">
        <f>'Ejercicio 1.e (1)'!K36</f>
        <v>4.1402345675385475E-4</v>
      </c>
      <c r="K36" s="7">
        <f t="shared" si="4"/>
        <v>4.2563733648606582E-4</v>
      </c>
    </row>
    <row r="37" spans="1:11" ht="15" customHeight="1" x14ac:dyDescent="0.25">
      <c r="A37" s="2">
        <v>35</v>
      </c>
      <c r="B37" s="7">
        <f>'Ejercicio 1.e (1)'!F37</f>
        <v>0.37037037037037035</v>
      </c>
      <c r="C37" s="7">
        <f t="shared" si="0"/>
        <v>0.37037037037037035</v>
      </c>
      <c r="D37" s="7">
        <f>'Ejercicio 1.e (1)'!G37</f>
        <v>0.35435888405049959</v>
      </c>
      <c r="E37" s="7">
        <f t="shared" si="1"/>
        <v>0.35469778040507688</v>
      </c>
      <c r="F37" s="7">
        <f t="shared" si="2"/>
        <v>0.36465001891249188</v>
      </c>
      <c r="G37" s="7">
        <f>'Ejercicio 1.e (1)'!I37</f>
        <v>0.35829032207671013</v>
      </c>
      <c r="H37" s="7">
        <f>'Ejercicio 1.e (1)'!J37</f>
        <v>0.34459407565681893</v>
      </c>
      <c r="I37" s="7">
        <f t="shared" si="3"/>
        <v>0.35071066245124149</v>
      </c>
      <c r="J37" s="7">
        <f>'Ejercicio 1.e (1)'!K37</f>
        <v>4.1821398729740005E-4</v>
      </c>
      <c r="K37" s="7">
        <f t="shared" si="4"/>
        <v>4.2563733648606582E-4</v>
      </c>
    </row>
    <row r="38" spans="1:11" ht="15" customHeight="1" x14ac:dyDescent="0.25">
      <c r="A38" s="2">
        <v>36</v>
      </c>
      <c r="B38" s="7">
        <f>'Ejercicio 1.e (1)'!F38</f>
        <v>0.37037037037037035</v>
      </c>
      <c r="C38" s="7">
        <f t="shared" si="0"/>
        <v>0.37037037037037035</v>
      </c>
      <c r="D38" s="7">
        <f>'Ejercicio 1.e (1)'!G38</f>
        <v>0.35435294179144466</v>
      </c>
      <c r="E38" s="7">
        <f t="shared" si="1"/>
        <v>0.35469778040507688</v>
      </c>
      <c r="F38" s="7">
        <f t="shared" si="2"/>
        <v>0.36465001891249188</v>
      </c>
      <c r="G38" s="7">
        <f>'Ejercicio 1.e (1)'!I38</f>
        <v>0.35924398359682158</v>
      </c>
      <c r="H38" s="7">
        <f>'Ejercicio 1.e (1)'!J38</f>
        <v>0.34551128187134217</v>
      </c>
      <c r="I38" s="7">
        <f t="shared" si="3"/>
        <v>0.35071066245124149</v>
      </c>
      <c r="J38" s="7">
        <f>'Ejercicio 1.e (1)'!K38</f>
        <v>4.1932714766563492E-4</v>
      </c>
      <c r="K38" s="7">
        <f t="shared" si="4"/>
        <v>4.2563733648606582E-4</v>
      </c>
    </row>
    <row r="39" spans="1:11" ht="15" customHeight="1" x14ac:dyDescent="0.25">
      <c r="A39" s="2">
        <v>37</v>
      </c>
      <c r="B39" s="7">
        <f>'Ejercicio 1.e (1)'!F39</f>
        <v>0.37037037037037035</v>
      </c>
      <c r="C39" s="7">
        <f t="shared" si="0"/>
        <v>0.37037037037037035</v>
      </c>
      <c r="D39" s="7">
        <f>'Ejercicio 1.e (1)'!G39</f>
        <v>0.35435119134107579</v>
      </c>
      <c r="E39" s="7">
        <f t="shared" si="1"/>
        <v>0.35469778040507688</v>
      </c>
      <c r="F39" s="7">
        <f t="shared" si="2"/>
        <v>0.36465001891249188</v>
      </c>
      <c r="G39" s="7">
        <f>'Ejercicio 1.e (1)'!I39</f>
        <v>0.36279830063489171</v>
      </c>
      <c r="H39" s="7">
        <f>'Ejercicio 1.e (1)'!J39</f>
        <v>0.3489297291998269</v>
      </c>
      <c r="I39" s="7">
        <f t="shared" si="3"/>
        <v>0.35071066245124149</v>
      </c>
      <c r="J39" s="7">
        <f>'Ejercicio 1.e (1)'!K39</f>
        <v>4.2347592034806353E-4</v>
      </c>
      <c r="K39" s="7">
        <f t="shared" si="4"/>
        <v>4.2563733648606582E-4</v>
      </c>
    </row>
    <row r="40" spans="1:11" ht="15" customHeight="1" x14ac:dyDescent="0.25">
      <c r="A40" s="2">
        <v>38</v>
      </c>
      <c r="B40" s="7">
        <f>'Ejercicio 1.e (1)'!F40</f>
        <v>0.37037037037037035</v>
      </c>
      <c r="C40" s="7">
        <f t="shared" si="0"/>
        <v>0.37037037037037035</v>
      </c>
      <c r="D40" s="7">
        <f>'Ejercicio 1.e (1)'!G40</f>
        <v>0.35435150727116904</v>
      </c>
      <c r="E40" s="7">
        <f t="shared" si="1"/>
        <v>0.35469778040507688</v>
      </c>
      <c r="F40" s="7">
        <f t="shared" si="2"/>
        <v>0.36465001891249188</v>
      </c>
      <c r="G40" s="7">
        <f>'Ejercicio 1.e (1)'!I40</f>
        <v>0.36456458473736963</v>
      </c>
      <c r="H40" s="7">
        <f>'Ejercicio 1.e (1)'!J40</f>
        <v>0.35062849414026087</v>
      </c>
      <c r="I40" s="7">
        <f t="shared" si="3"/>
        <v>0.35071066245124149</v>
      </c>
      <c r="J40" s="7">
        <f>'Ejercicio 1.e (1)'!K40</f>
        <v>4.2553761353842311E-4</v>
      </c>
      <c r="K40" s="7">
        <f t="shared" si="4"/>
        <v>4.2563733648606582E-4</v>
      </c>
    </row>
    <row r="41" spans="1:11" ht="15" customHeight="1" x14ac:dyDescent="0.25">
      <c r="A41" s="2">
        <v>39</v>
      </c>
      <c r="B41" s="7">
        <f>'Ejercicio 1.e (1)'!F41</f>
        <v>0.37037037037037035</v>
      </c>
      <c r="C41" s="7">
        <f t="shared" si="0"/>
        <v>0.37037037037037035</v>
      </c>
      <c r="D41" s="7">
        <f>'Ejercicio 1.e (1)'!G41</f>
        <v>0.3543474779341424</v>
      </c>
      <c r="E41" s="7">
        <f t="shared" si="1"/>
        <v>0.35469778040507688</v>
      </c>
      <c r="F41" s="7">
        <f t="shared" si="2"/>
        <v>0.36465001891249188</v>
      </c>
      <c r="G41" s="7">
        <f>'Ejercicio 1.e (1)'!I41</f>
        <v>0.36085684234317439</v>
      </c>
      <c r="H41" s="7">
        <f>'Ejercicio 1.e (1)'!J41</f>
        <v>0.3470624863963292</v>
      </c>
      <c r="I41" s="7">
        <f t="shared" si="3"/>
        <v>0.35071066245124149</v>
      </c>
      <c r="J41" s="7">
        <f>'Ejercicio 1.e (1)'!K41</f>
        <v>4.2120975527655243E-4</v>
      </c>
      <c r="K41" s="7">
        <f t="shared" si="4"/>
        <v>4.2563733648606582E-4</v>
      </c>
    </row>
    <row r="42" spans="1:11" ht="15" customHeight="1" x14ac:dyDescent="0.25">
      <c r="A42" s="2">
        <v>40</v>
      </c>
      <c r="B42" s="7">
        <f>'Ejercicio 1.e (1)'!F42</f>
        <v>0.37037037037037035</v>
      </c>
      <c r="C42" s="7">
        <f t="shared" si="0"/>
        <v>0.37037037037037035</v>
      </c>
      <c r="D42" s="7">
        <f>'Ejercicio 1.e (1)'!G42</f>
        <v>0.35434365591879874</v>
      </c>
      <c r="E42" s="7">
        <f t="shared" si="1"/>
        <v>0.35469778040507688</v>
      </c>
      <c r="F42" s="7">
        <f t="shared" si="2"/>
        <v>0.36465001891249188</v>
      </c>
      <c r="G42" s="7">
        <f>'Ejercicio 1.e (1)'!I42</f>
        <v>0.36102876082611668</v>
      </c>
      <c r="H42" s="7">
        <f>'Ejercicio 1.e (1)'!J42</f>
        <v>0.34722783300791071</v>
      </c>
      <c r="I42" s="7">
        <f t="shared" si="3"/>
        <v>0.35071066245124149</v>
      </c>
      <c r="J42" s="7">
        <f>'Ejercicio 1.e (1)'!K42</f>
        <v>4.2141042693808292E-4</v>
      </c>
      <c r="K42" s="7">
        <f t="shared" si="4"/>
        <v>4.2563733648606582E-4</v>
      </c>
    </row>
    <row r="43" spans="1:11" ht="15" customHeight="1" x14ac:dyDescent="0.25">
      <c r="A43" s="2">
        <v>41</v>
      </c>
      <c r="B43" s="7">
        <f>'Ejercicio 1.e (1)'!F43</f>
        <v>0.37037037037037035</v>
      </c>
      <c r="C43" s="7">
        <f t="shared" si="0"/>
        <v>0.37037037037037035</v>
      </c>
      <c r="D43" s="7">
        <f>'Ejercicio 1.e (1)'!G43</f>
        <v>0.35434459813905267</v>
      </c>
      <c r="E43" s="7">
        <f t="shared" si="1"/>
        <v>0.35469778040507688</v>
      </c>
      <c r="F43" s="7">
        <f t="shared" si="2"/>
        <v>0.36465001891249188</v>
      </c>
      <c r="G43" s="7">
        <f>'Ejercicio 1.e (1)'!I43</f>
        <v>0.36509441620315991</v>
      </c>
      <c r="H43" s="7">
        <f>'Ejercicio 1.e (1)'!J43</f>
        <v>0.35113807191269314</v>
      </c>
      <c r="I43" s="7">
        <f t="shared" si="3"/>
        <v>0.35071066245124149</v>
      </c>
      <c r="J43" s="7">
        <f>'Ejercicio 1.e (1)'!K43</f>
        <v>4.261560587384482E-4</v>
      </c>
      <c r="K43" s="7">
        <f t="shared" si="4"/>
        <v>4.2563733648606582E-4</v>
      </c>
    </row>
    <row r="44" spans="1:11" ht="15" customHeight="1" x14ac:dyDescent="0.25">
      <c r="A44" s="2">
        <v>42</v>
      </c>
      <c r="B44" s="7">
        <f>'Ejercicio 1.e (1)'!F44</f>
        <v>0.37037037037037035</v>
      </c>
      <c r="C44" s="7">
        <f t="shared" si="0"/>
        <v>0.37037037037037035</v>
      </c>
      <c r="D44" s="7">
        <f>'Ejercicio 1.e (1)'!G44</f>
        <v>0.35435284815595131</v>
      </c>
      <c r="E44" s="7">
        <f t="shared" si="1"/>
        <v>0.35469778040507688</v>
      </c>
      <c r="F44" s="7">
        <f t="shared" si="2"/>
        <v>0.36465001891249188</v>
      </c>
      <c r="G44" s="7">
        <f>'Ejercicio 1.e (1)'!I44</f>
        <v>0.37142688353978198</v>
      </c>
      <c r="H44" s="7">
        <f>'Ejercicio 1.e (1)'!J44</f>
        <v>0.35722847010107373</v>
      </c>
      <c r="I44" s="7">
        <f t="shared" si="3"/>
        <v>0.35071066245124149</v>
      </c>
      <c r="J44" s="7">
        <f>'Ejercicio 1.e (1)'!K44</f>
        <v>4.3354762432394638E-4</v>
      </c>
      <c r="K44" s="7">
        <f t="shared" si="4"/>
        <v>4.2563733648606582E-4</v>
      </c>
    </row>
    <row r="45" spans="1:11" ht="15" customHeight="1" x14ac:dyDescent="0.25">
      <c r="A45" s="2">
        <v>43</v>
      </c>
      <c r="B45" s="7">
        <f>'Ejercicio 1.e (1)'!F45</f>
        <v>0.37037037037037035</v>
      </c>
      <c r="C45" s="7">
        <f t="shared" si="0"/>
        <v>0.37037037037037035</v>
      </c>
      <c r="D45" s="7">
        <f>'Ejercicio 1.e (1)'!G45</f>
        <v>0.35436111191700964</v>
      </c>
      <c r="E45" s="7">
        <f t="shared" si="1"/>
        <v>0.35469778040507688</v>
      </c>
      <c r="F45" s="7">
        <f t="shared" si="2"/>
        <v>0.36465001891249188</v>
      </c>
      <c r="G45" s="7">
        <f>'Ejercicio 1.e (1)'!I45</f>
        <v>0.37144737413381296</v>
      </c>
      <c r="H45" s="7">
        <f>'Ejercicio 1.e (1)'!J45</f>
        <v>0.35724817740789916</v>
      </c>
      <c r="I45" s="7">
        <f t="shared" si="3"/>
        <v>0.35071066245124149</v>
      </c>
      <c r="J45" s="7">
        <f>'Ejercicio 1.e (1)'!K45</f>
        <v>4.3357154194745935E-4</v>
      </c>
      <c r="K45" s="7">
        <f t="shared" si="4"/>
        <v>4.2563733648606582E-4</v>
      </c>
    </row>
    <row r="46" spans="1:11" ht="15" customHeight="1" x14ac:dyDescent="0.25">
      <c r="A46" s="2">
        <v>44</v>
      </c>
      <c r="B46" s="7">
        <f>'Ejercicio 1.e (1)'!F46</f>
        <v>0.37037037037037035</v>
      </c>
      <c r="C46" s="7">
        <f t="shared" si="0"/>
        <v>0.37037037037037035</v>
      </c>
      <c r="D46" s="7">
        <f>'Ejercicio 1.e (1)'!G46</f>
        <v>0.35436808639530742</v>
      </c>
      <c r="E46" s="7">
        <f t="shared" si="1"/>
        <v>0.35469778040507688</v>
      </c>
      <c r="F46" s="7">
        <f t="shared" si="2"/>
        <v>0.36465001891249188</v>
      </c>
      <c r="G46" s="7">
        <f>'Ejercicio 1.e (1)'!I46</f>
        <v>0.37033088023393174</v>
      </c>
      <c r="H46" s="7">
        <f>'Ejercicio 1.e (1)'!J46</f>
        <v>0.3561743633534864</v>
      </c>
      <c r="I46" s="7">
        <f t="shared" si="3"/>
        <v>0.35071066245124149</v>
      </c>
      <c r="J46" s="7">
        <f>'Ejercicio 1.e (1)'!K46</f>
        <v>4.3226831566170281E-4</v>
      </c>
      <c r="K46" s="7">
        <f t="shared" si="4"/>
        <v>4.2563733648606582E-4</v>
      </c>
    </row>
    <row r="47" spans="1:11" ht="15" customHeight="1" x14ac:dyDescent="0.25">
      <c r="A47" s="2">
        <v>45</v>
      </c>
      <c r="B47" s="7">
        <f>'Ejercicio 1.e (1)'!F47</f>
        <v>0.37037037037037035</v>
      </c>
      <c r="C47" s="7">
        <f t="shared" si="0"/>
        <v>0.37037037037037035</v>
      </c>
      <c r="D47" s="7">
        <f>'Ejercicio 1.e (1)'!G47</f>
        <v>0.35437600781191209</v>
      </c>
      <c r="E47" s="7">
        <f t="shared" si="1"/>
        <v>0.35469778040507688</v>
      </c>
      <c r="F47" s="7">
        <f t="shared" si="2"/>
        <v>0.36465001891249188</v>
      </c>
      <c r="G47" s="7">
        <f>'Ejercicio 1.e (1)'!I47</f>
        <v>0.37116398554236879</v>
      </c>
      <c r="H47" s="7">
        <f>'Ejercicio 1.e (1)'!J47</f>
        <v>0.3569756218190282</v>
      </c>
      <c r="I47" s="7">
        <f t="shared" si="3"/>
        <v>0.35071066245124149</v>
      </c>
      <c r="J47" s="7">
        <f>'Ejercicio 1.e (1)'!K47</f>
        <v>4.3324075692347235E-4</v>
      </c>
      <c r="K47" s="7">
        <f t="shared" si="4"/>
        <v>4.2563733648606582E-4</v>
      </c>
    </row>
    <row r="48" spans="1:11" ht="15" customHeight="1" x14ac:dyDescent="0.25">
      <c r="A48" s="2">
        <v>46</v>
      </c>
      <c r="B48" s="7">
        <f>'Ejercicio 1.e (1)'!F48</f>
        <v>0.37037037037037035</v>
      </c>
      <c r="C48" s="7">
        <f t="shared" si="0"/>
        <v>0.37037037037037035</v>
      </c>
      <c r="D48" s="7">
        <f>'Ejercicio 1.e (1)'!G48</f>
        <v>0.35438877758744969</v>
      </c>
      <c r="E48" s="7">
        <f t="shared" si="1"/>
        <v>0.35469778040507688</v>
      </c>
      <c r="F48" s="7">
        <f t="shared" si="2"/>
        <v>0.36465001891249188</v>
      </c>
      <c r="G48" s="7">
        <f>'Ejercicio 1.e (1)'!I48</f>
        <v>0.37542986195149503</v>
      </c>
      <c r="H48" s="7">
        <f>'Ejercicio 1.e (1)'!J48</f>
        <v>0.36107842797228612</v>
      </c>
      <c r="I48" s="7">
        <f t="shared" si="3"/>
        <v>0.35071066245124149</v>
      </c>
      <c r="J48" s="7">
        <f>'Ejercicio 1.e (1)'!K48</f>
        <v>4.3822009650495465E-4</v>
      </c>
      <c r="K48" s="7">
        <f t="shared" si="4"/>
        <v>4.2563733648606582E-4</v>
      </c>
    </row>
    <row r="49" spans="1:11" ht="15" customHeight="1" x14ac:dyDescent="0.25">
      <c r="A49" s="2">
        <v>47</v>
      </c>
      <c r="B49" s="7">
        <f>'Ejercicio 1.e (1)'!F49</f>
        <v>0.37037037037037035</v>
      </c>
      <c r="C49" s="7">
        <f t="shared" si="0"/>
        <v>0.37037037037037035</v>
      </c>
      <c r="D49" s="7">
        <f>'Ejercicio 1.e (1)'!G49</f>
        <v>0.35440433200109089</v>
      </c>
      <c r="E49" s="7">
        <f t="shared" si="1"/>
        <v>0.35469778040507688</v>
      </c>
      <c r="F49" s="7">
        <f t="shared" si="2"/>
        <v>0.36465001891249188</v>
      </c>
      <c r="G49" s="7">
        <f>'Ejercicio 1.e (1)'!I49</f>
        <v>0.37791041476886056</v>
      </c>
      <c r="H49" s="7">
        <f>'Ejercicio 1.e (1)'!J49</f>
        <v>0.36346415751212835</v>
      </c>
      <c r="I49" s="7">
        <f t="shared" si="3"/>
        <v>0.35071066245124149</v>
      </c>
      <c r="J49" s="7">
        <f>'Ejercicio 1.e (1)'!K49</f>
        <v>4.4111551907299748E-4</v>
      </c>
      <c r="K49" s="7">
        <f t="shared" si="4"/>
        <v>4.2563733648606582E-4</v>
      </c>
    </row>
    <row r="50" spans="1:11" ht="15" customHeight="1" x14ac:dyDescent="0.25">
      <c r="A50" s="2">
        <v>48</v>
      </c>
      <c r="B50" s="7">
        <f>'Ejercicio 1.e (1)'!F50</f>
        <v>0.37037037037037035</v>
      </c>
      <c r="C50" s="7">
        <f t="shared" si="0"/>
        <v>0.37037037037037035</v>
      </c>
      <c r="D50" s="7">
        <f>'Ejercicio 1.e (1)'!G50</f>
        <v>0.35441833339172729</v>
      </c>
      <c r="E50" s="7">
        <f t="shared" si="1"/>
        <v>0.35469778040507688</v>
      </c>
      <c r="F50" s="7">
        <f t="shared" si="2"/>
        <v>0.36465001891249188</v>
      </c>
      <c r="G50" s="7">
        <f>'Ejercicio 1.e (1)'!I50</f>
        <v>0.37654829291410591</v>
      </c>
      <c r="H50" s="7">
        <f>'Ejercicio 1.e (1)'!J50</f>
        <v>0.36215410504196799</v>
      </c>
      <c r="I50" s="7">
        <f t="shared" si="3"/>
        <v>0.35071066245124149</v>
      </c>
      <c r="J50" s="7">
        <f>'Ejercicio 1.e (1)'!K50</f>
        <v>4.3952558382506768E-4</v>
      </c>
      <c r="K50" s="7">
        <f t="shared" si="4"/>
        <v>4.2563733648606582E-4</v>
      </c>
    </row>
    <row r="51" spans="1:11" ht="15" customHeight="1" x14ac:dyDescent="0.25">
      <c r="A51" s="2">
        <v>49</v>
      </c>
      <c r="B51" s="7">
        <f>'Ejercicio 1.e (1)'!F51</f>
        <v>0.37037037037037035</v>
      </c>
      <c r="C51" s="7">
        <f t="shared" si="0"/>
        <v>0.37037037037037035</v>
      </c>
      <c r="D51" s="7">
        <f>'Ejercicio 1.e (1)'!G51</f>
        <v>0.35443253801977326</v>
      </c>
      <c r="E51" s="7">
        <f t="shared" si="1"/>
        <v>0.35469778040507688</v>
      </c>
      <c r="F51" s="7">
        <f t="shared" si="2"/>
        <v>0.36465001891249188</v>
      </c>
      <c r="G51" s="7">
        <f>'Ejercicio 1.e (1)'!I51</f>
        <v>0.37674273933972241</v>
      </c>
      <c r="H51" s="7">
        <f>'Ejercicio 1.e (1)'!J51</f>
        <v>0.36234111842796102</v>
      </c>
      <c r="I51" s="7">
        <f t="shared" si="3"/>
        <v>0.35071066245124149</v>
      </c>
      <c r="J51" s="7">
        <f>'Ejercicio 1.e (1)'!K51</f>
        <v>4.3975255120309078E-4</v>
      </c>
      <c r="K51" s="7">
        <f t="shared" si="4"/>
        <v>4.2563733648606582E-4</v>
      </c>
    </row>
    <row r="52" spans="1:11" ht="15" customHeight="1" x14ac:dyDescent="0.25">
      <c r="A52" s="2">
        <v>50</v>
      </c>
      <c r="B52" s="7">
        <f>'Ejercicio 1.e (1)'!F52</f>
        <v>0.37037037037037035</v>
      </c>
      <c r="C52" s="7">
        <f t="shared" si="0"/>
        <v>0.37037037037037035</v>
      </c>
      <c r="D52" s="7">
        <f>'Ejercicio 1.e (1)'!G52</f>
        <v>0.35444223341184156</v>
      </c>
      <c r="E52" s="7">
        <f t="shared" si="1"/>
        <v>0.35469778040507688</v>
      </c>
      <c r="F52" s="7">
        <f t="shared" si="2"/>
        <v>0.36465001891249188</v>
      </c>
      <c r="G52" s="7">
        <f>'Ejercicio 1.e (1)'!I52</f>
        <v>0.37278247543253168</v>
      </c>
      <c r="H52" s="7">
        <f>'Ejercicio 1.e (1)'!J52</f>
        <v>0.35853224222794111</v>
      </c>
      <c r="I52" s="7">
        <f t="shared" si="3"/>
        <v>0.35071066245124149</v>
      </c>
      <c r="J52" s="7">
        <f>'Ejercicio 1.e (1)'!K52</f>
        <v>4.3512993748085464E-4</v>
      </c>
      <c r="K52" s="7">
        <f t="shared" si="4"/>
        <v>4.2563733648606582E-4</v>
      </c>
    </row>
    <row r="53" spans="1:11" ht="15" customHeight="1" x14ac:dyDescent="0.25">
      <c r="A53" s="2">
        <v>51</v>
      </c>
      <c r="B53" s="7">
        <f>'Ejercicio 1.e (1)'!F53</f>
        <v>0.37037037037037035</v>
      </c>
      <c r="C53" s="7">
        <f t="shared" si="0"/>
        <v>0.37037037037037035</v>
      </c>
      <c r="D53" s="7">
        <f>'Ejercicio 1.e (1)'!G53</f>
        <v>0.3544552343554771</v>
      </c>
      <c r="E53" s="7">
        <f t="shared" si="1"/>
        <v>0.35469778040507688</v>
      </c>
      <c r="F53" s="7">
        <f t="shared" si="2"/>
        <v>0.36465001891249188</v>
      </c>
      <c r="G53" s="7">
        <f>'Ejercicio 1.e (1)'!I53</f>
        <v>0.37570213457643881</v>
      </c>
      <c r="H53" s="7">
        <f>'Ejercicio 1.e (1)'!J53</f>
        <v>0.36134029252105576</v>
      </c>
      <c r="I53" s="7">
        <f t="shared" si="3"/>
        <v>0.35071066245124149</v>
      </c>
      <c r="J53" s="7">
        <f>'Ejercicio 1.e (1)'!K53</f>
        <v>4.385379064291794E-4</v>
      </c>
      <c r="K53" s="7">
        <f t="shared" si="4"/>
        <v>4.2563733648606582E-4</v>
      </c>
    </row>
    <row r="54" spans="1:11" ht="15" customHeight="1" x14ac:dyDescent="0.25">
      <c r="A54" s="2">
        <v>52</v>
      </c>
      <c r="B54" s="7">
        <f>'Ejercicio 1.e (1)'!F54</f>
        <v>0.37037037037037035</v>
      </c>
      <c r="C54" s="7">
        <f t="shared" si="0"/>
        <v>0.37037037037037035</v>
      </c>
      <c r="D54" s="7">
        <f>'Ejercicio 1.e (1)'!G54</f>
        <v>0.35446390472328088</v>
      </c>
      <c r="E54" s="7">
        <f t="shared" si="1"/>
        <v>0.35469778040507688</v>
      </c>
      <c r="F54" s="7">
        <f t="shared" si="2"/>
        <v>0.36465001891249188</v>
      </c>
      <c r="G54" s="7">
        <f>'Ejercicio 1.e (1)'!I54</f>
        <v>0.37190811098212911</v>
      </c>
      <c r="H54" s="7">
        <f>'Ejercicio 1.e (1)'!J54</f>
        <v>0.35769130182009734</v>
      </c>
      <c r="I54" s="7">
        <f t="shared" si="3"/>
        <v>0.35071066245124149</v>
      </c>
      <c r="J54" s="7">
        <f>'Ejercicio 1.e (1)'!K54</f>
        <v>4.3410933653066858E-4</v>
      </c>
      <c r="K54" s="7">
        <f t="shared" si="4"/>
        <v>4.2563733648606582E-4</v>
      </c>
    </row>
    <row r="55" spans="1:11" ht="15" customHeight="1" x14ac:dyDescent="0.25">
      <c r="A55" s="2">
        <v>53</v>
      </c>
      <c r="B55" s="7">
        <f>'Ejercicio 1.e (1)'!F55</f>
        <v>0.37037037037037035</v>
      </c>
      <c r="C55" s="7">
        <f t="shared" si="0"/>
        <v>0.37037037037037035</v>
      </c>
      <c r="D55" s="7">
        <f>'Ejercicio 1.e (1)'!G55</f>
        <v>0.35446615257278746</v>
      </c>
      <c r="E55" s="7">
        <f t="shared" si="1"/>
        <v>0.35469778040507688</v>
      </c>
      <c r="F55" s="7">
        <f t="shared" si="2"/>
        <v>0.36465001891249188</v>
      </c>
      <c r="G55" s="7">
        <f>'Ejercicio 1.e (1)'!I55</f>
        <v>0.36634127577991921</v>
      </c>
      <c r="H55" s="7">
        <f>'Ejercicio 1.e (1)'!J55</f>
        <v>0.35233726819808775</v>
      </c>
      <c r="I55" s="7">
        <f t="shared" si="3"/>
        <v>0.35071066245124149</v>
      </c>
      <c r="J55" s="7">
        <f>'Ejercicio 1.e (1)'!K55</f>
        <v>4.2761145421822005E-4</v>
      </c>
      <c r="K55" s="7">
        <f t="shared" si="4"/>
        <v>4.2563733648606582E-4</v>
      </c>
    </row>
    <row r="56" spans="1:11" ht="15" customHeight="1" x14ac:dyDescent="0.25">
      <c r="A56" s="2">
        <v>54</v>
      </c>
      <c r="B56" s="7">
        <f>'Ejercicio 1.e (1)'!F56</f>
        <v>0.37037037037037035</v>
      </c>
      <c r="C56" s="7">
        <f t="shared" si="0"/>
        <v>0.37037037037037035</v>
      </c>
      <c r="D56" s="7">
        <f>'Ejercicio 1.e (1)'!G56</f>
        <v>0.35446722578047746</v>
      </c>
      <c r="E56" s="7">
        <f t="shared" si="1"/>
        <v>0.35469778040507688</v>
      </c>
      <c r="F56" s="7">
        <f t="shared" si="2"/>
        <v>0.36465001891249188</v>
      </c>
      <c r="G56" s="7">
        <f>'Ejercicio 1.e (1)'!I56</f>
        <v>0.36533288310449885</v>
      </c>
      <c r="H56" s="7">
        <f>'Ejercicio 1.e (1)'!J56</f>
        <v>0.35136742301814677</v>
      </c>
      <c r="I56" s="7">
        <f t="shared" si="3"/>
        <v>0.35071066245124149</v>
      </c>
      <c r="J56" s="7">
        <f>'Ejercicio 1.e (1)'!K56</f>
        <v>4.2643440896870103E-4</v>
      </c>
      <c r="K56" s="7">
        <f t="shared" si="4"/>
        <v>4.2563733648606582E-4</v>
      </c>
    </row>
    <row r="57" spans="1:11" ht="15" customHeight="1" x14ac:dyDescent="0.25">
      <c r="A57" s="2">
        <v>55</v>
      </c>
      <c r="B57" s="7">
        <f>'Ejercicio 1.e (1)'!F57</f>
        <v>0.37037037037037035</v>
      </c>
      <c r="C57" s="7">
        <f t="shared" si="0"/>
        <v>0.37037037037037035</v>
      </c>
      <c r="D57" s="7">
        <f>'Ejercicio 1.e (1)'!G57</f>
        <v>0.35447221734906809</v>
      </c>
      <c r="E57" s="7">
        <f t="shared" si="1"/>
        <v>0.35469778040507688</v>
      </c>
      <c r="F57" s="7">
        <f t="shared" si="2"/>
        <v>0.36465001891249188</v>
      </c>
      <c r="G57" s="7">
        <f>'Ejercicio 1.e (1)'!I57</f>
        <v>0.36871637695280696</v>
      </c>
      <c r="H57" s="7">
        <f>'Ejercicio 1.e (1)'!J57</f>
        <v>0.35462157715881776</v>
      </c>
      <c r="I57" s="7">
        <f t="shared" si="3"/>
        <v>0.35071066245124149</v>
      </c>
      <c r="J57" s="7">
        <f>'Ejercicio 1.e (1)'!K57</f>
        <v>4.3038378846936809E-4</v>
      </c>
      <c r="K57" s="7">
        <f t="shared" si="4"/>
        <v>4.2563733648606582E-4</v>
      </c>
    </row>
    <row r="58" spans="1:11" ht="15" customHeight="1" x14ac:dyDescent="0.25">
      <c r="A58" s="2">
        <v>56</v>
      </c>
      <c r="B58" s="7">
        <f>'Ejercicio 1.e (1)'!F58</f>
        <v>0.37037037037037035</v>
      </c>
      <c r="C58" s="7">
        <f t="shared" si="0"/>
        <v>0.37037037037037035</v>
      </c>
      <c r="D58" s="7">
        <f>'Ejercicio 1.e (1)'!G58</f>
        <v>0.35448279079029088</v>
      </c>
      <c r="E58" s="7">
        <f t="shared" si="1"/>
        <v>0.35469778040507688</v>
      </c>
      <c r="F58" s="7">
        <f t="shared" si="2"/>
        <v>0.36465001891249188</v>
      </c>
      <c r="G58" s="7">
        <f>'Ejercicio 1.e (1)'!I58</f>
        <v>0.37359395144048718</v>
      </c>
      <c r="H58" s="7">
        <f>'Ejercicio 1.e (1)'!J58</f>
        <v>0.35931269820916417</v>
      </c>
      <c r="I58" s="7">
        <f t="shared" si="3"/>
        <v>0.35071066245124149</v>
      </c>
      <c r="J58" s="7">
        <f>'Ejercicio 1.e (1)'!K58</f>
        <v>4.3607713196524986E-4</v>
      </c>
      <c r="K58" s="7">
        <f t="shared" si="4"/>
        <v>4.2563733648606582E-4</v>
      </c>
    </row>
    <row r="59" spans="1:11" ht="15" customHeight="1" x14ac:dyDescent="0.25">
      <c r="A59" s="2">
        <v>57</v>
      </c>
      <c r="B59" s="7">
        <f>'Ejercicio 1.e (1)'!F59</f>
        <v>0.37037037037037035</v>
      </c>
      <c r="C59" s="7">
        <f t="shared" si="0"/>
        <v>0.37037037037037035</v>
      </c>
      <c r="D59" s="7">
        <f>'Ejercicio 1.e (1)'!G59</f>
        <v>0.35449275063577013</v>
      </c>
      <c r="E59" s="7">
        <f t="shared" si="1"/>
        <v>0.35469778040507688</v>
      </c>
      <c r="F59" s="7">
        <f t="shared" si="2"/>
        <v>0.36465001891249188</v>
      </c>
      <c r="G59" s="7">
        <f>'Ejercicio 1.e (1)'!I59</f>
        <v>0.37306607707161871</v>
      </c>
      <c r="H59" s="7">
        <f>'Ejercicio 1.e (1)'!J59</f>
        <v>0.35880500272035271</v>
      </c>
      <c r="I59" s="7">
        <f t="shared" si="3"/>
        <v>0.35071066245124149</v>
      </c>
      <c r="J59" s="7">
        <f>'Ejercicio 1.e (1)'!K59</f>
        <v>4.3546097118447017E-4</v>
      </c>
      <c r="K59" s="7">
        <f t="shared" si="4"/>
        <v>4.2563733648606582E-4</v>
      </c>
    </row>
    <row r="60" spans="1:11" ht="15" customHeight="1" x14ac:dyDescent="0.25">
      <c r="A60" s="2">
        <v>58</v>
      </c>
      <c r="B60" s="7">
        <f>'Ejercicio 1.e (1)'!F60</f>
        <v>0.37037037037037035</v>
      </c>
      <c r="C60" s="7">
        <f t="shared" si="0"/>
        <v>0.37037037037037035</v>
      </c>
      <c r="D60" s="7">
        <f>'Ejercicio 1.e (1)'!G60</f>
        <v>0.35450823846515955</v>
      </c>
      <c r="E60" s="7">
        <f t="shared" si="1"/>
        <v>0.35469778040507688</v>
      </c>
      <c r="F60" s="7">
        <f t="shared" si="2"/>
        <v>0.36465001891249188</v>
      </c>
      <c r="G60" s="7">
        <f>'Ejercicio 1.e (1)'!I60</f>
        <v>0.37795804454061294</v>
      </c>
      <c r="H60" s="7">
        <f>'Ejercicio 1.e (1)'!J60</f>
        <v>0.36350996655624546</v>
      </c>
      <c r="I60" s="7">
        <f t="shared" si="3"/>
        <v>0.35071066245124149</v>
      </c>
      <c r="J60" s="7">
        <f>'Ejercicio 1.e (1)'!K60</f>
        <v>4.4117111487207785E-4</v>
      </c>
      <c r="K60" s="7">
        <f t="shared" si="4"/>
        <v>4.2563733648606582E-4</v>
      </c>
    </row>
    <row r="61" spans="1:11" ht="15" customHeight="1" x14ac:dyDescent="0.25">
      <c r="A61" s="2">
        <v>59</v>
      </c>
      <c r="B61" s="7">
        <f>'Ejercicio 1.e (1)'!F61</f>
        <v>0.37037037037037035</v>
      </c>
      <c r="C61" s="7">
        <f t="shared" si="0"/>
        <v>0.37037037037037035</v>
      </c>
      <c r="D61" s="7">
        <f>'Ejercicio 1.e (1)'!G61</f>
        <v>0.35452324441113081</v>
      </c>
      <c r="E61" s="7">
        <f t="shared" si="1"/>
        <v>0.35469778040507688</v>
      </c>
      <c r="F61" s="7">
        <f t="shared" si="2"/>
        <v>0.36465001891249188</v>
      </c>
      <c r="G61" s="7">
        <f>'Ejercicio 1.e (1)'!I61</f>
        <v>0.37754588184887156</v>
      </c>
      <c r="H61" s="7">
        <f>'Ejercicio 1.e (1)'!J61</f>
        <v>0.36311355947229851</v>
      </c>
      <c r="I61" s="7">
        <f t="shared" si="3"/>
        <v>0.35071066245124149</v>
      </c>
      <c r="J61" s="7">
        <f>'Ejercicio 1.e (1)'!K61</f>
        <v>4.4069001842010202E-4</v>
      </c>
      <c r="K61" s="7">
        <f t="shared" si="4"/>
        <v>4.2563733648606582E-4</v>
      </c>
    </row>
    <row r="62" spans="1:11" ht="15" customHeight="1" x14ac:dyDescent="0.25">
      <c r="A62" s="2">
        <v>60</v>
      </c>
      <c r="B62" s="7">
        <f>'Ejercicio 1.e (1)'!F62</f>
        <v>0.37037037037037035</v>
      </c>
      <c r="C62" s="7">
        <f t="shared" si="0"/>
        <v>0.37037037037037035</v>
      </c>
      <c r="D62" s="7">
        <f>'Ejercicio 1.e (1)'!G62</f>
        <v>0.35453623099241172</v>
      </c>
      <c r="E62" s="7">
        <f t="shared" si="1"/>
        <v>0.35469778040507688</v>
      </c>
      <c r="F62" s="7">
        <f t="shared" si="2"/>
        <v>0.36465001891249188</v>
      </c>
      <c r="G62" s="7">
        <f>'Ejercicio 1.e (1)'!I62</f>
        <v>0.3757726876917355</v>
      </c>
      <c r="H62" s="7">
        <f>'Ejercicio 1.e (1)'!J62</f>
        <v>0.36140814862559539</v>
      </c>
      <c r="I62" s="7">
        <f t="shared" si="3"/>
        <v>0.35071066245124149</v>
      </c>
      <c r="J62" s="7">
        <f>'Ejercicio 1.e (1)'!K62</f>
        <v>4.386202594759864E-4</v>
      </c>
      <c r="K62" s="7">
        <f t="shared" si="4"/>
        <v>4.2563733648606582E-4</v>
      </c>
    </row>
    <row r="63" spans="1:11" ht="15" customHeight="1" x14ac:dyDescent="0.25">
      <c r="A63" s="2">
        <v>61</v>
      </c>
      <c r="B63" s="7">
        <f>'Ejercicio 1.e (1)'!F63</f>
        <v>0.37037037037037035</v>
      </c>
      <c r="C63" s="7">
        <f t="shared" si="0"/>
        <v>0.37037037037037035</v>
      </c>
      <c r="D63" s="7">
        <f>'Ejercicio 1.e (1)'!G63</f>
        <v>0.35454527404220548</v>
      </c>
      <c r="E63" s="7">
        <f t="shared" si="1"/>
        <v>0.35469778040507688</v>
      </c>
      <c r="F63" s="7">
        <f t="shared" si="2"/>
        <v>0.36465001891249188</v>
      </c>
      <c r="G63" s="7">
        <f>'Ejercicio 1.e (1)'!I63</f>
        <v>0.37231749698828998</v>
      </c>
      <c r="H63" s="7">
        <f>'Ejercicio 1.e (1)'!J63</f>
        <v>0.35808503836191119</v>
      </c>
      <c r="I63" s="7">
        <f t="shared" si="3"/>
        <v>0.35071066245124149</v>
      </c>
      <c r="J63" s="7">
        <f>'Ejercicio 1.e (1)'!K63</f>
        <v>4.345871918994319E-4</v>
      </c>
      <c r="K63" s="7">
        <f t="shared" si="4"/>
        <v>4.2563733648606582E-4</v>
      </c>
    </row>
    <row r="64" spans="1:11" ht="15" customHeight="1" x14ac:dyDescent="0.25">
      <c r="A64" s="2">
        <v>62</v>
      </c>
      <c r="B64" s="7">
        <f>'Ejercicio 1.e (1)'!F64</f>
        <v>0.37037037037037035</v>
      </c>
      <c r="C64" s="7">
        <f t="shared" si="0"/>
        <v>0.37037037037037035</v>
      </c>
      <c r="D64" s="7">
        <f>'Ejercicio 1.e (1)'!G64</f>
        <v>0.35455650087983931</v>
      </c>
      <c r="E64" s="7">
        <f t="shared" si="1"/>
        <v>0.35469778040507688</v>
      </c>
      <c r="F64" s="7">
        <f t="shared" si="2"/>
        <v>0.36465001891249188</v>
      </c>
      <c r="G64" s="7">
        <f>'Ejercicio 1.e (1)'!I64</f>
        <v>0.37424357245332079</v>
      </c>
      <c r="H64" s="7">
        <f>'Ejercicio 1.e (1)'!J64</f>
        <v>0.35993748637298378</v>
      </c>
      <c r="I64" s="7">
        <f t="shared" si="3"/>
        <v>0.35071066245124149</v>
      </c>
      <c r="J64" s="7">
        <f>'Ejercicio 1.e (1)'!K64</f>
        <v>4.3683540138328663E-4</v>
      </c>
      <c r="K64" s="7">
        <f t="shared" si="4"/>
        <v>4.2563733648606582E-4</v>
      </c>
    </row>
    <row r="65" spans="1:11" ht="15" customHeight="1" x14ac:dyDescent="0.25">
      <c r="A65" s="2">
        <v>63</v>
      </c>
      <c r="B65" s="7">
        <f>'Ejercicio 1.e (1)'!F65</f>
        <v>0.37037037037037035</v>
      </c>
      <c r="C65" s="7">
        <f t="shared" si="0"/>
        <v>0.37037037037037035</v>
      </c>
      <c r="D65" s="7">
        <f>'Ejercicio 1.e (1)'!G65</f>
        <v>0.3545737040241061</v>
      </c>
      <c r="E65" s="7">
        <f t="shared" si="1"/>
        <v>0.35469778040507688</v>
      </c>
      <c r="F65" s="7">
        <f t="shared" si="2"/>
        <v>0.36465001891249188</v>
      </c>
      <c r="G65" s="7">
        <f>'Ejercicio 1.e (1)'!I65</f>
        <v>0.3795512445060687</v>
      </c>
      <c r="H65" s="7">
        <f>'Ejercicio 1.e (1)'!J65</f>
        <v>0.36504226379009364</v>
      </c>
      <c r="I65" s="7">
        <f t="shared" si="3"/>
        <v>0.35071066245124149</v>
      </c>
      <c r="J65" s="7">
        <f>'Ejercicio 1.e (1)'!K65</f>
        <v>4.4303077579245482E-4</v>
      </c>
      <c r="K65" s="7">
        <f t="shared" si="4"/>
        <v>4.2563733648606582E-4</v>
      </c>
    </row>
    <row r="66" spans="1:11" ht="15" customHeight="1" x14ac:dyDescent="0.25">
      <c r="A66" s="2">
        <v>64</v>
      </c>
      <c r="B66" s="7">
        <f>'Ejercicio 1.e (1)'!F66</f>
        <v>0.37037037037037035</v>
      </c>
      <c r="C66" s="7">
        <f t="shared" ref="C66:C129" si="5">$B$2</f>
        <v>0.37037037037037035</v>
      </c>
      <c r="D66" s="7">
        <f>'Ejercicio 1.e (1)'!G66</f>
        <v>0.3545858102759426</v>
      </c>
      <c r="E66" s="7">
        <f t="shared" ref="E66:E129" si="6">$D$2</f>
        <v>0.35469778040507688</v>
      </c>
      <c r="F66" s="7">
        <f t="shared" si="2"/>
        <v>0.36465001891249188</v>
      </c>
      <c r="G66" s="7">
        <f>'Ejercicio 1.e (1)'!I66</f>
        <v>0.37504745901645553</v>
      </c>
      <c r="H66" s="7">
        <f>'Ejercicio 1.e (1)'!J66</f>
        <v>0.36071064302859962</v>
      </c>
      <c r="I66" s="7">
        <f t="shared" si="3"/>
        <v>0.35071066245124149</v>
      </c>
      <c r="J66" s="7">
        <f>'Ejercicio 1.e (1)'!K66</f>
        <v>4.3777373709650023E-4</v>
      </c>
      <c r="K66" s="7">
        <f t="shared" si="4"/>
        <v>4.2563733648606582E-4</v>
      </c>
    </row>
    <row r="67" spans="1:11" ht="15" customHeight="1" x14ac:dyDescent="0.25">
      <c r="A67" s="2">
        <v>65</v>
      </c>
      <c r="B67" s="7">
        <f>'Ejercicio 1.e (1)'!F67</f>
        <v>0.37037037037037035</v>
      </c>
      <c r="C67" s="7">
        <f t="shared" si="5"/>
        <v>0.37037037037037035</v>
      </c>
      <c r="D67" s="7">
        <f>'Ejercicio 1.e (1)'!G67</f>
        <v>0.35459465568162196</v>
      </c>
      <c r="E67" s="7">
        <f t="shared" si="6"/>
        <v>0.35469778040507688</v>
      </c>
      <c r="F67" s="7">
        <f t="shared" ref="F67:F130" si="7">$G$2</f>
        <v>0.36465001891249188</v>
      </c>
      <c r="G67" s="7">
        <f>'Ejercicio 1.e (1)'!I67</f>
        <v>0.37219546217065158</v>
      </c>
      <c r="H67" s="7">
        <f>'Ejercicio 1.e (1)'!J67</f>
        <v>0.35796766852915013</v>
      </c>
      <c r="I67" s="7">
        <f t="shared" ref="I67:I130" si="8">$H$2</f>
        <v>0.35071066245124149</v>
      </c>
      <c r="J67" s="7">
        <f>'Ejercicio 1.e (1)'!K67</f>
        <v>4.3444474689176927E-4</v>
      </c>
      <c r="K67" s="7">
        <f t="shared" ref="K67:K130" si="9">$J$2</f>
        <v>4.2563733648606582E-4</v>
      </c>
    </row>
    <row r="68" spans="1:11" ht="15" customHeight="1" x14ac:dyDescent="0.25">
      <c r="A68" s="2">
        <v>66</v>
      </c>
      <c r="B68" s="7">
        <f>'Ejercicio 1.e (1)'!F68</f>
        <v>0.37037037037037035</v>
      </c>
      <c r="C68" s="7">
        <f t="shared" si="5"/>
        <v>0.37037037037037035</v>
      </c>
      <c r="D68" s="7">
        <f>'Ejercicio 1.e (1)'!G68</f>
        <v>0.35460026330176153</v>
      </c>
      <c r="E68" s="7">
        <f t="shared" si="6"/>
        <v>0.35469778040507688</v>
      </c>
      <c r="F68" s="7">
        <f t="shared" si="7"/>
        <v>0.36465001891249188</v>
      </c>
      <c r="G68" s="7">
        <f>'Ejercicio 1.e (1)'!I68</f>
        <v>0.36938199416756995</v>
      </c>
      <c r="H68" s="7">
        <f>'Ejercicio 1.e (1)'!J68</f>
        <v>0.35526175004301142</v>
      </c>
      <c r="I68" s="7">
        <f t="shared" si="8"/>
        <v>0.35071066245124149</v>
      </c>
      <c r="J68" s="7">
        <f>'Ejercicio 1.e (1)'!K68</f>
        <v>4.3116072943664383E-4</v>
      </c>
      <c r="K68" s="7">
        <f t="shared" si="9"/>
        <v>4.2563733648606582E-4</v>
      </c>
    </row>
    <row r="69" spans="1:11" ht="15" customHeight="1" x14ac:dyDescent="0.25">
      <c r="A69" s="2">
        <v>67</v>
      </c>
      <c r="B69" s="7">
        <f>'Ejercicio 1.e (1)'!F69</f>
        <v>0.37037037037037035</v>
      </c>
      <c r="C69" s="7">
        <f t="shared" si="5"/>
        <v>0.37037037037037035</v>
      </c>
      <c r="D69" s="7">
        <f>'Ejercicio 1.e (1)'!G69</f>
        <v>0.35461407330473282</v>
      </c>
      <c r="E69" s="7">
        <f t="shared" si="6"/>
        <v>0.35469778040507688</v>
      </c>
      <c r="F69" s="7">
        <f t="shared" si="7"/>
        <v>0.36465001891249188</v>
      </c>
      <c r="G69" s="7">
        <f>'Ejercicio 1.e (1)'!I69</f>
        <v>0.3765801299134961</v>
      </c>
      <c r="H69" s="7">
        <f>'Ejercicio 1.e (1)'!J69</f>
        <v>0.36218472501884308</v>
      </c>
      <c r="I69" s="7">
        <f t="shared" si="8"/>
        <v>0.35071066245124149</v>
      </c>
      <c r="J69" s="7">
        <f>'Ejercicio 1.e (1)'!K69</f>
        <v>4.3956274552784937E-4</v>
      </c>
      <c r="K69" s="7">
        <f t="shared" si="9"/>
        <v>4.2563733648606582E-4</v>
      </c>
    </row>
    <row r="70" spans="1:11" ht="15" customHeight="1" x14ac:dyDescent="0.25">
      <c r="A70" s="2">
        <v>68</v>
      </c>
      <c r="B70" s="7">
        <f>'Ejercicio 1.e (1)'!F70</f>
        <v>0.37037037037037035</v>
      </c>
      <c r="C70" s="7">
        <f t="shared" si="5"/>
        <v>0.37037037037037035</v>
      </c>
      <c r="D70" s="7">
        <f>'Ejercicio 1.e (1)'!G70</f>
        <v>0.35462614666779196</v>
      </c>
      <c r="E70" s="7">
        <f t="shared" si="6"/>
        <v>0.35469778040507688</v>
      </c>
      <c r="F70" s="7">
        <f t="shared" si="7"/>
        <v>0.36465001891249188</v>
      </c>
      <c r="G70" s="7">
        <f>'Ejercicio 1.e (1)'!I70</f>
        <v>0.37505994369590379</v>
      </c>
      <c r="H70" s="7">
        <f>'Ejercicio 1.e (1)'!J70</f>
        <v>0.36072265046030866</v>
      </c>
      <c r="I70" s="7">
        <f t="shared" si="8"/>
        <v>0.35071066245124149</v>
      </c>
      <c r="J70" s="7">
        <f>'Ejercicio 1.e (1)'!K70</f>
        <v>4.3778830982495664E-4</v>
      </c>
      <c r="K70" s="7">
        <f t="shared" si="9"/>
        <v>4.2563733648606582E-4</v>
      </c>
    </row>
    <row r="71" spans="1:11" ht="15" customHeight="1" x14ac:dyDescent="0.25">
      <c r="A71" s="2">
        <v>69</v>
      </c>
      <c r="B71" s="7">
        <f>'Ejercicio 1.e (1)'!F71</f>
        <v>0.37037037037037035</v>
      </c>
      <c r="C71" s="7">
        <f t="shared" si="5"/>
        <v>0.37037037037037035</v>
      </c>
      <c r="D71" s="7">
        <f>'Ejercicio 1.e (1)'!G71</f>
        <v>0.35464275414197777</v>
      </c>
      <c r="E71" s="7">
        <f t="shared" si="6"/>
        <v>0.35469778040507688</v>
      </c>
      <c r="F71" s="7">
        <f t="shared" si="7"/>
        <v>0.36465001891249188</v>
      </c>
      <c r="G71" s="7">
        <f>'Ejercicio 1.e (1)'!I71</f>
        <v>0.37909157110139813</v>
      </c>
      <c r="H71" s="7">
        <f>'Ejercicio 1.e (1)'!J71</f>
        <v>0.3646001621696302</v>
      </c>
      <c r="I71" s="7">
        <f t="shared" si="8"/>
        <v>0.35071066245124149</v>
      </c>
      <c r="J71" s="7">
        <f>'Ejercicio 1.e (1)'!K71</f>
        <v>4.4249422251267998E-4</v>
      </c>
      <c r="K71" s="7">
        <f t="shared" si="9"/>
        <v>4.2563733648606582E-4</v>
      </c>
    </row>
    <row r="72" spans="1:11" ht="15" customHeight="1" x14ac:dyDescent="0.25">
      <c r="A72" s="2">
        <v>70</v>
      </c>
      <c r="B72" s="7">
        <f>'Ejercicio 1.e (1)'!F72</f>
        <v>0.37037037037037035</v>
      </c>
      <c r="C72" s="7">
        <f t="shared" si="5"/>
        <v>0.37037037037037035</v>
      </c>
      <c r="D72" s="7">
        <f>'Ejercicio 1.e (1)'!G72</f>
        <v>0.35465154133714</v>
      </c>
      <c r="E72" s="7">
        <f t="shared" si="6"/>
        <v>0.35469778040507688</v>
      </c>
      <c r="F72" s="7">
        <f t="shared" si="7"/>
        <v>0.36465001891249188</v>
      </c>
      <c r="G72" s="7">
        <f>'Ejercicio 1.e (1)'!I72</f>
        <v>0.37220305605846649</v>
      </c>
      <c r="H72" s="7">
        <f>'Ejercicio 1.e (1)'!J72</f>
        <v>0.35797497212791063</v>
      </c>
      <c r="I72" s="7">
        <f t="shared" si="8"/>
        <v>0.35071066245124149</v>
      </c>
      <c r="J72" s="7">
        <f>'Ejercicio 1.e (1)'!K72</f>
        <v>4.3445361084903093E-4</v>
      </c>
      <c r="K72" s="7">
        <f t="shared" si="9"/>
        <v>4.2563733648606582E-4</v>
      </c>
    </row>
    <row r="73" spans="1:11" ht="15" customHeight="1" x14ac:dyDescent="0.25">
      <c r="A73" s="2">
        <v>71</v>
      </c>
      <c r="B73" s="7">
        <f>'Ejercicio 1.e (1)'!F73</f>
        <v>0.37037037037037035</v>
      </c>
      <c r="C73" s="7">
        <f t="shared" si="5"/>
        <v>0.37037037037037035</v>
      </c>
      <c r="D73" s="7">
        <f>'Ejercicio 1.e (1)'!G73</f>
        <v>0.35466002980870598</v>
      </c>
      <c r="E73" s="7">
        <f t="shared" si="6"/>
        <v>0.35469778040507688</v>
      </c>
      <c r="F73" s="7">
        <f t="shared" si="7"/>
        <v>0.36465001891249188</v>
      </c>
      <c r="G73" s="7">
        <f>'Ejercicio 1.e (1)'!I73</f>
        <v>0.37195081070709862</v>
      </c>
      <c r="H73" s="7">
        <f>'Ejercicio 1.e (1)'!J73</f>
        <v>0.35773236927671015</v>
      </c>
      <c r="I73" s="7">
        <f t="shared" si="8"/>
        <v>0.35071066245124149</v>
      </c>
      <c r="J73" s="7">
        <f>'Ejercicio 1.e (1)'!K73</f>
        <v>4.3415917773802383E-4</v>
      </c>
      <c r="K73" s="7">
        <f t="shared" si="9"/>
        <v>4.2563733648606582E-4</v>
      </c>
    </row>
    <row r="74" spans="1:11" ht="15" customHeight="1" x14ac:dyDescent="0.25">
      <c r="A74" s="2">
        <v>72</v>
      </c>
      <c r="B74" s="7">
        <f>'Ejercicio 1.e (1)'!F74</f>
        <v>0.37037037037037035</v>
      </c>
      <c r="C74" s="7">
        <f t="shared" si="5"/>
        <v>0.37037037037037035</v>
      </c>
      <c r="D74" s="7">
        <f>'Ejercicio 1.e (1)'!G74</f>
        <v>0.35466675109648271</v>
      </c>
      <c r="E74" s="7">
        <f t="shared" si="6"/>
        <v>0.35469778040507688</v>
      </c>
      <c r="F74" s="7">
        <f t="shared" si="7"/>
        <v>0.36465001891249188</v>
      </c>
      <c r="G74" s="7">
        <f>'Ejercicio 1.e (1)'!I74</f>
        <v>0.37041762046810217</v>
      </c>
      <c r="H74" s="7">
        <f>'Ejercicio 1.e (1)'!J74</f>
        <v>0.35625778779722511</v>
      </c>
      <c r="I74" s="7">
        <f t="shared" si="8"/>
        <v>0.35071066245124149</v>
      </c>
      <c r="J74" s="7">
        <f>'Ejercicio 1.e (1)'!K74</f>
        <v>4.3236956310534371E-4</v>
      </c>
      <c r="K74" s="7">
        <f t="shared" si="9"/>
        <v>4.2563733648606582E-4</v>
      </c>
    </row>
    <row r="75" spans="1:11" ht="15" customHeight="1" x14ac:dyDescent="0.25">
      <c r="A75" s="2">
        <v>73</v>
      </c>
      <c r="B75" s="7">
        <f>'Ejercicio 1.e (1)'!F75</f>
        <v>0.37037037037037035</v>
      </c>
      <c r="C75" s="7">
        <f t="shared" si="5"/>
        <v>0.37037037037037035</v>
      </c>
      <c r="D75" s="7">
        <f>'Ejercicio 1.e (1)'!G75</f>
        <v>0.35466924624763468</v>
      </c>
      <c r="E75" s="7">
        <f t="shared" si="6"/>
        <v>0.35469778040507688</v>
      </c>
      <c r="F75" s="7">
        <f t="shared" si="7"/>
        <v>0.36465001891249188</v>
      </c>
      <c r="G75" s="7">
        <f>'Ejercicio 1.e (1)'!I75</f>
        <v>0.36676295284582949</v>
      </c>
      <c r="H75" s="7">
        <f>'Ejercicio 1.e (1)'!J75</f>
        <v>0.35274282595334838</v>
      </c>
      <c r="I75" s="7">
        <f t="shared" si="8"/>
        <v>0.35071066245124149</v>
      </c>
      <c r="J75" s="7">
        <f>'Ejercicio 1.e (1)'!K75</f>
        <v>4.2810365631305771E-4</v>
      </c>
      <c r="K75" s="7">
        <f t="shared" si="9"/>
        <v>4.2563733648606582E-4</v>
      </c>
    </row>
    <row r="76" spans="1:11" ht="15" customHeight="1" x14ac:dyDescent="0.25">
      <c r="A76" s="2">
        <v>74</v>
      </c>
      <c r="B76" s="7">
        <f>'Ejercicio 1.e (1)'!F76</f>
        <v>0.37037037037037035</v>
      </c>
      <c r="C76" s="7">
        <f t="shared" si="5"/>
        <v>0.37037037037037035</v>
      </c>
      <c r="D76" s="7">
        <f>'Ejercicio 1.e (1)'!G76</f>
        <v>0.35467313951749252</v>
      </c>
      <c r="E76" s="7">
        <f t="shared" si="6"/>
        <v>0.35469778040507688</v>
      </c>
      <c r="F76" s="7">
        <f t="shared" si="7"/>
        <v>0.36465001891249188</v>
      </c>
      <c r="G76" s="7">
        <f>'Ejercicio 1.e (1)'!I76</f>
        <v>0.36797284593259522</v>
      </c>
      <c r="H76" s="7">
        <f>'Ejercicio 1.e (1)'!J76</f>
        <v>0.35390646885461641</v>
      </c>
      <c r="I76" s="7">
        <f t="shared" si="8"/>
        <v>0.35071066245124149</v>
      </c>
      <c r="J76" s="7">
        <f>'Ejercicio 1.e (1)'!K76</f>
        <v>4.2951590269774104E-4</v>
      </c>
      <c r="K76" s="7">
        <f t="shared" si="9"/>
        <v>4.2563733648606582E-4</v>
      </c>
    </row>
    <row r="77" spans="1:11" ht="15" customHeight="1" x14ac:dyDescent="0.25">
      <c r="A77" s="2">
        <v>75</v>
      </c>
      <c r="B77" s="7">
        <f>'Ejercicio 1.e (1)'!F77</f>
        <v>0.37037037037037035</v>
      </c>
      <c r="C77" s="7">
        <f t="shared" si="5"/>
        <v>0.37037037037037035</v>
      </c>
      <c r="D77" s="7">
        <f>'Ejercicio 1.e (1)'!G77</f>
        <v>0.35468890414624871</v>
      </c>
      <c r="E77" s="7">
        <f t="shared" si="6"/>
        <v>0.35469778040507688</v>
      </c>
      <c r="F77" s="7">
        <f t="shared" si="7"/>
        <v>0.36465001891249188</v>
      </c>
      <c r="G77" s="7">
        <f>'Ejercicio 1.e (1)'!I77</f>
        <v>0.37838947476521401</v>
      </c>
      <c r="H77" s="7">
        <f>'Ejercicio 1.e (1)'!J77</f>
        <v>0.36392490463940419</v>
      </c>
      <c r="I77" s="7">
        <f t="shared" si="8"/>
        <v>0.35071066245124149</v>
      </c>
      <c r="J77" s="7">
        <f>'Ejercicio 1.e (1)'!K77</f>
        <v>4.416747013307498E-4</v>
      </c>
      <c r="K77" s="7">
        <f t="shared" si="9"/>
        <v>4.2563733648606582E-4</v>
      </c>
    </row>
    <row r="78" spans="1:11" ht="15" customHeight="1" x14ac:dyDescent="0.25">
      <c r="A78" s="2">
        <v>76</v>
      </c>
      <c r="B78" s="7">
        <f>'Ejercicio 1.e (1)'!F78</f>
        <v>0.37037037037037035</v>
      </c>
      <c r="C78" s="7">
        <f t="shared" si="5"/>
        <v>0.37037037037037035</v>
      </c>
      <c r="D78" s="7">
        <f>'Ejercicio 1.e (1)'!G78</f>
        <v>0.35469981003941536</v>
      </c>
      <c r="E78" s="7">
        <f t="shared" si="6"/>
        <v>0.35469778040507688</v>
      </c>
      <c r="F78" s="7">
        <f t="shared" si="7"/>
        <v>0.36465001891249188</v>
      </c>
      <c r="G78" s="7">
        <f>'Ejercicio 1.e (1)'!I78</f>
        <v>0.37410886339638533</v>
      </c>
      <c r="H78" s="7">
        <f>'Ejercicio 1.e (1)'!J78</f>
        <v>0.35980792679490692</v>
      </c>
      <c r="I78" s="7">
        <f t="shared" si="8"/>
        <v>0.35071066245124149</v>
      </c>
      <c r="J78" s="7">
        <f>'Ejercicio 1.e (1)'!K78</f>
        <v>4.3667816238364101E-4</v>
      </c>
      <c r="K78" s="7">
        <f t="shared" si="9"/>
        <v>4.2563733648606582E-4</v>
      </c>
    </row>
    <row r="79" spans="1:11" ht="15" customHeight="1" x14ac:dyDescent="0.25">
      <c r="A79" s="2">
        <v>77</v>
      </c>
      <c r="B79" s="7">
        <f>'Ejercicio 1.e (1)'!F79</f>
        <v>0.37037037037037035</v>
      </c>
      <c r="C79" s="7">
        <f t="shared" si="5"/>
        <v>0.37037037037037035</v>
      </c>
      <c r="D79" s="7">
        <f>'Ejercicio 1.e (1)'!G79</f>
        <v>0.35470342918810221</v>
      </c>
      <c r="E79" s="7">
        <f t="shared" si="6"/>
        <v>0.35469778040507688</v>
      </c>
      <c r="F79" s="7">
        <f t="shared" si="7"/>
        <v>0.36465001891249188</v>
      </c>
      <c r="G79" s="7">
        <f>'Ejercicio 1.e (1)'!I79</f>
        <v>0.36776723979828818</v>
      </c>
      <c r="H79" s="7">
        <f>'Ejercicio 1.e (1)'!J79</f>
        <v>0.3537087223584503</v>
      </c>
      <c r="I79" s="7">
        <f t="shared" si="8"/>
        <v>0.35071066245124149</v>
      </c>
      <c r="J79" s="7">
        <f>'Ejercicio 1.e (1)'!K79</f>
        <v>4.29275909161932E-4</v>
      </c>
      <c r="K79" s="7">
        <f t="shared" si="9"/>
        <v>4.2563733648606582E-4</v>
      </c>
    </row>
    <row r="80" spans="1:11" ht="15" customHeight="1" x14ac:dyDescent="0.25">
      <c r="A80" s="2">
        <v>78</v>
      </c>
      <c r="B80" s="7">
        <f>'Ejercicio 1.e (1)'!F80</f>
        <v>0.37037037037037035</v>
      </c>
      <c r="C80" s="7">
        <f t="shared" si="5"/>
        <v>0.37037037037037035</v>
      </c>
      <c r="D80" s="7">
        <f>'Ejercicio 1.e (1)'!G80</f>
        <v>0.35470410675734482</v>
      </c>
      <c r="E80" s="7">
        <f t="shared" si="6"/>
        <v>0.35469778040507688</v>
      </c>
      <c r="F80" s="7">
        <f t="shared" si="7"/>
        <v>0.36465001891249188</v>
      </c>
      <c r="G80" s="7">
        <f>'Ejercicio 1.e (1)'!I80</f>
        <v>0.36523702301413863</v>
      </c>
      <c r="H80" s="7">
        <f>'Ejercicio 1.e (1)'!J80</f>
        <v>0.35127522733996436</v>
      </c>
      <c r="I80" s="7">
        <f t="shared" si="8"/>
        <v>0.35071066245124149</v>
      </c>
      <c r="J80" s="7">
        <f>'Ejercicio 1.e (1)'!K80</f>
        <v>4.2632251638287881E-4</v>
      </c>
      <c r="K80" s="7">
        <f t="shared" si="9"/>
        <v>4.2563733648606582E-4</v>
      </c>
    </row>
    <row r="81" spans="1:11" ht="15" customHeight="1" x14ac:dyDescent="0.25">
      <c r="A81" s="2">
        <v>79</v>
      </c>
      <c r="B81" s="7">
        <f>'Ejercicio 1.e (1)'!F81</f>
        <v>0.37037037037037035</v>
      </c>
      <c r="C81" s="7">
        <f t="shared" si="5"/>
        <v>0.37037037037037035</v>
      </c>
      <c r="D81" s="7">
        <f>'Ejercicio 1.e (1)'!G81</f>
        <v>0.35470306729127921</v>
      </c>
      <c r="E81" s="7">
        <f t="shared" si="6"/>
        <v>0.35469778040507688</v>
      </c>
      <c r="F81" s="7">
        <f t="shared" si="7"/>
        <v>0.36465001891249188</v>
      </c>
      <c r="G81" s="7">
        <f>'Ejercicio 1.e (1)'!I81</f>
        <v>0.36376669770849906</v>
      </c>
      <c r="H81" s="7">
        <f>'Ejercicio 1.e (1)'!J81</f>
        <v>0.3498611076766841</v>
      </c>
      <c r="I81" s="7">
        <f t="shared" si="8"/>
        <v>0.35071066245124149</v>
      </c>
      <c r="J81" s="7">
        <f>'Ejercicio 1.e (1)'!K81</f>
        <v>4.2460628077502964E-4</v>
      </c>
      <c r="K81" s="7">
        <f t="shared" si="9"/>
        <v>4.2563733648606582E-4</v>
      </c>
    </row>
    <row r="82" spans="1:11" ht="15" customHeight="1" x14ac:dyDescent="0.25">
      <c r="A82" s="2">
        <v>80</v>
      </c>
      <c r="B82" s="7">
        <f>'Ejercicio 1.e (1)'!F82</f>
        <v>0.37037037037037035</v>
      </c>
      <c r="C82" s="7">
        <f t="shared" si="5"/>
        <v>0.37037037037037035</v>
      </c>
      <c r="D82" s="7">
        <f>'Ejercicio 1.e (1)'!G82</f>
        <v>0.35470392742524665</v>
      </c>
      <c r="E82" s="7">
        <f t="shared" si="6"/>
        <v>0.35469778040507688</v>
      </c>
      <c r="F82" s="7">
        <f t="shared" si="7"/>
        <v>0.36465001891249188</v>
      </c>
      <c r="G82" s="7">
        <f>'Ejercicio 1.e (1)'!I82</f>
        <v>0.36539340720540064</v>
      </c>
      <c r="H82" s="7">
        <f>'Ejercicio 1.e (1)'!J82</f>
        <v>0.35142563348412958</v>
      </c>
      <c r="I82" s="7">
        <f t="shared" si="8"/>
        <v>0.35071066245124149</v>
      </c>
      <c r="J82" s="7">
        <f>'Ejercicio 1.e (1)'!K82</f>
        <v>4.2650505565940431E-4</v>
      </c>
      <c r="K82" s="7">
        <f t="shared" si="9"/>
        <v>4.2563733648606582E-4</v>
      </c>
    </row>
    <row r="83" spans="1:11" ht="15" customHeight="1" x14ac:dyDescent="0.25">
      <c r="A83" s="2">
        <v>81</v>
      </c>
      <c r="B83" s="7">
        <f>'Ejercicio 1.e (1)'!F83</f>
        <v>0.37037037037037035</v>
      </c>
      <c r="C83" s="7">
        <f t="shared" si="5"/>
        <v>0.37037037037037035</v>
      </c>
      <c r="D83" s="7">
        <f>'Ejercicio 1.e (1)'!G83</f>
        <v>0.35470429334184467</v>
      </c>
      <c r="E83" s="7">
        <f t="shared" si="6"/>
        <v>0.35469778040507688</v>
      </c>
      <c r="F83" s="7">
        <f t="shared" si="7"/>
        <v>0.36465001891249188</v>
      </c>
      <c r="G83" s="7">
        <f>'Ejercicio 1.e (1)'!I83</f>
        <v>0.36497009492416643</v>
      </c>
      <c r="H83" s="7">
        <f>'Ejercicio 1.e (1)'!J83</f>
        <v>0.35101850302238397</v>
      </c>
      <c r="I83" s="7">
        <f t="shared" si="8"/>
        <v>0.35071066245124149</v>
      </c>
      <c r="J83" s="7">
        <f>'Ejercicio 1.e (1)'!K83</f>
        <v>4.2601094486126496E-4</v>
      </c>
      <c r="K83" s="7">
        <f t="shared" si="9"/>
        <v>4.2563733648606582E-4</v>
      </c>
    </row>
    <row r="84" spans="1:11" ht="15" customHeight="1" x14ac:dyDescent="0.25">
      <c r="A84" s="2">
        <v>82</v>
      </c>
      <c r="B84" s="7">
        <f>'Ejercicio 1.e (1)'!F84</f>
        <v>0.37037037037037035</v>
      </c>
      <c r="C84" s="7">
        <f t="shared" si="5"/>
        <v>0.37037037037037035</v>
      </c>
      <c r="D84" s="7">
        <f>'Ejercicio 1.e (1)'!G84</f>
        <v>0.35470816851300979</v>
      </c>
      <c r="E84" s="7">
        <f t="shared" si="6"/>
        <v>0.35469778040507688</v>
      </c>
      <c r="F84" s="7">
        <f t="shared" si="7"/>
        <v>0.36465001891249188</v>
      </c>
      <c r="G84" s="7">
        <f>'Ejercicio 1.e (1)'!I84</f>
        <v>0.36799322065639645</v>
      </c>
      <c r="H84" s="7">
        <f>'Ejercicio 1.e (1)'!J84</f>
        <v>0.35392606472054533</v>
      </c>
      <c r="I84" s="7">
        <f t="shared" si="8"/>
        <v>0.35071066245124149</v>
      </c>
      <c r="J84" s="7">
        <f>'Ejercicio 1.e (1)'!K84</f>
        <v>4.2953968507185487E-4</v>
      </c>
      <c r="K84" s="7">
        <f t="shared" si="9"/>
        <v>4.2563733648606582E-4</v>
      </c>
    </row>
    <row r="85" spans="1:11" ht="15" customHeight="1" x14ac:dyDescent="0.25">
      <c r="A85" s="2">
        <v>83</v>
      </c>
      <c r="B85" s="7">
        <f>'Ejercicio 1.e (1)'!F85</f>
        <v>0.37037037037037035</v>
      </c>
      <c r="C85" s="7">
        <f t="shared" si="5"/>
        <v>0.37037037037037035</v>
      </c>
      <c r="D85" s="7">
        <f>'Ejercicio 1.e (1)'!G85</f>
        <v>0.35470882022520089</v>
      </c>
      <c r="E85" s="7">
        <f t="shared" si="6"/>
        <v>0.35469778040507688</v>
      </c>
      <c r="F85" s="7">
        <f t="shared" si="7"/>
        <v>0.36465001891249188</v>
      </c>
      <c r="G85" s="7">
        <f>'Ejercicio 1.e (1)'!I85</f>
        <v>0.36521969900384299</v>
      </c>
      <c r="H85" s="7">
        <f>'Ejercicio 1.e (1)'!J85</f>
        <v>0.35125856556891821</v>
      </c>
      <c r="I85" s="7">
        <f t="shared" si="8"/>
        <v>0.35071066245124149</v>
      </c>
      <c r="J85" s="7">
        <f>'Ejercicio 1.e (1)'!K85</f>
        <v>4.2630229495077391E-4</v>
      </c>
      <c r="K85" s="7">
        <f t="shared" si="9"/>
        <v>4.2563733648606582E-4</v>
      </c>
    </row>
    <row r="86" spans="1:11" ht="15" customHeight="1" x14ac:dyDescent="0.25">
      <c r="A86" s="2">
        <v>84</v>
      </c>
      <c r="B86" s="7">
        <f>'Ejercicio 1.e (1)'!F86</f>
        <v>0.37037037037037035</v>
      </c>
      <c r="C86" s="7">
        <f t="shared" si="5"/>
        <v>0.37037037037037035</v>
      </c>
      <c r="D86" s="7">
        <f>'Ejercicio 1.e (1)'!G86</f>
        <v>0.35470706266885876</v>
      </c>
      <c r="E86" s="7">
        <f t="shared" si="6"/>
        <v>0.35469778040507688</v>
      </c>
      <c r="F86" s="7">
        <f t="shared" si="7"/>
        <v>0.36465001891249188</v>
      </c>
      <c r="G86" s="7">
        <f>'Ejercicio 1.e (1)'!I86</f>
        <v>0.36315809594748516</v>
      </c>
      <c r="H86" s="7">
        <f>'Ejercicio 1.e (1)'!J86</f>
        <v>0.34927577073522242</v>
      </c>
      <c r="I86" s="7">
        <f t="shared" si="8"/>
        <v>0.35071066245124149</v>
      </c>
      <c r="J86" s="7">
        <f>'Ejercicio 1.e (1)'!K86</f>
        <v>4.2389589103389861E-4</v>
      </c>
      <c r="K86" s="7">
        <f t="shared" si="9"/>
        <v>4.2563733648606582E-4</v>
      </c>
    </row>
    <row r="87" spans="1:11" ht="15" customHeight="1" x14ac:dyDescent="0.25">
      <c r="A87" s="2">
        <v>85</v>
      </c>
      <c r="B87" s="7">
        <f>'Ejercicio 1.e (1)'!F87</f>
        <v>0.37037037037037035</v>
      </c>
      <c r="C87" s="7">
        <f t="shared" si="5"/>
        <v>0.37037037037037035</v>
      </c>
      <c r="D87" s="7">
        <f>'Ejercicio 1.e (1)'!G87</f>
        <v>0.35470267498448316</v>
      </c>
      <c r="E87" s="7">
        <f t="shared" si="6"/>
        <v>0.35469778040507688</v>
      </c>
      <c r="F87" s="7">
        <f t="shared" si="7"/>
        <v>0.36465001891249188</v>
      </c>
      <c r="G87" s="7">
        <f>'Ejercicio 1.e (1)'!I87</f>
        <v>0.36091824293781422</v>
      </c>
      <c r="H87" s="7">
        <f>'Ejercicio 1.e (1)'!J87</f>
        <v>0.34712153985061189</v>
      </c>
      <c r="I87" s="7">
        <f t="shared" si="8"/>
        <v>0.35071066245124149</v>
      </c>
      <c r="J87" s="7">
        <f>'Ejercicio 1.e (1)'!K87</f>
        <v>4.2128142505361456E-4</v>
      </c>
      <c r="K87" s="7">
        <f t="shared" si="9"/>
        <v>4.2563733648606582E-4</v>
      </c>
    </row>
    <row r="88" spans="1:11" ht="15" customHeight="1" x14ac:dyDescent="0.25">
      <c r="A88" s="2">
        <v>86</v>
      </c>
      <c r="B88" s="7">
        <f>'Ejercicio 1.e (1)'!F88</f>
        <v>0.37037037037037035</v>
      </c>
      <c r="C88" s="7">
        <f t="shared" si="5"/>
        <v>0.37037037037037035</v>
      </c>
      <c r="D88" s="7">
        <f>'Ejercicio 1.e (1)'!G88</f>
        <v>0.35470099007454198</v>
      </c>
      <c r="E88" s="7">
        <f t="shared" si="6"/>
        <v>0.35469778040507688</v>
      </c>
      <c r="F88" s="7">
        <f t="shared" si="7"/>
        <v>0.36465001891249188</v>
      </c>
      <c r="G88" s="7">
        <f>'Ejercicio 1.e (1)'!I88</f>
        <v>0.36321379141897919</v>
      </c>
      <c r="H88" s="7">
        <f>'Ejercicio 1.e (1)'!J88</f>
        <v>0.34932933715422732</v>
      </c>
      <c r="I88" s="7">
        <f t="shared" si="8"/>
        <v>0.35071066245124149</v>
      </c>
      <c r="J88" s="7">
        <f>'Ejercicio 1.e (1)'!K88</f>
        <v>4.2396090151219706E-4</v>
      </c>
      <c r="K88" s="7">
        <f t="shared" si="9"/>
        <v>4.2563733648606582E-4</v>
      </c>
    </row>
    <row r="89" spans="1:11" ht="15" customHeight="1" x14ac:dyDescent="0.25">
      <c r="A89" s="2">
        <v>87</v>
      </c>
      <c r="B89" s="7">
        <f>'Ejercicio 1.e (1)'!F89</f>
        <v>0.37037037037037035</v>
      </c>
      <c r="C89" s="7">
        <f t="shared" si="5"/>
        <v>0.37037037037037035</v>
      </c>
      <c r="D89" s="7">
        <f>'Ejercicio 1.e (1)'!G89</f>
        <v>0.35469911568051776</v>
      </c>
      <c r="E89" s="7">
        <f t="shared" si="6"/>
        <v>0.35469778040507688</v>
      </c>
      <c r="F89" s="7">
        <f t="shared" si="7"/>
        <v>0.36465001891249188</v>
      </c>
      <c r="G89" s="7">
        <f>'Ejercicio 1.e (1)'!I89</f>
        <v>0.36305033229765848</v>
      </c>
      <c r="H89" s="7">
        <f>'Ejercicio 1.e (1)'!J89</f>
        <v>0.34917212653103019</v>
      </c>
      <c r="I89" s="7">
        <f t="shared" si="8"/>
        <v>0.35071066245124149</v>
      </c>
      <c r="J89" s="7">
        <f>'Ejercicio 1.e (1)'!K89</f>
        <v>4.2377010403128431E-4</v>
      </c>
      <c r="K89" s="7">
        <f t="shared" si="9"/>
        <v>4.2563733648606582E-4</v>
      </c>
    </row>
    <row r="90" spans="1:11" ht="15" customHeight="1" x14ac:dyDescent="0.25">
      <c r="A90" s="2">
        <v>88</v>
      </c>
      <c r="B90" s="7">
        <f>'Ejercicio 1.e (1)'!F90</f>
        <v>0.37037037037037035</v>
      </c>
      <c r="C90" s="7">
        <f t="shared" si="5"/>
        <v>0.37037037037037035</v>
      </c>
      <c r="D90" s="7">
        <f>'Ejercicio 1.e (1)'!G90</f>
        <v>0.3546976856106368</v>
      </c>
      <c r="E90" s="7">
        <f t="shared" si="6"/>
        <v>0.35469778040507688</v>
      </c>
      <c r="F90" s="7">
        <f t="shared" si="7"/>
        <v>0.36465001891249188</v>
      </c>
      <c r="G90" s="7">
        <f>'Ejercicio 1.e (1)'!I90</f>
        <v>0.3634277548071419</v>
      </c>
      <c r="H90" s="7">
        <f>'Ejercicio 1.e (1)'!J90</f>
        <v>0.34953512143425192</v>
      </c>
      <c r="I90" s="7">
        <f t="shared" si="8"/>
        <v>0.35071066245124149</v>
      </c>
      <c r="J90" s="7">
        <f>'Ejercicio 1.e (1)'!K90</f>
        <v>4.2421065004344551E-4</v>
      </c>
      <c r="K90" s="7">
        <f t="shared" si="9"/>
        <v>4.2563733648606582E-4</v>
      </c>
    </row>
    <row r="91" spans="1:11" ht="15" customHeight="1" x14ac:dyDescent="0.25">
      <c r="A91" s="2">
        <v>89</v>
      </c>
      <c r="B91" s="7">
        <f>'Ejercicio 1.e (1)'!F91</f>
        <v>0.37037037037037035</v>
      </c>
      <c r="C91" s="7">
        <f t="shared" si="5"/>
        <v>0.37037037037037035</v>
      </c>
      <c r="D91" s="7">
        <f>'Ejercicio 1.e (1)'!G91</f>
        <v>0.35469936121983614</v>
      </c>
      <c r="E91" s="7">
        <f t="shared" si="6"/>
        <v>0.35469778040507688</v>
      </c>
      <c r="F91" s="7">
        <f t="shared" si="7"/>
        <v>0.36465001891249188</v>
      </c>
      <c r="G91" s="7">
        <f>'Ejercicio 1.e (1)'!I91</f>
        <v>0.36608889000655587</v>
      </c>
      <c r="H91" s="7">
        <f>'Ejercicio 1.e (1)'!J91</f>
        <v>0.35209453029275728</v>
      </c>
      <c r="I91" s="7">
        <f t="shared" si="8"/>
        <v>0.35071066245124149</v>
      </c>
      <c r="J91" s="7">
        <f>'Ejercicio 1.e (1)'!K91</f>
        <v>4.2731685719979206E-4</v>
      </c>
      <c r="K91" s="7">
        <f t="shared" si="9"/>
        <v>4.2563733648606582E-4</v>
      </c>
    </row>
    <row r="92" spans="1:11" ht="15" customHeight="1" x14ac:dyDescent="0.25">
      <c r="A92" s="2">
        <v>90</v>
      </c>
      <c r="B92" s="7">
        <f>'Ejercicio 1.e (1)'!F92</f>
        <v>0.37037037037037035</v>
      </c>
      <c r="C92" s="7">
        <f t="shared" si="5"/>
        <v>0.37037037037037035</v>
      </c>
      <c r="D92" s="7">
        <f>'Ejercicio 1.e (1)'!G92</f>
        <v>0.35469814038508651</v>
      </c>
      <c r="E92" s="7">
        <f t="shared" si="6"/>
        <v>0.35469778040507688</v>
      </c>
      <c r="F92" s="7">
        <f t="shared" si="7"/>
        <v>0.36465001891249188</v>
      </c>
      <c r="G92" s="7">
        <f>'Ejercicio 1.e (1)'!I92</f>
        <v>0.36360678246216527</v>
      </c>
      <c r="H92" s="7">
        <f>'Ejercicio 1.e (1)'!J92</f>
        <v>0.34970730545792916</v>
      </c>
      <c r="I92" s="7">
        <f t="shared" si="8"/>
        <v>0.35071066245124149</v>
      </c>
      <c r="J92" s="7">
        <f>'Ejercicio 1.e (1)'!K92</f>
        <v>4.244196198783265E-4</v>
      </c>
      <c r="K92" s="7">
        <f t="shared" si="9"/>
        <v>4.2563733648606582E-4</v>
      </c>
    </row>
    <row r="93" spans="1:11" ht="15" customHeight="1" x14ac:dyDescent="0.25">
      <c r="A93" s="2">
        <v>91</v>
      </c>
      <c r="B93" s="7">
        <f>'Ejercicio 1.e (1)'!F93</f>
        <v>0.37037037037037035</v>
      </c>
      <c r="C93" s="7">
        <f t="shared" si="5"/>
        <v>0.37037037037037035</v>
      </c>
      <c r="D93" s="7">
        <f>'Ejercicio 1.e (1)'!G93</f>
        <v>0.35469756006363956</v>
      </c>
      <c r="E93" s="7">
        <f t="shared" si="6"/>
        <v>0.35469778040507688</v>
      </c>
      <c r="F93" s="7">
        <f t="shared" si="7"/>
        <v>0.36465001891249188</v>
      </c>
      <c r="G93" s="7">
        <f>'Ejercicio 1.e (1)'!I93</f>
        <v>0.36415334260958604</v>
      </c>
      <c r="H93" s="7">
        <f>'Ejercicio 1.e (1)'!J93</f>
        <v>0.3502329724301757</v>
      </c>
      <c r="I93" s="7">
        <f t="shared" si="8"/>
        <v>0.35071066245124149</v>
      </c>
      <c r="J93" s="7">
        <f>'Ejercicio 1.e (1)'!K93</f>
        <v>4.2505759161372199E-4</v>
      </c>
      <c r="K93" s="7">
        <f t="shared" si="9"/>
        <v>4.2563733648606582E-4</v>
      </c>
    </row>
    <row r="94" spans="1:11" ht="15" customHeight="1" x14ac:dyDescent="0.25">
      <c r="A94" s="2">
        <v>92</v>
      </c>
      <c r="B94" s="7">
        <f>'Ejercicio 1.e (1)'!F94</f>
        <v>0.37037037037037035</v>
      </c>
      <c r="C94" s="7">
        <f t="shared" si="5"/>
        <v>0.37037037037037035</v>
      </c>
      <c r="D94" s="7">
        <f>'Ejercicio 1.e (1)'!G94</f>
        <v>0.35470181013465601</v>
      </c>
      <c r="E94" s="7">
        <f t="shared" si="6"/>
        <v>0.35469778040507688</v>
      </c>
      <c r="F94" s="7">
        <f t="shared" si="7"/>
        <v>0.36465001891249188</v>
      </c>
      <c r="G94" s="7">
        <f>'Ejercicio 1.e (1)'!I94</f>
        <v>0.36831069917670323</v>
      </c>
      <c r="H94" s="7">
        <f>'Ejercicio 1.e (1)'!J94</f>
        <v>0.3542314070937691</v>
      </c>
      <c r="I94" s="7">
        <f t="shared" si="8"/>
        <v>0.35071066245124149</v>
      </c>
      <c r="J94" s="7">
        <f>'Ejercicio 1.e (1)'!K94</f>
        <v>4.2991026152809067E-4</v>
      </c>
      <c r="K94" s="7">
        <f t="shared" si="9"/>
        <v>4.2563733648606582E-4</v>
      </c>
    </row>
    <row r="95" spans="1:11" ht="15" customHeight="1" x14ac:dyDescent="0.25">
      <c r="A95" s="2">
        <v>93</v>
      </c>
      <c r="B95" s="7">
        <f>'Ejercicio 1.e (1)'!F95</f>
        <v>0.37037037037037035</v>
      </c>
      <c r="C95" s="7">
        <f t="shared" si="5"/>
        <v>0.37037037037037035</v>
      </c>
      <c r="D95" s="7">
        <f>'Ejercicio 1.e (1)'!G95</f>
        <v>0.35470119365867053</v>
      </c>
      <c r="E95" s="7">
        <f t="shared" si="6"/>
        <v>0.35469778040507688</v>
      </c>
      <c r="F95" s="7">
        <f t="shared" si="7"/>
        <v>0.36465001891249188</v>
      </c>
      <c r="G95" s="7">
        <f>'Ejercicio 1.e (1)'!I95</f>
        <v>0.36412617129613539</v>
      </c>
      <c r="H95" s="7">
        <f>'Ejercicio 1.e (1)'!J95</f>
        <v>0.3502068397855968</v>
      </c>
      <c r="I95" s="7">
        <f t="shared" si="8"/>
        <v>0.35071066245124149</v>
      </c>
      <c r="J95" s="7">
        <f>'Ejercicio 1.e (1)'!K95</f>
        <v>4.2502587592775973E-4</v>
      </c>
      <c r="K95" s="7">
        <f t="shared" si="9"/>
        <v>4.2563733648606582E-4</v>
      </c>
    </row>
    <row r="96" spans="1:11" ht="15" customHeight="1" x14ac:dyDescent="0.25">
      <c r="A96" s="2">
        <v>94</v>
      </c>
      <c r="B96" s="7">
        <f>'Ejercicio 1.e (1)'!F96</f>
        <v>0.37037037037037035</v>
      </c>
      <c r="C96" s="7">
        <f t="shared" si="5"/>
        <v>0.37037037037037035</v>
      </c>
      <c r="D96" s="7">
        <f>'Ejercicio 1.e (1)'!G96</f>
        <v>0.35470175939436066</v>
      </c>
      <c r="E96" s="7">
        <f t="shared" si="6"/>
        <v>0.35469778040507688</v>
      </c>
      <c r="F96" s="7">
        <f t="shared" si="7"/>
        <v>0.36465001891249188</v>
      </c>
      <c r="G96" s="7">
        <f>'Ejercicio 1.e (1)'!I96</f>
        <v>0.365138733871262</v>
      </c>
      <c r="H96" s="7">
        <f>'Ejercicio 1.e (1)'!J96</f>
        <v>0.35118069546385799</v>
      </c>
      <c r="I96" s="7">
        <f t="shared" si="8"/>
        <v>0.35071066245124149</v>
      </c>
      <c r="J96" s="7">
        <f>'Ejercicio 1.e (1)'!K96</f>
        <v>4.2620778848815862E-4</v>
      </c>
      <c r="K96" s="7">
        <f t="shared" si="9"/>
        <v>4.2563733648606582E-4</v>
      </c>
    </row>
    <row r="97" spans="1:11" ht="15" customHeight="1" x14ac:dyDescent="0.25">
      <c r="A97" s="2">
        <v>95</v>
      </c>
      <c r="B97" s="7">
        <f>'Ejercicio 1.e (1)'!F97</f>
        <v>0.37037037037037035</v>
      </c>
      <c r="C97" s="7">
        <f t="shared" si="5"/>
        <v>0.37037037037037035</v>
      </c>
      <c r="D97" s="7">
        <f>'Ejercicio 1.e (1)'!G97</f>
        <v>0.35469761639842606</v>
      </c>
      <c r="E97" s="7">
        <f t="shared" si="6"/>
        <v>0.35469778040507688</v>
      </c>
      <c r="F97" s="7">
        <f t="shared" si="7"/>
        <v>0.36465001891249188</v>
      </c>
      <c r="G97" s="7">
        <f>'Ejercicio 1.e (1)'!I97</f>
        <v>0.36112042054022769</v>
      </c>
      <c r="H97" s="7">
        <f>'Ejercicio 1.e (1)'!J97</f>
        <v>0.34731598887624671</v>
      </c>
      <c r="I97" s="7">
        <f t="shared" si="8"/>
        <v>0.35071066245124149</v>
      </c>
      <c r="J97" s="7">
        <f>'Ejercicio 1.e (1)'!K97</f>
        <v>4.2151741663931376E-4</v>
      </c>
      <c r="K97" s="7">
        <f t="shared" si="9"/>
        <v>4.2563733648606582E-4</v>
      </c>
    </row>
    <row r="98" spans="1:11" ht="15" customHeight="1" x14ac:dyDescent="0.25">
      <c r="A98" s="2">
        <v>96</v>
      </c>
      <c r="B98" s="7">
        <f>'Ejercicio 1.e (1)'!F98</f>
        <v>0.37037037037037035</v>
      </c>
      <c r="C98" s="7">
        <f t="shared" si="5"/>
        <v>0.37037037037037035</v>
      </c>
      <c r="D98" s="7">
        <f>'Ejercicio 1.e (1)'!G98</f>
        <v>0.35470441185713147</v>
      </c>
      <c r="E98" s="7">
        <f t="shared" si="6"/>
        <v>0.35469778040507688</v>
      </c>
      <c r="F98" s="7">
        <f t="shared" si="7"/>
        <v>0.36465001891249188</v>
      </c>
      <c r="G98" s="7">
        <f>'Ejercicio 1.e (1)'!I98</f>
        <v>0.37052084428097998</v>
      </c>
      <c r="H98" s="7">
        <f>'Ejercicio 1.e (1)'!J98</f>
        <v>0.35635706570732395</v>
      </c>
      <c r="I98" s="7">
        <f t="shared" si="8"/>
        <v>0.35071066245124149</v>
      </c>
      <c r="J98" s="7">
        <f>'Ejercicio 1.e (1)'!K98</f>
        <v>4.3249005098823555E-4</v>
      </c>
      <c r="K98" s="7">
        <f t="shared" si="9"/>
        <v>4.2563733648606582E-4</v>
      </c>
    </row>
    <row r="99" spans="1:11" ht="15" customHeight="1" x14ac:dyDescent="0.25">
      <c r="A99" s="2">
        <v>97</v>
      </c>
      <c r="B99" s="7">
        <f>'Ejercicio 1.e (1)'!F99</f>
        <v>0.37037037037037035</v>
      </c>
      <c r="C99" s="7">
        <f t="shared" si="5"/>
        <v>0.37037037037037035</v>
      </c>
      <c r="D99" s="7">
        <f>'Ejercicio 1.e (1)'!G99</f>
        <v>0.35471458765954056</v>
      </c>
      <c r="E99" s="7">
        <f t="shared" si="6"/>
        <v>0.35469778040507688</v>
      </c>
      <c r="F99" s="7">
        <f t="shared" si="7"/>
        <v>0.36465001891249188</v>
      </c>
      <c r="G99" s="7">
        <f>'Ejercicio 1.e (1)'!I99</f>
        <v>0.3734833733378618</v>
      </c>
      <c r="H99" s="7">
        <f>'Ejercicio 1.e (1)'!J99</f>
        <v>0.35920634713933564</v>
      </c>
      <c r="I99" s="7">
        <f t="shared" si="8"/>
        <v>0.35071066245124149</v>
      </c>
      <c r="J99" s="7">
        <f>'Ejercicio 1.e (1)'!K99</f>
        <v>4.3594805979567885E-4</v>
      </c>
      <c r="K99" s="7">
        <f t="shared" si="9"/>
        <v>4.2563733648606582E-4</v>
      </c>
    </row>
    <row r="100" spans="1:11" ht="15" customHeight="1" x14ac:dyDescent="0.25">
      <c r="A100" s="2">
        <v>98</v>
      </c>
      <c r="B100" s="7">
        <f>'Ejercicio 1.e (1)'!F100</f>
        <v>0.37037037037037035</v>
      </c>
      <c r="C100" s="7">
        <f t="shared" si="5"/>
        <v>0.37037037037037035</v>
      </c>
      <c r="D100" s="7">
        <f>'Ejercicio 1.e (1)'!G100</f>
        <v>0.35472434733604591</v>
      </c>
      <c r="E100" s="7">
        <f t="shared" si="6"/>
        <v>0.35469778040507688</v>
      </c>
      <c r="F100" s="7">
        <f t="shared" si="7"/>
        <v>0.36465001891249188</v>
      </c>
      <c r="G100" s="7">
        <f>'Ejercicio 1.e (1)'!I100</f>
        <v>0.37312873239812699</v>
      </c>
      <c r="H100" s="7">
        <f>'Ejercicio 1.e (1)'!J100</f>
        <v>0.35886526294228099</v>
      </c>
      <c r="I100" s="7">
        <f t="shared" si="8"/>
        <v>0.35071066245124149</v>
      </c>
      <c r="J100" s="7">
        <f>'Ejercicio 1.e (1)'!K100</f>
        <v>4.3553410554593599E-4</v>
      </c>
      <c r="K100" s="7">
        <f t="shared" si="9"/>
        <v>4.2563733648606582E-4</v>
      </c>
    </row>
    <row r="101" spans="1:11" ht="15" customHeight="1" x14ac:dyDescent="0.25">
      <c r="A101" s="2">
        <v>99</v>
      </c>
      <c r="B101" s="7">
        <f>'Ejercicio 1.e (1)'!F101</f>
        <v>0.37037037037037035</v>
      </c>
      <c r="C101" s="7">
        <f t="shared" si="5"/>
        <v>0.37037037037037035</v>
      </c>
      <c r="D101" s="7">
        <f>'Ejercicio 1.e (1)'!G101</f>
        <v>0.35473387294926662</v>
      </c>
      <c r="E101" s="7">
        <f t="shared" si="6"/>
        <v>0.35469778040507688</v>
      </c>
      <c r="F101" s="7">
        <f t="shared" si="7"/>
        <v>0.36465001891249188</v>
      </c>
      <c r="G101" s="7">
        <f>'Ejercicio 1.e (1)'!I101</f>
        <v>0.37293355833107555</v>
      </c>
      <c r="H101" s="7">
        <f>'Ejercicio 1.e (1)'!J101</f>
        <v>0.35867754973016308</v>
      </c>
      <c r="I101" s="7">
        <f t="shared" si="8"/>
        <v>0.35071066245124149</v>
      </c>
      <c r="J101" s="7">
        <f>'Ejercicio 1.e (1)'!K101</f>
        <v>4.3530628882924231E-4</v>
      </c>
      <c r="K101" s="7">
        <f t="shared" si="9"/>
        <v>4.2563733648606582E-4</v>
      </c>
    </row>
    <row r="102" spans="1:11" ht="15" customHeight="1" x14ac:dyDescent="0.25">
      <c r="A102" s="2">
        <v>100</v>
      </c>
      <c r="B102" s="7">
        <f>'Ejercicio 1.e (1)'!F102</f>
        <v>0.37037037037037035</v>
      </c>
      <c r="C102" s="7">
        <f t="shared" si="5"/>
        <v>0.37037037037037035</v>
      </c>
      <c r="D102" s="7">
        <f>'Ejercicio 1.e (1)'!G102</f>
        <v>0.35475131667354048</v>
      </c>
      <c r="E102" s="7">
        <f t="shared" si="6"/>
        <v>0.35469778040507688</v>
      </c>
      <c r="F102" s="7">
        <f t="shared" si="7"/>
        <v>0.36465001891249188</v>
      </c>
      <c r="G102" s="7">
        <f>'Ejercicio 1.e (1)'!I102</f>
        <v>0.37994819550813314</v>
      </c>
      <c r="H102" s="7">
        <f>'Ejercicio 1.e (1)'!J102</f>
        <v>0.36542404067662687</v>
      </c>
      <c r="I102" s="7">
        <f t="shared" si="8"/>
        <v>0.35071066245124149</v>
      </c>
      <c r="J102" s="7">
        <f>'Ejercicio 1.e (1)'!K102</f>
        <v>4.4349411641626194E-4</v>
      </c>
      <c r="K102" s="7">
        <f t="shared" si="9"/>
        <v>4.2563733648606582E-4</v>
      </c>
    </row>
    <row r="103" spans="1:11" ht="15" customHeight="1" x14ac:dyDescent="0.25">
      <c r="A103" s="2">
        <v>101</v>
      </c>
      <c r="B103" s="7">
        <f>'Ejercicio 1.e (1)'!F103</f>
        <v>0.37037037037037035</v>
      </c>
      <c r="C103" s="7">
        <f t="shared" si="5"/>
        <v>0.37037037037037035</v>
      </c>
      <c r="D103" s="7">
        <f>'Ejercicio 1.e (1)'!G103</f>
        <v>0.35476247370797193</v>
      </c>
      <c r="E103" s="7">
        <f t="shared" si="6"/>
        <v>0.35469778040507688</v>
      </c>
      <c r="F103" s="7">
        <f t="shared" si="7"/>
        <v>0.36465001891249188</v>
      </c>
      <c r="G103" s="7">
        <f>'Ejercicio 1.e (1)'!I103</f>
        <v>0.37439390152352209</v>
      </c>
      <c r="H103" s="7">
        <f>'Ejercicio 1.e (1)'!J103</f>
        <v>0.36008206886321159</v>
      </c>
      <c r="I103" s="7">
        <f t="shared" si="8"/>
        <v>0.35071066245124149</v>
      </c>
      <c r="J103" s="7">
        <f>'Ejercicio 1.e (1)'!K103</f>
        <v>4.370108728263644E-4</v>
      </c>
      <c r="K103" s="7">
        <f t="shared" si="9"/>
        <v>4.2563733648606582E-4</v>
      </c>
    </row>
    <row r="104" spans="1:11" ht="15" customHeight="1" x14ac:dyDescent="0.25">
      <c r="A104" s="2">
        <v>102</v>
      </c>
      <c r="B104" s="7">
        <f>'Ejercicio 1.e (1)'!F104</f>
        <v>0.37037037037037035</v>
      </c>
      <c r="C104" s="7">
        <f t="shared" si="5"/>
        <v>0.37037037037037035</v>
      </c>
      <c r="D104" s="7">
        <f>'Ejercicio 1.e (1)'!G104</f>
        <v>0.35477787997433796</v>
      </c>
      <c r="E104" s="7">
        <f t="shared" si="6"/>
        <v>0.35469778040507688</v>
      </c>
      <c r="F104" s="7">
        <f t="shared" si="7"/>
        <v>0.36465001891249188</v>
      </c>
      <c r="G104" s="7">
        <f>'Ejercicio 1.e (1)'!I104</f>
        <v>0.37816265997633602</v>
      </c>
      <c r="H104" s="7">
        <f>'Ejercicio 1.e (1)'!J104</f>
        <v>0.36370676022493692</v>
      </c>
      <c r="I104" s="7">
        <f t="shared" si="8"/>
        <v>0.35071066245124149</v>
      </c>
      <c r="J104" s="7">
        <f>'Ejercicio 1.e (1)'!K104</f>
        <v>4.4140995201604632E-4</v>
      </c>
      <c r="K104" s="7">
        <f t="shared" si="9"/>
        <v>4.2563733648606582E-4</v>
      </c>
    </row>
    <row r="105" spans="1:11" ht="15" customHeight="1" x14ac:dyDescent="0.25">
      <c r="A105" s="2">
        <v>103</v>
      </c>
      <c r="B105" s="7">
        <f>'Ejercicio 1.e (1)'!F105</f>
        <v>0.37037037037037035</v>
      </c>
      <c r="C105" s="7">
        <f t="shared" si="5"/>
        <v>0.37037037037037035</v>
      </c>
      <c r="D105" s="7">
        <f>'Ejercicio 1.e (1)'!G105</f>
        <v>0.35479694679734641</v>
      </c>
      <c r="E105" s="7">
        <f t="shared" si="6"/>
        <v>0.35469778040507688</v>
      </c>
      <c r="F105" s="7">
        <f t="shared" si="7"/>
        <v>0.36465001891249188</v>
      </c>
      <c r="G105" s="7">
        <f>'Ejercicio 1.e (1)'!I105</f>
        <v>0.38144543261386665</v>
      </c>
      <c r="H105" s="7">
        <f>'Ejercicio 1.e (1)'!J105</f>
        <v>0.36686404339146123</v>
      </c>
      <c r="I105" s="7">
        <f t="shared" si="8"/>
        <v>0.35071066245124149</v>
      </c>
      <c r="J105" s="7">
        <f>'Ejercicio 1.e (1)'!K105</f>
        <v>4.4524176479339103E-4</v>
      </c>
      <c r="K105" s="7">
        <f t="shared" si="9"/>
        <v>4.2563733648606582E-4</v>
      </c>
    </row>
    <row r="106" spans="1:11" ht="15" customHeight="1" x14ac:dyDescent="0.25">
      <c r="A106" s="2">
        <v>104</v>
      </c>
      <c r="B106" s="7">
        <f>'Ejercicio 1.e (1)'!F106</f>
        <v>0.37037037037037035</v>
      </c>
      <c r="C106" s="7">
        <f t="shared" si="5"/>
        <v>0.37037037037037035</v>
      </c>
      <c r="D106" s="7">
        <f>'Ejercicio 1.e (1)'!G106</f>
        <v>0.35481343671929039</v>
      </c>
      <c r="E106" s="7">
        <f t="shared" si="6"/>
        <v>0.35469778040507688</v>
      </c>
      <c r="F106" s="7">
        <f t="shared" si="7"/>
        <v>0.36465001891249188</v>
      </c>
      <c r="G106" s="7">
        <f>'Ejercicio 1.e (1)'!I106</f>
        <v>0.37916228414928577</v>
      </c>
      <c r="H106" s="7">
        <f>'Ejercicio 1.e (1)'!J106</f>
        <v>0.36466817209307018</v>
      </c>
      <c r="I106" s="7">
        <f t="shared" si="8"/>
        <v>0.35071066245124149</v>
      </c>
      <c r="J106" s="7">
        <f>'Ejercicio 1.e (1)'!K106</f>
        <v>4.4257676224062915E-4</v>
      </c>
      <c r="K106" s="7">
        <f t="shared" si="9"/>
        <v>4.2563733648606582E-4</v>
      </c>
    </row>
    <row r="107" spans="1:11" ht="15" customHeight="1" x14ac:dyDescent="0.25">
      <c r="A107" s="2">
        <v>105</v>
      </c>
      <c r="B107" s="7">
        <f>'Ejercicio 1.e (1)'!F107</f>
        <v>0.37037037037037035</v>
      </c>
      <c r="C107" s="7">
        <f t="shared" si="5"/>
        <v>0.37037037037037035</v>
      </c>
      <c r="D107" s="7">
        <f>'Ejercicio 1.e (1)'!G107</f>
        <v>0.35482380160443078</v>
      </c>
      <c r="E107" s="7">
        <f t="shared" si="6"/>
        <v>0.35469778040507688</v>
      </c>
      <c r="F107" s="7">
        <f t="shared" si="7"/>
        <v>0.36465001891249188</v>
      </c>
      <c r="G107" s="7">
        <f>'Ejercicio 1.e (1)'!I107</f>
        <v>0.37376143830685338</v>
      </c>
      <c r="H107" s="7">
        <f>'Ejercicio 1.e (1)'!J107</f>
        <v>0.35947378261012036</v>
      </c>
      <c r="I107" s="7">
        <f t="shared" si="8"/>
        <v>0.35071066245124149</v>
      </c>
      <c r="J107" s="7">
        <f>'Ejercicio 1.e (1)'!K107</f>
        <v>4.3627263082716988E-4</v>
      </c>
      <c r="K107" s="7">
        <f t="shared" si="9"/>
        <v>4.2563733648606582E-4</v>
      </c>
    </row>
    <row r="108" spans="1:11" ht="15" customHeight="1" x14ac:dyDescent="0.25">
      <c r="A108" s="2">
        <v>106</v>
      </c>
      <c r="B108" s="7">
        <f>'Ejercicio 1.e (1)'!F108</f>
        <v>0.37037037037037035</v>
      </c>
      <c r="C108" s="7">
        <f t="shared" si="5"/>
        <v>0.37037037037037035</v>
      </c>
      <c r="D108" s="7">
        <f>'Ejercicio 1.e (1)'!G108</f>
        <v>0.35483734545558743</v>
      </c>
      <c r="E108" s="7">
        <f t="shared" si="6"/>
        <v>0.35469778040507688</v>
      </c>
      <c r="F108" s="7">
        <f t="shared" si="7"/>
        <v>0.36465001891249188</v>
      </c>
      <c r="G108" s="7">
        <f>'Ejercicio 1.e (1)'!I108</f>
        <v>0.37657426157709623</v>
      </c>
      <c r="H108" s="7">
        <f>'Ejercicio 1.e (1)'!J108</f>
        <v>0.36217908100941065</v>
      </c>
      <c r="I108" s="7">
        <f t="shared" si="8"/>
        <v>0.35071066245124149</v>
      </c>
      <c r="J108" s="7">
        <f>'Ejercicio 1.e (1)'!K108</f>
        <v>4.3955589571859305E-4</v>
      </c>
      <c r="K108" s="7">
        <f t="shared" si="9"/>
        <v>4.2563733648606582E-4</v>
      </c>
    </row>
    <row r="109" spans="1:11" ht="15" customHeight="1" x14ac:dyDescent="0.25">
      <c r="A109" s="2">
        <v>107</v>
      </c>
      <c r="B109" s="7">
        <f>'Ejercicio 1.e (1)'!F109</f>
        <v>0.37037037037037035</v>
      </c>
      <c r="C109" s="7">
        <f t="shared" si="5"/>
        <v>0.37037037037037035</v>
      </c>
      <c r="D109" s="7">
        <f>'Ejercicio 1.e (1)'!G109</f>
        <v>0.35484475159812157</v>
      </c>
      <c r="E109" s="7">
        <f t="shared" si="6"/>
        <v>0.35469778040507688</v>
      </c>
      <c r="F109" s="7">
        <f t="shared" si="7"/>
        <v>0.36465001891249188</v>
      </c>
      <c r="G109" s="7">
        <f>'Ejercicio 1.e (1)'!I109</f>
        <v>0.371196678390112</v>
      </c>
      <c r="H109" s="7">
        <f>'Ejercicio 1.e (1)'!J109</f>
        <v>0.35700706492802248</v>
      </c>
      <c r="I109" s="7">
        <f t="shared" si="8"/>
        <v>0.35071066245124149</v>
      </c>
      <c r="J109" s="7">
        <f>'Ejercicio 1.e (1)'!K109</f>
        <v>4.3327891761430973E-4</v>
      </c>
      <c r="K109" s="7">
        <f t="shared" si="9"/>
        <v>4.2563733648606582E-4</v>
      </c>
    </row>
    <row r="110" spans="1:11" ht="15" customHeight="1" x14ac:dyDescent="0.25">
      <c r="A110" s="2">
        <v>108</v>
      </c>
      <c r="B110" s="7">
        <f>'Ejercicio 1.e (1)'!F110</f>
        <v>0.37037037037037035</v>
      </c>
      <c r="C110" s="7">
        <f t="shared" si="5"/>
        <v>0.37037037037037035</v>
      </c>
      <c r="D110" s="7">
        <f>'Ejercicio 1.e (1)'!G110</f>
        <v>0.35485375518647921</v>
      </c>
      <c r="E110" s="7">
        <f t="shared" si="6"/>
        <v>0.35469778040507688</v>
      </c>
      <c r="F110" s="7">
        <f t="shared" si="7"/>
        <v>0.36465001891249188</v>
      </c>
      <c r="G110" s="7">
        <f>'Ejercicio 1.e (1)'!I110</f>
        <v>0.37260005598558155</v>
      </c>
      <c r="H110" s="7">
        <f>'Ejercicio 1.e (1)'!J110</f>
        <v>0.35835679606925264</v>
      </c>
      <c r="I110" s="7">
        <f t="shared" si="8"/>
        <v>0.35071066245124149</v>
      </c>
      <c r="J110" s="7">
        <f>'Ejercicio 1.e (1)'!K110</f>
        <v>4.3491700858054995E-4</v>
      </c>
      <c r="K110" s="7">
        <f t="shared" si="9"/>
        <v>4.2563733648606582E-4</v>
      </c>
    </row>
    <row r="111" spans="1:11" ht="15" customHeight="1" x14ac:dyDescent="0.25">
      <c r="A111" s="2">
        <v>109</v>
      </c>
      <c r="B111" s="7">
        <f>'Ejercicio 1.e (1)'!F111</f>
        <v>0.37037037037037035</v>
      </c>
      <c r="C111" s="7">
        <f t="shared" si="5"/>
        <v>0.37037037037037035</v>
      </c>
      <c r="D111" s="7">
        <f>'Ejercicio 1.e (1)'!G111</f>
        <v>0.35485800576675153</v>
      </c>
      <c r="E111" s="7">
        <f t="shared" si="6"/>
        <v>0.35469778040507688</v>
      </c>
      <c r="F111" s="7">
        <f t="shared" si="7"/>
        <v>0.36465001891249188</v>
      </c>
      <c r="G111" s="7">
        <f>'Ejercicio 1.e (1)'!I111</f>
        <v>0.36847170967724929</v>
      </c>
      <c r="H111" s="7">
        <f>'Ejercicio 1.e (1)'!J111</f>
        <v>0.3543862626988134</v>
      </c>
      <c r="I111" s="7">
        <f t="shared" si="8"/>
        <v>0.35071066245124149</v>
      </c>
      <c r="J111" s="7">
        <f>'Ejercicio 1.e (1)'!K111</f>
        <v>4.3009820085907743E-4</v>
      </c>
      <c r="K111" s="7">
        <f t="shared" si="9"/>
        <v>4.2563733648606582E-4</v>
      </c>
    </row>
    <row r="112" spans="1:11" ht="15" customHeight="1" x14ac:dyDescent="0.25">
      <c r="A112" s="2">
        <v>110</v>
      </c>
      <c r="B112" s="7">
        <f>'Ejercicio 1.e (1)'!F112</f>
        <v>0.37037037037037035</v>
      </c>
      <c r="C112" s="7">
        <f t="shared" si="5"/>
        <v>0.37037037037037035</v>
      </c>
      <c r="D112" s="7">
        <f>'Ejercicio 1.e (1)'!G112</f>
        <v>0.35486635337269645</v>
      </c>
      <c r="E112" s="7">
        <f t="shared" si="6"/>
        <v>0.35469778040507688</v>
      </c>
      <c r="F112" s="7">
        <f t="shared" si="7"/>
        <v>0.36465001891249188</v>
      </c>
      <c r="G112" s="7">
        <f>'Ejercicio 1.e (1)'!I112</f>
        <v>0.37203988299269686</v>
      </c>
      <c r="H112" s="7">
        <f>'Ejercicio 1.e (1)'!J112</f>
        <v>0.35781803662531297</v>
      </c>
      <c r="I112" s="7">
        <f t="shared" si="8"/>
        <v>0.35071066245124149</v>
      </c>
      <c r="J112" s="7">
        <f>'Ejercicio 1.e (1)'!K112</f>
        <v>4.342631472661479E-4</v>
      </c>
      <c r="K112" s="7">
        <f t="shared" si="9"/>
        <v>4.2563733648606582E-4</v>
      </c>
    </row>
    <row r="113" spans="1:11" ht="15" customHeight="1" x14ac:dyDescent="0.25">
      <c r="A113" s="2">
        <v>111</v>
      </c>
      <c r="B113" s="7">
        <f>'Ejercicio 1.e (1)'!F113</f>
        <v>0.37037037037037035</v>
      </c>
      <c r="C113" s="7">
        <f t="shared" si="5"/>
        <v>0.37037037037037035</v>
      </c>
      <c r="D113" s="7">
        <f>'Ejercicio 1.e (1)'!G113</f>
        <v>0.35487571018128289</v>
      </c>
      <c r="E113" s="7">
        <f t="shared" si="6"/>
        <v>0.35469778040507688</v>
      </c>
      <c r="F113" s="7">
        <f t="shared" si="7"/>
        <v>0.36465001891249188</v>
      </c>
      <c r="G113" s="7">
        <f>'Ejercicio 1.e (1)'!I113</f>
        <v>0.37293159082673721</v>
      </c>
      <c r="H113" s="7">
        <f>'Ejercicio 1.e (1)'!J113</f>
        <v>0.35867565743696667</v>
      </c>
      <c r="I113" s="7">
        <f t="shared" si="8"/>
        <v>0.35071066245124149</v>
      </c>
      <c r="J113" s="7">
        <f>'Ejercicio 1.e (1)'!K113</f>
        <v>4.3530399226195132E-4</v>
      </c>
      <c r="K113" s="7">
        <f t="shared" si="9"/>
        <v>4.2563733648606582E-4</v>
      </c>
    </row>
    <row r="114" spans="1:11" ht="15" customHeight="1" x14ac:dyDescent="0.25">
      <c r="A114" s="2">
        <v>112</v>
      </c>
      <c r="B114" s="7">
        <f>'Ejercicio 1.e (1)'!F114</f>
        <v>0.37037037037037035</v>
      </c>
      <c r="C114" s="7">
        <f t="shared" si="5"/>
        <v>0.37037037037037035</v>
      </c>
      <c r="D114" s="7">
        <f>'Ejercicio 1.e (1)'!G114</f>
        <v>0.35488530337059182</v>
      </c>
      <c r="E114" s="7">
        <f t="shared" si="6"/>
        <v>0.35469778040507688</v>
      </c>
      <c r="F114" s="7">
        <f t="shared" si="7"/>
        <v>0.36465001891249188</v>
      </c>
      <c r="G114" s="7">
        <f>'Ejercicio 1.e (1)'!I114</f>
        <v>0.37314836093520221</v>
      </c>
      <c r="H114" s="7">
        <f>'Ejercicio 1.e (1)'!J114</f>
        <v>0.3588841411457187</v>
      </c>
      <c r="I114" s="7">
        <f t="shared" si="8"/>
        <v>0.35071066245124149</v>
      </c>
      <c r="J114" s="7">
        <f>'Ejercicio 1.e (1)'!K114</f>
        <v>4.3555701693440851E-4</v>
      </c>
      <c r="K114" s="7">
        <f t="shared" si="9"/>
        <v>4.2563733648606582E-4</v>
      </c>
    </row>
    <row r="115" spans="1:11" ht="15" customHeight="1" x14ac:dyDescent="0.25">
      <c r="A115" s="2">
        <v>113</v>
      </c>
      <c r="B115" s="7">
        <f>'Ejercicio 1.e (1)'!F115</f>
        <v>0.37037037037037035</v>
      </c>
      <c r="C115" s="7">
        <f t="shared" si="5"/>
        <v>0.37037037037037035</v>
      </c>
      <c r="D115" s="7">
        <f>'Ejercicio 1.e (1)'!G115</f>
        <v>0.35489826919513245</v>
      </c>
      <c r="E115" s="7">
        <f t="shared" si="6"/>
        <v>0.35469778040507688</v>
      </c>
      <c r="F115" s="7">
        <f t="shared" si="7"/>
        <v>0.36465001891249188</v>
      </c>
      <c r="G115" s="7">
        <f>'Ejercicio 1.e (1)'!I115</f>
        <v>0.37612638840837481</v>
      </c>
      <c r="H115" s="7">
        <f>'Ejercicio 1.e (1)'!J115</f>
        <v>0.36174832854115391</v>
      </c>
      <c r="I115" s="7">
        <f t="shared" si="8"/>
        <v>0.35071066245124149</v>
      </c>
      <c r="J115" s="7">
        <f>'Ejercicio 1.e (1)'!K115</f>
        <v>4.3903311625134749E-4</v>
      </c>
      <c r="K115" s="7">
        <f t="shared" si="9"/>
        <v>4.2563733648606582E-4</v>
      </c>
    </row>
    <row r="116" spans="1:11" ht="15" customHeight="1" x14ac:dyDescent="0.25">
      <c r="A116" s="2">
        <v>114</v>
      </c>
      <c r="B116" s="7">
        <f>'Ejercicio 1.e (1)'!F116</f>
        <v>0.37037037037037035</v>
      </c>
      <c r="C116" s="7">
        <f t="shared" si="5"/>
        <v>0.37037037037037035</v>
      </c>
      <c r="D116" s="7">
        <f>'Ejercicio 1.e (1)'!G116</f>
        <v>0.35491120654344982</v>
      </c>
      <c r="E116" s="7">
        <f t="shared" si="6"/>
        <v>0.35469778040507688</v>
      </c>
      <c r="F116" s="7">
        <f t="shared" si="7"/>
        <v>0.36465001891249188</v>
      </c>
      <c r="G116" s="7">
        <f>'Ejercicio 1.e (1)'!I116</f>
        <v>0.37611455213525397</v>
      </c>
      <c r="H116" s="7">
        <f>'Ejercicio 1.e (1)'!J116</f>
        <v>0.36173694472935664</v>
      </c>
      <c r="I116" s="7">
        <f t="shared" si="8"/>
        <v>0.35071066245124149</v>
      </c>
      <c r="J116" s="7">
        <f>'Ejercicio 1.e (1)'!K116</f>
        <v>4.3901930037446892E-4</v>
      </c>
      <c r="K116" s="7">
        <f t="shared" si="9"/>
        <v>4.2563733648606582E-4</v>
      </c>
    </row>
    <row r="117" spans="1:11" ht="15" customHeight="1" x14ac:dyDescent="0.25">
      <c r="A117" s="2">
        <v>115</v>
      </c>
      <c r="B117" s="7">
        <f>'Ejercicio 1.e (1)'!F117</f>
        <v>0.37037037037037035</v>
      </c>
      <c r="C117" s="7">
        <f t="shared" si="5"/>
        <v>0.37037037037037035</v>
      </c>
      <c r="D117" s="7">
        <f>'Ejercicio 1.e (1)'!G117</f>
        <v>0.35492209229807165</v>
      </c>
      <c r="E117" s="7">
        <f t="shared" si="6"/>
        <v>0.35469778040507688</v>
      </c>
      <c r="F117" s="7">
        <f t="shared" si="7"/>
        <v>0.36465001891249188</v>
      </c>
      <c r="G117" s="7">
        <f>'Ejercicio 1.e (1)'!I117</f>
        <v>0.37431961961672977</v>
      </c>
      <c r="H117" s="7">
        <f>'Ejercicio 1.e (1)'!J117</f>
        <v>0.36001062650646365</v>
      </c>
      <c r="I117" s="7">
        <f t="shared" si="8"/>
        <v>0.35071066245124149</v>
      </c>
      <c r="J117" s="7">
        <f>'Ejercicio 1.e (1)'!K117</f>
        <v>4.3692416735175484E-4</v>
      </c>
      <c r="K117" s="7">
        <f t="shared" si="9"/>
        <v>4.2563733648606582E-4</v>
      </c>
    </row>
    <row r="118" spans="1:11" ht="15" customHeight="1" x14ac:dyDescent="0.25">
      <c r="A118" s="2">
        <v>116</v>
      </c>
      <c r="B118" s="7">
        <f>'Ejercicio 1.e (1)'!F118</f>
        <v>0.37037037037037035</v>
      </c>
      <c r="C118" s="7">
        <f t="shared" si="5"/>
        <v>0.37037037037037035</v>
      </c>
      <c r="D118" s="7">
        <f>'Ejercicio 1.e (1)'!G118</f>
        <v>0.35493541914930821</v>
      </c>
      <c r="E118" s="7">
        <f t="shared" si="6"/>
        <v>0.35469778040507688</v>
      </c>
      <c r="F118" s="7">
        <f t="shared" si="7"/>
        <v>0.36465001891249188</v>
      </c>
      <c r="G118" s="7">
        <f>'Ejercicio 1.e (1)'!I118</f>
        <v>0.3764833147111204</v>
      </c>
      <c r="H118" s="7">
        <f>'Ejercicio 1.e (1)'!J118</f>
        <v>0.36209161073939838</v>
      </c>
      <c r="I118" s="7">
        <f t="shared" si="8"/>
        <v>0.35071066245124149</v>
      </c>
      <c r="J118" s="7">
        <f>'Ejercicio 1.e (1)'!K118</f>
        <v>4.3944973808856977E-4</v>
      </c>
      <c r="K118" s="7">
        <f t="shared" si="9"/>
        <v>4.2563733648606582E-4</v>
      </c>
    </row>
    <row r="119" spans="1:11" ht="15" customHeight="1" x14ac:dyDescent="0.25">
      <c r="A119" s="2">
        <v>117</v>
      </c>
      <c r="B119" s="7">
        <f>'Ejercicio 1.e (1)'!F119</f>
        <v>0.37037037037037035</v>
      </c>
      <c r="C119" s="7">
        <f t="shared" si="5"/>
        <v>0.37037037037037035</v>
      </c>
      <c r="D119" s="7">
        <f>'Ejercicio 1.e (1)'!G119</f>
        <v>0.35495178610216721</v>
      </c>
      <c r="E119" s="7">
        <f t="shared" si="6"/>
        <v>0.35469778040507688</v>
      </c>
      <c r="F119" s="7">
        <f t="shared" si="7"/>
        <v>0.36465001891249188</v>
      </c>
      <c r="G119" s="7">
        <f>'Ejercicio 1.e (1)'!I119</f>
        <v>0.37919499600304102</v>
      </c>
      <c r="H119" s="7">
        <f>'Ejercicio 1.e (1)'!J119</f>
        <v>0.36469963348153994</v>
      </c>
      <c r="I119" s="7">
        <f t="shared" si="8"/>
        <v>0.35071066245124149</v>
      </c>
      <c r="J119" s="7">
        <f>'Ejercicio 1.e (1)'!K119</f>
        <v>4.4261494511621335E-4</v>
      </c>
      <c r="K119" s="7">
        <f t="shared" si="9"/>
        <v>4.2563733648606582E-4</v>
      </c>
    </row>
    <row r="120" spans="1:11" ht="15" customHeight="1" x14ac:dyDescent="0.25">
      <c r="A120" s="2">
        <v>118</v>
      </c>
      <c r="B120" s="7">
        <f>'Ejercicio 1.e (1)'!F120</f>
        <v>0.37037037037037035</v>
      </c>
      <c r="C120" s="7">
        <f t="shared" si="5"/>
        <v>0.37037037037037035</v>
      </c>
      <c r="D120" s="7">
        <f>'Ejercicio 1.e (1)'!G120</f>
        <v>0.35496688562950024</v>
      </c>
      <c r="E120" s="7">
        <f t="shared" si="6"/>
        <v>0.35469778040507688</v>
      </c>
      <c r="F120" s="7">
        <f t="shared" si="7"/>
        <v>0.36465001891249188</v>
      </c>
      <c r="G120" s="7">
        <f>'Ejercicio 1.e (1)'!I120</f>
        <v>0.37808467483150887</v>
      </c>
      <c r="H120" s="7">
        <f>'Ejercicio 1.e (1)'!J120</f>
        <v>0.36363175619261778</v>
      </c>
      <c r="I120" s="7">
        <f t="shared" si="8"/>
        <v>0.35071066245124149</v>
      </c>
      <c r="J120" s="7">
        <f>'Ejercicio 1.e (1)'!K120</f>
        <v>4.413189239408835E-4</v>
      </c>
      <c r="K120" s="7">
        <f t="shared" si="9"/>
        <v>4.2563733648606582E-4</v>
      </c>
    </row>
    <row r="121" spans="1:11" ht="15" customHeight="1" x14ac:dyDescent="0.25">
      <c r="A121" s="2">
        <v>119</v>
      </c>
      <c r="B121" s="7">
        <f>'Ejercicio 1.e (1)'!F121</f>
        <v>0.37037037037037035</v>
      </c>
      <c r="C121" s="7">
        <f t="shared" si="5"/>
        <v>0.37037037037037035</v>
      </c>
      <c r="D121" s="7">
        <f>'Ejercicio 1.e (1)'!G121</f>
        <v>0.35497908549904988</v>
      </c>
      <c r="E121" s="7">
        <f t="shared" si="6"/>
        <v>0.35469778040507688</v>
      </c>
      <c r="F121" s="7">
        <f t="shared" si="7"/>
        <v>0.36465001891249188</v>
      </c>
      <c r="G121" s="7">
        <f>'Ejercicio 1.e (1)'!I121</f>
        <v>0.37553406492520136</v>
      </c>
      <c r="H121" s="7">
        <f>'Ejercicio 1.e (1)'!J121</f>
        <v>0.36117864761315416</v>
      </c>
      <c r="I121" s="7">
        <f t="shared" si="8"/>
        <v>0.35071066245124149</v>
      </c>
      <c r="J121" s="7">
        <f>'Ejercicio 1.e (1)'!K121</f>
        <v>4.3834172731225466E-4</v>
      </c>
      <c r="K121" s="7">
        <f t="shared" si="9"/>
        <v>4.2563733648606582E-4</v>
      </c>
    </row>
    <row r="122" spans="1:11" ht="15" customHeight="1" x14ac:dyDescent="0.25">
      <c r="A122" s="2">
        <v>120</v>
      </c>
      <c r="B122" s="7">
        <f>'Ejercicio 1.e (1)'!F122</f>
        <v>0.37037037037037035</v>
      </c>
      <c r="C122" s="7">
        <f t="shared" si="5"/>
        <v>0.37037037037037035</v>
      </c>
      <c r="D122" s="7">
        <f>'Ejercicio 1.e (1)'!G122</f>
        <v>0.35498784358219782</v>
      </c>
      <c r="E122" s="7">
        <f t="shared" si="6"/>
        <v>0.35469778040507688</v>
      </c>
      <c r="F122" s="7">
        <f t="shared" si="7"/>
        <v>0.36465001891249188</v>
      </c>
      <c r="G122" s="7">
        <f>'Ejercicio 1.e (1)'!I122</f>
        <v>0.37252327943266639</v>
      </c>
      <c r="H122" s="7">
        <f>'Ejercicio 1.e (1)'!J122</f>
        <v>0.35828295442839958</v>
      </c>
      <c r="I122" s="7">
        <f t="shared" si="8"/>
        <v>0.35071066245124149</v>
      </c>
      <c r="J122" s="7">
        <f>'Ejercicio 1.e (1)'!K122</f>
        <v>4.3482739123297694E-4</v>
      </c>
      <c r="K122" s="7">
        <f t="shared" si="9"/>
        <v>4.2563733648606582E-4</v>
      </c>
    </row>
    <row r="123" spans="1:11" ht="15" customHeight="1" x14ac:dyDescent="0.25">
      <c r="A123" s="2">
        <v>121</v>
      </c>
      <c r="B123" s="7">
        <f>'Ejercicio 1.e (1)'!F123</f>
        <v>0.37037037037037035</v>
      </c>
      <c r="C123" s="7">
        <f t="shared" si="5"/>
        <v>0.37037037037037035</v>
      </c>
      <c r="D123" s="7">
        <f>'Ejercicio 1.e (1)'!G123</f>
        <v>0.35499896748090132</v>
      </c>
      <c r="E123" s="7">
        <f t="shared" si="6"/>
        <v>0.35469778040507688</v>
      </c>
      <c r="F123" s="7">
        <f t="shared" si="7"/>
        <v>0.36465001891249188</v>
      </c>
      <c r="G123" s="7">
        <f>'Ejercicio 1.e (1)'!I123</f>
        <v>0.37460782801591141</v>
      </c>
      <c r="H123" s="7">
        <f>'Ejercicio 1.e (1)'!J123</f>
        <v>0.36028781765786538</v>
      </c>
      <c r="I123" s="7">
        <f t="shared" si="8"/>
        <v>0.35071066245124149</v>
      </c>
      <c r="J123" s="7">
        <f>'Ejercicio 1.e (1)'!K123</f>
        <v>4.3726057829106165E-4</v>
      </c>
      <c r="K123" s="7">
        <f t="shared" si="9"/>
        <v>4.2563733648606582E-4</v>
      </c>
    </row>
    <row r="124" spans="1:11" ht="15" customHeight="1" x14ac:dyDescent="0.25">
      <c r="A124" s="2">
        <v>122</v>
      </c>
      <c r="B124" s="7">
        <f>'Ejercicio 1.e (1)'!F124</f>
        <v>0.37037037037037035</v>
      </c>
      <c r="C124" s="7">
        <f t="shared" si="5"/>
        <v>0.37037037037037035</v>
      </c>
      <c r="D124" s="7">
        <f>'Ejercicio 1.e (1)'!G124</f>
        <v>0.35500808769266662</v>
      </c>
      <c r="E124" s="7">
        <f t="shared" si="6"/>
        <v>0.35469778040507688</v>
      </c>
      <c r="F124" s="7">
        <f t="shared" si="7"/>
        <v>0.36465001891249188</v>
      </c>
      <c r="G124" s="7">
        <f>'Ejercicio 1.e (1)'!I124</f>
        <v>0.3728606665801053</v>
      </c>
      <c r="H124" s="7">
        <f>'Ejercicio 1.e (1)'!J124</f>
        <v>0.35860744438820741</v>
      </c>
      <c r="I124" s="7">
        <f t="shared" si="8"/>
        <v>0.35071066245124149</v>
      </c>
      <c r="J124" s="7">
        <f>'Ejercicio 1.e (1)'!K124</f>
        <v>4.3522120601249841E-4</v>
      </c>
      <c r="K124" s="7">
        <f t="shared" si="9"/>
        <v>4.2563733648606582E-4</v>
      </c>
    </row>
    <row r="125" spans="1:11" ht="15" customHeight="1" x14ac:dyDescent="0.25">
      <c r="A125" s="2">
        <v>123</v>
      </c>
      <c r="B125" s="7">
        <f>'Ejercicio 1.e (1)'!F125</f>
        <v>0.37037037037037035</v>
      </c>
      <c r="C125" s="7">
        <f t="shared" si="5"/>
        <v>0.37037037037037035</v>
      </c>
      <c r="D125" s="7">
        <f>'Ejercicio 1.e (1)'!G125</f>
        <v>0.35501635482907379</v>
      </c>
      <c r="E125" s="7">
        <f t="shared" si="6"/>
        <v>0.35469778040507688</v>
      </c>
      <c r="F125" s="7">
        <f t="shared" si="7"/>
        <v>0.36465001891249188</v>
      </c>
      <c r="G125" s="7">
        <f>'Ejercicio 1.e (1)'!I125</f>
        <v>0.37212381963256697</v>
      </c>
      <c r="H125" s="7">
        <f>'Ejercicio 1.e (1)'!J125</f>
        <v>0.35789876464682951</v>
      </c>
      <c r="I125" s="7">
        <f t="shared" si="8"/>
        <v>0.35071066245124149</v>
      </c>
      <c r="J125" s="7">
        <f>'Ejercicio 1.e (1)'!K125</f>
        <v>4.3436112221740235E-4</v>
      </c>
      <c r="K125" s="7">
        <f t="shared" si="9"/>
        <v>4.2563733648606582E-4</v>
      </c>
    </row>
    <row r="126" spans="1:11" ht="15" customHeight="1" x14ac:dyDescent="0.25">
      <c r="A126" s="2">
        <v>124</v>
      </c>
      <c r="B126" s="7">
        <f>'Ejercicio 1.e (1)'!F126</f>
        <v>0.37037037037037035</v>
      </c>
      <c r="C126" s="7">
        <f t="shared" si="5"/>
        <v>0.37037037037037035</v>
      </c>
      <c r="D126" s="7">
        <f>'Ejercicio 1.e (1)'!G126</f>
        <v>0.35501539123290748</v>
      </c>
      <c r="E126" s="7">
        <f t="shared" si="6"/>
        <v>0.35469778040507688</v>
      </c>
      <c r="F126" s="7">
        <f t="shared" si="7"/>
        <v>0.36465001891249188</v>
      </c>
      <c r="G126" s="7">
        <f>'Ejercicio 1.e (1)'!I126</f>
        <v>0.36415258040252235</v>
      </c>
      <c r="H126" s="7">
        <f>'Ejercicio 1.e (1)'!J126</f>
        <v>0.35023223935975101</v>
      </c>
      <c r="I126" s="7">
        <f t="shared" si="8"/>
        <v>0.35071066245124149</v>
      </c>
      <c r="J126" s="7">
        <f>'Ejercicio 1.e (1)'!K126</f>
        <v>4.2505670192835901E-4</v>
      </c>
      <c r="K126" s="7">
        <f t="shared" si="9"/>
        <v>4.2563733648606582E-4</v>
      </c>
    </row>
    <row r="127" spans="1:11" ht="15" customHeight="1" x14ac:dyDescent="0.25">
      <c r="A127" s="2">
        <v>125</v>
      </c>
      <c r="B127" s="7">
        <f>'Ejercicio 1.e (1)'!F127</f>
        <v>0.37037037037037035</v>
      </c>
      <c r="C127" s="7">
        <f t="shared" si="5"/>
        <v>0.37037037037037035</v>
      </c>
      <c r="D127" s="7">
        <f>'Ejercicio 1.e (1)'!G127</f>
        <v>0.35500958264181665</v>
      </c>
      <c r="E127" s="7">
        <f t="shared" si="6"/>
        <v>0.35469778040507688</v>
      </c>
      <c r="F127" s="7">
        <f t="shared" si="7"/>
        <v>0.36465001891249188</v>
      </c>
      <c r="G127" s="7">
        <f>'Ejercicio 1.e (1)'!I127</f>
        <v>0.36003184301890617</v>
      </c>
      <c r="H127" s="7">
        <f>'Ejercicio 1.e (1)'!J127</f>
        <v>0.3462690240501628</v>
      </c>
      <c r="I127" s="7">
        <f t="shared" si="8"/>
        <v>0.35071066245124149</v>
      </c>
      <c r="J127" s="7">
        <f>'Ejercicio 1.e (1)'!K127</f>
        <v>4.2024677571595462E-4</v>
      </c>
      <c r="K127" s="7">
        <f t="shared" si="9"/>
        <v>4.2563733648606582E-4</v>
      </c>
    </row>
    <row r="128" spans="1:11" ht="15" customHeight="1" x14ac:dyDescent="0.25">
      <c r="A128" s="2">
        <v>126</v>
      </c>
      <c r="B128" s="7">
        <f>'Ejercicio 1.e (1)'!F128</f>
        <v>0.37037037037037035</v>
      </c>
      <c r="C128" s="7">
        <f t="shared" si="5"/>
        <v>0.37037037037037035</v>
      </c>
      <c r="D128" s="7">
        <f>'Ejercicio 1.e (1)'!G128</f>
        <v>0.35499854986180351</v>
      </c>
      <c r="E128" s="7">
        <f t="shared" si="6"/>
        <v>0.35469778040507688</v>
      </c>
      <c r="F128" s="7">
        <f t="shared" si="7"/>
        <v>0.36465001891249188</v>
      </c>
      <c r="G128" s="7">
        <f>'Ejercicio 1.e (1)'!I128</f>
        <v>0.35563583917365388</v>
      </c>
      <c r="H128" s="7">
        <f>'Ejercicio 1.e (1)'!J128</f>
        <v>0.34204106479952412</v>
      </c>
      <c r="I128" s="7">
        <f t="shared" si="8"/>
        <v>0.35071066245124149</v>
      </c>
      <c r="J128" s="7">
        <f>'Ejercicio 1.e (1)'!K128</f>
        <v>4.1511554502671476E-4</v>
      </c>
      <c r="K128" s="7">
        <f t="shared" si="9"/>
        <v>4.2563733648606582E-4</v>
      </c>
    </row>
    <row r="129" spans="1:11" ht="15" customHeight="1" x14ac:dyDescent="0.25">
      <c r="A129" s="2">
        <v>127</v>
      </c>
      <c r="B129" s="7">
        <f>'Ejercicio 1.e (1)'!F129</f>
        <v>0.37037037037037035</v>
      </c>
      <c r="C129" s="7">
        <f t="shared" si="5"/>
        <v>0.37037037037037035</v>
      </c>
      <c r="D129" s="7">
        <f>'Ejercicio 1.e (1)'!G129</f>
        <v>0.3549983281280808</v>
      </c>
      <c r="E129" s="7">
        <f t="shared" si="6"/>
        <v>0.35469778040507688</v>
      </c>
      <c r="F129" s="7">
        <f t="shared" si="7"/>
        <v>0.36465001891249188</v>
      </c>
      <c r="G129" s="7">
        <f>'Ejercicio 1.e (1)'!I129</f>
        <v>0.36476923214345086</v>
      </c>
      <c r="H129" s="7">
        <f>'Ejercicio 1.e (1)'!J129</f>
        <v>0.35082531855719007</v>
      </c>
      <c r="I129" s="7">
        <f t="shared" si="8"/>
        <v>0.35071066245124149</v>
      </c>
      <c r="J129" s="7">
        <f>'Ejercicio 1.e (1)'!K129</f>
        <v>4.2577648799975725E-4</v>
      </c>
      <c r="K129" s="7">
        <f t="shared" si="9"/>
        <v>4.2563733648606582E-4</v>
      </c>
    </row>
    <row r="130" spans="1:11" ht="15" customHeight="1" x14ac:dyDescent="0.25">
      <c r="A130" s="2">
        <v>128</v>
      </c>
      <c r="B130" s="7">
        <f>'Ejercicio 1.e (1)'!F130</f>
        <v>0.37037037037037035</v>
      </c>
      <c r="C130" s="7">
        <f t="shared" ref="C130:C193" si="10">$B$2</f>
        <v>0.37037037037037035</v>
      </c>
      <c r="D130" s="7">
        <f>'Ejercicio 1.e (1)'!G130</f>
        <v>0.35499616177940729</v>
      </c>
      <c r="E130" s="7">
        <f t="shared" ref="E130:E193" si="11">$D$2</f>
        <v>0.35469778040507688</v>
      </c>
      <c r="F130" s="7">
        <f t="shared" si="7"/>
        <v>0.36465001891249188</v>
      </c>
      <c r="G130" s="7">
        <f>'Ejercicio 1.e (1)'!I130</f>
        <v>0.36310696319207614</v>
      </c>
      <c r="H130" s="7">
        <f>'Ejercicio 1.e (1)'!J130</f>
        <v>0.34922659261485395</v>
      </c>
      <c r="I130" s="7">
        <f t="shared" si="8"/>
        <v>0.35071066245124149</v>
      </c>
      <c r="J130" s="7">
        <f>'Ejercicio 1.e (1)'!K130</f>
        <v>4.238362063809692E-4</v>
      </c>
      <c r="K130" s="7">
        <f t="shared" si="9"/>
        <v>4.2563733648606582E-4</v>
      </c>
    </row>
    <row r="131" spans="1:11" ht="15" customHeight="1" x14ac:dyDescent="0.25">
      <c r="A131" s="2">
        <v>129</v>
      </c>
      <c r="B131" s="7">
        <f>'Ejercicio 1.e (1)'!F131</f>
        <v>0.37037037037037035</v>
      </c>
      <c r="C131" s="7">
        <f t="shared" si="10"/>
        <v>0.37037037037037035</v>
      </c>
      <c r="D131" s="7">
        <f>'Ejercicio 1.e (1)'!G131</f>
        <v>0.35499358085231986</v>
      </c>
      <c r="E131" s="7">
        <f t="shared" si="11"/>
        <v>0.35469778040507688</v>
      </c>
      <c r="F131" s="7">
        <f t="shared" ref="F131:F194" si="12">$G$2</f>
        <v>0.36465001891249188</v>
      </c>
      <c r="G131" s="7">
        <f>'Ejercicio 1.e (1)'!I131</f>
        <v>0.36275137984294337</v>
      </c>
      <c r="H131" s="7">
        <f>'Ejercicio 1.e (1)'!J131</f>
        <v>0.34888460203357574</v>
      </c>
      <c r="I131" s="7">
        <f t="shared" ref="I131:I194" si="13">$H$2</f>
        <v>0.35071066245124149</v>
      </c>
      <c r="J131" s="7">
        <f>'Ejercicio 1.e (1)'!K131</f>
        <v>4.2342115210488538E-4</v>
      </c>
      <c r="K131" s="7">
        <f t="shared" ref="K131:K194" si="14">$J$2</f>
        <v>4.2563733648606582E-4</v>
      </c>
    </row>
    <row r="132" spans="1:11" ht="15" customHeight="1" x14ac:dyDescent="0.25">
      <c r="A132" s="2">
        <v>130</v>
      </c>
      <c r="B132" s="7">
        <f>'Ejercicio 1.e (1)'!F132</f>
        <v>0.37037037037037035</v>
      </c>
      <c r="C132" s="7">
        <f t="shared" si="10"/>
        <v>0.37037037037037035</v>
      </c>
      <c r="D132" s="7">
        <f>'Ejercicio 1.e (1)'!G132</f>
        <v>0.35499333924717474</v>
      </c>
      <c r="E132" s="7">
        <f t="shared" si="11"/>
        <v>0.35469778040507688</v>
      </c>
      <c r="F132" s="7">
        <f t="shared" si="12"/>
        <v>0.36465001891249188</v>
      </c>
      <c r="G132" s="7">
        <f>'Ejercicio 1.e (1)'!I132</f>
        <v>0.36474710145903638</v>
      </c>
      <c r="H132" s="7">
        <f>'Ejercicio 1.e (1)'!J132</f>
        <v>0.35080403385517728</v>
      </c>
      <c r="I132" s="7">
        <f t="shared" si="13"/>
        <v>0.35071066245124149</v>
      </c>
      <c r="J132" s="7">
        <f>'Ejercicio 1.e (1)'!K132</f>
        <v>4.2575065598253459E-4</v>
      </c>
      <c r="K132" s="7">
        <f t="shared" si="14"/>
        <v>4.2563733648606582E-4</v>
      </c>
    </row>
    <row r="133" spans="1:11" ht="15" customHeight="1" x14ac:dyDescent="0.25">
      <c r="A133" s="2">
        <v>131</v>
      </c>
      <c r="B133" s="7">
        <f>'Ejercicio 1.e (1)'!F133</f>
        <v>0.37037037037037035</v>
      </c>
      <c r="C133" s="7">
        <f t="shared" si="10"/>
        <v>0.37037037037037035</v>
      </c>
      <c r="D133" s="7">
        <f>'Ejercicio 1.e (1)'!G133</f>
        <v>0.35499369571169603</v>
      </c>
      <c r="E133" s="7">
        <f t="shared" si="11"/>
        <v>0.35469778040507688</v>
      </c>
      <c r="F133" s="7">
        <f t="shared" si="12"/>
        <v>0.36465001891249188</v>
      </c>
      <c r="G133" s="7">
        <f>'Ejercicio 1.e (1)'!I133</f>
        <v>0.36525951895418057</v>
      </c>
      <c r="H133" s="7">
        <f>'Ejercicio 1.e (1)'!J133</f>
        <v>0.35129686333509774</v>
      </c>
      <c r="I133" s="7">
        <f t="shared" si="13"/>
        <v>0.35071066245124149</v>
      </c>
      <c r="J133" s="7">
        <f>'Ejercicio 1.e (1)'!K133</f>
        <v>4.263487747443339E-4</v>
      </c>
      <c r="K133" s="7">
        <f t="shared" si="14"/>
        <v>4.2563733648606582E-4</v>
      </c>
    </row>
    <row r="134" spans="1:11" ht="15" customHeight="1" x14ac:dyDescent="0.25">
      <c r="A134" s="2">
        <v>132</v>
      </c>
      <c r="B134" s="7">
        <f>'Ejercicio 1.e (1)'!F134</f>
        <v>0.37037037037037035</v>
      </c>
      <c r="C134" s="7">
        <f t="shared" si="10"/>
        <v>0.37037037037037035</v>
      </c>
      <c r="D134" s="7">
        <f>'Ejercicio 1.e (1)'!G134</f>
        <v>0.35499079362650976</v>
      </c>
      <c r="E134" s="7">
        <f t="shared" si="11"/>
        <v>0.35469778040507688</v>
      </c>
      <c r="F134" s="7">
        <f t="shared" si="12"/>
        <v>0.36465001891249188</v>
      </c>
      <c r="G134" s="7">
        <f>'Ejercicio 1.e (1)'!I134</f>
        <v>0.36247534912569712</v>
      </c>
      <c r="H134" s="7">
        <f>'Ejercicio 1.e (1)'!J134</f>
        <v>0.34861912305186327</v>
      </c>
      <c r="I134" s="7">
        <f t="shared" si="13"/>
        <v>0.35071066245124149</v>
      </c>
      <c r="J134" s="7">
        <f>'Ejercicio 1.e (1)'!K134</f>
        <v>4.2309895555152328E-4</v>
      </c>
      <c r="K134" s="7">
        <f t="shared" si="14"/>
        <v>4.2563733648606582E-4</v>
      </c>
    </row>
    <row r="135" spans="1:11" ht="15" customHeight="1" x14ac:dyDescent="0.25">
      <c r="A135" s="2">
        <v>133</v>
      </c>
      <c r="B135" s="7">
        <f>'Ejercicio 1.e (1)'!F135</f>
        <v>0.37037037037037035</v>
      </c>
      <c r="C135" s="7">
        <f t="shared" si="10"/>
        <v>0.37037037037037035</v>
      </c>
      <c r="D135" s="7">
        <f>'Ejercicio 1.e (1)'!G135</f>
        <v>0.35499370874627367</v>
      </c>
      <c r="E135" s="7">
        <f t="shared" si="11"/>
        <v>0.35469778040507688</v>
      </c>
      <c r="F135" s="7">
        <f t="shared" si="12"/>
        <v>0.36465001891249188</v>
      </c>
      <c r="G135" s="7">
        <f>'Ejercicio 1.e (1)'!I135</f>
        <v>0.36745832198207906</v>
      </c>
      <c r="H135" s="7">
        <f>'Ejercicio 1.e (1)'!J135</f>
        <v>0.35341161344210137</v>
      </c>
      <c r="I135" s="7">
        <f t="shared" si="13"/>
        <v>0.35071066245124149</v>
      </c>
      <c r="J135" s="7">
        <f>'Ejercicio 1.e (1)'!K135</f>
        <v>4.289153251782084E-4</v>
      </c>
      <c r="K135" s="7">
        <f t="shared" si="14"/>
        <v>4.2563733648606582E-4</v>
      </c>
    </row>
    <row r="136" spans="1:11" ht="15" customHeight="1" x14ac:dyDescent="0.25">
      <c r="A136" s="2">
        <v>134</v>
      </c>
      <c r="B136" s="7">
        <f>'Ejercicio 1.e (1)'!F136</f>
        <v>0.37037037037037035</v>
      </c>
      <c r="C136" s="7">
        <f t="shared" si="10"/>
        <v>0.37037037037037035</v>
      </c>
      <c r="D136" s="7">
        <f>'Ejercicio 1.e (1)'!G136</f>
        <v>0.35498990611751408</v>
      </c>
      <c r="E136" s="7">
        <f t="shared" si="11"/>
        <v>0.35469778040507688</v>
      </c>
      <c r="F136" s="7">
        <f t="shared" si="12"/>
        <v>0.36465001891249188</v>
      </c>
      <c r="G136" s="7">
        <f>'Ejercicio 1.e (1)'!I136</f>
        <v>0.36170956522921421</v>
      </c>
      <c r="H136" s="7">
        <f>'Ejercicio 1.e (1)'!J136</f>
        <v>0.34788261252478042</v>
      </c>
      <c r="I136" s="7">
        <f t="shared" si="13"/>
        <v>0.35071066245124149</v>
      </c>
      <c r="J136" s="7">
        <f>'Ejercicio 1.e (1)'!K136</f>
        <v>4.2220509513436223E-4</v>
      </c>
      <c r="K136" s="7">
        <f t="shared" si="14"/>
        <v>4.2563733648606582E-4</v>
      </c>
    </row>
    <row r="137" spans="1:11" ht="15" customHeight="1" x14ac:dyDescent="0.25">
      <c r="A137" s="2">
        <v>135</v>
      </c>
      <c r="B137" s="7">
        <f>'Ejercicio 1.e (1)'!F137</f>
        <v>0.37037037037037035</v>
      </c>
      <c r="C137" s="7">
        <f t="shared" si="10"/>
        <v>0.37037037037037035</v>
      </c>
      <c r="D137" s="7">
        <f>'Ejercicio 1.e (1)'!G137</f>
        <v>0.35498794609641754</v>
      </c>
      <c r="E137" s="7">
        <f t="shared" si="11"/>
        <v>0.35469778040507688</v>
      </c>
      <c r="F137" s="7">
        <f t="shared" si="12"/>
        <v>0.36465001891249188</v>
      </c>
      <c r="G137" s="7">
        <f>'Ejercicio 1.e (1)'!I137</f>
        <v>0.3632742915742781</v>
      </c>
      <c r="H137" s="7">
        <f>'Ejercicio 1.e (1)'!J137</f>
        <v>0.34938752458996791</v>
      </c>
      <c r="I137" s="7">
        <f t="shared" si="13"/>
        <v>0.35071066245124149</v>
      </c>
      <c r="J137" s="7">
        <f>'Ejercicio 1.e (1)'!K137</f>
        <v>4.240315202524215E-4</v>
      </c>
      <c r="K137" s="7">
        <f t="shared" si="14"/>
        <v>4.2563733648606582E-4</v>
      </c>
    </row>
    <row r="138" spans="1:11" ht="15" customHeight="1" x14ac:dyDescent="0.25">
      <c r="A138" s="2">
        <v>136</v>
      </c>
      <c r="B138" s="7">
        <f>'Ejercicio 1.e (1)'!F138</f>
        <v>0.37037037037037035</v>
      </c>
      <c r="C138" s="7">
        <f t="shared" si="10"/>
        <v>0.37037037037037035</v>
      </c>
      <c r="D138" s="7">
        <f>'Ejercicio 1.e (1)'!G138</f>
        <v>0.35498288602275452</v>
      </c>
      <c r="E138" s="7">
        <f t="shared" si="11"/>
        <v>0.35469778040507688</v>
      </c>
      <c r="F138" s="7">
        <f t="shared" si="12"/>
        <v>0.36465001891249188</v>
      </c>
      <c r="G138" s="7">
        <f>'Ejercicio 1.e (1)'!I138</f>
        <v>0.36063704776208222</v>
      </c>
      <c r="H138" s="7">
        <f>'Ejercicio 1.e (1)'!J138</f>
        <v>0.34685109383047136</v>
      </c>
      <c r="I138" s="7">
        <f t="shared" si="13"/>
        <v>0.35071066245124149</v>
      </c>
      <c r="J138" s="7">
        <f>'Ejercicio 1.e (1)'!K138</f>
        <v>4.2095320029172299E-4</v>
      </c>
      <c r="K138" s="7">
        <f t="shared" si="14"/>
        <v>4.2563733648606582E-4</v>
      </c>
    </row>
    <row r="139" spans="1:11" ht="15" customHeight="1" x14ac:dyDescent="0.25">
      <c r="A139" s="2">
        <v>137</v>
      </c>
      <c r="B139" s="7">
        <f>'Ejercicio 1.e (1)'!F139</f>
        <v>0.37037037037037035</v>
      </c>
      <c r="C139" s="7">
        <f t="shared" si="10"/>
        <v>0.37037037037037035</v>
      </c>
      <c r="D139" s="7">
        <f>'Ejercicio 1.e (1)'!G139</f>
        <v>0.35497797480698534</v>
      </c>
      <c r="E139" s="7">
        <f t="shared" si="11"/>
        <v>0.35469778040507688</v>
      </c>
      <c r="F139" s="7">
        <f t="shared" si="12"/>
        <v>0.36465001891249188</v>
      </c>
      <c r="G139" s="7">
        <f>'Ejercicio 1.e (1)'!I139</f>
        <v>0.36075794659432886</v>
      </c>
      <c r="H139" s="7">
        <f>'Ejercicio 1.e (1)'!J139</f>
        <v>0.34696737110278097</v>
      </c>
      <c r="I139" s="7">
        <f t="shared" si="13"/>
        <v>0.35071066245124149</v>
      </c>
      <c r="J139" s="7">
        <f>'Ejercicio 1.e (1)'!K139</f>
        <v>4.2109431932167729E-4</v>
      </c>
      <c r="K139" s="7">
        <f t="shared" si="14"/>
        <v>4.2563733648606582E-4</v>
      </c>
    </row>
    <row r="140" spans="1:11" ht="15" customHeight="1" x14ac:dyDescent="0.25">
      <c r="A140" s="2">
        <v>138</v>
      </c>
      <c r="B140" s="7">
        <f>'Ejercicio 1.e (1)'!F140</f>
        <v>0.37037037037037035</v>
      </c>
      <c r="C140" s="7">
        <f t="shared" si="10"/>
        <v>0.37037037037037035</v>
      </c>
      <c r="D140" s="7">
        <f>'Ejercicio 1.e (1)'!G140</f>
        <v>0.35496896886585283</v>
      </c>
      <c r="E140" s="7">
        <f t="shared" si="11"/>
        <v>0.35469778040507688</v>
      </c>
      <c r="F140" s="7">
        <f t="shared" si="12"/>
        <v>0.36465001891249188</v>
      </c>
      <c r="G140" s="7">
        <f>'Ejercicio 1.e (1)'!I140</f>
        <v>0.35730017746028642</v>
      </c>
      <c r="H140" s="7">
        <f>'Ejercicio 1.e (1)'!J140</f>
        <v>0.3436417809733191</v>
      </c>
      <c r="I140" s="7">
        <f t="shared" si="13"/>
        <v>0.35071066245124149</v>
      </c>
      <c r="J140" s="7">
        <f>'Ejercicio 1.e (1)'!K140</f>
        <v>4.1705824207482339E-4</v>
      </c>
      <c r="K140" s="7">
        <f t="shared" si="14"/>
        <v>4.2563733648606582E-4</v>
      </c>
    </row>
    <row r="141" spans="1:11" ht="15" customHeight="1" x14ac:dyDescent="0.25">
      <c r="A141" s="2">
        <v>139</v>
      </c>
      <c r="B141" s="7">
        <f>'Ejercicio 1.e (1)'!F141</f>
        <v>0.37037037037037035</v>
      </c>
      <c r="C141" s="7">
        <f t="shared" si="10"/>
        <v>0.37037037037037035</v>
      </c>
      <c r="D141" s="7">
        <f>'Ejercicio 1.e (1)'!G141</f>
        <v>0.35495188232261454</v>
      </c>
      <c r="E141" s="7">
        <f t="shared" si="11"/>
        <v>0.35469778040507688</v>
      </c>
      <c r="F141" s="7">
        <f t="shared" si="12"/>
        <v>0.36465001891249188</v>
      </c>
      <c r="G141" s="7">
        <f>'Ejercicio 1.e (1)'!I141</f>
        <v>0.35057380463506205</v>
      </c>
      <c r="H141" s="7">
        <f>'Ejercicio 1.e (1)'!J141</f>
        <v>0.33717253499202493</v>
      </c>
      <c r="I141" s="7">
        <f t="shared" si="13"/>
        <v>0.35071066245124149</v>
      </c>
      <c r="J141" s="7">
        <f>'Ejercicio 1.e (1)'!K141</f>
        <v>4.0920689073778199E-4</v>
      </c>
      <c r="K141" s="7">
        <f t="shared" si="14"/>
        <v>4.2563733648606582E-4</v>
      </c>
    </row>
    <row r="142" spans="1:11" ht="15" customHeight="1" x14ac:dyDescent="0.25">
      <c r="A142" s="2">
        <v>140</v>
      </c>
      <c r="B142" s="7">
        <f>'Ejercicio 1.e (1)'!F142</f>
        <v>0.37037037037037035</v>
      </c>
      <c r="C142" s="7">
        <f t="shared" si="10"/>
        <v>0.37037037037037035</v>
      </c>
      <c r="D142" s="7">
        <f>'Ejercicio 1.e (1)'!G142</f>
        <v>0.35493751654935263</v>
      </c>
      <c r="E142" s="7">
        <f t="shared" si="11"/>
        <v>0.35469778040507688</v>
      </c>
      <c r="F142" s="7">
        <f t="shared" si="12"/>
        <v>0.36465001891249188</v>
      </c>
      <c r="G142" s="7">
        <f>'Ejercicio 1.e (1)'!I142</f>
        <v>0.35280372340015004</v>
      </c>
      <c r="H142" s="7">
        <f>'Ejercicio 1.e (1)'!J142</f>
        <v>0.33931721138515614</v>
      </c>
      <c r="I142" s="7">
        <f t="shared" si="13"/>
        <v>0.35071066245124149</v>
      </c>
      <c r="J142" s="7">
        <f>'Ejercicio 1.e (1)'!K142</f>
        <v>4.1180976098192181E-4</v>
      </c>
      <c r="K142" s="7">
        <f t="shared" si="14"/>
        <v>4.2563733648606582E-4</v>
      </c>
    </row>
    <row r="143" spans="1:11" ht="15" customHeight="1" x14ac:dyDescent="0.25">
      <c r="A143" s="2">
        <v>141</v>
      </c>
      <c r="B143" s="7">
        <f>'Ejercicio 1.e (1)'!F143</f>
        <v>0.37037037037037035</v>
      </c>
      <c r="C143" s="7">
        <f t="shared" si="10"/>
        <v>0.37037037037037035</v>
      </c>
      <c r="D143" s="7">
        <f>'Ejercicio 1.e (1)'!G143</f>
        <v>0.35493468602259037</v>
      </c>
      <c r="E143" s="7">
        <f t="shared" si="11"/>
        <v>0.35469778040507688</v>
      </c>
      <c r="F143" s="7">
        <f t="shared" si="12"/>
        <v>0.36465001891249188</v>
      </c>
      <c r="G143" s="7">
        <f>'Ejercicio 1.e (1)'!I143</f>
        <v>0.36247851564386036</v>
      </c>
      <c r="H143" s="7">
        <f>'Ejercicio 1.e (1)'!J143</f>
        <v>0.34862216852457711</v>
      </c>
      <c r="I143" s="7">
        <f t="shared" si="13"/>
        <v>0.35071066245124149</v>
      </c>
      <c r="J143" s="7">
        <f>'Ejercicio 1.e (1)'!K143</f>
        <v>4.2310265166639241E-4</v>
      </c>
      <c r="K143" s="7">
        <f t="shared" si="14"/>
        <v>4.2563733648606582E-4</v>
      </c>
    </row>
    <row r="144" spans="1:11" ht="15" customHeight="1" x14ac:dyDescent="0.25">
      <c r="A144" s="2">
        <v>142</v>
      </c>
      <c r="B144" s="7">
        <f>'Ejercicio 1.e (1)'!F144</f>
        <v>0.37037037037037035</v>
      </c>
      <c r="C144" s="7">
        <f t="shared" si="10"/>
        <v>0.37037037037037035</v>
      </c>
      <c r="D144" s="7">
        <f>'Ejercicio 1.e (1)'!G144</f>
        <v>0.35493390184650059</v>
      </c>
      <c r="E144" s="7">
        <f t="shared" si="11"/>
        <v>0.35469778040507688</v>
      </c>
      <c r="F144" s="7">
        <f t="shared" si="12"/>
        <v>0.36465001891249188</v>
      </c>
      <c r="G144" s="7">
        <f>'Ejercicio 1.e (1)'!I144</f>
        <v>0.36422208369692738</v>
      </c>
      <c r="H144" s="7">
        <f>'Ejercicio 1.e (1)'!J144</f>
        <v>0.35029908577455726</v>
      </c>
      <c r="I144" s="7">
        <f t="shared" si="13"/>
        <v>0.35071066245124149</v>
      </c>
      <c r="J144" s="7">
        <f>'Ejercicio 1.e (1)'!K144</f>
        <v>4.2513782957287634E-4</v>
      </c>
      <c r="K144" s="7">
        <f t="shared" si="14"/>
        <v>4.2563733648606582E-4</v>
      </c>
    </row>
    <row r="145" spans="1:11" ht="15" customHeight="1" x14ac:dyDescent="0.25">
      <c r="A145" s="2">
        <v>143</v>
      </c>
      <c r="B145" s="7">
        <f>'Ejercicio 1.e (1)'!F145</f>
        <v>0.37037037037037035</v>
      </c>
      <c r="C145" s="7">
        <f t="shared" si="10"/>
        <v>0.37037037037037035</v>
      </c>
      <c r="D145" s="7">
        <f>'Ejercicio 1.e (1)'!G145</f>
        <v>0.35493714781569863</v>
      </c>
      <c r="E145" s="7">
        <f t="shared" si="11"/>
        <v>0.35469778040507688</v>
      </c>
      <c r="F145" s="7">
        <f t="shared" si="12"/>
        <v>0.36465001891249188</v>
      </c>
      <c r="G145" s="7">
        <f>'Ejercicio 1.e (1)'!I145</f>
        <v>0.36768545829554189</v>
      </c>
      <c r="H145" s="7">
        <f>'Ejercicio 1.e (1)'!J145</f>
        <v>0.35363006709033884</v>
      </c>
      <c r="I145" s="7">
        <f t="shared" si="13"/>
        <v>0.35071066245124149</v>
      </c>
      <c r="J145" s="7">
        <f>'Ejercicio 1.e (1)'!K145</f>
        <v>4.291804497921325E-4</v>
      </c>
      <c r="K145" s="7">
        <f t="shared" si="14"/>
        <v>4.2563733648606582E-4</v>
      </c>
    </row>
    <row r="146" spans="1:11" ht="15" customHeight="1" x14ac:dyDescent="0.25">
      <c r="A146" s="2">
        <v>144</v>
      </c>
      <c r="B146" s="7">
        <f>'Ejercicio 1.e (1)'!F146</f>
        <v>0.37037037037037035</v>
      </c>
      <c r="C146" s="7">
        <f t="shared" si="10"/>
        <v>0.37037037037037035</v>
      </c>
      <c r="D146" s="7">
        <f>'Ejercicio 1.e (1)'!G146</f>
        <v>0.35494442092227929</v>
      </c>
      <c r="E146" s="7">
        <f t="shared" si="11"/>
        <v>0.35469778040507688</v>
      </c>
      <c r="F146" s="7">
        <f t="shared" si="12"/>
        <v>0.36465001891249188</v>
      </c>
      <c r="G146" s="7">
        <f>'Ejercicio 1.e (1)'!I146</f>
        <v>0.37118326183233702</v>
      </c>
      <c r="H146" s="7">
        <f>'Ejercicio 1.e (1)'!J146</f>
        <v>0.35699416124059336</v>
      </c>
      <c r="I146" s="7">
        <f t="shared" si="13"/>
        <v>0.35071066245124149</v>
      </c>
      <c r="J146" s="7">
        <f>'Ejercicio 1.e (1)'!K146</f>
        <v>4.3326325715189378E-4</v>
      </c>
      <c r="K146" s="7">
        <f t="shared" si="14"/>
        <v>4.2563733648606582E-4</v>
      </c>
    </row>
    <row r="147" spans="1:11" ht="15" customHeight="1" x14ac:dyDescent="0.25">
      <c r="A147" s="2">
        <v>145</v>
      </c>
      <c r="B147" s="7">
        <f>'Ejercicio 1.e (1)'!F147</f>
        <v>0.37037037037037035</v>
      </c>
      <c r="C147" s="7">
        <f t="shared" si="10"/>
        <v>0.37037037037037035</v>
      </c>
      <c r="D147" s="7">
        <f>'Ejercicio 1.e (1)'!G147</f>
        <v>0.35495453404929417</v>
      </c>
      <c r="E147" s="7">
        <f t="shared" si="11"/>
        <v>0.35469778040507688</v>
      </c>
      <c r="F147" s="7">
        <f t="shared" si="12"/>
        <v>0.36465001891249188</v>
      </c>
      <c r="G147" s="7">
        <f>'Ejercicio 1.e (1)'!I147</f>
        <v>0.37367503318924739</v>
      </c>
      <c r="H147" s="7">
        <f>'Ejercicio 1.e (1)'!J147</f>
        <v>0.35939068047255529</v>
      </c>
      <c r="I147" s="7">
        <f t="shared" si="13"/>
        <v>0.35071066245124149</v>
      </c>
      <c r="J147" s="7">
        <f>'Ejercicio 1.e (1)'!K147</f>
        <v>4.3617177454797302E-4</v>
      </c>
      <c r="K147" s="7">
        <f t="shared" si="14"/>
        <v>4.2563733648606582E-4</v>
      </c>
    </row>
    <row r="148" spans="1:11" ht="15" customHeight="1" x14ac:dyDescent="0.25">
      <c r="A148" s="2">
        <v>146</v>
      </c>
      <c r="B148" s="7">
        <f>'Ejercicio 1.e (1)'!F148</f>
        <v>0.37037037037037035</v>
      </c>
      <c r="C148" s="7">
        <f t="shared" si="10"/>
        <v>0.37037037037037035</v>
      </c>
      <c r="D148" s="7">
        <f>'Ejercicio 1.e (1)'!G148</f>
        <v>0.35496296890616075</v>
      </c>
      <c r="E148" s="7">
        <f t="shared" si="11"/>
        <v>0.35469778040507688</v>
      </c>
      <c r="F148" s="7">
        <f t="shared" si="12"/>
        <v>0.36465001891249188</v>
      </c>
      <c r="G148" s="7">
        <f>'Ejercicio 1.e (1)'!I148</f>
        <v>0.37221536853523246</v>
      </c>
      <c r="H148" s="7">
        <f>'Ejercicio 1.e (1)'!J148</f>
        <v>0.35798681393967269</v>
      </c>
      <c r="I148" s="7">
        <f t="shared" si="13"/>
        <v>0.35071066245124149</v>
      </c>
      <c r="J148" s="7">
        <f>'Ejercicio 1.e (1)'!K148</f>
        <v>4.3446798257409448E-4</v>
      </c>
      <c r="K148" s="7">
        <f t="shared" si="14"/>
        <v>4.2563733648606582E-4</v>
      </c>
    </row>
    <row r="149" spans="1:11" ht="15" customHeight="1" x14ac:dyDescent="0.25">
      <c r="A149" s="2">
        <v>147</v>
      </c>
      <c r="B149" s="7">
        <f>'Ejercicio 1.e (1)'!F149</f>
        <v>0.37037037037037035</v>
      </c>
      <c r="C149" s="7">
        <f t="shared" si="10"/>
        <v>0.37037037037037035</v>
      </c>
      <c r="D149" s="7">
        <f>'Ejercicio 1.e (1)'!G149</f>
        <v>0.35497332326118192</v>
      </c>
      <c r="E149" s="7">
        <f t="shared" si="11"/>
        <v>0.35469778040507688</v>
      </c>
      <c r="F149" s="7">
        <f t="shared" si="12"/>
        <v>0.36465001891249188</v>
      </c>
      <c r="G149" s="7">
        <f>'Ejercicio 1.e (1)'!I149</f>
        <v>0.3739058726348109</v>
      </c>
      <c r="H149" s="7">
        <f>'Ejercicio 1.e (1)'!J149</f>
        <v>0.35961269569447929</v>
      </c>
      <c r="I149" s="7">
        <f t="shared" si="13"/>
        <v>0.35071066245124149</v>
      </c>
      <c r="J149" s="7">
        <f>'Ejercicio 1.e (1)'!K149</f>
        <v>4.3644122163879887E-4</v>
      </c>
      <c r="K149" s="7">
        <f t="shared" si="14"/>
        <v>4.2563733648606582E-4</v>
      </c>
    </row>
    <row r="150" spans="1:11" ht="15" customHeight="1" x14ac:dyDescent="0.25">
      <c r="A150" s="2">
        <v>148</v>
      </c>
      <c r="B150" s="7">
        <f>'Ejercicio 1.e (1)'!F150</f>
        <v>0.37037037037037035</v>
      </c>
      <c r="C150" s="7">
        <f t="shared" si="10"/>
        <v>0.37037037037037035</v>
      </c>
      <c r="D150" s="7">
        <f>'Ejercicio 1.e (1)'!G150</f>
        <v>0.3549817364000033</v>
      </c>
      <c r="E150" s="7">
        <f t="shared" si="11"/>
        <v>0.35469778040507688</v>
      </c>
      <c r="F150" s="7">
        <f t="shared" si="12"/>
        <v>0.36465001891249188</v>
      </c>
      <c r="G150" s="7">
        <f>'Ejercicio 1.e (1)'!I150</f>
        <v>0.37221569539738208</v>
      </c>
      <c r="H150" s="7">
        <f>'Ejercicio 1.e (1)'!J150</f>
        <v>0.35798712830697033</v>
      </c>
      <c r="I150" s="7">
        <f t="shared" si="13"/>
        <v>0.35071066245124149</v>
      </c>
      <c r="J150" s="7">
        <f>'Ejercicio 1.e (1)'!K150</f>
        <v>4.3446836410358179E-4</v>
      </c>
      <c r="K150" s="7">
        <f t="shared" si="14"/>
        <v>4.2563733648606582E-4</v>
      </c>
    </row>
    <row r="151" spans="1:11" ht="15" customHeight="1" x14ac:dyDescent="0.25">
      <c r="A151" s="2">
        <v>149</v>
      </c>
      <c r="B151" s="7">
        <f>'Ejercicio 1.e (1)'!F151</f>
        <v>0.37037037037037035</v>
      </c>
      <c r="C151" s="7">
        <f t="shared" si="10"/>
        <v>0.37037037037037035</v>
      </c>
      <c r="D151" s="7">
        <f>'Ejercicio 1.e (1)'!G151</f>
        <v>0.35499171033951238</v>
      </c>
      <c r="E151" s="7">
        <f t="shared" si="11"/>
        <v>0.35469778040507688</v>
      </c>
      <c r="F151" s="7">
        <f t="shared" si="12"/>
        <v>0.36465001891249188</v>
      </c>
      <c r="G151" s="7">
        <f>'Ejercicio 1.e (1)'!I151</f>
        <v>0.37359124524779025</v>
      </c>
      <c r="H151" s="7">
        <f>'Ejercicio 1.e (1)'!J151</f>
        <v>0.35931009546520631</v>
      </c>
      <c r="I151" s="7">
        <f t="shared" si="13"/>
        <v>0.35071066245124149</v>
      </c>
      <c r="J151" s="7">
        <f>'Ejercicio 1.e (1)'!K151</f>
        <v>4.3607397316477873E-4</v>
      </c>
      <c r="K151" s="7">
        <f t="shared" si="14"/>
        <v>4.2563733648606582E-4</v>
      </c>
    </row>
    <row r="152" spans="1:11" ht="15" customHeight="1" x14ac:dyDescent="0.25">
      <c r="A152" s="2">
        <v>150</v>
      </c>
      <c r="B152" s="7">
        <f>'Ejercicio 1.e (1)'!F152</f>
        <v>0.37037037037037035</v>
      </c>
      <c r="C152" s="7">
        <f t="shared" si="10"/>
        <v>0.37037037037037035</v>
      </c>
      <c r="D152" s="7">
        <f>'Ejercicio 1.e (1)'!G152</f>
        <v>0.35501248816063319</v>
      </c>
      <c r="E152" s="7">
        <f t="shared" si="11"/>
        <v>0.35469778040507688</v>
      </c>
      <c r="F152" s="7">
        <f t="shared" si="12"/>
        <v>0.36465001891249188</v>
      </c>
      <c r="G152" s="7">
        <f>'Ejercicio 1.e (1)'!I152</f>
        <v>0.38320166273639045</v>
      </c>
      <c r="H152" s="7">
        <f>'Ejercicio 1.e (1)'!J152</f>
        <v>0.36855313868212936</v>
      </c>
      <c r="I152" s="7">
        <f t="shared" si="13"/>
        <v>0.35071066245124149</v>
      </c>
      <c r="J152" s="7">
        <f>'Ejercicio 1.e (1)'!K152</f>
        <v>4.4729172248662516E-4</v>
      </c>
      <c r="K152" s="7">
        <f t="shared" si="14"/>
        <v>4.2563733648606582E-4</v>
      </c>
    </row>
    <row r="153" spans="1:11" ht="15" customHeight="1" x14ac:dyDescent="0.25">
      <c r="A153" s="2">
        <v>151</v>
      </c>
      <c r="B153" s="7">
        <f>'Ejercicio 1.e (1)'!F153</f>
        <v>0.37037037037037035</v>
      </c>
      <c r="C153" s="7">
        <f t="shared" si="10"/>
        <v>0.37037037037037035</v>
      </c>
      <c r="D153" s="7">
        <f>'Ejercicio 1.e (1)'!G153</f>
        <v>0.35503169641865928</v>
      </c>
      <c r="E153" s="7">
        <f t="shared" si="11"/>
        <v>0.35469778040507688</v>
      </c>
      <c r="F153" s="7">
        <f t="shared" si="12"/>
        <v>0.36465001891249188</v>
      </c>
      <c r="G153" s="7">
        <f>'Ejercicio 1.e (1)'!I153</f>
        <v>0.38181316163982493</v>
      </c>
      <c r="H153" s="7">
        <f>'Ejercicio 1.e (1)'!J153</f>
        <v>0.36721771536076753</v>
      </c>
      <c r="I153" s="7">
        <f t="shared" si="13"/>
        <v>0.35071066245124149</v>
      </c>
      <c r="J153" s="7">
        <f>'Ejercicio 1.e (1)'!K153</f>
        <v>4.4567099609748993E-4</v>
      </c>
      <c r="K153" s="7">
        <f t="shared" si="14"/>
        <v>4.2563733648606582E-4</v>
      </c>
    </row>
    <row r="154" spans="1:11" ht="15" customHeight="1" x14ac:dyDescent="0.25">
      <c r="A154" s="2">
        <v>152</v>
      </c>
      <c r="B154" s="7">
        <f>'Ejercicio 1.e (1)'!F154</f>
        <v>0.37037037037037035</v>
      </c>
      <c r="C154" s="7">
        <f t="shared" si="10"/>
        <v>0.37037037037037035</v>
      </c>
      <c r="D154" s="7">
        <f>'Ejercicio 1.e (1)'!G154</f>
        <v>0.35505725195794668</v>
      </c>
      <c r="E154" s="7">
        <f t="shared" si="11"/>
        <v>0.35469778040507688</v>
      </c>
      <c r="F154" s="7">
        <f t="shared" si="12"/>
        <v>0.36465001891249188</v>
      </c>
      <c r="G154" s="7">
        <f>'Ejercicio 1.e (1)'!I154</f>
        <v>0.38756630156410443</v>
      </c>
      <c r="H154" s="7">
        <f>'Ejercicio 1.e (1)'!J154</f>
        <v>0.37275093189544967</v>
      </c>
      <c r="I154" s="7">
        <f t="shared" si="13"/>
        <v>0.35071066245124149</v>
      </c>
      <c r="J154" s="7">
        <f>'Ejercicio 1.e (1)'!K154</f>
        <v>4.5238634239338474E-4</v>
      </c>
      <c r="K154" s="7">
        <f t="shared" si="14"/>
        <v>4.2563733648606582E-4</v>
      </c>
    </row>
    <row r="155" spans="1:11" ht="15" customHeight="1" x14ac:dyDescent="0.25">
      <c r="A155" s="2">
        <v>153</v>
      </c>
      <c r="B155" s="7">
        <f>'Ejercicio 1.e (1)'!F155</f>
        <v>0.37037037037037035</v>
      </c>
      <c r="C155" s="7">
        <f t="shared" si="10"/>
        <v>0.37037037037037035</v>
      </c>
      <c r="D155" s="7">
        <f>'Ejercicio 1.e (1)'!G155</f>
        <v>0.35507496962510271</v>
      </c>
      <c r="E155" s="7">
        <f t="shared" si="11"/>
        <v>0.35469778040507688</v>
      </c>
      <c r="F155" s="7">
        <f t="shared" si="12"/>
        <v>0.36465001891249188</v>
      </c>
      <c r="G155" s="7">
        <f>'Ejercicio 1.e (1)'!I155</f>
        <v>0.38052503674794036</v>
      </c>
      <c r="H155" s="7">
        <f>'Ejercicio 1.e (1)'!J155</f>
        <v>0.36597883119589059</v>
      </c>
      <c r="I155" s="7">
        <f t="shared" si="13"/>
        <v>0.35071066245124149</v>
      </c>
      <c r="J155" s="7">
        <f>'Ejercicio 1.e (1)'!K155</f>
        <v>4.4416743372368759E-4</v>
      </c>
      <c r="K155" s="7">
        <f t="shared" si="14"/>
        <v>4.2563733648606582E-4</v>
      </c>
    </row>
    <row r="156" spans="1:11" ht="15" customHeight="1" x14ac:dyDescent="0.25">
      <c r="A156" s="2">
        <v>154</v>
      </c>
      <c r="B156" s="7">
        <f>'Ejercicio 1.e (1)'!F156</f>
        <v>0.37037037037037035</v>
      </c>
      <c r="C156" s="7">
        <f t="shared" si="10"/>
        <v>0.37037037037037035</v>
      </c>
      <c r="D156" s="7">
        <f>'Ejercicio 1.e (1)'!G156</f>
        <v>0.3550935234145457</v>
      </c>
      <c r="E156" s="7">
        <f t="shared" si="11"/>
        <v>0.35469778040507688</v>
      </c>
      <c r="F156" s="7">
        <f t="shared" si="12"/>
        <v>0.36465001891249188</v>
      </c>
      <c r="G156" s="7">
        <f>'Ejercicio 1.e (1)'!I156</f>
        <v>0.38129099881621353</v>
      </c>
      <c r="H156" s="7">
        <f>'Ejercicio 1.e (1)'!J156</f>
        <v>0.36671551308384925</v>
      </c>
      <c r="I156" s="7">
        <f t="shared" si="13"/>
        <v>0.35071066245124149</v>
      </c>
      <c r="J156" s="7">
        <f>'Ejercicio 1.e (1)'!K156</f>
        <v>4.4506150211167631E-4</v>
      </c>
      <c r="K156" s="7">
        <f t="shared" si="14"/>
        <v>4.2563733648606582E-4</v>
      </c>
    </row>
    <row r="157" spans="1:11" ht="15" customHeight="1" x14ac:dyDescent="0.25">
      <c r="A157" s="2">
        <v>155</v>
      </c>
      <c r="B157" s="7">
        <f>'Ejercicio 1.e (1)'!F157</f>
        <v>0.37037037037037035</v>
      </c>
      <c r="C157" s="7">
        <f t="shared" si="10"/>
        <v>0.37037037037037035</v>
      </c>
      <c r="D157" s="7">
        <f>'Ejercicio 1.e (1)'!G157</f>
        <v>0.35510918758405663</v>
      </c>
      <c r="E157" s="7">
        <f t="shared" si="11"/>
        <v>0.35469778040507688</v>
      </c>
      <c r="F157" s="7">
        <f t="shared" si="12"/>
        <v>0.36465001891249188</v>
      </c>
      <c r="G157" s="7">
        <f>'Ejercicio 1.e (1)'!I157</f>
        <v>0.37873201638312842</v>
      </c>
      <c r="H157" s="7">
        <f>'Ejercicio 1.e (1)'!J157</f>
        <v>0.36425435203143819</v>
      </c>
      <c r="I157" s="7">
        <f t="shared" si="13"/>
        <v>0.35071066245124149</v>
      </c>
      <c r="J157" s="7">
        <f>'Ejercicio 1.e (1)'!K157</f>
        <v>4.4207453266030663E-4</v>
      </c>
      <c r="K157" s="7">
        <f t="shared" si="14"/>
        <v>4.2563733648606582E-4</v>
      </c>
    </row>
    <row r="158" spans="1:11" ht="15" customHeight="1" x14ac:dyDescent="0.25">
      <c r="A158" s="2">
        <v>156</v>
      </c>
      <c r="B158" s="7">
        <f>'Ejercicio 1.e (1)'!F158</f>
        <v>0.37037037037037035</v>
      </c>
      <c r="C158" s="7">
        <f t="shared" si="10"/>
        <v>0.37037037037037035</v>
      </c>
      <c r="D158" s="7">
        <f>'Ejercicio 1.e (1)'!G158</f>
        <v>0.35512912408990716</v>
      </c>
      <c r="E158" s="7">
        <f t="shared" si="11"/>
        <v>0.35469778040507688</v>
      </c>
      <c r="F158" s="7">
        <f t="shared" si="12"/>
        <v>0.36465001891249188</v>
      </c>
      <c r="G158" s="7">
        <f>'Ejercicio 1.e (1)'!I158</f>
        <v>0.38256595399880322</v>
      </c>
      <c r="H158" s="7">
        <f>'Ejercicio 1.e (1)'!J158</f>
        <v>0.3679417309735814</v>
      </c>
      <c r="I158" s="7">
        <f t="shared" si="13"/>
        <v>0.35071066245124149</v>
      </c>
      <c r="J158" s="7">
        <f>'Ejercicio 1.e (1)'!K158</f>
        <v>4.4654969215668166E-4</v>
      </c>
      <c r="K158" s="7">
        <f t="shared" si="14"/>
        <v>4.2563733648606582E-4</v>
      </c>
    </row>
    <row r="159" spans="1:11" ht="15" customHeight="1" x14ac:dyDescent="0.25">
      <c r="A159" s="2">
        <v>157</v>
      </c>
      <c r="B159" s="7">
        <f>'Ejercicio 1.e (1)'!F159</f>
        <v>0.37037037037037035</v>
      </c>
      <c r="C159" s="7">
        <f t="shared" si="10"/>
        <v>0.37037037037037035</v>
      </c>
      <c r="D159" s="7">
        <f>'Ejercicio 1.e (1)'!G159</f>
        <v>0.35514550683112461</v>
      </c>
      <c r="E159" s="7">
        <f t="shared" si="11"/>
        <v>0.35469778040507688</v>
      </c>
      <c r="F159" s="7">
        <f t="shared" si="12"/>
        <v>0.36465001891249188</v>
      </c>
      <c r="G159" s="7">
        <f>'Ejercicio 1.e (1)'!I159</f>
        <v>0.37940804690218843</v>
      </c>
      <c r="H159" s="7">
        <f>'Ejercicio 1.e (1)'!J159</f>
        <v>0.36490454015396695</v>
      </c>
      <c r="I159" s="7">
        <f t="shared" si="13"/>
        <v>0.35071066245124149</v>
      </c>
      <c r="J159" s="7">
        <f>'Ejercicio 1.e (1)'!K159</f>
        <v>4.4286362854565486E-4</v>
      </c>
      <c r="K159" s="7">
        <f t="shared" si="14"/>
        <v>4.2563733648606582E-4</v>
      </c>
    </row>
    <row r="160" spans="1:11" ht="15" customHeight="1" x14ac:dyDescent="0.25">
      <c r="A160" s="2">
        <v>158</v>
      </c>
      <c r="B160" s="7">
        <f>'Ejercicio 1.e (1)'!F160</f>
        <v>0.37037037037037035</v>
      </c>
      <c r="C160" s="7">
        <f t="shared" si="10"/>
        <v>0.37037037037037035</v>
      </c>
      <c r="D160" s="7">
        <f>'Ejercicio 1.e (1)'!G160</f>
        <v>0.35515719789780681</v>
      </c>
      <c r="E160" s="7">
        <f t="shared" si="11"/>
        <v>0.35469778040507688</v>
      </c>
      <c r="F160" s="7">
        <f t="shared" si="12"/>
        <v>0.36465001891249188</v>
      </c>
      <c r="G160" s="7">
        <f>'Ejercicio 1.e (1)'!I160</f>
        <v>0.37526914732993061</v>
      </c>
      <c r="H160" s="7">
        <f>'Ejercicio 1.e (1)'!J160</f>
        <v>0.36092385693575479</v>
      </c>
      <c r="I160" s="7">
        <f t="shared" si="13"/>
        <v>0.35071066245124149</v>
      </c>
      <c r="J160" s="7">
        <f>'Ejercicio 1.e (1)'!K160</f>
        <v>4.3803250253838621E-4</v>
      </c>
      <c r="K160" s="7">
        <f t="shared" si="14"/>
        <v>4.2563733648606582E-4</v>
      </c>
    </row>
    <row r="161" spans="1:11" ht="15" customHeight="1" x14ac:dyDescent="0.25">
      <c r="A161" s="2">
        <v>159</v>
      </c>
      <c r="B161" s="7">
        <f>'Ejercicio 1.e (1)'!F161</f>
        <v>0.37037037037037035</v>
      </c>
      <c r="C161" s="7">
        <f t="shared" si="10"/>
        <v>0.37037037037037035</v>
      </c>
      <c r="D161" s="7">
        <f>'Ejercicio 1.e (1)'!G161</f>
        <v>0.35517227914464411</v>
      </c>
      <c r="E161" s="7">
        <f t="shared" si="11"/>
        <v>0.35469778040507688</v>
      </c>
      <c r="F161" s="7">
        <f t="shared" si="12"/>
        <v>0.36465001891249188</v>
      </c>
      <c r="G161" s="7">
        <f>'Ejercicio 1.e (1)'!I161</f>
        <v>0.37827948221120655</v>
      </c>
      <c r="H161" s="7">
        <f>'Ejercicio 1.e (1)'!J161</f>
        <v>0.36381911673461892</v>
      </c>
      <c r="I161" s="7">
        <f t="shared" si="13"/>
        <v>0.35071066245124149</v>
      </c>
      <c r="J161" s="7">
        <f>'Ejercicio 1.e (1)'!K161</f>
        <v>4.415463126421638E-4</v>
      </c>
      <c r="K161" s="7">
        <f t="shared" si="14"/>
        <v>4.2563733648606582E-4</v>
      </c>
    </row>
    <row r="162" spans="1:11" ht="15" customHeight="1" x14ac:dyDescent="0.25">
      <c r="A162" s="2">
        <v>160</v>
      </c>
      <c r="B162" s="7">
        <f>'Ejercicio 1.e (1)'!F162</f>
        <v>0.37037037037037035</v>
      </c>
      <c r="C162" s="7">
        <f t="shared" si="10"/>
        <v>0.37037037037037035</v>
      </c>
      <c r="D162" s="7">
        <f>'Ejercicio 1.e (1)'!G162</f>
        <v>0.35518594625935385</v>
      </c>
      <c r="E162" s="7">
        <f t="shared" si="11"/>
        <v>0.35469778040507688</v>
      </c>
      <c r="F162" s="7">
        <f t="shared" si="12"/>
        <v>0.36465001891249188</v>
      </c>
      <c r="G162" s="7">
        <f>'Ejercicio 1.e (1)'!I162</f>
        <v>0.37704140350968335</v>
      </c>
      <c r="H162" s="7">
        <f>'Ejercicio 1.e (1)'!J162</f>
        <v>0.36262836566082784</v>
      </c>
      <c r="I162" s="7">
        <f t="shared" si="13"/>
        <v>0.35071066245124149</v>
      </c>
      <c r="J162" s="7">
        <f>'Ejercicio 1.e (1)'!K162</f>
        <v>4.4010116662942514E-4</v>
      </c>
      <c r="K162" s="7">
        <f t="shared" si="14"/>
        <v>4.2563733648606582E-4</v>
      </c>
    </row>
    <row r="163" spans="1:11" ht="15" customHeight="1" x14ac:dyDescent="0.25">
      <c r="A163" s="2">
        <v>161</v>
      </c>
      <c r="B163" s="7">
        <f>'Ejercicio 1.e (1)'!F163</f>
        <v>0.37037037037037035</v>
      </c>
      <c r="C163" s="7">
        <f t="shared" si="10"/>
        <v>0.37037037037037035</v>
      </c>
      <c r="D163" s="7">
        <f>'Ejercicio 1.e (1)'!G163</f>
        <v>0.35519966739745934</v>
      </c>
      <c r="E163" s="7">
        <f t="shared" si="11"/>
        <v>0.35469778040507688</v>
      </c>
      <c r="F163" s="7">
        <f t="shared" si="12"/>
        <v>0.36465001891249188</v>
      </c>
      <c r="G163" s="7">
        <f>'Ejercicio 1.e (1)'!I163</f>
        <v>0.37710325999365407</v>
      </c>
      <c r="H163" s="7">
        <f>'Ejercicio 1.e (1)'!J163</f>
        <v>0.36268785757730981</v>
      </c>
      <c r="I163" s="7">
        <f t="shared" si="13"/>
        <v>0.35071066245124149</v>
      </c>
      <c r="J163" s="7">
        <f>'Ejercicio 1.e (1)'!K163</f>
        <v>4.4017336854281104E-4</v>
      </c>
      <c r="K163" s="7">
        <f t="shared" si="14"/>
        <v>4.2563733648606582E-4</v>
      </c>
    </row>
    <row r="164" spans="1:11" ht="15" customHeight="1" x14ac:dyDescent="0.25">
      <c r="A164" s="2">
        <v>162</v>
      </c>
      <c r="B164" s="7">
        <f>'Ejercicio 1.e (1)'!F164</f>
        <v>0.37037037037037035</v>
      </c>
      <c r="C164" s="7">
        <f t="shared" si="10"/>
        <v>0.37037037037037035</v>
      </c>
      <c r="D164" s="7">
        <f>'Ejercicio 1.e (1)'!G164</f>
        <v>0.3552195015792321</v>
      </c>
      <c r="E164" s="7">
        <f t="shared" si="11"/>
        <v>0.35469778040507688</v>
      </c>
      <c r="F164" s="7">
        <f t="shared" si="12"/>
        <v>0.36465001891249188</v>
      </c>
      <c r="G164" s="7">
        <f>'Ejercicio 1.e (1)'!I164</f>
        <v>0.38256698207333167</v>
      </c>
      <c r="H164" s="7">
        <f>'Ejercicio 1.e (1)'!J164</f>
        <v>0.36794271974824266</v>
      </c>
      <c r="I164" s="7">
        <f t="shared" si="13"/>
        <v>0.35071066245124149</v>
      </c>
      <c r="J164" s="7">
        <f>'Ejercicio 1.e (1)'!K164</f>
        <v>4.4655089217555261E-4</v>
      </c>
      <c r="K164" s="7">
        <f t="shared" si="14"/>
        <v>4.2563733648606582E-4</v>
      </c>
    </row>
    <row r="165" spans="1:11" ht="15" customHeight="1" x14ac:dyDescent="0.25">
      <c r="A165" s="2">
        <v>163</v>
      </c>
      <c r="B165" s="7">
        <f>'Ejercicio 1.e (1)'!F165</f>
        <v>0.37037037037037035</v>
      </c>
      <c r="C165" s="7">
        <f t="shared" si="10"/>
        <v>0.37037037037037035</v>
      </c>
      <c r="D165" s="7">
        <f>'Ejercicio 1.e (1)'!G165</f>
        <v>0.35524561099641261</v>
      </c>
      <c r="E165" s="7">
        <f t="shared" si="11"/>
        <v>0.35469778040507688</v>
      </c>
      <c r="F165" s="7">
        <f t="shared" si="12"/>
        <v>0.36465001891249188</v>
      </c>
      <c r="G165" s="7">
        <f>'Ejercicio 1.e (1)'!I165</f>
        <v>0.38826336982962639</v>
      </c>
      <c r="H165" s="7">
        <f>'Ejercicio 1.e (1)'!J165</f>
        <v>0.3734213535614187</v>
      </c>
      <c r="I165" s="7">
        <f t="shared" si="13"/>
        <v>0.35071066245124149</v>
      </c>
      <c r="J165" s="7">
        <f>'Ejercicio 1.e (1)'!K165</f>
        <v>4.531999945653237E-4</v>
      </c>
      <c r="K165" s="7">
        <f t="shared" si="14"/>
        <v>4.2563733648606582E-4</v>
      </c>
    </row>
    <row r="166" spans="1:11" ht="15" customHeight="1" x14ac:dyDescent="0.25">
      <c r="A166" s="2">
        <v>164</v>
      </c>
      <c r="B166" s="7">
        <f>'Ejercicio 1.e (1)'!F166</f>
        <v>0.37037037037037035</v>
      </c>
      <c r="C166" s="7">
        <f t="shared" si="10"/>
        <v>0.37037037037037035</v>
      </c>
      <c r="D166" s="7">
        <f>'Ejercicio 1.e (1)'!G166</f>
        <v>0.35527312996564131</v>
      </c>
      <c r="E166" s="7">
        <f t="shared" si="11"/>
        <v>0.35469778040507688</v>
      </c>
      <c r="F166" s="7">
        <f t="shared" si="12"/>
        <v>0.36465001891249188</v>
      </c>
      <c r="G166" s="7">
        <f>'Ejercicio 1.e (1)'!I166</f>
        <v>0.38957663272607401</v>
      </c>
      <c r="H166" s="7">
        <f>'Ejercicio 1.e (1)'!J166</f>
        <v>0.3746844147886178</v>
      </c>
      <c r="I166" s="7">
        <f t="shared" si="13"/>
        <v>0.35071066245124149</v>
      </c>
      <c r="J166" s="7">
        <f>'Ejercicio 1.e (1)'!K166</f>
        <v>4.5473289924750909E-4</v>
      </c>
      <c r="K166" s="7">
        <f t="shared" si="14"/>
        <v>4.2563733648606582E-4</v>
      </c>
    </row>
    <row r="167" spans="1:11" ht="15" customHeight="1" x14ac:dyDescent="0.25">
      <c r="A167" s="2">
        <v>165</v>
      </c>
      <c r="B167" s="7">
        <f>'Ejercicio 1.e (1)'!F167</f>
        <v>0.37037037037037035</v>
      </c>
      <c r="C167" s="7">
        <f t="shared" si="10"/>
        <v>0.37037037037037035</v>
      </c>
      <c r="D167" s="7">
        <f>'Ejercicio 1.e (1)'!G167</f>
        <v>0.35530252542700502</v>
      </c>
      <c r="E167" s="7">
        <f t="shared" si="11"/>
        <v>0.35469778040507688</v>
      </c>
      <c r="F167" s="7">
        <f t="shared" si="12"/>
        <v>0.36465001891249188</v>
      </c>
      <c r="G167" s="7">
        <f>'Ejercicio 1.e (1)'!I167</f>
        <v>0.39132410333417184</v>
      </c>
      <c r="H167" s="7">
        <f>'Ejercicio 1.e (1)'!J167</f>
        <v>0.37636508541193986</v>
      </c>
      <c r="I167" s="7">
        <f t="shared" si="13"/>
        <v>0.35071066245124149</v>
      </c>
      <c r="J167" s="7">
        <f>'Ejercicio 1.e (1)'!K167</f>
        <v>4.5677263240709223E-4</v>
      </c>
      <c r="K167" s="7">
        <f t="shared" si="14"/>
        <v>4.2563733648606582E-4</v>
      </c>
    </row>
    <row r="168" spans="1:11" ht="15" customHeight="1" x14ac:dyDescent="0.25">
      <c r="A168" s="2">
        <v>166</v>
      </c>
      <c r="B168" s="7">
        <f>'Ejercicio 1.e (1)'!F168</f>
        <v>0.37037037037037035</v>
      </c>
      <c r="C168" s="7">
        <f t="shared" si="10"/>
        <v>0.37037037037037035</v>
      </c>
      <c r="D168" s="7">
        <f>'Ejercicio 1.e (1)'!G168</f>
        <v>0.35532988497314477</v>
      </c>
      <c r="E168" s="7">
        <f t="shared" si="11"/>
        <v>0.35469778040507688</v>
      </c>
      <c r="F168" s="7">
        <f t="shared" si="12"/>
        <v>0.36465001891249188</v>
      </c>
      <c r="G168" s="7">
        <f>'Ejercicio 1.e (1)'!I168</f>
        <v>0.38948930246589608</v>
      </c>
      <c r="H168" s="7">
        <f>'Ejercicio 1.e (1)'!J168</f>
        <v>0.3746004228736019</v>
      </c>
      <c r="I168" s="7">
        <f t="shared" si="13"/>
        <v>0.35071066245124149</v>
      </c>
      <c r="J168" s="7">
        <f>'Ejercicio 1.e (1)'!K168</f>
        <v>4.5463096309665508E-4</v>
      </c>
      <c r="K168" s="7">
        <f t="shared" si="14"/>
        <v>4.2563733648606582E-4</v>
      </c>
    </row>
    <row r="169" spans="1:11" ht="15" customHeight="1" x14ac:dyDescent="0.25">
      <c r="A169" s="2">
        <v>167</v>
      </c>
      <c r="B169" s="7">
        <f>'Ejercicio 1.e (1)'!F169</f>
        <v>0.37037037037037035</v>
      </c>
      <c r="C169" s="7">
        <f t="shared" si="10"/>
        <v>0.37037037037037035</v>
      </c>
      <c r="D169" s="7">
        <f>'Ejercicio 1.e (1)'!G169</f>
        <v>0.35535780879901741</v>
      </c>
      <c r="E169" s="7">
        <f t="shared" si="11"/>
        <v>0.35469778040507688</v>
      </c>
      <c r="F169" s="7">
        <f t="shared" si="12"/>
        <v>0.36465001891249188</v>
      </c>
      <c r="G169" s="7">
        <f>'Ejercicio 1.e (1)'!I169</f>
        <v>0.39003336912583542</v>
      </c>
      <c r="H169" s="7">
        <f>'Ejercicio 1.e (1)'!J169</f>
        <v>0.37512369167609372</v>
      </c>
      <c r="I169" s="7">
        <f t="shared" si="13"/>
        <v>0.35071066245124149</v>
      </c>
      <c r="J169" s="7">
        <f>'Ejercicio 1.e (1)'!K169</f>
        <v>4.5526602431151007E-4</v>
      </c>
      <c r="K169" s="7">
        <f t="shared" si="14"/>
        <v>4.2563733648606582E-4</v>
      </c>
    </row>
    <row r="170" spans="1:11" ht="15" customHeight="1" x14ac:dyDescent="0.25">
      <c r="A170" s="2">
        <v>168</v>
      </c>
      <c r="B170" s="7">
        <f>'Ejercicio 1.e (1)'!F170</f>
        <v>0.37037037037037035</v>
      </c>
      <c r="C170" s="7">
        <f t="shared" si="10"/>
        <v>0.37037037037037035</v>
      </c>
      <c r="D170" s="7">
        <f>'Ejercicio 1.e (1)'!G170</f>
        <v>0.35539149775770212</v>
      </c>
      <c r="E170" s="7">
        <f t="shared" si="11"/>
        <v>0.35469778040507688</v>
      </c>
      <c r="F170" s="7">
        <f t="shared" si="12"/>
        <v>0.36465001891249188</v>
      </c>
      <c r="G170" s="7">
        <f>'Ejercicio 1.e (1)'!I170</f>
        <v>0.3953731289040206</v>
      </c>
      <c r="H170" s="7">
        <f>'Ejercicio 1.e (1)'!J170</f>
        <v>0.38025933021170344</v>
      </c>
      <c r="I170" s="7">
        <f t="shared" si="13"/>
        <v>0.35071066245124149</v>
      </c>
      <c r="J170" s="7">
        <f>'Ejercicio 1.e (1)'!K170</f>
        <v>4.6149885308316462E-4</v>
      </c>
      <c r="K170" s="7">
        <f t="shared" si="14"/>
        <v>4.2563733648606582E-4</v>
      </c>
    </row>
    <row r="171" spans="1:11" ht="15" customHeight="1" x14ac:dyDescent="0.25">
      <c r="A171" s="2">
        <v>169</v>
      </c>
      <c r="B171" s="7">
        <f>'Ejercicio 1.e (1)'!F171</f>
        <v>0.37037037037037035</v>
      </c>
      <c r="C171" s="7">
        <f t="shared" si="10"/>
        <v>0.37037037037037035</v>
      </c>
      <c r="D171" s="7">
        <f>'Ejercicio 1.e (1)'!G171</f>
        <v>0.35542588313557311</v>
      </c>
      <c r="E171" s="7">
        <f t="shared" si="11"/>
        <v>0.35469778040507688</v>
      </c>
      <c r="F171" s="7">
        <f t="shared" si="12"/>
        <v>0.36465001891249188</v>
      </c>
      <c r="G171" s="7">
        <f>'Ejercicio 1.e (1)'!I171</f>
        <v>0.39605408929488894</v>
      </c>
      <c r="H171" s="7">
        <f>'Ejercicio 1.e (1)'!J171</f>
        <v>0.38091425975345072</v>
      </c>
      <c r="I171" s="7">
        <f t="shared" si="13"/>
        <v>0.35071066245124149</v>
      </c>
      <c r="J171" s="7">
        <f>'Ejercicio 1.e (1)'!K171</f>
        <v>4.6229370335599916E-4</v>
      </c>
      <c r="K171" s="7">
        <f t="shared" si="14"/>
        <v>4.2563733648606582E-4</v>
      </c>
    </row>
    <row r="172" spans="1:11" ht="15" customHeight="1" x14ac:dyDescent="0.25">
      <c r="A172" s="2">
        <v>170</v>
      </c>
      <c r="B172" s="7">
        <f>'Ejercicio 1.e (1)'!F172</f>
        <v>0.37037037037037035</v>
      </c>
      <c r="C172" s="7">
        <f t="shared" si="10"/>
        <v>0.37037037037037035</v>
      </c>
      <c r="D172" s="7">
        <f>'Ejercicio 1.e (1)'!G172</f>
        <v>0.35546174827096239</v>
      </c>
      <c r="E172" s="7">
        <f t="shared" si="11"/>
        <v>0.35469778040507688</v>
      </c>
      <c r="F172" s="7">
        <f t="shared" si="12"/>
        <v>0.36465001891249188</v>
      </c>
      <c r="G172" s="7">
        <f>'Ejercicio 1.e (1)'!I172</f>
        <v>0.39746637519698175</v>
      </c>
      <c r="H172" s="7">
        <f>'Ejercicio 1.e (1)'!J172</f>
        <v>0.38227255866639381</v>
      </c>
      <c r="I172" s="7">
        <f t="shared" si="13"/>
        <v>0.35071066245124149</v>
      </c>
      <c r="J172" s="7">
        <f>'Ejercicio 1.e (1)'!K172</f>
        <v>4.6394219253342015E-4</v>
      </c>
      <c r="K172" s="7">
        <f t="shared" si="14"/>
        <v>4.2563733648606582E-4</v>
      </c>
    </row>
    <row r="173" spans="1:11" ht="15" customHeight="1" x14ac:dyDescent="0.25">
      <c r="A173" s="2">
        <v>171</v>
      </c>
      <c r="B173" s="7">
        <f>'Ejercicio 1.e (1)'!F173</f>
        <v>0.37037037037037035</v>
      </c>
      <c r="C173" s="7">
        <f t="shared" si="10"/>
        <v>0.37037037037037035</v>
      </c>
      <c r="D173" s="7">
        <f>'Ejercicio 1.e (1)'!G173</f>
        <v>0.35549826043810251</v>
      </c>
      <c r="E173" s="7">
        <f t="shared" si="11"/>
        <v>0.35469778040507688</v>
      </c>
      <c r="F173" s="7">
        <f t="shared" si="12"/>
        <v>0.36465001891249188</v>
      </c>
      <c r="G173" s="7">
        <f>'Ejercicio 1.e (1)'!I173</f>
        <v>0.39810673060383345</v>
      </c>
      <c r="H173" s="7">
        <f>'Ejercicio 1.e (1)'!J173</f>
        <v>0.38288843541750706</v>
      </c>
      <c r="I173" s="7">
        <f t="shared" si="13"/>
        <v>0.35071066245124149</v>
      </c>
      <c r="J173" s="7">
        <f>'Ejercicio 1.e (1)'!K173</f>
        <v>4.6468964668298983E-4</v>
      </c>
      <c r="K173" s="7">
        <f t="shared" si="14"/>
        <v>4.2563733648606582E-4</v>
      </c>
    </row>
    <row r="174" spans="1:11" ht="15" customHeight="1" x14ac:dyDescent="0.25">
      <c r="A174" s="2">
        <v>172</v>
      </c>
      <c r="B174" s="7">
        <f>'Ejercicio 1.e (1)'!F174</f>
        <v>0.37037037037037035</v>
      </c>
      <c r="C174" s="7">
        <f t="shared" si="10"/>
        <v>0.37037037037037035</v>
      </c>
      <c r="D174" s="7">
        <f>'Ejercicio 1.e (1)'!G174</f>
        <v>0.35553312538223653</v>
      </c>
      <c r="E174" s="7">
        <f t="shared" si="11"/>
        <v>0.35469778040507688</v>
      </c>
      <c r="F174" s="7">
        <f t="shared" si="12"/>
        <v>0.36465001891249188</v>
      </c>
      <c r="G174" s="7">
        <f>'Ejercicio 1.e (1)'!I174</f>
        <v>0.39660922384360325</v>
      </c>
      <c r="H174" s="7">
        <f>'Ejercicio 1.e (1)'!J174</f>
        <v>0.38144817335616987</v>
      </c>
      <c r="I174" s="7">
        <f t="shared" si="13"/>
        <v>0.35071066245124149</v>
      </c>
      <c r="J174" s="7">
        <f>'Ejercicio 1.e (1)'!K174</f>
        <v>4.6294168355194386E-4</v>
      </c>
      <c r="K174" s="7">
        <f t="shared" si="14"/>
        <v>4.2563733648606582E-4</v>
      </c>
    </row>
    <row r="175" spans="1:11" ht="15" customHeight="1" x14ac:dyDescent="0.25">
      <c r="A175" s="2">
        <v>173</v>
      </c>
      <c r="B175" s="7">
        <f>'Ejercicio 1.e (1)'!F175</f>
        <v>0.37037037037037035</v>
      </c>
      <c r="C175" s="7">
        <f t="shared" si="10"/>
        <v>0.37037037037037035</v>
      </c>
      <c r="D175" s="7">
        <f>'Ejercicio 1.e (1)'!G175</f>
        <v>0.35556814410945969</v>
      </c>
      <c r="E175" s="7">
        <f t="shared" si="11"/>
        <v>0.35469778040507688</v>
      </c>
      <c r="F175" s="7">
        <f t="shared" si="12"/>
        <v>0.36465001891249188</v>
      </c>
      <c r="G175" s="7">
        <f>'Ejercicio 1.e (1)'!I175</f>
        <v>0.39678798557665124</v>
      </c>
      <c r="H175" s="7">
        <f>'Ejercicio 1.e (1)'!J175</f>
        <v>0.38162010162318372</v>
      </c>
      <c r="I175" s="7">
        <f t="shared" si="13"/>
        <v>0.35071066245124149</v>
      </c>
      <c r="J175" s="7">
        <f>'Ejercicio 1.e (1)'!K175</f>
        <v>4.6315034298968939E-4</v>
      </c>
      <c r="K175" s="7">
        <f t="shared" si="14"/>
        <v>4.2563733648606582E-4</v>
      </c>
    </row>
    <row r="176" spans="1:11" ht="15" customHeight="1" x14ac:dyDescent="0.25">
      <c r="A176" s="2">
        <v>174</v>
      </c>
      <c r="B176" s="7">
        <f>'Ejercicio 1.e (1)'!F176</f>
        <v>0.37037037037037035</v>
      </c>
      <c r="C176" s="7">
        <f t="shared" si="10"/>
        <v>0.37037037037037035</v>
      </c>
      <c r="D176" s="7">
        <f>'Ejercicio 1.e (1)'!G176</f>
        <v>0.35560328018900911</v>
      </c>
      <c r="E176" s="7">
        <f t="shared" si="11"/>
        <v>0.35469778040507688</v>
      </c>
      <c r="F176" s="7">
        <f t="shared" si="12"/>
        <v>0.36465001891249188</v>
      </c>
      <c r="G176" s="7">
        <f>'Ejercicio 1.e (1)'!I176</f>
        <v>0.39693305058332307</v>
      </c>
      <c r="H176" s="7">
        <f>'Ejercicio 1.e (1)'!J176</f>
        <v>0.38175962127750895</v>
      </c>
      <c r="I176" s="7">
        <f t="shared" si="13"/>
        <v>0.35071066245124149</v>
      </c>
      <c r="J176" s="7">
        <f>'Ejercicio 1.e (1)'!K176</f>
        <v>4.6331966996035918E-4</v>
      </c>
      <c r="K176" s="7">
        <f t="shared" si="14"/>
        <v>4.2563733648606582E-4</v>
      </c>
    </row>
    <row r="177" spans="1:11" ht="15" customHeight="1" x14ac:dyDescent="0.25">
      <c r="A177" s="2">
        <v>175</v>
      </c>
      <c r="B177" s="7">
        <f>'Ejercicio 1.e (1)'!F177</f>
        <v>0.37037037037037035</v>
      </c>
      <c r="C177" s="7">
        <f t="shared" si="10"/>
        <v>0.37037037037037035</v>
      </c>
      <c r="D177" s="7">
        <f>'Ejercicio 1.e (1)'!G177</f>
        <v>0.35563538874544265</v>
      </c>
      <c r="E177" s="7">
        <f t="shared" si="11"/>
        <v>0.35469778040507688</v>
      </c>
      <c r="F177" s="7">
        <f t="shared" si="12"/>
        <v>0.36465001891249188</v>
      </c>
      <c r="G177" s="7">
        <f>'Ejercicio 1.e (1)'!I177</f>
        <v>0.39416164902555623</v>
      </c>
      <c r="H177" s="7">
        <f>'Ejercicio 1.e (1)'!J177</f>
        <v>0.37909416117650163</v>
      </c>
      <c r="I177" s="7">
        <f t="shared" si="13"/>
        <v>0.35071066245124149</v>
      </c>
      <c r="J177" s="7">
        <f>'Ejercicio 1.e (1)'!K177</f>
        <v>4.6008475451760338E-4</v>
      </c>
      <c r="K177" s="7">
        <f t="shared" si="14"/>
        <v>4.2563733648606582E-4</v>
      </c>
    </row>
    <row r="178" spans="1:11" ht="15" customHeight="1" x14ac:dyDescent="0.25">
      <c r="A178" s="2">
        <v>176</v>
      </c>
      <c r="B178" s="7">
        <f>'Ejercicio 1.e (1)'!F178</f>
        <v>0.37037037037037035</v>
      </c>
      <c r="C178" s="7">
        <f t="shared" si="10"/>
        <v>0.37037037037037035</v>
      </c>
      <c r="D178" s="7">
        <f>'Ejercicio 1.e (1)'!G178</f>
        <v>0.35566419600080551</v>
      </c>
      <c r="E178" s="7">
        <f t="shared" si="11"/>
        <v>0.35469778040507688</v>
      </c>
      <c r="F178" s="7">
        <f t="shared" si="12"/>
        <v>0.36465001891249188</v>
      </c>
      <c r="G178" s="7">
        <f>'Ejercicio 1.e (1)'!I178</f>
        <v>0.39115591053319793</v>
      </c>
      <c r="H178" s="7">
        <f>'Ejercicio 1.e (1)'!J178</f>
        <v>0.37620332206190626</v>
      </c>
      <c r="I178" s="7">
        <f t="shared" si="13"/>
        <v>0.35071066245124149</v>
      </c>
      <c r="J178" s="7">
        <f>'Ejercicio 1.e (1)'!K178</f>
        <v>4.5657630954377206E-4</v>
      </c>
      <c r="K178" s="7">
        <f t="shared" si="14"/>
        <v>4.2563733648606582E-4</v>
      </c>
    </row>
    <row r="179" spans="1:11" ht="15" customHeight="1" x14ac:dyDescent="0.25">
      <c r="A179" s="2">
        <v>177</v>
      </c>
      <c r="B179" s="7">
        <f>'Ejercicio 1.e (1)'!F179</f>
        <v>0.37037037037037035</v>
      </c>
      <c r="C179" s="7">
        <f t="shared" si="10"/>
        <v>0.37037037037037035</v>
      </c>
      <c r="D179" s="7">
        <f>'Ejercicio 1.e (1)'!G179</f>
        <v>0.35569958706236254</v>
      </c>
      <c r="E179" s="7">
        <f t="shared" si="11"/>
        <v>0.35469778040507688</v>
      </c>
      <c r="F179" s="7">
        <f t="shared" si="12"/>
        <v>0.36465001891249188</v>
      </c>
      <c r="G179" s="7">
        <f>'Ejercicio 1.e (1)'!I179</f>
        <v>0.39726879298959183</v>
      </c>
      <c r="H179" s="7">
        <f>'Ejercicio 1.e (1)'!J179</f>
        <v>0.38208252936912696</v>
      </c>
      <c r="I179" s="7">
        <f t="shared" si="13"/>
        <v>0.35071066245124149</v>
      </c>
      <c r="J179" s="7">
        <f>'Ejercicio 1.e (1)'!K179</f>
        <v>4.6371156491754537E-4</v>
      </c>
      <c r="K179" s="7">
        <f t="shared" si="14"/>
        <v>4.2563733648606582E-4</v>
      </c>
    </row>
    <row r="180" spans="1:11" ht="15" customHeight="1" x14ac:dyDescent="0.25">
      <c r="A180" s="2">
        <v>178</v>
      </c>
      <c r="B180" s="7">
        <f>'Ejercicio 1.e (1)'!F180</f>
        <v>0.37037037037037035</v>
      </c>
      <c r="C180" s="7">
        <f t="shared" si="10"/>
        <v>0.37037037037037035</v>
      </c>
      <c r="D180" s="7">
        <f>'Ejercicio 1.e (1)'!G180</f>
        <v>0.3557344729073047</v>
      </c>
      <c r="E180" s="7">
        <f t="shared" si="11"/>
        <v>0.35469778040507688</v>
      </c>
      <c r="F180" s="7">
        <f t="shared" si="12"/>
        <v>0.36465001891249188</v>
      </c>
      <c r="G180" s="7">
        <f>'Ejercicio 1.e (1)'!I180</f>
        <v>0.39683490763238777</v>
      </c>
      <c r="H180" s="7">
        <f>'Ejercicio 1.e (1)'!J180</f>
        <v>0.38166523000491259</v>
      </c>
      <c r="I180" s="7">
        <f t="shared" si="13"/>
        <v>0.35071066245124149</v>
      </c>
      <c r="J180" s="7">
        <f>'Ejercicio 1.e (1)'!K180</f>
        <v>4.6320511270802288E-4</v>
      </c>
      <c r="K180" s="7">
        <f t="shared" si="14"/>
        <v>4.2563733648606582E-4</v>
      </c>
    </row>
    <row r="181" spans="1:11" ht="15" customHeight="1" x14ac:dyDescent="0.25">
      <c r="A181" s="2">
        <v>179</v>
      </c>
      <c r="B181" s="7">
        <f>'Ejercicio 1.e (1)'!F181</f>
        <v>0.37037037037037035</v>
      </c>
      <c r="C181" s="7">
        <f t="shared" si="10"/>
        <v>0.37037037037037035</v>
      </c>
      <c r="D181" s="7">
        <f>'Ejercicio 1.e (1)'!G181</f>
        <v>0.35576785513816461</v>
      </c>
      <c r="E181" s="7">
        <f t="shared" si="11"/>
        <v>0.35469778040507688</v>
      </c>
      <c r="F181" s="7">
        <f t="shared" si="12"/>
        <v>0.36465001891249188</v>
      </c>
      <c r="G181" s="7">
        <f>'Ejercicio 1.e (1)'!I181</f>
        <v>0.39547473023018026</v>
      </c>
      <c r="H181" s="7">
        <f>'Ejercicio 1.e (1)'!J181</f>
        <v>0.38035704765735079</v>
      </c>
      <c r="I181" s="7">
        <f t="shared" si="13"/>
        <v>0.35071066245124149</v>
      </c>
      <c r="J181" s="7">
        <f>'Ejercicio 1.e (1)'!K181</f>
        <v>4.6161744712020603E-4</v>
      </c>
      <c r="K181" s="7">
        <f t="shared" si="14"/>
        <v>4.2563733648606582E-4</v>
      </c>
    </row>
    <row r="182" spans="1:11" ht="15" customHeight="1" x14ac:dyDescent="0.25">
      <c r="A182" s="2">
        <v>180</v>
      </c>
      <c r="B182" s="7">
        <f>'Ejercicio 1.e (1)'!F182</f>
        <v>0.37037037037037035</v>
      </c>
      <c r="C182" s="7">
        <f t="shared" si="10"/>
        <v>0.37037037037037035</v>
      </c>
      <c r="D182" s="7">
        <f>'Ejercicio 1.e (1)'!G182</f>
        <v>0.35579995836363748</v>
      </c>
      <c r="E182" s="7">
        <f t="shared" si="11"/>
        <v>0.35469778040507688</v>
      </c>
      <c r="F182" s="7">
        <f t="shared" si="12"/>
        <v>0.36465001891249188</v>
      </c>
      <c r="G182" s="7">
        <f>'Ejercicio 1.e (1)'!I182</f>
        <v>0.39432541281128597</v>
      </c>
      <c r="H182" s="7">
        <f>'Ejercicio 1.e (1)'!J182</f>
        <v>0.37925166481780159</v>
      </c>
      <c r="I182" s="7">
        <f t="shared" si="13"/>
        <v>0.35071066245124149</v>
      </c>
      <c r="J182" s="7">
        <f>'Ejercicio 1.e (1)'!K182</f>
        <v>4.6027590761771499E-4</v>
      </c>
      <c r="K182" s="7">
        <f t="shared" si="14"/>
        <v>4.2563733648606582E-4</v>
      </c>
    </row>
    <row r="183" spans="1:11" ht="15" customHeight="1" x14ac:dyDescent="0.25">
      <c r="A183" s="2">
        <v>181</v>
      </c>
      <c r="B183" s="7">
        <f>'Ejercicio 1.e (1)'!F183</f>
        <v>0.37037037037037035</v>
      </c>
      <c r="C183" s="7">
        <f t="shared" si="10"/>
        <v>0.37037037037037035</v>
      </c>
      <c r="D183" s="7">
        <f>'Ejercicio 1.e (1)'!G183</f>
        <v>0.35583510849750677</v>
      </c>
      <c r="E183" s="7">
        <f t="shared" si="11"/>
        <v>0.35469778040507688</v>
      </c>
      <c r="F183" s="7">
        <f t="shared" si="12"/>
        <v>0.36465001891249188</v>
      </c>
      <c r="G183" s="7">
        <f>'Ejercicio 1.e (1)'!I183</f>
        <v>0.39718359463825537</v>
      </c>
      <c r="H183" s="7">
        <f>'Ejercicio 1.e (1)'!J183</f>
        <v>0.38200058786717372</v>
      </c>
      <c r="I183" s="7">
        <f t="shared" si="13"/>
        <v>0.35071066245124149</v>
      </c>
      <c r="J183" s="7">
        <f>'Ejercicio 1.e (1)'!K183</f>
        <v>4.6361211723495917E-4</v>
      </c>
      <c r="K183" s="7">
        <f t="shared" si="14"/>
        <v>4.2563733648606582E-4</v>
      </c>
    </row>
    <row r="184" spans="1:11" ht="15" customHeight="1" x14ac:dyDescent="0.25">
      <c r="A184" s="2">
        <v>182</v>
      </c>
      <c r="B184" s="7">
        <f>'Ejercicio 1.e (1)'!F184</f>
        <v>0.37037037037037035</v>
      </c>
      <c r="C184" s="7">
        <f t="shared" si="10"/>
        <v>0.37037037037037035</v>
      </c>
      <c r="D184" s="7">
        <f>'Ejercicio 1.e (1)'!G184</f>
        <v>0.35586962440348968</v>
      </c>
      <c r="E184" s="7">
        <f t="shared" si="11"/>
        <v>0.35469778040507688</v>
      </c>
      <c r="F184" s="7">
        <f t="shared" si="12"/>
        <v>0.36465001891249188</v>
      </c>
      <c r="G184" s="7">
        <f>'Ejercicio 1.e (1)'!I184</f>
        <v>0.39662985105316756</v>
      </c>
      <c r="H184" s="7">
        <f>'Ejercicio 1.e (1)'!J184</f>
        <v>0.38146801205617153</v>
      </c>
      <c r="I184" s="7">
        <f t="shared" si="13"/>
        <v>0.35071066245124149</v>
      </c>
      <c r="J184" s="7">
        <f>'Ejercicio 1.e (1)'!K184</f>
        <v>4.6296576063978903E-4</v>
      </c>
      <c r="K184" s="7">
        <f t="shared" si="14"/>
        <v>4.2563733648606582E-4</v>
      </c>
    </row>
    <row r="185" spans="1:11" ht="15" customHeight="1" x14ac:dyDescent="0.25">
      <c r="A185" s="2">
        <v>183</v>
      </c>
      <c r="B185" s="7">
        <f>'Ejercicio 1.e (1)'!F185</f>
        <v>0.37037037037037035</v>
      </c>
      <c r="C185" s="7">
        <f t="shared" si="10"/>
        <v>0.37037037037037035</v>
      </c>
      <c r="D185" s="7">
        <f>'Ejercicio 1.e (1)'!G185</f>
        <v>0.35590024562385558</v>
      </c>
      <c r="E185" s="7">
        <f t="shared" si="11"/>
        <v>0.35469778040507688</v>
      </c>
      <c r="F185" s="7">
        <f t="shared" si="12"/>
        <v>0.36465001891249188</v>
      </c>
      <c r="G185" s="7">
        <f>'Ejercicio 1.e (1)'!I185</f>
        <v>0.39306280750102235</v>
      </c>
      <c r="H185" s="7">
        <f>'Ejercicio 1.e (1)'!J185</f>
        <v>0.3780373247058838</v>
      </c>
      <c r="I185" s="7">
        <f t="shared" si="13"/>
        <v>0.35071066245124149</v>
      </c>
      <c r="J185" s="7">
        <f>'Ejercicio 1.e (1)'!K185</f>
        <v>4.5880213294769985E-4</v>
      </c>
      <c r="K185" s="7">
        <f t="shared" si="14"/>
        <v>4.2563733648606582E-4</v>
      </c>
    </row>
    <row r="186" spans="1:11" ht="15" customHeight="1" x14ac:dyDescent="0.25">
      <c r="A186" s="2">
        <v>184</v>
      </c>
      <c r="B186" s="7">
        <f>'Ejercicio 1.e (1)'!F186</f>
        <v>0.37037037037037035</v>
      </c>
      <c r="C186" s="7">
        <f t="shared" si="10"/>
        <v>0.37037037037037035</v>
      </c>
      <c r="D186" s="7">
        <f>'Ejercicio 1.e (1)'!G186</f>
        <v>0.3559312027456869</v>
      </c>
      <c r="E186" s="7">
        <f t="shared" si="11"/>
        <v>0.35469778040507688</v>
      </c>
      <c r="F186" s="7">
        <f t="shared" si="12"/>
        <v>0.36465001891249188</v>
      </c>
      <c r="G186" s="7">
        <f>'Ejercicio 1.e (1)'!I186</f>
        <v>0.39340360272688996</v>
      </c>
      <c r="H186" s="7">
        <f>'Ejercicio 1.e (1)'!J186</f>
        <v>0.37836509246462602</v>
      </c>
      <c r="I186" s="7">
        <f t="shared" si="13"/>
        <v>0.35071066245124149</v>
      </c>
      <c r="J186" s="7">
        <f>'Ejercicio 1.e (1)'!K186</f>
        <v>4.5919992580304662E-4</v>
      </c>
      <c r="K186" s="7">
        <f t="shared" si="14"/>
        <v>4.2563733648606582E-4</v>
      </c>
    </row>
    <row r="187" spans="1:11" ht="15" customHeight="1" x14ac:dyDescent="0.25">
      <c r="A187" s="2">
        <v>185</v>
      </c>
      <c r="B187" s="7">
        <f>'Ejercicio 1.e (1)'!F187</f>
        <v>0.37037037037037035</v>
      </c>
      <c r="C187" s="7">
        <f t="shared" si="10"/>
        <v>0.37037037037037035</v>
      </c>
      <c r="D187" s="7">
        <f>'Ejercicio 1.e (1)'!G187</f>
        <v>0.35596518932032312</v>
      </c>
      <c r="E187" s="7">
        <f t="shared" si="11"/>
        <v>0.35469778040507688</v>
      </c>
      <c r="F187" s="7">
        <f t="shared" si="12"/>
        <v>0.36465001891249188</v>
      </c>
      <c r="G187" s="7">
        <f>'Ejercicio 1.e (1)'!I187</f>
        <v>0.39623677103921767</v>
      </c>
      <c r="H187" s="7">
        <f>'Ejercicio 1.e (1)'!J187</f>
        <v>0.38108995818276209</v>
      </c>
      <c r="I187" s="7">
        <f t="shared" si="13"/>
        <v>0.35071066245124149</v>
      </c>
      <c r="J187" s="7">
        <f>'Ejercicio 1.e (1)'!K187</f>
        <v>4.6250693842263263E-4</v>
      </c>
      <c r="K187" s="7">
        <f t="shared" si="14"/>
        <v>4.2563733648606582E-4</v>
      </c>
    </row>
    <row r="188" spans="1:11" ht="15" customHeight="1" x14ac:dyDescent="0.25">
      <c r="A188" s="2">
        <v>186</v>
      </c>
      <c r="B188" s="7">
        <f>'Ejercicio 1.e (1)'!F188</f>
        <v>0.37037037037037035</v>
      </c>
      <c r="C188" s="7">
        <f t="shared" si="10"/>
        <v>0.37037037037037035</v>
      </c>
      <c r="D188" s="7">
        <f>'Ejercicio 1.e (1)'!G188</f>
        <v>0.3560036147898466</v>
      </c>
      <c r="E188" s="7">
        <f t="shared" si="11"/>
        <v>0.35469778040507688</v>
      </c>
      <c r="F188" s="7">
        <f t="shared" si="12"/>
        <v>0.36465001891249188</v>
      </c>
      <c r="G188" s="7">
        <f>'Ejercicio 1.e (1)'!I188</f>
        <v>0.40041236987424134</v>
      </c>
      <c r="H188" s="7">
        <f>'Ejercicio 1.e (1)'!J188</f>
        <v>0.38510593777308044</v>
      </c>
      <c r="I188" s="7">
        <f t="shared" si="13"/>
        <v>0.35071066245124149</v>
      </c>
      <c r="J188" s="7">
        <f>'Ejercicio 1.e (1)'!K188</f>
        <v>4.673809016043E-4</v>
      </c>
      <c r="K188" s="7">
        <f t="shared" si="14"/>
        <v>4.2563733648606582E-4</v>
      </c>
    </row>
    <row r="189" spans="1:11" ht="15" customHeight="1" x14ac:dyDescent="0.25">
      <c r="A189" s="2">
        <v>187</v>
      </c>
      <c r="B189" s="7">
        <f>'Ejercicio 1.e (1)'!F189</f>
        <v>0.37037037037037035</v>
      </c>
      <c r="C189" s="7">
        <f t="shared" si="10"/>
        <v>0.37037037037037035</v>
      </c>
      <c r="D189" s="7">
        <f>'Ejercicio 1.e (1)'!G189</f>
        <v>0.35604901793997235</v>
      </c>
      <c r="E189" s="7">
        <f t="shared" si="11"/>
        <v>0.35469778040507688</v>
      </c>
      <c r="F189" s="7">
        <f t="shared" si="12"/>
        <v>0.36465001891249188</v>
      </c>
      <c r="G189" s="7">
        <f>'Ejercicio 1.e (1)'!I189</f>
        <v>0.40704822124364182</v>
      </c>
      <c r="H189" s="7">
        <f>'Ejercicio 1.e (1)'!J189</f>
        <v>0.39148812263250021</v>
      </c>
      <c r="I189" s="7">
        <f t="shared" si="13"/>
        <v>0.35071066245124149</v>
      </c>
      <c r="J189" s="7">
        <f>'Ejercicio 1.e (1)'!K189</f>
        <v>4.7512659187085352E-4</v>
      </c>
      <c r="K189" s="7">
        <f t="shared" si="14"/>
        <v>4.2563733648606582E-4</v>
      </c>
    </row>
    <row r="190" spans="1:11" ht="15" customHeight="1" x14ac:dyDescent="0.25">
      <c r="A190" s="2">
        <v>188</v>
      </c>
      <c r="B190" s="7">
        <f>'Ejercicio 1.e (1)'!F190</f>
        <v>0.37037037037037035</v>
      </c>
      <c r="C190" s="7">
        <f t="shared" si="10"/>
        <v>0.37037037037037035</v>
      </c>
      <c r="D190" s="7">
        <f>'Ejercicio 1.e (1)'!G190</f>
        <v>0.35608801994900002</v>
      </c>
      <c r="E190" s="7">
        <f t="shared" si="11"/>
        <v>0.35469778040507688</v>
      </c>
      <c r="F190" s="7">
        <f t="shared" si="12"/>
        <v>0.36465001891249188</v>
      </c>
      <c r="G190" s="7">
        <f>'Ejercicio 1.e (1)'!I190</f>
        <v>0.40103914914911371</v>
      </c>
      <c r="H190" s="7">
        <f>'Ejercicio 1.e (1)'!J190</f>
        <v>0.38570875736255084</v>
      </c>
      <c r="I190" s="7">
        <f t="shared" si="13"/>
        <v>0.35071066245124149</v>
      </c>
      <c r="J190" s="7">
        <f>'Ejercicio 1.e (1)'!K190</f>
        <v>4.6811250902863795E-4</v>
      </c>
      <c r="K190" s="7">
        <f t="shared" si="14"/>
        <v>4.2563733648606582E-4</v>
      </c>
    </row>
    <row r="191" spans="1:11" ht="15" customHeight="1" x14ac:dyDescent="0.25">
      <c r="A191" s="2">
        <v>189</v>
      </c>
      <c r="B191" s="7">
        <f>'Ejercicio 1.e (1)'!F191</f>
        <v>0.37037037037037035</v>
      </c>
      <c r="C191" s="7">
        <f t="shared" si="10"/>
        <v>0.37037037037037035</v>
      </c>
      <c r="D191" s="7">
        <f>'Ejercicio 1.e (1)'!G191</f>
        <v>0.35612737951987672</v>
      </c>
      <c r="E191" s="7">
        <f t="shared" si="11"/>
        <v>0.35469778040507688</v>
      </c>
      <c r="F191" s="7">
        <f t="shared" si="12"/>
        <v>0.36465001891249188</v>
      </c>
      <c r="G191" s="7">
        <f>'Ejercicio 1.e (1)'!I191</f>
        <v>0.40141493253290905</v>
      </c>
      <c r="H191" s="7">
        <f>'Ejercicio 1.e (1)'!J191</f>
        <v>0.38607017579840364</v>
      </c>
      <c r="I191" s="7">
        <f t="shared" si="13"/>
        <v>0.35071066245124149</v>
      </c>
      <c r="J191" s="7">
        <f>'Ejercicio 1.e (1)'!K191</f>
        <v>4.685511417731292E-4</v>
      </c>
      <c r="K191" s="7">
        <f t="shared" si="14"/>
        <v>4.2563733648606582E-4</v>
      </c>
    </row>
    <row r="192" spans="1:11" ht="15" customHeight="1" x14ac:dyDescent="0.25">
      <c r="A192" s="2">
        <v>190</v>
      </c>
      <c r="B192" s="7">
        <f>'Ejercicio 1.e (1)'!F192</f>
        <v>0.37037037037037035</v>
      </c>
      <c r="C192" s="7">
        <f t="shared" si="10"/>
        <v>0.37037037037037035</v>
      </c>
      <c r="D192" s="7">
        <f>'Ejercicio 1.e (1)'!G192</f>
        <v>0.35616752133856511</v>
      </c>
      <c r="E192" s="7">
        <f t="shared" si="11"/>
        <v>0.35469778040507688</v>
      </c>
      <c r="F192" s="7">
        <f t="shared" si="12"/>
        <v>0.36465001891249188</v>
      </c>
      <c r="G192" s="7">
        <f>'Ejercicio 1.e (1)'!I192</f>
        <v>0.40219096628200796</v>
      </c>
      <c r="H192" s="7">
        <f>'Ejercicio 1.e (1)'!J192</f>
        <v>0.38681654436035429</v>
      </c>
      <c r="I192" s="7">
        <f t="shared" si="13"/>
        <v>0.35071066245124149</v>
      </c>
      <c r="J192" s="7">
        <f>'Ejercicio 1.e (1)'!K192</f>
        <v>4.6945696631956645E-4</v>
      </c>
      <c r="K192" s="7">
        <f t="shared" si="14"/>
        <v>4.2563733648606582E-4</v>
      </c>
    </row>
    <row r="193" spans="1:11" ht="15" customHeight="1" x14ac:dyDescent="0.25">
      <c r="A193" s="2">
        <v>191</v>
      </c>
      <c r="B193" s="7">
        <f>'Ejercicio 1.e (1)'!F193</f>
        <v>0.37037037037037035</v>
      </c>
      <c r="C193" s="7">
        <f t="shared" si="10"/>
        <v>0.37037037037037035</v>
      </c>
      <c r="D193" s="7">
        <f>'Ejercicio 1.e (1)'!G193</f>
        <v>0.35620253809071362</v>
      </c>
      <c r="E193" s="7">
        <f t="shared" si="11"/>
        <v>0.35469778040507688</v>
      </c>
      <c r="F193" s="7">
        <f t="shared" si="12"/>
        <v>0.36465001891249188</v>
      </c>
      <c r="G193" s="7">
        <f>'Ejercicio 1.e (1)'!I193</f>
        <v>0.39743602872407235</v>
      </c>
      <c r="H193" s="7">
        <f>'Ejercicio 1.e (1)'!J193</f>
        <v>0.38224337223813354</v>
      </c>
      <c r="I193" s="7">
        <f t="shared" si="13"/>
        <v>0.35071066245124149</v>
      </c>
      <c r="J193" s="7">
        <f>'Ejercicio 1.e (1)'!K193</f>
        <v>4.6390677064604599E-4</v>
      </c>
      <c r="K193" s="7">
        <f t="shared" si="14"/>
        <v>4.2563733648606582E-4</v>
      </c>
    </row>
    <row r="194" spans="1:11" ht="15" customHeight="1" x14ac:dyDescent="0.25">
      <c r="A194" s="2">
        <v>192</v>
      </c>
      <c r="B194" s="7">
        <f>'Ejercicio 1.e (1)'!F194</f>
        <v>0.37037037037037035</v>
      </c>
      <c r="C194" s="7">
        <f t="shared" ref="C194:C202" si="15">$B$2</f>
        <v>0.37037037037037035</v>
      </c>
      <c r="D194" s="7">
        <f>'Ejercicio 1.e (1)'!G194</f>
        <v>0.35623921427278732</v>
      </c>
      <c r="E194" s="7">
        <f t="shared" ref="E194:E202" si="16">$D$2</f>
        <v>0.35469778040507688</v>
      </c>
      <c r="F194" s="7">
        <f t="shared" si="12"/>
        <v>0.36465001891249188</v>
      </c>
      <c r="G194" s="7">
        <f>'Ejercicio 1.e (1)'!I194</f>
        <v>0.39901848805793966</v>
      </c>
      <c r="H194" s="7">
        <f>'Ejercicio 1.e (1)'!J194</f>
        <v>0.38376533941898794</v>
      </c>
      <c r="I194" s="7">
        <f t="shared" si="13"/>
        <v>0.35071066245124149</v>
      </c>
      <c r="J194" s="7">
        <f>'Ejercicio 1.e (1)'!K194</f>
        <v>4.6575389457592691E-4</v>
      </c>
      <c r="K194" s="7">
        <f t="shared" si="14"/>
        <v>4.2563733648606582E-4</v>
      </c>
    </row>
    <row r="195" spans="1:11" ht="15" customHeight="1" x14ac:dyDescent="0.25">
      <c r="A195" s="2">
        <v>193</v>
      </c>
      <c r="B195" s="7">
        <f>'Ejercicio 1.e (1)'!F195</f>
        <v>0.37037037037037035</v>
      </c>
      <c r="C195" s="7">
        <f t="shared" si="15"/>
        <v>0.37037037037037035</v>
      </c>
      <c r="D195" s="7">
        <f>'Ejercicio 1.e (1)'!G195</f>
        <v>0.35626779979551976</v>
      </c>
      <c r="E195" s="7">
        <f t="shared" si="16"/>
        <v>0.35469778040507688</v>
      </c>
      <c r="F195" s="7">
        <f t="shared" ref="F195:F202" si="17">$G$2</f>
        <v>0.36465001891249188</v>
      </c>
      <c r="G195" s="7">
        <f>'Ejercicio 1.e (1)'!I195</f>
        <v>0.39157197407823435</v>
      </c>
      <c r="H195" s="7">
        <f>'Ejercicio 1.e (1)'!J195</f>
        <v>0.37660348088251105</v>
      </c>
      <c r="I195" s="7">
        <f t="shared" ref="I195:I202" si="18">$H$2</f>
        <v>0.35071066245124149</v>
      </c>
      <c r="J195" s="7">
        <f>'Ejercicio 1.e (1)'!K195</f>
        <v>4.5706195926249797E-4</v>
      </c>
      <c r="K195" s="7">
        <f t="shared" ref="K195:K202" si="19">$J$2</f>
        <v>4.2563733648606582E-4</v>
      </c>
    </row>
    <row r="196" spans="1:11" ht="15" customHeight="1" x14ac:dyDescent="0.25">
      <c r="A196" s="2">
        <v>194</v>
      </c>
      <c r="B196" s="7">
        <f>'Ejercicio 1.e (1)'!F196</f>
        <v>0.37037037037037035</v>
      </c>
      <c r="C196" s="7">
        <f t="shared" si="15"/>
        <v>0.37037037037037035</v>
      </c>
      <c r="D196" s="7">
        <f>'Ejercicio 1.e (1)'!G196</f>
        <v>0.35629813093292956</v>
      </c>
      <c r="E196" s="7">
        <f t="shared" si="16"/>
        <v>0.35469778040507688</v>
      </c>
      <c r="F196" s="7">
        <f t="shared" si="17"/>
        <v>0.36465001891249188</v>
      </c>
      <c r="G196" s="7">
        <f>'Ejercicio 1.e (1)'!I196</f>
        <v>0.3932040718208496</v>
      </c>
      <c r="H196" s="7">
        <f>'Ejercicio 1.e (1)'!J196</f>
        <v>0.37817318896097174</v>
      </c>
      <c r="I196" s="7">
        <f t="shared" si="18"/>
        <v>0.35071066245124149</v>
      </c>
      <c r="J196" s="7">
        <f>'Ejercicio 1.e (1)'!K196</f>
        <v>4.5896702357079951E-4</v>
      </c>
      <c r="K196" s="7">
        <f t="shared" si="19"/>
        <v>4.2563733648606582E-4</v>
      </c>
    </row>
    <row r="197" spans="1:11" ht="15" customHeight="1" x14ac:dyDescent="0.25">
      <c r="A197" s="2">
        <v>195</v>
      </c>
      <c r="B197" s="7">
        <f>'Ejercicio 1.e (1)'!F197</f>
        <v>0.37037037037037035</v>
      </c>
      <c r="C197" s="7">
        <f t="shared" si="15"/>
        <v>0.37037037037037035</v>
      </c>
      <c r="D197" s="7">
        <f>'Ejercicio 1.e (1)'!G197</f>
        <v>0.35632571699257959</v>
      </c>
      <c r="E197" s="7">
        <f t="shared" si="16"/>
        <v>0.35469778040507688</v>
      </c>
      <c r="F197" s="7">
        <f t="shared" si="17"/>
        <v>0.36465001891249188</v>
      </c>
      <c r="G197" s="7">
        <f>'Ejercicio 1.e (1)'!I197</f>
        <v>0.39071766533334423</v>
      </c>
      <c r="H197" s="7">
        <f>'Ejercicio 1.e (1)'!J197</f>
        <v>0.37578182951731476</v>
      </c>
      <c r="I197" s="7">
        <f t="shared" si="18"/>
        <v>0.35071066245124149</v>
      </c>
      <c r="J197" s="7">
        <f>'Ejercicio 1.e (1)'!K197</f>
        <v>4.5606476831267645E-4</v>
      </c>
      <c r="K197" s="7">
        <f t="shared" si="19"/>
        <v>4.2563733648606582E-4</v>
      </c>
    </row>
    <row r="198" spans="1:11" ht="15" customHeight="1" x14ac:dyDescent="0.25">
      <c r="A198" s="2">
        <v>196</v>
      </c>
      <c r="B198" s="7">
        <f>'Ejercicio 1.e (1)'!F198</f>
        <v>0.37037037037037035</v>
      </c>
      <c r="C198" s="7">
        <f t="shared" si="15"/>
        <v>0.37037037037037035</v>
      </c>
      <c r="D198" s="7">
        <f>'Ejercicio 1.e (1)'!G198</f>
        <v>0.3563550561424908</v>
      </c>
      <c r="E198" s="7">
        <f t="shared" si="16"/>
        <v>0.35469778040507688</v>
      </c>
      <c r="F198" s="7">
        <f t="shared" si="17"/>
        <v>0.36465001891249188</v>
      </c>
      <c r="G198" s="7">
        <f>'Ejercicio 1.e (1)'!I198</f>
        <v>0.3923518477523727</v>
      </c>
      <c r="H198" s="7">
        <f>'Ejercicio 1.e (1)'!J198</f>
        <v>0.37735354258194836</v>
      </c>
      <c r="I198" s="7">
        <f t="shared" si="18"/>
        <v>0.35071066245124149</v>
      </c>
      <c r="J198" s="7">
        <f>'Ejercicio 1.e (1)'!K198</f>
        <v>4.579722659572455E-4</v>
      </c>
      <c r="K198" s="7">
        <f t="shared" si="19"/>
        <v>4.2563733648606582E-4</v>
      </c>
    </row>
    <row r="199" spans="1:11" ht="15" customHeight="1" x14ac:dyDescent="0.25">
      <c r="A199" s="2">
        <v>197</v>
      </c>
      <c r="B199" s="7">
        <f>'Ejercicio 1.e (1)'!F199</f>
        <v>0.37037037037037035</v>
      </c>
      <c r="C199" s="7">
        <f t="shared" si="15"/>
        <v>0.37037037037037035</v>
      </c>
      <c r="D199" s="7">
        <f>'Ejercicio 1.e (1)'!G199</f>
        <v>0.35637955767519069</v>
      </c>
      <c r="E199" s="7">
        <f t="shared" si="16"/>
        <v>0.35469778040507688</v>
      </c>
      <c r="F199" s="7">
        <f t="shared" si="17"/>
        <v>0.36465001891249188</v>
      </c>
      <c r="G199" s="7">
        <f>'Ejercicio 1.e (1)'!I199</f>
        <v>0.38796647518025168</v>
      </c>
      <c r="H199" s="7">
        <f>'Ejercicio 1.e (1)'!J199</f>
        <v>0.37313580820625603</v>
      </c>
      <c r="I199" s="7">
        <f t="shared" si="18"/>
        <v>0.35071066245124149</v>
      </c>
      <c r="J199" s="7">
        <f>'Ejercicio 1.e (1)'!K199</f>
        <v>4.5285344460996188E-4</v>
      </c>
      <c r="K199" s="7">
        <f t="shared" si="19"/>
        <v>4.2563733648606582E-4</v>
      </c>
    </row>
    <row r="200" spans="1:11" ht="15" customHeight="1" x14ac:dyDescent="0.25">
      <c r="A200" s="2">
        <v>198</v>
      </c>
      <c r="B200" s="7">
        <f>'Ejercicio 1.e (1)'!F200</f>
        <v>0.37037037037037035</v>
      </c>
      <c r="C200" s="7">
        <f t="shared" si="15"/>
        <v>0.37037037037037035</v>
      </c>
      <c r="D200" s="7">
        <f>'Ejercicio 1.e (1)'!G200</f>
        <v>0.35640596326821383</v>
      </c>
      <c r="E200" s="7">
        <f t="shared" si="16"/>
        <v>0.35469778040507688</v>
      </c>
      <c r="F200" s="7">
        <f t="shared" si="17"/>
        <v>0.36465001891249188</v>
      </c>
      <c r="G200" s="7">
        <f>'Ejercicio 1.e (1)'!I200</f>
        <v>0.38972356225058891</v>
      </c>
      <c r="H200" s="7">
        <f>'Ejercicio 1.e (1)'!J200</f>
        <v>0.37482572768647515</v>
      </c>
      <c r="I200" s="7">
        <f t="shared" si="18"/>
        <v>0.35071066245124149</v>
      </c>
      <c r="J200" s="7">
        <f>'Ejercicio 1.e (1)'!K200</f>
        <v>4.5490440257459568E-4</v>
      </c>
      <c r="K200" s="7">
        <f t="shared" si="19"/>
        <v>4.2563733648606582E-4</v>
      </c>
    </row>
    <row r="201" spans="1:11" ht="15" customHeight="1" x14ac:dyDescent="0.25">
      <c r="A201" s="2">
        <v>199</v>
      </c>
      <c r="B201" s="7">
        <f>'Ejercicio 1.e (1)'!F201</f>
        <v>0.37037037037037035</v>
      </c>
      <c r="C201" s="7">
        <f t="shared" si="15"/>
        <v>0.37037037037037035</v>
      </c>
      <c r="D201" s="7">
        <f>'Ejercicio 1.e (1)'!G201</f>
        <v>0.35643956243895808</v>
      </c>
      <c r="E201" s="7">
        <f t="shared" si="16"/>
        <v>0.35469778040507688</v>
      </c>
      <c r="F201" s="7">
        <f t="shared" si="17"/>
        <v>0.36465001891249188</v>
      </c>
      <c r="G201" s="7">
        <f>'Ejercicio 1.e (1)'!I201</f>
        <v>0.39636391109916608</v>
      </c>
      <c r="H201" s="7">
        <f>'Ejercicio 1.e (1)'!J201</f>
        <v>0.3812122381014128</v>
      </c>
      <c r="I201" s="7">
        <f t="shared" si="18"/>
        <v>0.35071066245124149</v>
      </c>
      <c r="J201" s="7">
        <f>'Ejercicio 1.e (1)'!K201</f>
        <v>4.6265534251880826E-4</v>
      </c>
      <c r="K201" s="7">
        <f t="shared" si="19"/>
        <v>4.2563733648606582E-4</v>
      </c>
    </row>
    <row r="202" spans="1:11" ht="15" customHeight="1" thickBot="1" x14ac:dyDescent="0.3">
      <c r="A202" s="3">
        <v>200</v>
      </c>
      <c r="B202" s="9">
        <f>'Ejercicio 1.e (1)'!F202</f>
        <v>0.37037037037037035</v>
      </c>
      <c r="C202" s="9">
        <f t="shared" si="15"/>
        <v>0.37037037037037035</v>
      </c>
      <c r="D202" s="9">
        <f>'Ejercicio 1.e (1)'!G202</f>
        <v>0.35647300028230872</v>
      </c>
      <c r="E202" s="9">
        <f t="shared" si="16"/>
        <v>0.35469778040507688</v>
      </c>
      <c r="F202" s="9">
        <f t="shared" si="17"/>
        <v>0.36465001891249188</v>
      </c>
      <c r="G202" s="9">
        <f>'Ejercicio 1.e (1)'!I202</f>
        <v>0.39624880753337105</v>
      </c>
      <c r="H202" s="9">
        <f>'Ejercicio 1.e (1)'!J202</f>
        <v>0.38110153456180823</v>
      </c>
      <c r="I202" s="9">
        <f t="shared" si="18"/>
        <v>0.35071066245124149</v>
      </c>
      <c r="J202" s="9">
        <f>'Ejercicio 1.e (1)'!K202</f>
        <v>4.6252098800729291E-4</v>
      </c>
      <c r="K202" s="9">
        <f t="shared" si="19"/>
        <v>4.2563733648606582E-4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52CCC-F1D0-42BA-B36D-348C6490FAC8}">
  <dimension ref="A1:N202"/>
  <sheetViews>
    <sheetView zoomScale="80" zoomScaleNormal="80" workbookViewId="0"/>
  </sheetViews>
  <sheetFormatPr baseColWidth="10" defaultRowHeight="15" customHeight="1" x14ac:dyDescent="0.25"/>
  <cols>
    <col min="1" max="16384" width="11.42578125" style="1"/>
  </cols>
  <sheetData>
    <row r="1" spans="1:14" ht="15" customHeight="1" thickBot="1" x14ac:dyDescent="0.3">
      <c r="A1" s="4" t="s">
        <v>0</v>
      </c>
      <c r="B1" s="4" t="s">
        <v>1</v>
      </c>
      <c r="C1" s="4" t="s">
        <v>8</v>
      </c>
      <c r="D1" s="4" t="s">
        <v>10</v>
      </c>
      <c r="E1" s="4" t="s">
        <v>9</v>
      </c>
      <c r="F1" s="4" t="s">
        <v>15</v>
      </c>
      <c r="G1" s="4" t="s">
        <v>11</v>
      </c>
      <c r="H1" s="4" t="s">
        <v>12</v>
      </c>
      <c r="I1" s="4" t="s">
        <v>16</v>
      </c>
      <c r="J1" s="4" t="s">
        <v>13</v>
      </c>
      <c r="K1" s="4" t="s">
        <v>14</v>
      </c>
      <c r="L1" s="2"/>
      <c r="M1" s="5" t="s">
        <v>3</v>
      </c>
      <c r="N1" s="10">
        <v>0.36</v>
      </c>
    </row>
    <row r="2" spans="1:14" ht="15" customHeight="1" thickBot="1" x14ac:dyDescent="0.3">
      <c r="A2" s="2">
        <v>0</v>
      </c>
      <c r="B2" s="8">
        <f>2*0.01</f>
        <v>0.02</v>
      </c>
      <c r="C2" s="7">
        <v>1</v>
      </c>
      <c r="D2" s="7">
        <f>LN(C2)</f>
        <v>0</v>
      </c>
      <c r="E2" s="7">
        <f t="shared" ref="E2:E65" si="0">$N$6*D2+B2</f>
        <v>0.02</v>
      </c>
      <c r="F2" s="7">
        <f t="shared" ref="F2:F65" si="1">((1-$N$2*(1-$N$4))*(1-$N$1))/(((1-$N$2*(1-$N$4))*(1-$N$1))*$N$3+(1-$N$2*(1-$N$4))*(1-$N$1))</f>
        <v>0.37037037037037035</v>
      </c>
      <c r="G2" s="7">
        <f>((($F2^(1-$N$1)*(($N$2*$N$1*$N$4)/(1-$N$2*(1-$N$1))))^$N$4)*$N$5)^(1/($N$4*(1-$N$1)))</f>
        <v>0.35469778040507688</v>
      </c>
      <c r="H2" s="7">
        <f t="shared" ref="H2:H33" si="2">G3</f>
        <v>0.35470629325396041</v>
      </c>
      <c r="I2" s="7">
        <f t="shared" ref="I2:I65" si="3">$C2*$G2^$N$1*$F2^(1-$N$1)</f>
        <v>0.36465001891249188</v>
      </c>
      <c r="J2" s="7">
        <f t="shared" ref="J2:J65" si="4">$C2*$G2^$N$1*$F2^(1-$N$1)*((1-$N$2*(1-$N$4*(1-$N$1)))/(1-$N$2*(1-$N$4)))</f>
        <v>0.35071066245124149</v>
      </c>
      <c r="K2" s="7">
        <f t="shared" ref="K2:K65" si="5">$C2*$G2^$N$1*$F2^(1-$N$1)*(($N$2*$N$1*$N$4)/(1-$N$2*(1-$N$1)))</f>
        <v>4.2563733648606582E-4</v>
      </c>
      <c r="L2" s="6"/>
      <c r="M2" s="5" t="s">
        <v>4</v>
      </c>
      <c r="N2" s="11">
        <v>0.99</v>
      </c>
    </row>
    <row r="3" spans="1:14" ht="15" customHeight="1" thickBot="1" x14ac:dyDescent="0.3">
      <c r="A3" s="2">
        <v>1</v>
      </c>
      <c r="B3" s="7">
        <v>0</v>
      </c>
      <c r="C3" s="7">
        <f t="shared" ref="C3:C34" si="6">EXP(D3)</f>
        <v>1.0202013400267558</v>
      </c>
      <c r="D3" s="7">
        <f t="shared" ref="D3:D34" si="7">E2</f>
        <v>0.02</v>
      </c>
      <c r="E3" s="7">
        <f t="shared" si="0"/>
        <v>1.9E-2</v>
      </c>
      <c r="F3" s="7">
        <f t="shared" si="1"/>
        <v>0.37037037037037035</v>
      </c>
      <c r="G3" s="7">
        <f t="shared" ref="G3:G34" si="8">(($C3*$G2^$N$1*$F3^(1-$N$1)*(($N$2*$N$1*$N$4)/(1-$N$2*(1-$N$1))))^$N$4)*($N$5*$G2^(1-$N$4))</f>
        <v>0.35470629325396041</v>
      </c>
      <c r="H3" s="7">
        <f t="shared" si="2"/>
        <v>0.35471437411154716</v>
      </c>
      <c r="I3" s="7">
        <f t="shared" si="3"/>
        <v>0.37201965217121535</v>
      </c>
      <c r="J3" s="7">
        <f t="shared" si="4"/>
        <v>0.3577985791607971</v>
      </c>
      <c r="K3" s="7">
        <f t="shared" si="5"/>
        <v>4.3423953286185962E-4</v>
      </c>
      <c r="M3" s="5" t="s">
        <v>6</v>
      </c>
      <c r="N3" s="10">
        <v>1.7</v>
      </c>
    </row>
    <row r="4" spans="1:14" ht="15" customHeight="1" thickBot="1" x14ac:dyDescent="0.3">
      <c r="A4" s="2">
        <v>2</v>
      </c>
      <c r="B4" s="7">
        <v>0</v>
      </c>
      <c r="C4" s="7">
        <f t="shared" si="6"/>
        <v>1.0191816486174081</v>
      </c>
      <c r="D4" s="7">
        <f t="shared" si="7"/>
        <v>1.9E-2</v>
      </c>
      <c r="E4" s="7">
        <f t="shared" si="0"/>
        <v>1.805E-2</v>
      </c>
      <c r="F4" s="7">
        <f t="shared" si="1"/>
        <v>0.37037037037037035</v>
      </c>
      <c r="G4" s="7">
        <f t="shared" si="8"/>
        <v>0.35471437411154716</v>
      </c>
      <c r="H4" s="7">
        <f t="shared" si="2"/>
        <v>0.35472204456355866</v>
      </c>
      <c r="I4" s="7">
        <f t="shared" si="3"/>
        <v>0.37165086649859885</v>
      </c>
      <c r="J4" s="7">
        <f t="shared" si="4"/>
        <v>0.35744389093691714</v>
      </c>
      <c r="K4" s="7">
        <f t="shared" si="5"/>
        <v>4.3380906818810247E-4</v>
      </c>
      <c r="M4" s="5" t="s">
        <v>5</v>
      </c>
      <c r="N4" s="10">
        <v>1.1999999999999999E-3</v>
      </c>
    </row>
    <row r="5" spans="1:14" ht="15" customHeight="1" thickBot="1" x14ac:dyDescent="0.3">
      <c r="A5" s="2">
        <v>3</v>
      </c>
      <c r="B5" s="7">
        <v>0</v>
      </c>
      <c r="C5" s="7">
        <f t="shared" si="6"/>
        <v>1.0182138858113381</v>
      </c>
      <c r="D5" s="7">
        <f t="shared" si="7"/>
        <v>1.805E-2</v>
      </c>
      <c r="E5" s="7">
        <f t="shared" si="0"/>
        <v>1.71475E-2</v>
      </c>
      <c r="F5" s="7">
        <f t="shared" si="1"/>
        <v>0.37037037037037035</v>
      </c>
      <c r="G5" s="7">
        <f t="shared" si="8"/>
        <v>0.35472204456355866</v>
      </c>
      <c r="H5" s="7">
        <f t="shared" si="2"/>
        <v>0.35472932511827299</v>
      </c>
      <c r="I5" s="7">
        <f t="shared" si="3"/>
        <v>0.37130085627162263</v>
      </c>
      <c r="J5" s="7">
        <f t="shared" si="4"/>
        <v>0.35710726043588598</v>
      </c>
      <c r="K5" s="7">
        <f t="shared" si="5"/>
        <v>4.3340051913277173E-4</v>
      </c>
      <c r="M5" s="5" t="s">
        <v>7</v>
      </c>
      <c r="N5" s="10">
        <f>N4^(-N4)</f>
        <v>1.0081031749039164</v>
      </c>
    </row>
    <row r="6" spans="1:14" ht="15" customHeight="1" thickBot="1" x14ac:dyDescent="0.3">
      <c r="A6" s="2">
        <v>4</v>
      </c>
      <c r="B6" s="7">
        <v>0</v>
      </c>
      <c r="C6" s="7">
        <f t="shared" si="6"/>
        <v>1.0172953623254617</v>
      </c>
      <c r="D6" s="7">
        <f t="shared" si="7"/>
        <v>1.71475E-2</v>
      </c>
      <c r="E6" s="7">
        <f t="shared" si="0"/>
        <v>1.6290124999999999E-2</v>
      </c>
      <c r="F6" s="7">
        <f t="shared" si="1"/>
        <v>0.37037037037037035</v>
      </c>
      <c r="G6" s="7">
        <f t="shared" si="8"/>
        <v>0.35472932511827299</v>
      </c>
      <c r="H6" s="7">
        <f t="shared" si="2"/>
        <v>0.35473623526021691</v>
      </c>
      <c r="I6" s="7">
        <f t="shared" si="3"/>
        <v>0.37096864942249635</v>
      </c>
      <c r="J6" s="7">
        <f t="shared" si="4"/>
        <v>0.35678775274882923</v>
      </c>
      <c r="K6" s="7">
        <f t="shared" si="5"/>
        <v>4.3301275105080031E-4</v>
      </c>
      <c r="M6" s="5" t="s">
        <v>2</v>
      </c>
      <c r="N6" s="10">
        <v>0.95</v>
      </c>
    </row>
    <row r="7" spans="1:14" ht="15" customHeight="1" x14ac:dyDescent="0.25">
      <c r="A7" s="2">
        <v>5</v>
      </c>
      <c r="B7" s="7">
        <v>0</v>
      </c>
      <c r="C7" s="7">
        <f t="shared" si="6"/>
        <v>1.0164235325101381</v>
      </c>
      <c r="D7" s="7">
        <f t="shared" si="7"/>
        <v>1.6290124999999999E-2</v>
      </c>
      <c r="E7" s="7">
        <f t="shared" si="0"/>
        <v>1.5475618749999998E-2</v>
      </c>
      <c r="F7" s="7">
        <f t="shared" si="1"/>
        <v>0.37037037037037035</v>
      </c>
      <c r="G7" s="7">
        <f t="shared" si="8"/>
        <v>0.35473623526021691</v>
      </c>
      <c r="H7" s="7">
        <f t="shared" si="2"/>
        <v>0.35474279350119026</v>
      </c>
      <c r="I7" s="7">
        <f t="shared" si="3"/>
        <v>0.37065332577449966</v>
      </c>
      <c r="J7" s="7">
        <f t="shared" si="4"/>
        <v>0.35648448287431977</v>
      </c>
      <c r="K7" s="7">
        <f t="shared" si="5"/>
        <v>4.3264468986691597E-4</v>
      </c>
    </row>
    <row r="8" spans="1:14" ht="15" customHeight="1" x14ac:dyDescent="0.25">
      <c r="A8" s="2">
        <v>6</v>
      </c>
      <c r="B8" s="7">
        <v>0</v>
      </c>
      <c r="C8" s="7">
        <f t="shared" si="6"/>
        <v>1.0155959862568102</v>
      </c>
      <c r="D8" s="7">
        <f t="shared" si="7"/>
        <v>1.5475618749999998E-2</v>
      </c>
      <c r="E8" s="7">
        <f t="shared" si="0"/>
        <v>1.4701837812499997E-2</v>
      </c>
      <c r="F8" s="7">
        <f t="shared" si="1"/>
        <v>0.37037037037037035</v>
      </c>
      <c r="G8" s="7">
        <f t="shared" si="8"/>
        <v>0.35474279350119026</v>
      </c>
      <c r="H8" s="7">
        <f t="shared" si="2"/>
        <v>0.3547490174287557</v>
      </c>
      <c r="I8" s="7">
        <f t="shared" si="3"/>
        <v>0.37035401412095259</v>
      </c>
      <c r="J8" s="7">
        <f t="shared" si="4"/>
        <v>0.35619661290900911</v>
      </c>
      <c r="K8" s="7">
        <f t="shared" si="5"/>
        <v>4.3229531866607255E-4</v>
      </c>
    </row>
    <row r="9" spans="1:14" ht="15" customHeight="1" x14ac:dyDescent="0.25">
      <c r="A9" s="2">
        <v>7</v>
      </c>
      <c r="B9" s="7">
        <v>0</v>
      </c>
      <c r="C9" s="7">
        <f t="shared" si="6"/>
        <v>1.0148104414014552</v>
      </c>
      <c r="D9" s="7">
        <f t="shared" si="7"/>
        <v>1.4701837812499997E-2</v>
      </c>
      <c r="E9" s="7">
        <f t="shared" si="0"/>
        <v>1.3966745921874996E-2</v>
      </c>
      <c r="F9" s="7">
        <f t="shared" si="1"/>
        <v>0.37037037037037035</v>
      </c>
      <c r="G9" s="7">
        <f t="shared" si="8"/>
        <v>0.3547490174287557</v>
      </c>
      <c r="H9" s="7">
        <f t="shared" si="2"/>
        <v>0.35475492375231799</v>
      </c>
      <c r="I9" s="7">
        <f t="shared" si="3"/>
        <v>0.37006988948292269</v>
      </c>
      <c r="J9" s="7">
        <f t="shared" si="4"/>
        <v>0.3559233494101634</v>
      </c>
      <c r="K9" s="7">
        <f t="shared" si="5"/>
        <v>4.3196367449251192E-4</v>
      </c>
    </row>
    <row r="10" spans="1:14" ht="15" customHeight="1" x14ac:dyDescent="0.25">
      <c r="A10" s="2">
        <v>8</v>
      </c>
      <c r="B10" s="7">
        <v>0</v>
      </c>
      <c r="C10" s="7">
        <f t="shared" si="6"/>
        <v>1.0140647365898183</v>
      </c>
      <c r="D10" s="7">
        <f t="shared" si="7"/>
        <v>1.3966745921874996E-2</v>
      </c>
      <c r="E10" s="7">
        <f t="shared" si="0"/>
        <v>1.3268408625781245E-2</v>
      </c>
      <c r="F10" s="7">
        <f t="shared" si="1"/>
        <v>0.37037037037037035</v>
      </c>
      <c r="G10" s="7">
        <f t="shared" si="8"/>
        <v>0.35475492375231799</v>
      </c>
      <c r="H10" s="7">
        <f t="shared" si="2"/>
        <v>0.35476052834691246</v>
      </c>
      <c r="I10" s="7">
        <f t="shared" si="3"/>
        <v>0.36980017053342212</v>
      </c>
      <c r="J10" s="7">
        <f t="shared" si="4"/>
        <v>0.35566394091832482</v>
      </c>
      <c r="K10" s="7">
        <f t="shared" si="5"/>
        <v>4.3164884534316041E-4</v>
      </c>
    </row>
    <row r="11" spans="1:14" ht="15" customHeight="1" x14ac:dyDescent="0.25">
      <c r="A11" s="2">
        <v>9</v>
      </c>
      <c r="B11" s="7">
        <v>0</v>
      </c>
      <c r="C11" s="7">
        <f t="shared" si="6"/>
        <v>1.0133568245730551</v>
      </c>
      <c r="D11" s="7">
        <f t="shared" si="7"/>
        <v>1.3268408625781245E-2</v>
      </c>
      <c r="E11" s="7">
        <f t="shared" si="0"/>
        <v>1.2604988194492182E-2</v>
      </c>
      <c r="F11" s="7">
        <f t="shared" si="1"/>
        <v>0.37037037037037035</v>
      </c>
      <c r="G11" s="7">
        <f t="shared" si="8"/>
        <v>0.35476052834691246</v>
      </c>
      <c r="H11" s="7">
        <f t="shared" si="2"/>
        <v>0.35476584629481517</v>
      </c>
      <c r="I11" s="7">
        <f t="shared" si="3"/>
        <v>0.36954411717680075</v>
      </c>
      <c r="J11" s="7">
        <f t="shared" si="4"/>
        <v>0.35541767562923654</v>
      </c>
      <c r="K11" s="7">
        <f t="shared" si="5"/>
        <v>4.3134996734217829E-4</v>
      </c>
    </row>
    <row r="12" spans="1:14" ht="15" customHeight="1" x14ac:dyDescent="0.25">
      <c r="A12" s="2">
        <v>10</v>
      </c>
      <c r="B12" s="7">
        <v>0</v>
      </c>
      <c r="C12" s="7">
        <f t="shared" si="6"/>
        <v>1.0126847659048221</v>
      </c>
      <c r="D12" s="7">
        <f t="shared" si="7"/>
        <v>1.2604988194492182E-2</v>
      </c>
      <c r="E12" s="7">
        <f t="shared" si="0"/>
        <v>1.1974738784767573E-2</v>
      </c>
      <c r="F12" s="7">
        <f t="shared" si="1"/>
        <v>0.37037037037037035</v>
      </c>
      <c r="G12" s="7">
        <f t="shared" si="8"/>
        <v>0.35476584629481517</v>
      </c>
      <c r="H12" s="7">
        <f t="shared" si="2"/>
        <v>0.35477089192508365</v>
      </c>
      <c r="I12" s="7">
        <f t="shared" si="3"/>
        <v>0.36930102827290939</v>
      </c>
      <c r="J12" s="7">
        <f t="shared" si="4"/>
        <v>0.35518387920500338</v>
      </c>
      <c r="K12" s="7">
        <f t="shared" si="5"/>
        <v>4.3106622208449204E-4</v>
      </c>
    </row>
    <row r="13" spans="1:14" ht="15" customHeight="1" x14ac:dyDescent="0.25">
      <c r="A13" s="2">
        <v>11</v>
      </c>
      <c r="B13" s="7">
        <v>0</v>
      </c>
      <c r="C13" s="7">
        <f t="shared" si="6"/>
        <v>1.0120467230130716</v>
      </c>
      <c r="D13" s="7">
        <f t="shared" si="7"/>
        <v>1.1974738784767573E-2</v>
      </c>
      <c r="E13" s="7">
        <f t="shared" si="0"/>
        <v>1.1376001845529194E-2</v>
      </c>
      <c r="F13" s="7">
        <f t="shared" si="1"/>
        <v>0.37037037037037035</v>
      </c>
      <c r="G13" s="7">
        <f t="shared" si="8"/>
        <v>0.35477089192508365</v>
      </c>
      <c r="H13" s="7">
        <f t="shared" si="2"/>
        <v>0.35477567885112998</v>
      </c>
      <c r="I13" s="7">
        <f t="shared" si="3"/>
        <v>0.36907023949640499</v>
      </c>
      <c r="J13" s="7">
        <f t="shared" si="4"/>
        <v>0.35496191271522903</v>
      </c>
      <c r="K13" s="7">
        <f t="shared" si="5"/>
        <v>4.3079683413707007E-4</v>
      </c>
    </row>
    <row r="14" spans="1:14" ht="15" customHeight="1" x14ac:dyDescent="0.25">
      <c r="A14" s="2">
        <v>12</v>
      </c>
      <c r="B14" s="7">
        <v>0</v>
      </c>
      <c r="C14" s="7">
        <f t="shared" si="6"/>
        <v>1.0114409546218213</v>
      </c>
      <c r="D14" s="7">
        <f t="shared" si="7"/>
        <v>1.1376001845529194E-2</v>
      </c>
      <c r="E14" s="7">
        <f t="shared" si="0"/>
        <v>1.0807201753252733E-2</v>
      </c>
      <c r="F14" s="7">
        <f t="shared" si="1"/>
        <v>0.37037037037037035</v>
      </c>
      <c r="G14" s="7">
        <f t="shared" si="8"/>
        <v>0.35477567885112998</v>
      </c>
      <c r="H14" s="7">
        <f t="shared" si="2"/>
        <v>0.3547802200064239</v>
      </c>
      <c r="I14" s="7">
        <f t="shared" si="3"/>
        <v>0.36885112132229142</v>
      </c>
      <c r="J14" s="7">
        <f t="shared" si="4"/>
        <v>0.35475117069956241</v>
      </c>
      <c r="K14" s="7">
        <f t="shared" si="5"/>
        <v>4.30541068687548E-4</v>
      </c>
    </row>
    <row r="15" spans="1:14" ht="15" customHeight="1" x14ac:dyDescent="0.25">
      <c r="A15" s="2">
        <v>13</v>
      </c>
      <c r="B15" s="7">
        <v>0</v>
      </c>
      <c r="C15" s="7">
        <f t="shared" si="6"/>
        <v>1.0108658105000214</v>
      </c>
      <c r="D15" s="7">
        <f t="shared" si="7"/>
        <v>1.0807201753252733E-2</v>
      </c>
      <c r="E15" s="7">
        <f t="shared" si="0"/>
        <v>1.0266841665590096E-2</v>
      </c>
      <c r="F15" s="7">
        <f t="shared" si="1"/>
        <v>0.37037037037037035</v>
      </c>
      <c r="G15" s="7">
        <f t="shared" si="8"/>
        <v>0.3547802200064239</v>
      </c>
      <c r="H15" s="7">
        <f t="shared" si="2"/>
        <v>0.354784527678418</v>
      </c>
      <c r="I15" s="7">
        <f t="shared" si="3"/>
        <v>0.36864307712945693</v>
      </c>
      <c r="J15" s="7">
        <f t="shared" si="4"/>
        <v>0.35455107934373109</v>
      </c>
      <c r="K15" s="7">
        <f t="shared" si="5"/>
        <v>4.3029822933058444E-4</v>
      </c>
    </row>
    <row r="16" spans="1:14" ht="15" customHeight="1" x14ac:dyDescent="0.25">
      <c r="A16" s="2">
        <v>14</v>
      </c>
      <c r="B16" s="7">
        <v>0</v>
      </c>
      <c r="C16" s="7">
        <f t="shared" si="6"/>
        <v>1.0103197265163268</v>
      </c>
      <c r="D16" s="7">
        <f t="shared" si="7"/>
        <v>1.0266841665590096E-2</v>
      </c>
      <c r="E16" s="7">
        <f t="shared" si="0"/>
        <v>9.7534995823105909E-3</v>
      </c>
      <c r="F16" s="7">
        <f t="shared" si="1"/>
        <v>0.37037037037037035</v>
      </c>
      <c r="G16" s="7">
        <f t="shared" si="8"/>
        <v>0.354784527678418</v>
      </c>
      <c r="H16" s="7">
        <f t="shared" si="2"/>
        <v>0.35478861354078411</v>
      </c>
      <c r="I16" s="7">
        <f t="shared" si="3"/>
        <v>0.36844554141457453</v>
      </c>
      <c r="J16" s="7">
        <f t="shared" si="4"/>
        <v>0.3543610947617179</v>
      </c>
      <c r="K16" s="7">
        <f t="shared" si="5"/>
        <v>4.3006765598303825E-4</v>
      </c>
    </row>
    <row r="17" spans="1:11" ht="15" customHeight="1" x14ac:dyDescent="0.25">
      <c r="A17" s="2">
        <v>15</v>
      </c>
      <c r="B17" s="7">
        <v>0</v>
      </c>
      <c r="C17" s="7">
        <f t="shared" si="6"/>
        <v>1.0098012199801376</v>
      </c>
      <c r="D17" s="7">
        <f t="shared" si="7"/>
        <v>9.7534995823105909E-3</v>
      </c>
      <c r="E17" s="7">
        <f t="shared" si="0"/>
        <v>9.2658246031950605E-3</v>
      </c>
      <c r="F17" s="7">
        <f t="shared" si="1"/>
        <v>0.37037037037037035</v>
      </c>
      <c r="G17" s="7">
        <f t="shared" si="8"/>
        <v>0.35478861354078411</v>
      </c>
      <c r="H17" s="7">
        <f t="shared" si="2"/>
        <v>0.35479248868404434</v>
      </c>
      <c r="I17" s="7">
        <f t="shared" si="3"/>
        <v>0.36825797810929162</v>
      </c>
      <c r="J17" s="7">
        <f t="shared" si="4"/>
        <v>0.35418070137727908</v>
      </c>
      <c r="K17" s="7">
        <f t="shared" si="5"/>
        <v>4.2984872291971024E-4</v>
      </c>
    </row>
    <row r="18" spans="1:11" ht="15" customHeight="1" x14ac:dyDescent="0.25">
      <c r="A18" s="2">
        <v>16</v>
      </c>
      <c r="B18" s="7">
        <v>0</v>
      </c>
      <c r="C18" s="7">
        <f t="shared" si="6"/>
        <v>1.0093088852506951</v>
      </c>
      <c r="D18" s="7">
        <f t="shared" si="7"/>
        <v>9.2658246031950605E-3</v>
      </c>
      <c r="E18" s="7">
        <f t="shared" si="0"/>
        <v>8.802533373035307E-3</v>
      </c>
      <c r="F18" s="7">
        <f t="shared" si="1"/>
        <v>0.37037037037037035</v>
      </c>
      <c r="G18" s="7">
        <f t="shared" si="8"/>
        <v>0.35479248868404434</v>
      </c>
      <c r="H18" s="7">
        <f t="shared" si="2"/>
        <v>0.35479616364467548</v>
      </c>
      <c r="I18" s="7">
        <f t="shared" si="3"/>
        <v>0.36807987899414651</v>
      </c>
      <c r="J18" s="7">
        <f t="shared" si="4"/>
        <v>0.35400941039849126</v>
      </c>
      <c r="K18" s="7">
        <f t="shared" si="5"/>
        <v>4.2964083692198843E-4</v>
      </c>
    </row>
    <row r="19" spans="1:11" ht="15" customHeight="1" x14ac:dyDescent="0.25">
      <c r="A19" s="2">
        <v>17</v>
      </c>
      <c r="B19" s="7">
        <v>0</v>
      </c>
      <c r="C19" s="7">
        <f t="shared" si="6"/>
        <v>1.0088413895973161</v>
      </c>
      <c r="D19" s="7">
        <f t="shared" si="7"/>
        <v>8.802533373035307E-3</v>
      </c>
      <c r="E19" s="7">
        <f t="shared" si="0"/>
        <v>8.3624067043835421E-3</v>
      </c>
      <c r="F19" s="7">
        <f t="shared" si="1"/>
        <v>0.37037037037037035</v>
      </c>
      <c r="G19" s="7">
        <f t="shared" si="8"/>
        <v>0.35479616364467548</v>
      </c>
      <c r="H19" s="7">
        <f t="shared" si="2"/>
        <v>0.35479964843276418</v>
      </c>
      <c r="I19" s="7">
        <f t="shared" si="3"/>
        <v>0.36791076220311442</v>
      </c>
      <c r="J19" s="7">
        <f t="shared" si="4"/>
        <v>0.35384675837946383</v>
      </c>
      <c r="K19" s="7">
        <f t="shared" si="5"/>
        <v>4.2944343553228157E-4</v>
      </c>
    </row>
    <row r="20" spans="1:11" ht="15" customHeight="1" x14ac:dyDescent="0.25">
      <c r="A20" s="2">
        <v>18</v>
      </c>
      <c r="B20" s="7">
        <v>0</v>
      </c>
      <c r="C20" s="7">
        <f t="shared" si="6"/>
        <v>1.0083974692950626</v>
      </c>
      <c r="D20" s="7">
        <f t="shared" si="7"/>
        <v>8.3624067043835421E-3</v>
      </c>
      <c r="E20" s="7">
        <f t="shared" si="0"/>
        <v>7.9442863691643641E-3</v>
      </c>
      <c r="F20" s="7">
        <f t="shared" si="1"/>
        <v>0.37037037037037035</v>
      </c>
      <c r="G20" s="7">
        <f t="shared" si="8"/>
        <v>0.35479964843276418</v>
      </c>
      <c r="H20" s="7">
        <f t="shared" si="2"/>
        <v>0.35480295255828359</v>
      </c>
      <c r="I20" s="7">
        <f t="shared" si="3"/>
        <v>0.36775017081312711</v>
      </c>
      <c r="J20" s="7">
        <f t="shared" si="4"/>
        <v>0.35369230586377665</v>
      </c>
      <c r="K20" s="7">
        <f t="shared" si="5"/>
        <v>4.2925598540763697E-4</v>
      </c>
    </row>
    <row r="21" spans="1:11" ht="15" customHeight="1" x14ac:dyDescent="0.25">
      <c r="A21" s="2">
        <v>19</v>
      </c>
      <c r="B21" s="7">
        <v>0</v>
      </c>
      <c r="C21" s="7">
        <f t="shared" si="6"/>
        <v>1.0079759259412322</v>
      </c>
      <c r="D21" s="7">
        <f t="shared" si="7"/>
        <v>7.9442863691643641E-3</v>
      </c>
      <c r="E21" s="7">
        <f t="shared" si="0"/>
        <v>7.5470720507061452E-3</v>
      </c>
      <c r="F21" s="7">
        <f t="shared" si="1"/>
        <v>0.37037037037037035</v>
      </c>
      <c r="G21" s="7">
        <f t="shared" si="8"/>
        <v>0.35480295255828359</v>
      </c>
      <c r="H21" s="7">
        <f t="shared" si="2"/>
        <v>0.35480608505606032</v>
      </c>
      <c r="I21" s="7">
        <f t="shared" si="3"/>
        <v>0.36759767151329464</v>
      </c>
      <c r="J21" s="7">
        <f t="shared" si="4"/>
        <v>0.35354563610457274</v>
      </c>
      <c r="K21" s="7">
        <f t="shared" si="5"/>
        <v>4.2907798076639148E-4</v>
      </c>
    </row>
    <row r="22" spans="1:11" ht="15" customHeight="1" x14ac:dyDescent="0.25">
      <c r="A22" s="2">
        <v>20</v>
      </c>
      <c r="B22" s="7">
        <v>0</v>
      </c>
      <c r="C22" s="7">
        <f t="shared" si="6"/>
        <v>1.0075756229790847</v>
      </c>
      <c r="D22" s="7">
        <f t="shared" si="7"/>
        <v>7.5470720507061452E-3</v>
      </c>
      <c r="E22" s="7">
        <f t="shared" si="0"/>
        <v>7.1697184481708375E-3</v>
      </c>
      <c r="F22" s="7">
        <f t="shared" si="1"/>
        <v>0.37037037037037035</v>
      </c>
      <c r="G22" s="7">
        <f t="shared" si="8"/>
        <v>0.35480608505606032</v>
      </c>
      <c r="H22" s="7">
        <f t="shared" si="2"/>
        <v>0.35480905450949696</v>
      </c>
      <c r="I22" s="7">
        <f t="shared" si="3"/>
        <v>0.36745285334893518</v>
      </c>
      <c r="J22" s="7">
        <f t="shared" si="4"/>
        <v>0.35340635385659991</v>
      </c>
      <c r="K22" s="7">
        <f t="shared" si="5"/>
        <v>4.2890894192214134E-4</v>
      </c>
    </row>
    <row r="23" spans="1:11" ht="15" customHeight="1" x14ac:dyDescent="0.25">
      <c r="A23" s="2">
        <v>21</v>
      </c>
      <c r="B23" s="7">
        <v>0</v>
      </c>
      <c r="C23" s="7">
        <f t="shared" si="6"/>
        <v>1.0071954824161431</v>
      </c>
      <c r="D23" s="7">
        <f t="shared" si="7"/>
        <v>7.1697184481708375E-3</v>
      </c>
      <c r="E23" s="7">
        <f t="shared" si="0"/>
        <v>6.8112325257622952E-3</v>
      </c>
      <c r="F23" s="7">
        <f t="shared" si="1"/>
        <v>0.37037037037037035</v>
      </c>
      <c r="G23" s="7">
        <f t="shared" si="8"/>
        <v>0.35480905450949696</v>
      </c>
      <c r="H23" s="7">
        <f t="shared" si="2"/>
        <v>0.35481186907311169</v>
      </c>
      <c r="I23" s="7">
        <f t="shared" si="3"/>
        <v>0.36731532653584642</v>
      </c>
      <c r="J23" s="7">
        <f t="shared" si="4"/>
        <v>0.35327408423580842</v>
      </c>
      <c r="K23" s="7">
        <f t="shared" si="5"/>
        <v>4.287484138997019E-4</v>
      </c>
    </row>
    <row r="24" spans="1:11" ht="15" customHeight="1" x14ac:dyDescent="0.25">
      <c r="A24" s="2">
        <v>22</v>
      </c>
      <c r="B24" s="7">
        <v>0</v>
      </c>
      <c r="C24" s="7">
        <f t="shared" si="6"/>
        <v>1.0068344817252823</v>
      </c>
      <c r="D24" s="7">
        <f t="shared" si="7"/>
        <v>6.8112325257622952E-3</v>
      </c>
      <c r="E24" s="7">
        <f t="shared" si="0"/>
        <v>6.4706708994741804E-3</v>
      </c>
      <c r="F24" s="7">
        <f t="shared" si="1"/>
        <v>0.37037037037037035</v>
      </c>
      <c r="G24" s="7">
        <f t="shared" si="8"/>
        <v>0.35481186907311169</v>
      </c>
      <c r="H24" s="7">
        <f t="shared" si="2"/>
        <v>0.3548145364939545</v>
      </c>
      <c r="I24" s="7">
        <f t="shared" si="3"/>
        <v>0.36718472134056979</v>
      </c>
      <c r="J24" s="7">
        <f t="shared" si="4"/>
        <v>0.35314847164241914</v>
      </c>
      <c r="K24" s="7">
        <f t="shared" si="5"/>
        <v>4.2859596512809738E-4</v>
      </c>
    </row>
    <row r="25" spans="1:11" ht="15" customHeight="1" x14ac:dyDescent="0.25">
      <c r="A25" s="2">
        <v>23</v>
      </c>
      <c r="B25" s="7">
        <v>0</v>
      </c>
      <c r="C25" s="7">
        <f t="shared" si="6"/>
        <v>1.0064916509176052</v>
      </c>
      <c r="D25" s="7">
        <f t="shared" si="7"/>
        <v>6.4706708994741804E-3</v>
      </c>
      <c r="E25" s="7">
        <f t="shared" si="0"/>
        <v>6.1471373545004711E-3</v>
      </c>
      <c r="F25" s="7">
        <f t="shared" si="1"/>
        <v>0.37037037037037035</v>
      </c>
      <c r="G25" s="7">
        <f t="shared" si="8"/>
        <v>0.3548145364939545</v>
      </c>
      <c r="H25" s="7">
        <f t="shared" si="2"/>
        <v>0.35481706413195441</v>
      </c>
      <c r="I25" s="7">
        <f t="shared" si="3"/>
        <v>0.36706068702267947</v>
      </c>
      <c r="J25" s="7">
        <f t="shared" si="4"/>
        <v>0.35302917874364531</v>
      </c>
      <c r="K25" s="7">
        <f t="shared" si="5"/>
        <v>4.2845118620594855E-4</v>
      </c>
    </row>
    <row r="26" spans="1:11" ht="15" customHeight="1" x14ac:dyDescent="0.25">
      <c r="A26" s="2">
        <v>24</v>
      </c>
      <c r="B26" s="7">
        <v>0</v>
      </c>
      <c r="C26" s="7">
        <f t="shared" si="6"/>
        <v>1.0061660697768477</v>
      </c>
      <c r="D26" s="7">
        <f t="shared" si="7"/>
        <v>6.1471373545004711E-3</v>
      </c>
      <c r="E26" s="7">
        <f t="shared" si="0"/>
        <v>5.8397804867754474E-3</v>
      </c>
      <c r="F26" s="7">
        <f t="shared" si="1"/>
        <v>0.37037037037037035</v>
      </c>
      <c r="G26" s="7">
        <f t="shared" si="8"/>
        <v>0.35481706413195441</v>
      </c>
      <c r="H26" s="7">
        <f t="shared" si="2"/>
        <v>0.35481945897925288</v>
      </c>
      <c r="I26" s="7">
        <f t="shared" si="3"/>
        <v>0.36694289083539811</v>
      </c>
      <c r="J26" s="7">
        <f t="shared" si="4"/>
        <v>0.3529158855125113</v>
      </c>
      <c r="K26" s="7">
        <f t="shared" si="5"/>
        <v>4.2831368873494282E-4</v>
      </c>
    </row>
    <row r="27" spans="1:11" ht="15" customHeight="1" x14ac:dyDescent="0.25">
      <c r="A27" s="2">
        <v>25</v>
      </c>
      <c r="B27" s="7">
        <v>0</v>
      </c>
      <c r="C27" s="7">
        <f t="shared" si="6"/>
        <v>1.0058568652457323</v>
      </c>
      <c r="D27" s="7">
        <f t="shared" si="7"/>
        <v>5.8397804867754474E-3</v>
      </c>
      <c r="E27" s="7">
        <f t="shared" si="0"/>
        <v>5.5477914624366747E-3</v>
      </c>
      <c r="F27" s="7">
        <f t="shared" si="1"/>
        <v>0.37037037037037035</v>
      </c>
      <c r="G27" s="7">
        <f t="shared" si="8"/>
        <v>0.35481945897925288</v>
      </c>
      <c r="H27" s="7">
        <f t="shared" si="2"/>
        <v>0.35482172767857223</v>
      </c>
      <c r="I27" s="7">
        <f t="shared" si="3"/>
        <v>0.36683101708108251</v>
      </c>
      <c r="J27" s="7">
        <f t="shared" si="4"/>
        <v>0.352808288319444</v>
      </c>
      <c r="K27" s="7">
        <f t="shared" si="5"/>
        <v>4.2818310421735084E-4</v>
      </c>
    </row>
    <row r="28" spans="1:11" ht="15" customHeight="1" x14ac:dyDescent="0.25">
      <c r="A28" s="2">
        <v>26</v>
      </c>
      <c r="B28" s="7">
        <v>0</v>
      </c>
      <c r="C28" s="7">
        <f t="shared" si="6"/>
        <v>1.0055632089553179</v>
      </c>
      <c r="D28" s="7">
        <f t="shared" si="7"/>
        <v>5.5477914624366747E-3</v>
      </c>
      <c r="E28" s="7">
        <f t="shared" si="0"/>
        <v>5.2704018893148406E-3</v>
      </c>
      <c r="F28" s="7">
        <f t="shared" si="1"/>
        <v>0.37037037037037035</v>
      </c>
      <c r="G28" s="7">
        <f t="shared" si="8"/>
        <v>0.35482172767857223</v>
      </c>
      <c r="H28" s="7">
        <f t="shared" si="2"/>
        <v>0.35482387654066766</v>
      </c>
      <c r="I28" s="7">
        <f t="shared" si="3"/>
        <v>0.36672476621835043</v>
      </c>
      <c r="J28" s="7">
        <f t="shared" si="4"/>
        <v>0.35270609907353112</v>
      </c>
      <c r="K28" s="7">
        <f t="shared" si="5"/>
        <v>4.2805908301382124E-4</v>
      </c>
    </row>
    <row r="29" spans="1:11" ht="15" customHeight="1" x14ac:dyDescent="0.25">
      <c r="A29" s="2">
        <v>27</v>
      </c>
      <c r="B29" s="7">
        <v>0</v>
      </c>
      <c r="C29" s="7">
        <f t="shared" si="6"/>
        <v>1.0052843148889801</v>
      </c>
      <c r="D29" s="7">
        <f t="shared" si="7"/>
        <v>5.2704018893148406E-3</v>
      </c>
      <c r="E29" s="7">
        <f t="shared" si="0"/>
        <v>5.0068817948490984E-3</v>
      </c>
      <c r="F29" s="7">
        <f t="shared" si="1"/>
        <v>0.37037037037037035</v>
      </c>
      <c r="G29" s="7">
        <f t="shared" si="8"/>
        <v>0.35482387654066766</v>
      </c>
      <c r="H29" s="7">
        <f t="shared" si="2"/>
        <v>0.35482591156090881</v>
      </c>
      <c r="I29" s="7">
        <f t="shared" si="3"/>
        <v>0.36662385401783087</v>
      </c>
      <c r="J29" s="7">
        <f t="shared" si="4"/>
        <v>0.35260904441054447</v>
      </c>
      <c r="K29" s="7">
        <f t="shared" si="5"/>
        <v>4.2794129335793093E-4</v>
      </c>
    </row>
    <row r="30" spans="1:11" ht="15" customHeight="1" x14ac:dyDescent="0.25">
      <c r="A30" s="2">
        <v>28</v>
      </c>
      <c r="B30" s="7">
        <v>0</v>
      </c>
      <c r="C30" s="7">
        <f t="shared" si="6"/>
        <v>1.0050194371731886</v>
      </c>
      <c r="D30" s="7">
        <f t="shared" si="7"/>
        <v>5.0068817948490984E-3</v>
      </c>
      <c r="E30" s="7">
        <f t="shared" si="0"/>
        <v>4.7565377051066431E-3</v>
      </c>
      <c r="F30" s="7">
        <f t="shared" si="1"/>
        <v>0.37037037037037035</v>
      </c>
      <c r="G30" s="7">
        <f t="shared" si="8"/>
        <v>0.35482591156090881</v>
      </c>
      <c r="H30" s="7">
        <f t="shared" si="2"/>
        <v>0.3548278384350339</v>
      </c>
      <c r="I30" s="7">
        <f t="shared" si="3"/>
        <v>0.36652801076371083</v>
      </c>
      <c r="J30" s="7">
        <f t="shared" si="4"/>
        <v>0.35251686492500878</v>
      </c>
      <c r="K30" s="7">
        <f t="shared" si="5"/>
        <v>4.2782942042419168E-4</v>
      </c>
    </row>
    <row r="31" spans="1:11" ht="15" customHeight="1" x14ac:dyDescent="0.25">
      <c r="A31" s="2">
        <v>29</v>
      </c>
      <c r="B31" s="7">
        <v>0</v>
      </c>
      <c r="C31" s="7">
        <f t="shared" si="6"/>
        <v>1.0047678679877594</v>
      </c>
      <c r="D31" s="7">
        <f t="shared" si="7"/>
        <v>4.7565377051066431E-3</v>
      </c>
      <c r="E31" s="7">
        <f t="shared" si="0"/>
        <v>4.5187108198513105E-3</v>
      </c>
      <c r="F31" s="7">
        <f t="shared" si="1"/>
        <v>0.37037037037037035</v>
      </c>
      <c r="G31" s="7">
        <f t="shared" si="8"/>
        <v>0.3548278384350339</v>
      </c>
      <c r="H31" s="7">
        <f t="shared" si="2"/>
        <v>0.3548296625741168</v>
      </c>
      <c r="I31" s="7">
        <f t="shared" si="3"/>
        <v>0.36643698049843754</v>
      </c>
      <c r="J31" s="7">
        <f t="shared" si="4"/>
        <v>0.35242931444377662</v>
      </c>
      <c r="K31" s="7">
        <f t="shared" si="5"/>
        <v>4.2772316544642948E-4</v>
      </c>
    </row>
    <row r="32" spans="1:11" ht="15" customHeight="1" x14ac:dyDescent="0.25">
      <c r="A32" s="2">
        <v>30</v>
      </c>
      <c r="B32" s="7">
        <v>0</v>
      </c>
      <c r="C32" s="7">
        <f t="shared" si="6"/>
        <v>1.0045289355887115</v>
      </c>
      <c r="D32" s="7">
        <f t="shared" si="7"/>
        <v>4.5187108198513105E-3</v>
      </c>
      <c r="E32" s="7">
        <f t="shared" si="0"/>
        <v>4.2927752788587447E-3</v>
      </c>
      <c r="F32" s="7">
        <f t="shared" si="1"/>
        <v>0.37037037037037035</v>
      </c>
      <c r="G32" s="7">
        <f t="shared" si="8"/>
        <v>0.3548296625741168</v>
      </c>
      <c r="H32" s="7">
        <f t="shared" si="2"/>
        <v>0.35483138911878864</v>
      </c>
      <c r="I32" s="7">
        <f t="shared" si="3"/>
        <v>0.36635052030809562</v>
      </c>
      <c r="J32" s="7">
        <f t="shared" si="4"/>
        <v>0.35234615933872299</v>
      </c>
      <c r="K32" s="7">
        <f t="shared" si="5"/>
        <v>4.2762224488364169E-4</v>
      </c>
    </row>
    <row r="33" spans="1:11" ht="15" customHeight="1" x14ac:dyDescent="0.25">
      <c r="A33" s="2">
        <v>31</v>
      </c>
      <c r="B33" s="7">
        <v>0</v>
      </c>
      <c r="C33" s="7">
        <f t="shared" si="6"/>
        <v>1.0043020024373042</v>
      </c>
      <c r="D33" s="7">
        <f t="shared" si="7"/>
        <v>4.2927752788587447E-3</v>
      </c>
      <c r="E33" s="7">
        <f t="shared" si="0"/>
        <v>4.0781365149158075E-3</v>
      </c>
      <c r="F33" s="7">
        <f t="shared" si="1"/>
        <v>0.37037037037037035</v>
      </c>
      <c r="G33" s="7">
        <f t="shared" si="8"/>
        <v>0.35483138911878864</v>
      </c>
      <c r="H33" s="7">
        <f t="shared" si="2"/>
        <v>0.35483302295274793</v>
      </c>
      <c r="I33" s="7">
        <f t="shared" si="3"/>
        <v>0.36626839964614188</v>
      </c>
      <c r="J33" s="7">
        <f t="shared" si="4"/>
        <v>0.35226717787633166</v>
      </c>
      <c r="K33" s="7">
        <f t="shared" si="5"/>
        <v>4.2752638963062758E-4</v>
      </c>
    </row>
    <row r="34" spans="1:11" ht="15" customHeight="1" x14ac:dyDescent="0.25">
      <c r="A34" s="2">
        <v>32</v>
      </c>
      <c r="B34" s="7">
        <v>0</v>
      </c>
      <c r="C34" s="7">
        <f t="shared" si="6"/>
        <v>1.0040864634292161</v>
      </c>
      <c r="D34" s="7">
        <f t="shared" si="7"/>
        <v>4.0781365149158075E-3</v>
      </c>
      <c r="E34" s="7">
        <f t="shared" si="0"/>
        <v>3.8742296891700169E-3</v>
      </c>
      <c r="F34" s="7">
        <f t="shared" si="1"/>
        <v>0.37037037037037035</v>
      </c>
      <c r="G34" s="7">
        <f t="shared" si="8"/>
        <v>0.35483302295274793</v>
      </c>
      <c r="H34" s="7">
        <f t="shared" ref="H34:H65" si="9">G35</f>
        <v>0.35483456871559782</v>
      </c>
      <c r="I34" s="7">
        <f t="shared" si="3"/>
        <v>0.36619039969331829</v>
      </c>
      <c r="J34" s="7">
        <f t="shared" si="4"/>
        <v>0.3521921596020765</v>
      </c>
      <c r="K34" s="7">
        <f t="shared" si="5"/>
        <v>4.2743534427084706E-4</v>
      </c>
    </row>
    <row r="35" spans="1:11" ht="15" customHeight="1" x14ac:dyDescent="0.25">
      <c r="A35" s="2">
        <v>33</v>
      </c>
      <c r="B35" s="7">
        <v>0</v>
      </c>
      <c r="C35" s="7">
        <f t="shared" ref="C35:C66" si="10">EXP(D35)</f>
        <v>1.0038817442182155</v>
      </c>
      <c r="D35" s="7">
        <f t="shared" ref="D35:D66" si="11">E34</f>
        <v>3.8742296891700169E-3</v>
      </c>
      <c r="E35" s="7">
        <f t="shared" si="0"/>
        <v>3.6805182047115158E-3</v>
      </c>
      <c r="F35" s="7">
        <f t="shared" si="1"/>
        <v>0.37037037037037035</v>
      </c>
      <c r="G35" s="7">
        <f t="shared" ref="G35:G66" si="12">(($C35*$G34^$N$1*$F35^(1-$N$1)*(($N$2*$N$1*$N$4)/(1-$N$2*(1-$N$1))))^$N$4)*($N$5*$G34^(1-$N$4))</f>
        <v>0.35483456871559782</v>
      </c>
      <c r="H35" s="7">
        <f t="shared" si="9"/>
        <v>0.35483603081504117</v>
      </c>
      <c r="I35" s="7">
        <f t="shared" si="3"/>
        <v>0.36611631275170231</v>
      </c>
      <c r="J35" s="7">
        <f t="shared" si="4"/>
        <v>0.35212090475763519</v>
      </c>
      <c r="K35" s="7">
        <f t="shared" si="5"/>
        <v>4.2734886636912675E-4</v>
      </c>
    </row>
    <row r="36" spans="1:11" ht="15" customHeight="1" x14ac:dyDescent="0.25">
      <c r="A36" s="2">
        <v>34</v>
      </c>
      <c r="B36" s="7">
        <v>0</v>
      </c>
      <c r="C36" s="7">
        <f t="shared" si="10"/>
        <v>1.0036872996290054</v>
      </c>
      <c r="D36" s="7">
        <f t="shared" si="11"/>
        <v>3.6805182047115158E-3</v>
      </c>
      <c r="E36" s="7">
        <f t="shared" si="0"/>
        <v>3.4964922944759396E-3</v>
      </c>
      <c r="F36" s="7">
        <f t="shared" si="1"/>
        <v>0.37037037037037035</v>
      </c>
      <c r="G36" s="7">
        <f t="shared" si="12"/>
        <v>0.35483603081504117</v>
      </c>
      <c r="H36" s="7">
        <f t="shared" si="9"/>
        <v>0.35483741343846764</v>
      </c>
      <c r="I36" s="7">
        <f t="shared" si="3"/>
        <v>0.36604594167097654</v>
      </c>
      <c r="J36" s="7">
        <f t="shared" si="4"/>
        <v>0.35205322372909076</v>
      </c>
      <c r="K36" s="7">
        <f t="shared" si="5"/>
        <v>4.272667258019739E-4</v>
      </c>
    </row>
    <row r="37" spans="1:11" ht="15" customHeight="1" x14ac:dyDescent="0.25">
      <c r="A37" s="2">
        <v>35</v>
      </c>
      <c r="B37" s="7">
        <v>0</v>
      </c>
      <c r="C37" s="7">
        <f t="shared" si="10"/>
        <v>1.0035026121542607</v>
      </c>
      <c r="D37" s="7">
        <f t="shared" si="11"/>
        <v>3.4964922944759396E-3</v>
      </c>
      <c r="E37" s="7">
        <f t="shared" si="0"/>
        <v>3.3216676797521425E-3</v>
      </c>
      <c r="F37" s="7">
        <f t="shared" si="1"/>
        <v>0.37037037037037035</v>
      </c>
      <c r="G37" s="7">
        <f t="shared" si="12"/>
        <v>0.35483741343846764</v>
      </c>
      <c r="H37" s="7">
        <f t="shared" si="9"/>
        <v>0.35483872056396154</v>
      </c>
      <c r="I37" s="7">
        <f t="shared" si="3"/>
        <v>0.36597909930511902</v>
      </c>
      <c r="J37" s="7">
        <f t="shared" si="4"/>
        <v>0.35198893652439073</v>
      </c>
      <c r="K37" s="7">
        <f t="shared" si="5"/>
        <v>4.271887041233987E-4</v>
      </c>
    </row>
    <row r="38" spans="1:11" ht="15" customHeight="1" x14ac:dyDescent="0.25">
      <c r="A38" s="2">
        <v>36</v>
      </c>
      <c r="B38" s="7">
        <v>0</v>
      </c>
      <c r="C38" s="7">
        <f t="shared" si="10"/>
        <v>1.003327190531172</v>
      </c>
      <c r="D38" s="7">
        <f t="shared" si="11"/>
        <v>3.3216676797521425E-3</v>
      </c>
      <c r="E38" s="7">
        <f t="shared" si="0"/>
        <v>3.1555842957645352E-3</v>
      </c>
      <c r="F38" s="7">
        <f t="shared" si="1"/>
        <v>0.37037037037037035</v>
      </c>
      <c r="G38" s="7">
        <f t="shared" si="12"/>
        <v>0.35483872056396154</v>
      </c>
      <c r="H38" s="7">
        <f t="shared" si="9"/>
        <v>0.35483995597076079</v>
      </c>
      <c r="I38" s="7">
        <f t="shared" si="3"/>
        <v>0.36591560799782114</v>
      </c>
      <c r="J38" s="7">
        <f t="shared" si="4"/>
        <v>0.3519278722784358</v>
      </c>
      <c r="K38" s="7">
        <f t="shared" si="5"/>
        <v>4.2711459396426891E-4</v>
      </c>
    </row>
    <row r="39" spans="1:11" ht="15" customHeight="1" x14ac:dyDescent="0.25">
      <c r="A39" s="2">
        <v>37</v>
      </c>
      <c r="B39" s="7">
        <v>0</v>
      </c>
      <c r="C39" s="7">
        <f t="shared" si="10"/>
        <v>1.0031605683930893</v>
      </c>
      <c r="D39" s="7">
        <f t="shared" si="11"/>
        <v>3.1555842957645352E-3</v>
      </c>
      <c r="E39" s="7">
        <f t="shared" si="0"/>
        <v>2.9978050809763082E-3</v>
      </c>
      <c r="F39" s="7">
        <f t="shared" si="1"/>
        <v>0.37037037037037035</v>
      </c>
      <c r="G39" s="7">
        <f t="shared" si="12"/>
        <v>0.35483995597076079</v>
      </c>
      <c r="H39" s="7">
        <f t="shared" si="9"/>
        <v>0.35484112324919287</v>
      </c>
      <c r="I39" s="7">
        <f t="shared" si="3"/>
        <v>0.36585529909504377</v>
      </c>
      <c r="J39" s="7">
        <f t="shared" si="4"/>
        <v>0.35186986878426946</v>
      </c>
      <c r="K39" s="7">
        <f t="shared" si="5"/>
        <v>4.2704419846334148E-4</v>
      </c>
    </row>
    <row r="40" spans="1:11" ht="15" customHeight="1" x14ac:dyDescent="0.25">
      <c r="A40" s="2">
        <v>38</v>
      </c>
      <c r="B40" s="7">
        <v>0</v>
      </c>
      <c r="C40" s="7">
        <f t="shared" si="10"/>
        <v>1.0030023029921253</v>
      </c>
      <c r="D40" s="7">
        <f t="shared" si="11"/>
        <v>2.9978050809763082E-3</v>
      </c>
      <c r="E40" s="7">
        <f t="shared" si="0"/>
        <v>2.8479148269274926E-3</v>
      </c>
      <c r="F40" s="7">
        <f t="shared" si="1"/>
        <v>0.37037037037037035</v>
      </c>
      <c r="G40" s="7">
        <f t="shared" si="12"/>
        <v>0.35484112324919287</v>
      </c>
      <c r="H40" s="7">
        <f t="shared" si="9"/>
        <v>0.35484222581011526</v>
      </c>
      <c r="I40" s="7">
        <f t="shared" si="3"/>
        <v>0.36579801248321564</v>
      </c>
      <c r="J40" s="7">
        <f t="shared" si="4"/>
        <v>0.35181477204892925</v>
      </c>
      <c r="K40" s="7">
        <f t="shared" si="5"/>
        <v>4.2697733072822501E-4</v>
      </c>
    </row>
    <row r="41" spans="1:11" ht="15" customHeight="1" x14ac:dyDescent="0.25">
      <c r="A41" s="2">
        <v>39</v>
      </c>
      <c r="B41" s="7">
        <v>0</v>
      </c>
      <c r="C41" s="7">
        <f t="shared" si="10"/>
        <v>1.002851973988826</v>
      </c>
      <c r="D41" s="7">
        <f t="shared" si="11"/>
        <v>2.8479148269274926E-3</v>
      </c>
      <c r="E41" s="7">
        <f t="shared" si="0"/>
        <v>2.7055190855811177E-3</v>
      </c>
      <c r="F41" s="7">
        <f t="shared" si="1"/>
        <v>0.37037037037037035</v>
      </c>
      <c r="G41" s="7">
        <f t="shared" si="12"/>
        <v>0.35484222581011526</v>
      </c>
      <c r="H41" s="7">
        <f t="shared" si="9"/>
        <v>0.35484326689388357</v>
      </c>
      <c r="I41" s="7">
        <f t="shared" si="3"/>
        <v>0.36574359615166763</v>
      </c>
      <c r="J41" s="7">
        <f t="shared" si="4"/>
        <v>0.35176243587260791</v>
      </c>
      <c r="K41" s="7">
        <f t="shared" si="5"/>
        <v>4.269138133246321E-4</v>
      </c>
    </row>
    <row r="42" spans="1:11" ht="15" customHeight="1" x14ac:dyDescent="0.25">
      <c r="A42" s="2">
        <v>40</v>
      </c>
      <c r="B42" s="7">
        <v>0</v>
      </c>
      <c r="C42" s="7">
        <f t="shared" si="10"/>
        <v>1.0027091823052343</v>
      </c>
      <c r="D42" s="7">
        <f t="shared" si="11"/>
        <v>2.7055190855811177E-3</v>
      </c>
      <c r="E42" s="7">
        <f t="shared" si="0"/>
        <v>2.5702431313020615E-3</v>
      </c>
      <c r="F42" s="7">
        <f t="shared" si="1"/>
        <v>0.37037037037037035</v>
      </c>
      <c r="G42" s="7">
        <f t="shared" si="12"/>
        <v>0.35484326689388357</v>
      </c>
      <c r="H42" s="7">
        <f t="shared" si="9"/>
        <v>0.35484424957887234</v>
      </c>
      <c r="I42" s="7">
        <f t="shared" si="3"/>
        <v>0.36569190577797883</v>
      </c>
      <c r="J42" s="7">
        <f t="shared" si="4"/>
        <v>0.35171272144985044</v>
      </c>
      <c r="K42" s="7">
        <f t="shared" si="5"/>
        <v>4.2685347779237439E-4</v>
      </c>
    </row>
    <row r="43" spans="1:11" ht="15" customHeight="1" x14ac:dyDescent="0.25">
      <c r="A43" s="2">
        <v>41</v>
      </c>
      <c r="B43" s="7">
        <v>0</v>
      </c>
      <c r="C43" s="7">
        <f t="shared" si="10"/>
        <v>1.0025735490379002</v>
      </c>
      <c r="D43" s="7">
        <f t="shared" si="11"/>
        <v>2.5702431313020615E-3</v>
      </c>
      <c r="E43" s="7">
        <f t="shared" si="0"/>
        <v>2.4417309747369583E-3</v>
      </c>
      <c r="F43" s="7">
        <f t="shared" si="1"/>
        <v>0.37037037037037035</v>
      </c>
      <c r="G43" s="7">
        <f t="shared" si="12"/>
        <v>0.35484424957887234</v>
      </c>
      <c r="H43" s="7">
        <f t="shared" si="9"/>
        <v>0.3548451767895705</v>
      </c>
      <c r="I43" s="7">
        <f t="shared" si="3"/>
        <v>0.36564280433498536</v>
      </c>
      <c r="J43" s="7">
        <f t="shared" si="4"/>
        <v>0.35166549699158517</v>
      </c>
      <c r="K43" s="7">
        <f t="shared" si="5"/>
        <v>4.2679616418664443E-4</v>
      </c>
    </row>
    <row r="44" spans="1:11" ht="15" customHeight="1" x14ac:dyDescent="0.25">
      <c r="A44" s="2">
        <v>42</v>
      </c>
      <c r="B44" s="7">
        <v>0</v>
      </c>
      <c r="C44" s="7">
        <f t="shared" si="10"/>
        <v>1.0024447144275823</v>
      </c>
      <c r="D44" s="7">
        <f t="shared" si="11"/>
        <v>2.4417309747369583E-3</v>
      </c>
      <c r="E44" s="7">
        <f t="shared" si="0"/>
        <v>2.3196444260001102E-3</v>
      </c>
      <c r="F44" s="7">
        <f t="shared" si="1"/>
        <v>0.37037037037037035</v>
      </c>
      <c r="G44" s="7">
        <f t="shared" si="12"/>
        <v>0.3548451767895705</v>
      </c>
      <c r="H44" s="7">
        <f t="shared" si="9"/>
        <v>0.35484605130427127</v>
      </c>
      <c r="I44" s="7">
        <f t="shared" si="3"/>
        <v>0.36559616171828047</v>
      </c>
      <c r="J44" s="7">
        <f t="shared" si="4"/>
        <v>0.35162063736686389</v>
      </c>
      <c r="K44" s="7">
        <f t="shared" si="5"/>
        <v>4.2674172064321558E-4</v>
      </c>
    </row>
    <row r="45" spans="1:11" ht="15" customHeight="1" x14ac:dyDescent="0.25">
      <c r="A45" s="2">
        <v>43</v>
      </c>
      <c r="B45" s="7">
        <v>0</v>
      </c>
      <c r="C45" s="7">
        <f t="shared" si="10"/>
        <v>1.0023223368825764</v>
      </c>
      <c r="D45" s="7">
        <f t="shared" si="11"/>
        <v>2.3196444260001102E-3</v>
      </c>
      <c r="E45" s="7">
        <f t="shared" si="0"/>
        <v>2.2036622047001044E-3</v>
      </c>
      <c r="F45" s="7">
        <f t="shared" si="1"/>
        <v>0.37037037037037035</v>
      </c>
      <c r="G45" s="7">
        <f t="shared" si="12"/>
        <v>0.35484605130427127</v>
      </c>
      <c r="H45" s="7">
        <f t="shared" si="9"/>
        <v>0.35484687576237944</v>
      </c>
      <c r="I45" s="7">
        <f t="shared" si="3"/>
        <v>0.36555185439309612</v>
      </c>
      <c r="J45" s="7">
        <f t="shared" si="4"/>
        <v>0.35157802376324143</v>
      </c>
      <c r="K45" s="7">
        <f t="shared" si="5"/>
        <v>4.2669000296626457E-4</v>
      </c>
    </row>
    <row r="46" spans="1:11" ht="15" customHeight="1" x14ac:dyDescent="0.25">
      <c r="A46" s="2">
        <v>44</v>
      </c>
      <c r="B46" s="7">
        <v>0</v>
      </c>
      <c r="C46" s="7">
        <f t="shared" si="10"/>
        <v>1.0022060920527833</v>
      </c>
      <c r="D46" s="7">
        <f t="shared" si="11"/>
        <v>2.2036622047001044E-3</v>
      </c>
      <c r="E46" s="7">
        <f t="shared" si="0"/>
        <v>2.093479094465099E-3</v>
      </c>
      <c r="F46" s="7">
        <f t="shared" si="1"/>
        <v>0.37037037037037035</v>
      </c>
      <c r="G46" s="7">
        <f t="shared" si="12"/>
        <v>0.35484687576237944</v>
      </c>
      <c r="H46" s="7">
        <f t="shared" si="9"/>
        <v>0.35484765267135249</v>
      </c>
      <c r="I46" s="7">
        <f t="shared" si="3"/>
        <v>0.36550976505952443</v>
      </c>
      <c r="J46" s="7">
        <f t="shared" si="4"/>
        <v>0.35153754336479509</v>
      </c>
      <c r="K46" s="7">
        <f t="shared" si="5"/>
        <v>4.2664087423760206E-4</v>
      </c>
    </row>
    <row r="47" spans="1:11" ht="15" customHeight="1" x14ac:dyDescent="0.25">
      <c r="A47" s="2">
        <v>45</v>
      </c>
      <c r="B47" s="7">
        <v>0</v>
      </c>
      <c r="C47" s="7">
        <f t="shared" si="10"/>
        <v>1.0020956719517913</v>
      </c>
      <c r="D47" s="7">
        <f t="shared" si="11"/>
        <v>2.093479094465099E-3</v>
      </c>
      <c r="E47" s="7">
        <f t="shared" si="0"/>
        <v>1.9888051397418441E-3</v>
      </c>
      <c r="F47" s="7">
        <f t="shared" si="1"/>
        <v>0.37037037037037035</v>
      </c>
      <c r="G47" s="7">
        <f t="shared" si="12"/>
        <v>0.35484765267135249</v>
      </c>
      <c r="H47" s="7">
        <f t="shared" si="9"/>
        <v>0.35484838441329514</v>
      </c>
      <c r="I47" s="7">
        <f t="shared" si="3"/>
        <v>0.36546978233509397</v>
      </c>
      <c r="J47" s="7">
        <f t="shared" si="4"/>
        <v>0.35149908904683441</v>
      </c>
      <c r="K47" s="7">
        <f t="shared" si="5"/>
        <v>4.265942044461599E-4</v>
      </c>
    </row>
    <row r="48" spans="1:11" ht="15" customHeight="1" x14ac:dyDescent="0.25">
      <c r="A48" s="2">
        <v>46</v>
      </c>
      <c r="B48" s="7">
        <v>0</v>
      </c>
      <c r="C48" s="7">
        <f t="shared" si="10"/>
        <v>1.0019907841244047</v>
      </c>
      <c r="D48" s="7">
        <f t="shared" si="11"/>
        <v>1.9888051397418441E-3</v>
      </c>
      <c r="E48" s="7">
        <f t="shared" si="0"/>
        <v>1.8893648827547518E-3</v>
      </c>
      <c r="F48" s="7">
        <f t="shared" si="1"/>
        <v>0.37037037037037035</v>
      </c>
      <c r="G48" s="7">
        <f t="shared" si="12"/>
        <v>0.35484838441329514</v>
      </c>
      <c r="H48" s="7">
        <f t="shared" si="9"/>
        <v>0.354849073251225</v>
      </c>
      <c r="I48" s="7">
        <f t="shared" si="3"/>
        <v>0.36543180045377355</v>
      </c>
      <c r="J48" s="7">
        <f t="shared" si="4"/>
        <v>0.35146255908641166</v>
      </c>
      <c r="K48" s="7">
        <f t="shared" si="5"/>
        <v>4.2654987013665357E-4</v>
      </c>
    </row>
    <row r="49" spans="1:11" ht="15" customHeight="1" x14ac:dyDescent="0.25">
      <c r="A49" s="2">
        <v>47</v>
      </c>
      <c r="B49" s="7">
        <v>0</v>
      </c>
      <c r="C49" s="7">
        <f t="shared" si="10"/>
        <v>1.0018911508571935</v>
      </c>
      <c r="D49" s="7">
        <f t="shared" si="11"/>
        <v>1.8893648827547518E-3</v>
      </c>
      <c r="E49" s="7">
        <f t="shared" si="0"/>
        <v>1.7948966386170141E-3</v>
      </c>
      <c r="F49" s="7">
        <f t="shared" si="1"/>
        <v>0.37037037037037035</v>
      </c>
      <c r="G49" s="7">
        <f t="shared" si="12"/>
        <v>0.354849073251225</v>
      </c>
      <c r="H49" s="7">
        <f t="shared" si="9"/>
        <v>0.35484972133502463</v>
      </c>
      <c r="I49" s="7">
        <f t="shared" si="3"/>
        <v>0.36539571898052609</v>
      </c>
      <c r="J49" s="7">
        <f t="shared" si="4"/>
        <v>0.35142785688778688</v>
      </c>
      <c r="K49" s="7">
        <f t="shared" si="5"/>
        <v>4.2650775407639569E-4</v>
      </c>
    </row>
    <row r="50" spans="1:11" ht="15" customHeight="1" x14ac:dyDescent="0.25">
      <c r="A50" s="2">
        <v>48</v>
      </c>
      <c r="B50" s="7">
        <v>0</v>
      </c>
      <c r="C50" s="7">
        <f t="shared" si="10"/>
        <v>1.0017965084297773</v>
      </c>
      <c r="D50" s="7">
        <f t="shared" si="11"/>
        <v>1.7948966386170141E-3</v>
      </c>
      <c r="E50" s="7">
        <f t="shared" si="0"/>
        <v>1.7051518066861634E-3</v>
      </c>
      <c r="F50" s="7">
        <f t="shared" si="1"/>
        <v>0.37037037037037035</v>
      </c>
      <c r="G50" s="7">
        <f t="shared" si="12"/>
        <v>0.35484972133502463</v>
      </c>
      <c r="H50" s="7">
        <f t="shared" si="9"/>
        <v>0.35485033070709615</v>
      </c>
      <c r="I50" s="7">
        <f t="shared" si="3"/>
        <v>0.365361442540589</v>
      </c>
      <c r="J50" s="7">
        <f t="shared" si="4"/>
        <v>0.35139489072205721</v>
      </c>
      <c r="K50" s="7">
        <f t="shared" si="5"/>
        <v>4.2646774493929881E-4</v>
      </c>
    </row>
    <row r="51" spans="1:11" ht="15" customHeight="1" x14ac:dyDescent="0.25">
      <c r="A51" s="2">
        <v>49</v>
      </c>
      <c r="B51" s="7">
        <v>0</v>
      </c>
      <c r="C51" s="7">
        <f t="shared" si="10"/>
        <v>1.0017066064046807</v>
      </c>
      <c r="D51" s="7">
        <f t="shared" si="11"/>
        <v>1.7051518066861634E-3</v>
      </c>
      <c r="E51" s="7">
        <f t="shared" si="0"/>
        <v>1.6198942163518552E-3</v>
      </c>
      <c r="F51" s="7">
        <f t="shared" si="1"/>
        <v>0.37037037037037035</v>
      </c>
      <c r="G51" s="7">
        <f t="shared" si="12"/>
        <v>0.35485033070709615</v>
      </c>
      <c r="H51" s="7">
        <f t="shared" si="9"/>
        <v>0.35485090330773378</v>
      </c>
      <c r="I51" s="7">
        <f t="shared" si="3"/>
        <v>0.36532888056269625</v>
      </c>
      <c r="J51" s="7">
        <f t="shared" si="4"/>
        <v>0.35136357348019459</v>
      </c>
      <c r="K51" s="7">
        <f t="shared" si="5"/>
        <v>4.2642973700615151E-4</v>
      </c>
    </row>
    <row r="52" spans="1:11" ht="15" customHeight="1" x14ac:dyDescent="0.25">
      <c r="A52" s="2">
        <v>50</v>
      </c>
      <c r="B52" s="7">
        <v>0</v>
      </c>
      <c r="C52" s="7">
        <f t="shared" si="10"/>
        <v>1.001621206953724</v>
      </c>
      <c r="D52" s="7">
        <f t="shared" si="11"/>
        <v>1.6198942163518552E-3</v>
      </c>
      <c r="E52" s="7">
        <f t="shared" si="0"/>
        <v>1.5388995055342625E-3</v>
      </c>
      <c r="F52" s="7">
        <f t="shared" si="1"/>
        <v>0.37037037037037035</v>
      </c>
      <c r="G52" s="7">
        <f t="shared" si="12"/>
        <v>0.35485090330773378</v>
      </c>
      <c r="H52" s="7">
        <f t="shared" si="9"/>
        <v>0.35485144098022742</v>
      </c>
      <c r="I52" s="7">
        <f t="shared" si="3"/>
        <v>0.365297947035509</v>
      </c>
      <c r="J52" s="7">
        <f t="shared" si="4"/>
        <v>0.35133382243878741</v>
      </c>
      <c r="K52" s="7">
        <f t="shared" si="5"/>
        <v>4.2639362988031241E-4</v>
      </c>
    </row>
    <row r="53" spans="1:11" ht="15" customHeight="1" x14ac:dyDescent="0.25">
      <c r="A53" s="2">
        <v>51</v>
      </c>
      <c r="B53" s="7">
        <v>0</v>
      </c>
      <c r="C53" s="7">
        <f t="shared" si="10"/>
        <v>1.0015400842190187</v>
      </c>
      <c r="D53" s="7">
        <f t="shared" si="11"/>
        <v>1.5388995055342625E-3</v>
      </c>
      <c r="E53" s="7">
        <f t="shared" si="0"/>
        <v>1.4619545302575494E-3</v>
      </c>
      <c r="F53" s="7">
        <f t="shared" si="1"/>
        <v>0.37037037037037035</v>
      </c>
      <c r="G53" s="7">
        <f t="shared" si="12"/>
        <v>0.35485144098022742</v>
      </c>
      <c r="H53" s="7">
        <f t="shared" si="9"/>
        <v>0.35485194547571197</v>
      </c>
      <c r="I53" s="7">
        <f t="shared" si="3"/>
        <v>0.36526856027655574</v>
      </c>
      <c r="J53" s="7">
        <f t="shared" si="4"/>
        <v>0.35130555903781313</v>
      </c>
      <c r="K53" s="7">
        <f t="shared" si="5"/>
        <v>4.2635932821800585E-4</v>
      </c>
    </row>
    <row r="54" spans="1:11" ht="15" customHeight="1" x14ac:dyDescent="0.25">
      <c r="A54" s="2">
        <v>52</v>
      </c>
      <c r="B54" s="7">
        <v>0</v>
      </c>
      <c r="C54" s="7">
        <f t="shared" si="10"/>
        <v>1.0014630237067474</v>
      </c>
      <c r="D54" s="7">
        <f t="shared" si="11"/>
        <v>1.4619545302575494E-3</v>
      </c>
      <c r="E54" s="7">
        <f t="shared" si="0"/>
        <v>1.3888568037446719E-3</v>
      </c>
      <c r="F54" s="7">
        <f t="shared" si="1"/>
        <v>0.37037037037037035</v>
      </c>
      <c r="G54" s="7">
        <f t="shared" si="12"/>
        <v>0.35485194547571197</v>
      </c>
      <c r="H54" s="7">
        <f t="shared" si="9"/>
        <v>0.35485241845777293</v>
      </c>
      <c r="I54" s="7">
        <f t="shared" si="3"/>
        <v>0.3652406427130252</v>
      </c>
      <c r="J54" s="7">
        <f t="shared" si="4"/>
        <v>0.35127870866981092</v>
      </c>
      <c r="K54" s="7">
        <f t="shared" si="5"/>
        <v>4.2632674147245254E-4</v>
      </c>
    </row>
    <row r="55" spans="1:11" ht="15" customHeight="1" x14ac:dyDescent="0.25">
      <c r="A55" s="2">
        <v>53</v>
      </c>
      <c r="B55" s="7">
        <v>0</v>
      </c>
      <c r="C55" s="7">
        <f t="shared" si="10"/>
        <v>1.0013898217120101</v>
      </c>
      <c r="D55" s="7">
        <f t="shared" si="11"/>
        <v>1.3888568037446719E-3</v>
      </c>
      <c r="E55" s="7">
        <f t="shared" si="0"/>
        <v>1.3194139635574382E-3</v>
      </c>
      <c r="F55" s="7">
        <f t="shared" si="1"/>
        <v>0.37037037037037035</v>
      </c>
      <c r="G55" s="7">
        <f t="shared" si="12"/>
        <v>0.35485241845777293</v>
      </c>
      <c r="H55" s="7">
        <f t="shared" si="9"/>
        <v>0.35485286150682349</v>
      </c>
      <c r="I55" s="7">
        <f t="shared" si="3"/>
        <v>0.36521412067378978</v>
      </c>
      <c r="J55" s="7">
        <f t="shared" si="4"/>
        <v>0.35125320047985509</v>
      </c>
      <c r="K55" s="7">
        <f t="shared" si="5"/>
        <v>4.2629578365110916E-4</v>
      </c>
    </row>
    <row r="56" spans="1:11" ht="15" customHeight="1" x14ac:dyDescent="0.25">
      <c r="A56" s="2">
        <v>54</v>
      </c>
      <c r="B56" s="7">
        <v>0</v>
      </c>
      <c r="C56" s="7">
        <f t="shared" si="10"/>
        <v>1.0013202847731051</v>
      </c>
      <c r="D56" s="7">
        <f t="shared" si="11"/>
        <v>1.3194139635574382E-3</v>
      </c>
      <c r="E56" s="7">
        <f t="shared" si="0"/>
        <v>1.2534432653795663E-3</v>
      </c>
      <c r="F56" s="7">
        <f t="shared" si="1"/>
        <v>0.37037037037037035</v>
      </c>
      <c r="G56" s="7">
        <f t="shared" si="12"/>
        <v>0.35485286150682349</v>
      </c>
      <c r="H56" s="7">
        <f t="shared" si="9"/>
        <v>0.35485327612426171</v>
      </c>
      <c r="I56" s="7">
        <f t="shared" si="3"/>
        <v>0.36518892419207127</v>
      </c>
      <c r="J56" s="7">
        <f t="shared" si="4"/>
        <v>0.35122896717576452</v>
      </c>
      <c r="K56" s="7">
        <f t="shared" si="5"/>
        <v>4.2626637308533033E-4</v>
      </c>
    </row>
    <row r="57" spans="1:11" ht="15" customHeight="1" x14ac:dyDescent="0.25">
      <c r="A57" s="2">
        <v>55</v>
      </c>
      <c r="B57" s="7">
        <v>0</v>
      </c>
      <c r="C57" s="7">
        <f t="shared" si="10"/>
        <v>1.0012542291537105</v>
      </c>
      <c r="D57" s="7">
        <f t="shared" si="11"/>
        <v>1.2534432653795663E-3</v>
      </c>
      <c r="E57" s="7">
        <f t="shared" si="0"/>
        <v>1.190771102110588E-3</v>
      </c>
      <c r="F57" s="7">
        <f t="shared" si="1"/>
        <v>0.37037037037037035</v>
      </c>
      <c r="G57" s="7">
        <f t="shared" si="12"/>
        <v>0.35485327612426171</v>
      </c>
      <c r="H57" s="7">
        <f t="shared" si="9"/>
        <v>0.35485366373642058</v>
      </c>
      <c r="I57" s="7">
        <f t="shared" si="3"/>
        <v>0.36516498681819354</v>
      </c>
      <c r="J57" s="7">
        <f t="shared" si="4"/>
        <v>0.35120594484801299</v>
      </c>
      <c r="K57" s="7">
        <f t="shared" si="5"/>
        <v>4.2623843221180406E-4</v>
      </c>
    </row>
    <row r="58" spans="1:11" ht="15" customHeight="1" x14ac:dyDescent="0.25">
      <c r="A58" s="2">
        <v>56</v>
      </c>
      <c r="B58" s="7">
        <v>0</v>
      </c>
      <c r="C58" s="7">
        <f t="shared" si="10"/>
        <v>1.0011914803515094</v>
      </c>
      <c r="D58" s="7">
        <f t="shared" si="11"/>
        <v>1.190771102110588E-3</v>
      </c>
      <c r="E58" s="7">
        <f t="shared" si="0"/>
        <v>1.1312325470050585E-3</v>
      </c>
      <c r="F58" s="7">
        <f t="shared" si="1"/>
        <v>0.37037037037037035</v>
      </c>
      <c r="G58" s="7">
        <f t="shared" si="12"/>
        <v>0.35485366373642058</v>
      </c>
      <c r="H58" s="7">
        <f t="shared" si="9"/>
        <v>0.35485402569832009</v>
      </c>
      <c r="I58" s="7">
        <f t="shared" si="3"/>
        <v>0.36514224544189527</v>
      </c>
      <c r="J58" s="7">
        <f t="shared" si="4"/>
        <v>0.35118407279883446</v>
      </c>
      <c r="K58" s="7">
        <f t="shared" si="5"/>
        <v>4.2621188736514671E-4</v>
      </c>
    </row>
    <row r="59" spans="1:11" ht="15" customHeight="1" x14ac:dyDescent="0.25">
      <c r="A59" s="2">
        <v>57</v>
      </c>
      <c r="B59" s="7">
        <v>0</v>
      </c>
      <c r="C59" s="7">
        <f t="shared" si="10"/>
        <v>1.0011318726318816</v>
      </c>
      <c r="D59" s="7">
        <f t="shared" si="11"/>
        <v>1.1312325470050585E-3</v>
      </c>
      <c r="E59" s="7">
        <f t="shared" si="0"/>
        <v>1.0746709196548054E-3</v>
      </c>
      <c r="F59" s="7">
        <f t="shared" si="1"/>
        <v>0.37037037037037035</v>
      </c>
      <c r="G59" s="7">
        <f t="shared" si="12"/>
        <v>0.35485402569832009</v>
      </c>
      <c r="H59" s="7">
        <f t="shared" si="9"/>
        <v>0.35485436329723252</v>
      </c>
      <c r="I59" s="7">
        <f t="shared" si="3"/>
        <v>0.36512064012370693</v>
      </c>
      <c r="J59" s="7">
        <f t="shared" si="4"/>
        <v>0.3511632933800457</v>
      </c>
      <c r="K59" s="7">
        <f t="shared" si="5"/>
        <v>4.2618666858107798E-4</v>
      </c>
    </row>
    <row r="60" spans="1:11" ht="15" customHeight="1" x14ac:dyDescent="0.25">
      <c r="A60" s="2">
        <v>58</v>
      </c>
      <c r="B60" s="7">
        <v>0</v>
      </c>
      <c r="C60" s="7">
        <f t="shared" si="10"/>
        <v>1.0010752485853625</v>
      </c>
      <c r="D60" s="7">
        <f t="shared" si="11"/>
        <v>1.0746709196548054E-3</v>
      </c>
      <c r="E60" s="7">
        <f t="shared" si="0"/>
        <v>1.0209373736720651E-3</v>
      </c>
      <c r="F60" s="7">
        <f t="shared" si="1"/>
        <v>0.37037037037037035</v>
      </c>
      <c r="G60" s="7">
        <f t="shared" si="12"/>
        <v>0.35485436329723252</v>
      </c>
      <c r="H60" s="7">
        <f t="shared" si="9"/>
        <v>0.35485467775606894</v>
      </c>
      <c r="I60" s="7">
        <f t="shared" si="3"/>
        <v>0.36510011393491965</v>
      </c>
      <c r="J60" s="7">
        <f t="shared" si="4"/>
        <v>0.35114355183913298</v>
      </c>
      <c r="K60" s="7">
        <f t="shared" si="5"/>
        <v>4.2616270940962453E-4</v>
      </c>
    </row>
    <row r="61" spans="1:11" ht="15" customHeight="1" x14ac:dyDescent="0.25">
      <c r="A61" s="2">
        <v>59</v>
      </c>
      <c r="B61" s="7">
        <v>0</v>
      </c>
      <c r="C61" s="7">
        <f t="shared" si="10"/>
        <v>1.0010214587076338</v>
      </c>
      <c r="D61" s="7">
        <f t="shared" si="11"/>
        <v>1.0209373736720651E-3</v>
      </c>
      <c r="E61" s="7">
        <f t="shared" si="0"/>
        <v>9.698905049884618E-4</v>
      </c>
      <c r="F61" s="7">
        <f t="shared" si="1"/>
        <v>0.37037037037037035</v>
      </c>
      <c r="G61" s="7">
        <f t="shared" si="12"/>
        <v>0.35485467775606894</v>
      </c>
      <c r="H61" s="7">
        <f t="shared" si="9"/>
        <v>0.35485497023659657</v>
      </c>
      <c r="I61" s="7">
        <f t="shared" si="3"/>
        <v>0.36508061280570131</v>
      </c>
      <c r="J61" s="7">
        <f t="shared" si="4"/>
        <v>0.35112479617317388</v>
      </c>
      <c r="K61" s="7">
        <f t="shared" si="5"/>
        <v>4.2613994673783387E-4</v>
      </c>
    </row>
    <row r="62" spans="1:11" ht="15" customHeight="1" x14ac:dyDescent="0.25">
      <c r="A62" s="2">
        <v>60</v>
      </c>
      <c r="B62" s="7">
        <v>0</v>
      </c>
      <c r="C62" s="7">
        <f t="shared" si="10"/>
        <v>1.0009703610008818</v>
      </c>
      <c r="D62" s="7">
        <f t="shared" si="11"/>
        <v>9.698905049884618E-4</v>
      </c>
      <c r="E62" s="7">
        <f t="shared" si="0"/>
        <v>9.2139597973903869E-4</v>
      </c>
      <c r="F62" s="7">
        <f t="shared" si="1"/>
        <v>0.37037037037037035</v>
      </c>
      <c r="G62" s="7">
        <f t="shared" si="12"/>
        <v>0.35485497023659657</v>
      </c>
      <c r="H62" s="7">
        <f t="shared" si="9"/>
        <v>0.35485524184249551</v>
      </c>
      <c r="I62" s="7">
        <f t="shared" si="3"/>
        <v>0.36506208538093871</v>
      </c>
      <c r="J62" s="7">
        <f t="shared" si="4"/>
        <v>0.35110697699019017</v>
      </c>
      <c r="K62" s="7">
        <f t="shared" si="5"/>
        <v>4.2611832062150614E-4</v>
      </c>
    </row>
    <row r="63" spans="1:11" ht="15" customHeight="1" x14ac:dyDescent="0.25">
      <c r="A63" s="2">
        <v>61</v>
      </c>
      <c r="B63" s="7">
        <v>0</v>
      </c>
      <c r="C63" s="7">
        <f t="shared" si="10"/>
        <v>1.0009218205954178</v>
      </c>
      <c r="D63" s="7">
        <f t="shared" si="11"/>
        <v>9.2139597973903869E-4</v>
      </c>
      <c r="E63" s="7">
        <f t="shared" si="0"/>
        <v>8.7532618075208675E-4</v>
      </c>
      <c r="F63" s="7">
        <f t="shared" si="1"/>
        <v>0.37037037037037035</v>
      </c>
      <c r="G63" s="7">
        <f t="shared" si="12"/>
        <v>0.35485524184249551</v>
      </c>
      <c r="H63" s="7">
        <f t="shared" si="9"/>
        <v>0.35485549362226276</v>
      </c>
      <c r="I63" s="7">
        <f t="shared" si="3"/>
        <v>0.36504448288340574</v>
      </c>
      <c r="J63" s="7">
        <f t="shared" si="4"/>
        <v>0.35109004737754679</v>
      </c>
      <c r="K63" s="7">
        <f t="shared" si="5"/>
        <v>4.2609777412547749E-4</v>
      </c>
    </row>
    <row r="64" spans="1:11" ht="15" customHeight="1" x14ac:dyDescent="0.25">
      <c r="A64" s="2">
        <v>62</v>
      </c>
      <c r="B64" s="7">
        <v>0</v>
      </c>
      <c r="C64" s="7">
        <f t="shared" si="10"/>
        <v>1.0008757093905165</v>
      </c>
      <c r="D64" s="7">
        <f t="shared" si="11"/>
        <v>8.7532618075208675E-4</v>
      </c>
      <c r="E64" s="7">
        <f t="shared" si="0"/>
        <v>8.3155987171448233E-4</v>
      </c>
      <c r="F64" s="7">
        <f t="shared" si="1"/>
        <v>0.37037037037037035</v>
      </c>
      <c r="G64" s="7">
        <f t="shared" si="12"/>
        <v>0.35485549362226276</v>
      </c>
      <c r="H64" s="7">
        <f t="shared" si="9"/>
        <v>0.35485572657197062</v>
      </c>
      <c r="I64" s="7">
        <f t="shared" si="3"/>
        <v>0.36502775898388057</v>
      </c>
      <c r="J64" s="7">
        <f t="shared" si="4"/>
        <v>0.3510739627770339</v>
      </c>
      <c r="K64" s="7">
        <f t="shared" si="5"/>
        <v>4.2607825317201426E-4</v>
      </c>
    </row>
    <row r="65" spans="1:11" ht="15" customHeight="1" x14ac:dyDescent="0.25">
      <c r="A65" s="2">
        <v>63</v>
      </c>
      <c r="B65" s="7">
        <v>0</v>
      </c>
      <c r="C65" s="7">
        <f t="shared" si="10"/>
        <v>1.0008319057134807</v>
      </c>
      <c r="D65" s="7">
        <f t="shared" si="11"/>
        <v>8.3155987171448233E-4</v>
      </c>
      <c r="E65" s="7">
        <f t="shared" si="0"/>
        <v>7.8998187812875822E-4</v>
      </c>
      <c r="F65" s="7">
        <f t="shared" si="1"/>
        <v>0.37037037037037035</v>
      </c>
      <c r="G65" s="7">
        <f t="shared" si="12"/>
        <v>0.35485572657197062</v>
      </c>
      <c r="H65" s="7">
        <f t="shared" si="9"/>
        <v>0.3548559416378877</v>
      </c>
      <c r="I65" s="7">
        <f t="shared" si="3"/>
        <v>0.36501186967785304</v>
      </c>
      <c r="J65" s="7">
        <f t="shared" si="4"/>
        <v>0.35105868086628716</v>
      </c>
      <c r="K65" s="7">
        <f t="shared" si="5"/>
        <v>4.2605970639690008E-4</v>
      </c>
    </row>
    <row r="66" spans="1:11" ht="15" customHeight="1" x14ac:dyDescent="0.25">
      <c r="A66" s="2">
        <v>64</v>
      </c>
      <c r="B66" s="7">
        <v>0</v>
      </c>
      <c r="C66" s="7">
        <f t="shared" si="10"/>
        <v>1.0007902939959963</v>
      </c>
      <c r="D66" s="7">
        <f t="shared" si="11"/>
        <v>7.8998187812875822E-4</v>
      </c>
      <c r="E66" s="7">
        <f t="shared" ref="E66:E129" si="13">$N$6*D66+B66</f>
        <v>7.5048278422232024E-4</v>
      </c>
      <c r="F66" s="7">
        <f t="shared" ref="F66:F129" si="14">((1-$N$2*(1-$N$4))*(1-$N$1))/(((1-$N$2*(1-$N$4))*(1-$N$1))*$N$3+(1-$N$2*(1-$N$4))*(1-$N$1))</f>
        <v>0.37037037037037035</v>
      </c>
      <c r="G66" s="7">
        <f t="shared" si="12"/>
        <v>0.3548559416378877</v>
      </c>
      <c r="H66" s="7">
        <f t="shared" ref="H66:H97" si="15">G67</f>
        <v>0.35485613971896879</v>
      </c>
      <c r="I66" s="7">
        <f t="shared" ref="I66:I129" si="16">$C66*$G66^$N$1*$F66^(1-$N$1)</f>
        <v>0.36499677316848406</v>
      </c>
      <c r="J66" s="7">
        <f t="shared" ref="J66:J129" si="17">$C66*$G66^$N$1*$F66^(1-$N$1)*((1-$N$2*(1-$N$4*(1-$N$1)))/(1-$N$2*(1-$N$4)))</f>
        <v>0.35104416144622164</v>
      </c>
      <c r="K66" s="7">
        <f t="shared" ref="K66:K129" si="18">$C66*$G66^$N$1*$F66^(1-$N$1)*(($N$2*$N$1*$N$4)/(1-$N$2*(1-$N$1)))</f>
        <v>4.2604208501281998E-4</v>
      </c>
    </row>
    <row r="67" spans="1:11" ht="15" customHeight="1" x14ac:dyDescent="0.25">
      <c r="A67" s="2">
        <v>65</v>
      </c>
      <c r="B67" s="7">
        <v>0</v>
      </c>
      <c r="C67" s="7">
        <f t="shared" ref="C67:C98" si="19">EXP(D67)</f>
        <v>1.0007507644668887</v>
      </c>
      <c r="D67" s="7">
        <f t="shared" ref="D67:D98" si="20">E66</f>
        <v>7.5048278422232024E-4</v>
      </c>
      <c r="E67" s="7">
        <f t="shared" si="13"/>
        <v>7.1295864501120414E-4</v>
      </c>
      <c r="F67" s="7">
        <f t="shared" si="14"/>
        <v>0.37037037037037035</v>
      </c>
      <c r="G67" s="7">
        <f t="shared" ref="G67:G98" si="21">(($C67*$G66^$N$1*$F67^(1-$N$1)*(($N$2*$N$1*$N$4)/(1-$N$2*(1-$N$1))))^$N$4)*($N$5*$G66^(1-$N$4))</f>
        <v>0.35485613971896879</v>
      </c>
      <c r="H67" s="7">
        <f t="shared" si="15"/>
        <v>0.35485632166922004</v>
      </c>
      <c r="I67" s="7">
        <f t="shared" si="16"/>
        <v>0.36498242975549594</v>
      </c>
      <c r="J67" s="7">
        <f t="shared" si="17"/>
        <v>0.35103036633416906</v>
      </c>
      <c r="K67" s="7">
        <f t="shared" si="18"/>
        <v>4.260253426796684E-4</v>
      </c>
    </row>
    <row r="68" spans="1:11" ht="15" customHeight="1" x14ac:dyDescent="0.25">
      <c r="A68" s="2">
        <v>66</v>
      </c>
      <c r="B68" s="7">
        <v>0</v>
      </c>
      <c r="C68" s="7">
        <f t="shared" si="19"/>
        <v>1.0007132128604375</v>
      </c>
      <c r="D68" s="7">
        <f t="shared" si="20"/>
        <v>7.1295864501120414E-4</v>
      </c>
      <c r="E68" s="7">
        <f t="shared" si="13"/>
        <v>6.7731071276064389E-4</v>
      </c>
      <c r="F68" s="7">
        <f t="shared" si="14"/>
        <v>0.37037037037037035</v>
      </c>
      <c r="G68" s="7">
        <f t="shared" si="21"/>
        <v>0.35485632166922004</v>
      </c>
      <c r="H68" s="7">
        <f t="shared" si="15"/>
        <v>0.35485648829994632</v>
      </c>
      <c r="I68" s="7">
        <f t="shared" si="16"/>
        <v>0.3649688017296881</v>
      </c>
      <c r="J68" s="7">
        <f t="shared" si="17"/>
        <v>0.35101725926242605</v>
      </c>
      <c r="K68" s="7">
        <f t="shared" si="18"/>
        <v>4.2600943538142192E-4</v>
      </c>
    </row>
    <row r="69" spans="1:11" ht="15" customHeight="1" x14ac:dyDescent="0.25">
      <c r="A69" s="2">
        <v>67</v>
      </c>
      <c r="B69" s="7">
        <v>0</v>
      </c>
      <c r="C69" s="7">
        <f t="shared" si="19"/>
        <v>1.0006775401394563</v>
      </c>
      <c r="D69" s="7">
        <f t="shared" si="20"/>
        <v>6.7731071276064389E-4</v>
      </c>
      <c r="E69" s="7">
        <f t="shared" si="13"/>
        <v>6.4344517712261169E-4</v>
      </c>
      <c r="F69" s="7">
        <f t="shared" si="14"/>
        <v>0.37037037037037035</v>
      </c>
      <c r="G69" s="7">
        <f t="shared" si="21"/>
        <v>0.35485648829994632</v>
      </c>
      <c r="H69" s="7">
        <f t="shared" si="15"/>
        <v>0.3548566403818858</v>
      </c>
      <c r="I69" s="7">
        <f t="shared" si="16"/>
        <v>0.36495585327279212</v>
      </c>
      <c r="J69" s="7">
        <f t="shared" si="17"/>
        <v>0.35100480578193743</v>
      </c>
      <c r="K69" s="7">
        <f t="shared" si="18"/>
        <v>4.2599432130924599E-4</v>
      </c>
    </row>
    <row r="70" spans="1:11" ht="15" customHeight="1" x14ac:dyDescent="0.25">
      <c r="A70" s="2">
        <v>68</v>
      </c>
      <c r="B70" s="7">
        <v>0</v>
      </c>
      <c r="C70" s="7">
        <f t="shared" si="19"/>
        <v>1.0006436522323778</v>
      </c>
      <c r="D70" s="7">
        <f t="shared" si="20"/>
        <v>6.4344517712261169E-4</v>
      </c>
      <c r="E70" s="7">
        <f t="shared" si="13"/>
        <v>6.1127291826648103E-4</v>
      </c>
      <c r="F70" s="7">
        <f t="shared" si="14"/>
        <v>0.37037037037037035</v>
      </c>
      <c r="G70" s="7">
        <f t="shared" si="21"/>
        <v>0.3548566403818858</v>
      </c>
      <c r="H70" s="7">
        <f t="shared" si="15"/>
        <v>0.3548567786472383</v>
      </c>
      <c r="I70" s="7">
        <f t="shared" si="16"/>
        <v>0.36494355036239112</v>
      </c>
      <c r="J70" s="7">
        <f t="shared" si="17"/>
        <v>0.35099297317084999</v>
      </c>
      <c r="K70" s="7">
        <f t="shared" si="18"/>
        <v>4.2597996075051153E-4</v>
      </c>
    </row>
    <row r="71" spans="1:11" ht="15" customHeight="1" x14ac:dyDescent="0.25">
      <c r="A71" s="2">
        <v>69</v>
      </c>
      <c r="B71" s="7">
        <v>0</v>
      </c>
      <c r="C71" s="7">
        <f t="shared" si="19"/>
        <v>1.0006114597836302</v>
      </c>
      <c r="D71" s="7">
        <f t="shared" si="20"/>
        <v>6.1127291826648103E-4</v>
      </c>
      <c r="E71" s="7">
        <f t="shared" si="13"/>
        <v>5.8070927235315695E-4</v>
      </c>
      <c r="F71" s="7">
        <f t="shared" si="14"/>
        <v>0.37037037037037035</v>
      </c>
      <c r="G71" s="7">
        <f t="shared" si="21"/>
        <v>0.3548567786472383</v>
      </c>
      <c r="H71" s="7">
        <f t="shared" si="15"/>
        <v>0.35485690379159163</v>
      </c>
      <c r="I71" s="7">
        <f t="shared" si="16"/>
        <v>0.36493186068164551</v>
      </c>
      <c r="J71" s="7">
        <f t="shared" si="17"/>
        <v>0.35098173034768942</v>
      </c>
      <c r="K71" s="7">
        <f t="shared" si="18"/>
        <v>4.2596631598342287E-4</v>
      </c>
    </row>
    <row r="72" spans="1:11" ht="15" customHeight="1" x14ac:dyDescent="0.25">
      <c r="A72" s="2">
        <v>70</v>
      </c>
      <c r="B72" s="7">
        <v>0</v>
      </c>
      <c r="C72" s="7">
        <f t="shared" si="19"/>
        <v>1.0005808779166254</v>
      </c>
      <c r="D72" s="7">
        <f t="shared" si="20"/>
        <v>5.8070927235315695E-4</v>
      </c>
      <c r="E72" s="7">
        <f t="shared" si="13"/>
        <v>5.5167380873549906E-4</v>
      </c>
      <c r="F72" s="7">
        <f t="shared" si="14"/>
        <v>0.37037037037037035</v>
      </c>
      <c r="G72" s="7">
        <f t="shared" si="21"/>
        <v>0.35485690379159163</v>
      </c>
      <c r="H72" s="7">
        <f t="shared" si="15"/>
        <v>0.35485701647575241</v>
      </c>
      <c r="I72" s="7">
        <f t="shared" si="16"/>
        <v>0.36492075353357933</v>
      </c>
      <c r="J72" s="7">
        <f t="shared" si="17"/>
        <v>0.35097104778892291</v>
      </c>
      <c r="K72" s="7">
        <f t="shared" si="18"/>
        <v>4.2595335117696833E-4</v>
      </c>
    </row>
    <row r="73" spans="1:11" ht="15" customHeight="1" x14ac:dyDescent="0.25">
      <c r="A73" s="2">
        <v>71</v>
      </c>
      <c r="B73" s="7">
        <v>0</v>
      </c>
      <c r="C73" s="7">
        <f t="shared" si="19"/>
        <v>1.0005518260087181</v>
      </c>
      <c r="D73" s="7">
        <f t="shared" si="20"/>
        <v>5.5167380873549906E-4</v>
      </c>
      <c r="E73" s="7">
        <f t="shared" si="13"/>
        <v>5.2409011829872407E-4</v>
      </c>
      <c r="F73" s="7">
        <f t="shared" si="14"/>
        <v>0.37037037037037035</v>
      </c>
      <c r="G73" s="7">
        <f t="shared" si="21"/>
        <v>0.35485701647575241</v>
      </c>
      <c r="H73" s="7">
        <f t="shared" si="15"/>
        <v>0.35485711732748465</v>
      </c>
      <c r="I73" s="7">
        <f t="shared" si="16"/>
        <v>0.36491019975969496</v>
      </c>
      <c r="J73" s="7">
        <f t="shared" si="17"/>
        <v>0.35096089745068521</v>
      </c>
      <c r="K73" s="7">
        <f t="shared" si="18"/>
        <v>4.2594103229592342E-4</v>
      </c>
    </row>
    <row r="74" spans="1:11" ht="15" customHeight="1" x14ac:dyDescent="0.25">
      <c r="A74" s="2">
        <v>72</v>
      </c>
      <c r="B74" s="7">
        <v>0</v>
      </c>
      <c r="C74" s="7">
        <f t="shared" si="19"/>
        <v>1.0005242274775199</v>
      </c>
      <c r="D74" s="7">
        <f t="shared" si="20"/>
        <v>5.2409011829872407E-4</v>
      </c>
      <c r="E74" s="7">
        <f t="shared" si="13"/>
        <v>4.9788561238378788E-4</v>
      </c>
      <c r="F74" s="7">
        <f t="shared" si="14"/>
        <v>0.37037037037037035</v>
      </c>
      <c r="G74" s="7">
        <f t="shared" si="21"/>
        <v>0.35485711732748465</v>
      </c>
      <c r="H74" s="7">
        <f t="shared" si="15"/>
        <v>0.35485720694316186</v>
      </c>
      <c r="I74" s="7">
        <f t="shared" si="16"/>
        <v>0.36490017166269473</v>
      </c>
      <c r="J74" s="7">
        <f t="shared" si="17"/>
        <v>0.3509512526944541</v>
      </c>
      <c r="K74" s="7">
        <f t="shared" si="18"/>
        <v>4.2592932701064759E-4</v>
      </c>
    </row>
    <row r="75" spans="1:11" ht="15" customHeight="1" x14ac:dyDescent="0.25">
      <c r="A75" s="2">
        <v>73</v>
      </c>
      <c r="B75" s="7">
        <v>0</v>
      </c>
      <c r="C75" s="7">
        <f t="shared" si="19"/>
        <v>1.0004980095779981</v>
      </c>
      <c r="D75" s="7">
        <f t="shared" si="20"/>
        <v>4.9788561238378788E-4</v>
      </c>
      <c r="E75" s="7">
        <f t="shared" si="13"/>
        <v>4.7299133176459846E-4</v>
      </c>
      <c r="F75" s="7">
        <f t="shared" si="14"/>
        <v>0.37037037037037035</v>
      </c>
      <c r="G75" s="7">
        <f t="shared" si="21"/>
        <v>0.35485720694316186</v>
      </c>
      <c r="H75" s="7">
        <f t="shared" si="15"/>
        <v>0.35485728588933646</v>
      </c>
      <c r="I75" s="7">
        <f t="shared" si="16"/>
        <v>0.36489064293310169</v>
      </c>
      <c r="J75" s="7">
        <f t="shared" si="17"/>
        <v>0.35094208821647643</v>
      </c>
      <c r="K75" s="7">
        <f t="shared" si="18"/>
        <v>4.2591820461143263E-4</v>
      </c>
    </row>
    <row r="76" spans="1:11" ht="15" customHeight="1" x14ac:dyDescent="0.25">
      <c r="A76" s="2">
        <v>74</v>
      </c>
      <c r="B76" s="7">
        <v>0</v>
      </c>
      <c r="C76" s="7">
        <f t="shared" si="19"/>
        <v>1.0004731032098029</v>
      </c>
      <c r="D76" s="7">
        <f t="shared" si="20"/>
        <v>4.7299133176459846E-4</v>
      </c>
      <c r="E76" s="7">
        <f t="shared" si="13"/>
        <v>4.4934176517636852E-4</v>
      </c>
      <c r="F76" s="7">
        <f t="shared" si="14"/>
        <v>0.37037037037037035</v>
      </c>
      <c r="G76" s="7">
        <f t="shared" si="21"/>
        <v>0.35485728588933646</v>
      </c>
      <c r="H76" s="7">
        <f t="shared" si="15"/>
        <v>0.35485735470423063</v>
      </c>
      <c r="I76" s="7">
        <f t="shared" si="16"/>
        <v>0.36488158857958047</v>
      </c>
      <c r="J76" s="7">
        <f t="shared" si="17"/>
        <v>0.3509333799807523</v>
      </c>
      <c r="K76" s="7">
        <f t="shared" si="18"/>
        <v>4.2590763592716965E-4</v>
      </c>
    </row>
    <row r="77" spans="1:11" ht="15" customHeight="1" x14ac:dyDescent="0.25">
      <c r="A77" s="2">
        <v>75</v>
      </c>
      <c r="B77" s="7">
        <v>0</v>
      </c>
      <c r="C77" s="7">
        <f t="shared" si="19"/>
        <v>1.00044944273431</v>
      </c>
      <c r="D77" s="7">
        <f t="shared" si="20"/>
        <v>4.4934176517636852E-4</v>
      </c>
      <c r="E77" s="7">
        <f t="shared" si="13"/>
        <v>4.2687467691755005E-4</v>
      </c>
      <c r="F77" s="7">
        <f t="shared" si="14"/>
        <v>0.37037037037037035</v>
      </c>
      <c r="G77" s="7">
        <f t="shared" si="21"/>
        <v>0.35485735470423063</v>
      </c>
      <c r="H77" s="7">
        <f t="shared" si="15"/>
        <v>0.35485741389915271</v>
      </c>
      <c r="I77" s="7">
        <f t="shared" si="16"/>
        <v>0.36487298486276964</v>
      </c>
      <c r="J77" s="7">
        <f t="shared" si="17"/>
        <v>0.3509251051553971</v>
      </c>
      <c r="K77" s="7">
        <f t="shared" si="18"/>
        <v>4.2589759324811492E-4</v>
      </c>
    </row>
    <row r="78" spans="1:11" ht="15" customHeight="1" x14ac:dyDescent="0.25">
      <c r="A78" s="2">
        <v>76</v>
      </c>
      <c r="B78" s="7">
        <v>0</v>
      </c>
      <c r="C78" s="7">
        <f t="shared" si="19"/>
        <v>1.0004269658008782</v>
      </c>
      <c r="D78" s="7">
        <f t="shared" si="20"/>
        <v>4.2687467691755005E-4</v>
      </c>
      <c r="E78" s="7">
        <f t="shared" si="13"/>
        <v>4.0553094307167254E-4</v>
      </c>
      <c r="F78" s="7">
        <f t="shared" si="14"/>
        <v>0.37037037037037035</v>
      </c>
      <c r="G78" s="7">
        <f t="shared" si="21"/>
        <v>0.35485741389915271</v>
      </c>
      <c r="H78" s="7">
        <f t="shared" si="15"/>
        <v>0.35485746395984291</v>
      </c>
      <c r="I78" s="7">
        <f t="shared" si="16"/>
        <v>0.36486480923244818</v>
      </c>
      <c r="J78" s="7">
        <f t="shared" si="17"/>
        <v>0.3509172420522097</v>
      </c>
      <c r="K78" s="7">
        <f t="shared" si="18"/>
        <v>4.2588805025254759E-4</v>
      </c>
    </row>
    <row r="79" spans="1:11" ht="15" customHeight="1" x14ac:dyDescent="0.25">
      <c r="A79" s="2">
        <v>77</v>
      </c>
      <c r="B79" s="7">
        <v>0</v>
      </c>
      <c r="C79" s="7">
        <f t="shared" si="19"/>
        <v>1.0004056131818611</v>
      </c>
      <c r="D79" s="7">
        <f t="shared" si="20"/>
        <v>4.0553094307167254E-4</v>
      </c>
      <c r="E79" s="7">
        <f t="shared" si="13"/>
        <v>3.8525439591808892E-4</v>
      </c>
      <c r="F79" s="7">
        <f t="shared" si="14"/>
        <v>0.37037037037037035</v>
      </c>
      <c r="G79" s="7">
        <f t="shared" si="21"/>
        <v>0.35485746395984291</v>
      </c>
      <c r="H79" s="7">
        <f t="shared" si="15"/>
        <v>0.35485750534775157</v>
      </c>
      <c r="I79" s="7">
        <f t="shared" si="16"/>
        <v>0.36485704026786703</v>
      </c>
      <c r="J79" s="7">
        <f t="shared" si="17"/>
        <v>0.35090977006928498</v>
      </c>
      <c r="K79" s="7">
        <f t="shared" si="18"/>
        <v>4.258789819371216E-4</v>
      </c>
    </row>
    <row r="80" spans="1:11" ht="15" customHeight="1" x14ac:dyDescent="0.25">
      <c r="A80" s="2">
        <v>78</v>
      </c>
      <c r="B80" s="7">
        <v>0</v>
      </c>
      <c r="C80" s="7">
        <f t="shared" si="19"/>
        <v>1.0003853286159237</v>
      </c>
      <c r="D80" s="7">
        <f t="shared" si="20"/>
        <v>3.8525439591808892E-4</v>
      </c>
      <c r="E80" s="7">
        <f t="shared" si="13"/>
        <v>3.6599167612218447E-4</v>
      </c>
      <c r="F80" s="7">
        <f t="shared" si="14"/>
        <v>0.37037037037037035</v>
      </c>
      <c r="G80" s="7">
        <f t="shared" si="21"/>
        <v>0.35485750534775157</v>
      </c>
      <c r="H80" s="7">
        <f t="shared" si="15"/>
        <v>0.35485753850125346</v>
      </c>
      <c r="I80" s="7">
        <f t="shared" si="16"/>
        <v>0.36484965762108362</v>
      </c>
      <c r="J80" s="7">
        <f t="shared" si="17"/>
        <v>0.35090266963651445</v>
      </c>
      <c r="K80" s="7">
        <f t="shared" si="18"/>
        <v>4.2587036455072334E-4</v>
      </c>
    </row>
    <row r="81" spans="1:11" ht="15" customHeight="1" x14ac:dyDescent="0.25">
      <c r="A81" s="2">
        <v>79</v>
      </c>
      <c r="B81" s="7">
        <v>0</v>
      </c>
      <c r="C81" s="7">
        <f t="shared" si="19"/>
        <v>1.0003660586592471</v>
      </c>
      <c r="D81" s="7">
        <f t="shared" si="20"/>
        <v>3.6599167612218447E-4</v>
      </c>
      <c r="E81" s="7">
        <f t="shared" si="13"/>
        <v>3.4769209231607523E-4</v>
      </c>
      <c r="F81" s="7">
        <f t="shared" si="14"/>
        <v>0.37037037037037035</v>
      </c>
      <c r="G81" s="7">
        <f t="shared" si="21"/>
        <v>0.35485753850125346</v>
      </c>
      <c r="H81" s="7">
        <f t="shared" si="15"/>
        <v>0.35485756383680161</v>
      </c>
      <c r="I81" s="7">
        <f t="shared" si="16"/>
        <v>0.36484264196314953</v>
      </c>
      <c r="J81" s="7">
        <f t="shared" si="17"/>
        <v>0.35089592216383109</v>
      </c>
      <c r="K81" s="7">
        <f t="shared" si="18"/>
        <v>4.2586217553165881E-4</v>
      </c>
    </row>
    <row r="82" spans="1:11" ht="15" customHeight="1" x14ac:dyDescent="0.25">
      <c r="A82" s="2">
        <v>80</v>
      </c>
      <c r="B82" s="7">
        <v>0</v>
      </c>
      <c r="C82" s="7">
        <f t="shared" si="19"/>
        <v>1.0003477525442177</v>
      </c>
      <c r="D82" s="7">
        <f t="shared" si="20"/>
        <v>3.4769209231607523E-4</v>
      </c>
      <c r="E82" s="7">
        <f t="shared" si="13"/>
        <v>3.3030748770027145E-4</v>
      </c>
      <c r="F82" s="7">
        <f t="shared" si="14"/>
        <v>0.37037037037037035</v>
      </c>
      <c r="G82" s="7">
        <f t="shared" si="21"/>
        <v>0.35485756383680161</v>
      </c>
      <c r="H82" s="7">
        <f t="shared" si="15"/>
        <v>0.35485758175002324</v>
      </c>
      <c r="I82" s="7">
        <f t="shared" si="16"/>
        <v>0.36483597493300446</v>
      </c>
      <c r="J82" s="7">
        <f t="shared" si="17"/>
        <v>0.35088950999205681</v>
      </c>
      <c r="K82" s="7">
        <f t="shared" si="18"/>
        <v>4.258543934480004E-4</v>
      </c>
    </row>
    <row r="83" spans="1:11" ht="15" customHeight="1" x14ac:dyDescent="0.25">
      <c r="A83" s="2">
        <v>81</v>
      </c>
      <c r="B83" s="7">
        <v>0</v>
      </c>
      <c r="C83" s="7">
        <f t="shared" si="19"/>
        <v>1.0003303620452253</v>
      </c>
      <c r="D83" s="7">
        <f t="shared" si="20"/>
        <v>3.3030748770027145E-4</v>
      </c>
      <c r="E83" s="7">
        <f t="shared" si="13"/>
        <v>3.1379211331525786E-4</v>
      </c>
      <c r="F83" s="7">
        <f t="shared" si="14"/>
        <v>0.37037037037037035</v>
      </c>
      <c r="G83" s="7">
        <f t="shared" si="21"/>
        <v>0.35485758175002324</v>
      </c>
      <c r="H83" s="7">
        <f t="shared" si="15"/>
        <v>0.35485759261676109</v>
      </c>
      <c r="I83" s="7">
        <f t="shared" si="16"/>
        <v>0.36482963908894173</v>
      </c>
      <c r="J83" s="7">
        <f t="shared" si="17"/>
        <v>0.35088341634622333</v>
      </c>
      <c r="K83" s="7">
        <f t="shared" si="18"/>
        <v>4.2584699794093498E-4</v>
      </c>
    </row>
    <row r="84" spans="1:11" ht="15" customHeight="1" x14ac:dyDescent="0.25">
      <c r="A84" s="2">
        <v>82</v>
      </c>
      <c r="B84" s="7">
        <v>0</v>
      </c>
      <c r="C84" s="7">
        <f t="shared" si="19"/>
        <v>1.0003138413512105</v>
      </c>
      <c r="D84" s="7">
        <f t="shared" si="20"/>
        <v>3.1379211331525786E-4</v>
      </c>
      <c r="E84" s="7">
        <f t="shared" si="13"/>
        <v>2.9810250764949494E-4</v>
      </c>
      <c r="F84" s="7">
        <f t="shared" si="14"/>
        <v>0.37037037037037035</v>
      </c>
      <c r="G84" s="7">
        <f t="shared" si="21"/>
        <v>0.35485759261676109</v>
      </c>
      <c r="H84" s="7">
        <f t="shared" si="15"/>
        <v>0.3548575967940627</v>
      </c>
      <c r="I84" s="7">
        <f t="shared" si="16"/>
        <v>0.36482361786251338</v>
      </c>
      <c r="J84" s="7">
        <f t="shared" si="17"/>
        <v>0.35087762529123928</v>
      </c>
      <c r="K84" s="7">
        <f t="shared" si="18"/>
        <v>4.2583996967095991E-4</v>
      </c>
    </row>
    <row r="85" spans="1:11" ht="15" customHeight="1" x14ac:dyDescent="0.25">
      <c r="A85" s="2">
        <v>83</v>
      </c>
      <c r="B85" s="7">
        <v>0</v>
      </c>
      <c r="C85" s="7">
        <f t="shared" si="19"/>
        <v>1.0002981469446175</v>
      </c>
      <c r="D85" s="7">
        <f t="shared" si="20"/>
        <v>2.9810250764949494E-4</v>
      </c>
      <c r="E85" s="7">
        <f t="shared" si="13"/>
        <v>2.8319738226702018E-4</v>
      </c>
      <c r="F85" s="7">
        <f t="shared" si="14"/>
        <v>0.37037037037037035</v>
      </c>
      <c r="G85" s="7">
        <f t="shared" si="21"/>
        <v>0.3548575967940627</v>
      </c>
      <c r="H85" s="7">
        <f t="shared" si="15"/>
        <v>0.35485759462111982</v>
      </c>
      <c r="I85" s="7">
        <f t="shared" si="16"/>
        <v>0.36481789551475319</v>
      </c>
      <c r="J85" s="7">
        <f t="shared" si="17"/>
        <v>0.35087212168978676</v>
      </c>
      <c r="K85" s="7">
        <f t="shared" si="18"/>
        <v>4.2583329026678394E-4</v>
      </c>
    </row>
    <row r="86" spans="1:11" ht="15" customHeight="1" x14ac:dyDescent="0.25">
      <c r="A86" s="2">
        <v>84</v>
      </c>
      <c r="B86" s="7">
        <v>0</v>
      </c>
      <c r="C86" s="7">
        <f t="shared" si="19"/>
        <v>1.0002832374864314</v>
      </c>
      <c r="D86" s="7">
        <f t="shared" si="20"/>
        <v>2.8319738226702018E-4</v>
      </c>
      <c r="E86" s="7">
        <f t="shared" si="13"/>
        <v>2.6903751315366915E-4</v>
      </c>
      <c r="F86" s="7">
        <f t="shared" si="14"/>
        <v>0.37037037037037035</v>
      </c>
      <c r="G86" s="7">
        <f t="shared" si="21"/>
        <v>0.35485759462111982</v>
      </c>
      <c r="H86" s="7">
        <f t="shared" si="15"/>
        <v>0.35485758642016135</v>
      </c>
      <c r="I86" s="7">
        <f t="shared" si="16"/>
        <v>0.36481245709459886</v>
      </c>
      <c r="J86" s="7">
        <f t="shared" si="17"/>
        <v>0.35086689116233277</v>
      </c>
      <c r="K86" s="7">
        <f t="shared" si="18"/>
        <v>4.2582694227679595E-4</v>
      </c>
    </row>
    <row r="87" spans="1:11" ht="15" customHeight="1" x14ac:dyDescent="0.25">
      <c r="A87" s="2">
        <v>85</v>
      </c>
      <c r="B87" s="7">
        <v>0</v>
      </c>
      <c r="C87" s="7">
        <f t="shared" si="19"/>
        <v>1.0002690737069913</v>
      </c>
      <c r="D87" s="7">
        <f t="shared" si="20"/>
        <v>2.6903751315366915E-4</v>
      </c>
      <c r="E87" s="7">
        <f t="shared" si="13"/>
        <v>2.555856374959857E-4</v>
      </c>
      <c r="F87" s="7">
        <f t="shared" si="14"/>
        <v>0.37037037037037035</v>
      </c>
      <c r="G87" s="7">
        <f t="shared" si="21"/>
        <v>0.35485758642016135</v>
      </c>
      <c r="H87" s="7">
        <f t="shared" si="15"/>
        <v>0.35485757249730143</v>
      </c>
      <c r="I87" s="7">
        <f t="shared" si="16"/>
        <v>0.36480728839940352</v>
      </c>
      <c r="J87" s="7">
        <f t="shared" si="17"/>
        <v>0.3508619200491504</v>
      </c>
      <c r="K87" s="7">
        <f t="shared" si="18"/>
        <v>4.2582090912297188E-4</v>
      </c>
    </row>
    <row r="88" spans="1:11" ht="15" customHeight="1" x14ac:dyDescent="0.25">
      <c r="A88" s="2">
        <v>86</v>
      </c>
      <c r="B88" s="7">
        <v>0</v>
      </c>
      <c r="C88" s="7">
        <f t="shared" si="19"/>
        <v>1.0002556183022879</v>
      </c>
      <c r="D88" s="7">
        <f t="shared" si="20"/>
        <v>2.555856374959857E-4</v>
      </c>
      <c r="E88" s="7">
        <f t="shared" si="13"/>
        <v>2.4280635562118639E-4</v>
      </c>
      <c r="F88" s="7">
        <f t="shared" si="14"/>
        <v>0.37037037037037035</v>
      </c>
      <c r="G88" s="7">
        <f t="shared" si="21"/>
        <v>0.35485757249730143</v>
      </c>
      <c r="H88" s="7">
        <f t="shared" si="15"/>
        <v>0.35485755314334511</v>
      </c>
      <c r="I88" s="7">
        <f t="shared" si="16"/>
        <v>0.3648023759374312</v>
      </c>
      <c r="J88" s="7">
        <f t="shared" si="17"/>
        <v>0.35085719537424787</v>
      </c>
      <c r="K88" s="7">
        <f t="shared" si="18"/>
        <v>4.2581517505709763E-4</v>
      </c>
    </row>
    <row r="89" spans="1:11" ht="15" customHeight="1" x14ac:dyDescent="0.25">
      <c r="A89" s="2">
        <v>87</v>
      </c>
      <c r="B89" s="7">
        <v>0</v>
      </c>
      <c r="C89" s="7">
        <f t="shared" si="19"/>
        <v>1.0002428358354702</v>
      </c>
      <c r="D89" s="7">
        <f t="shared" si="20"/>
        <v>2.4280635562118639E-4</v>
      </c>
      <c r="E89" s="7">
        <f t="shared" si="13"/>
        <v>2.3066603784012706E-4</v>
      </c>
      <c r="F89" s="7">
        <f t="shared" si="14"/>
        <v>0.37037037037037035</v>
      </c>
      <c r="G89" s="7">
        <f t="shared" si="21"/>
        <v>0.35485755314334511</v>
      </c>
      <c r="H89" s="7">
        <f t="shared" si="15"/>
        <v>0.35485752863455389</v>
      </c>
      <c r="I89" s="7">
        <f t="shared" si="16"/>
        <v>0.36479770689223484</v>
      </c>
      <c r="J89" s="7">
        <f t="shared" si="17"/>
        <v>0.35085270481110814</v>
      </c>
      <c r="K89" s="7">
        <f t="shared" si="18"/>
        <v>4.2580972511918939E-4</v>
      </c>
    </row>
    <row r="90" spans="1:11" ht="15" customHeight="1" x14ac:dyDescent="0.25">
      <c r="A90" s="2">
        <v>88</v>
      </c>
      <c r="B90" s="7">
        <v>0</v>
      </c>
      <c r="C90" s="7">
        <f t="shared" si="19"/>
        <v>1.0002306926432962</v>
      </c>
      <c r="D90" s="7">
        <f t="shared" si="20"/>
        <v>2.3066603784012706E-4</v>
      </c>
      <c r="E90" s="7">
        <f t="shared" si="13"/>
        <v>2.191327359481207E-4</v>
      </c>
      <c r="F90" s="7">
        <f t="shared" si="14"/>
        <v>0.37037037037037035</v>
      </c>
      <c r="G90" s="7">
        <f t="shared" si="21"/>
        <v>0.35485752863455389</v>
      </c>
      <c r="H90" s="7">
        <f t="shared" si="15"/>
        <v>0.35485749923337273</v>
      </c>
      <c r="I90" s="7">
        <f t="shared" si="16"/>
        <v>0.36479326908882403</v>
      </c>
      <c r="J90" s="7">
        <f t="shared" si="17"/>
        <v>0.3508484366501502</v>
      </c>
      <c r="K90" s="7">
        <f t="shared" si="18"/>
        <v>4.2580454509800287E-4</v>
      </c>
    </row>
    <row r="91" spans="1:11" ht="15" customHeight="1" x14ac:dyDescent="0.25">
      <c r="A91" s="2">
        <v>89</v>
      </c>
      <c r="B91" s="7">
        <v>0</v>
      </c>
      <c r="C91" s="7">
        <f t="shared" si="19"/>
        <v>1.00021915674728</v>
      </c>
      <c r="D91" s="7">
        <f t="shared" si="20"/>
        <v>2.191327359481207E-4</v>
      </c>
      <c r="E91" s="7">
        <f t="shared" si="13"/>
        <v>2.0817609915071465E-4</v>
      </c>
      <c r="F91" s="7">
        <f t="shared" si="14"/>
        <v>0.37037037037037035</v>
      </c>
      <c r="G91" s="7">
        <f t="shared" si="21"/>
        <v>0.35485749923337273</v>
      </c>
      <c r="H91" s="7">
        <f t="shared" si="15"/>
        <v>0.35485746518912076</v>
      </c>
      <c r="I91" s="7">
        <f t="shared" si="16"/>
        <v>0.36478905096152936</v>
      </c>
      <c r="J91" s="7">
        <f t="shared" si="17"/>
        <v>0.35084437976782168</v>
      </c>
      <c r="K91" s="7">
        <f t="shared" si="18"/>
        <v>4.2579962149352313E-4</v>
      </c>
    </row>
    <row r="92" spans="1:11" ht="15" customHeight="1" x14ac:dyDescent="0.25">
      <c r="A92" s="2">
        <v>90</v>
      </c>
      <c r="B92" s="7">
        <v>0</v>
      </c>
      <c r="C92" s="7">
        <f t="shared" si="19"/>
        <v>1.0002081977692985</v>
      </c>
      <c r="D92" s="7">
        <f t="shared" si="20"/>
        <v>2.0817609915071465E-4</v>
      </c>
      <c r="E92" s="7">
        <f t="shared" si="13"/>
        <v>1.9776729419317891E-4</v>
      </c>
      <c r="F92" s="7">
        <f t="shared" si="14"/>
        <v>0.37037037037037035</v>
      </c>
      <c r="G92" s="7">
        <f t="shared" si="21"/>
        <v>0.35485746518912076</v>
      </c>
      <c r="H92" s="7">
        <f t="shared" si="15"/>
        <v>0.3548574267386479</v>
      </c>
      <c r="I92" s="7">
        <f t="shared" si="16"/>
        <v>0.36478504152348118</v>
      </c>
      <c r="J92" s="7">
        <f t="shared" si="17"/>
        <v>0.35084052359724438</v>
      </c>
      <c r="K92" s="7">
        <f t="shared" si="18"/>
        <v>4.2579494148133848E-4</v>
      </c>
    </row>
    <row r="93" spans="1:11" ht="15" customHeight="1" x14ac:dyDescent="0.25">
      <c r="A93" s="2">
        <v>91</v>
      </c>
      <c r="B93" s="7">
        <v>0</v>
      </c>
      <c r="C93" s="7">
        <f t="shared" si="19"/>
        <v>1.0001977868514338</v>
      </c>
      <c r="D93" s="7">
        <f t="shared" si="20"/>
        <v>1.9776729419317891E-4</v>
      </c>
      <c r="E93" s="7">
        <f t="shared" si="13"/>
        <v>1.8787892948351996E-4</v>
      </c>
      <c r="F93" s="7">
        <f t="shared" si="14"/>
        <v>0.37037037037037035</v>
      </c>
      <c r="G93" s="7">
        <f t="shared" si="21"/>
        <v>0.3548574267386479</v>
      </c>
      <c r="H93" s="7">
        <f t="shared" si="15"/>
        <v>0.35485738410695811</v>
      </c>
      <c r="I93" s="7">
        <f t="shared" si="16"/>
        <v>0.36478123033761906</v>
      </c>
      <c r="J93" s="7">
        <f t="shared" si="17"/>
        <v>0.35083685810033199</v>
      </c>
      <c r="K93" s="7">
        <f t="shared" si="18"/>
        <v>4.2579049287880163E-4</v>
      </c>
    </row>
    <row r="94" spans="1:11" ht="15" customHeight="1" x14ac:dyDescent="0.25">
      <c r="A94" s="2">
        <v>92</v>
      </c>
      <c r="B94" s="7">
        <v>0</v>
      </c>
      <c r="C94" s="7">
        <f t="shared" si="19"/>
        <v>1.000187896579835</v>
      </c>
      <c r="D94" s="7">
        <f t="shared" si="20"/>
        <v>1.8787892948351996E-4</v>
      </c>
      <c r="E94" s="7">
        <f t="shared" si="13"/>
        <v>1.7848498300934395E-4</v>
      </c>
      <c r="F94" s="7">
        <f t="shared" si="14"/>
        <v>0.37037037037037035</v>
      </c>
      <c r="G94" s="7">
        <f t="shared" si="21"/>
        <v>0.35485738410695811</v>
      </c>
      <c r="H94" s="7">
        <f t="shared" si="15"/>
        <v>0.35485733750780157</v>
      </c>
      <c r="I94" s="7">
        <f t="shared" si="16"/>
        <v>0.36477760748915578</v>
      </c>
      <c r="J94" s="7">
        <f t="shared" si="17"/>
        <v>0.35083337374130658</v>
      </c>
      <c r="K94" s="7">
        <f t="shared" si="18"/>
        <v>4.2578626411288791E-4</v>
      </c>
    </row>
    <row r="95" spans="1:11" ht="15" customHeight="1" x14ac:dyDescent="0.25">
      <c r="A95" s="2">
        <v>93</v>
      </c>
      <c r="B95" s="7">
        <v>0</v>
      </c>
      <c r="C95" s="7">
        <f t="shared" si="19"/>
        <v>1.0001785009124016</v>
      </c>
      <c r="D95" s="7">
        <f t="shared" si="20"/>
        <v>1.7848498300934395E-4</v>
      </c>
      <c r="E95" s="7">
        <f t="shared" si="13"/>
        <v>1.6956073385887674E-4</v>
      </c>
      <c r="F95" s="7">
        <f t="shared" si="14"/>
        <v>0.37037037037037035</v>
      </c>
      <c r="G95" s="7">
        <f t="shared" si="21"/>
        <v>0.35485733750780157</v>
      </c>
      <c r="H95" s="7">
        <f t="shared" si="15"/>
        <v>0.35485728714423742</v>
      </c>
      <c r="I95" s="7">
        <f t="shared" si="16"/>
        <v>0.36477416355942266</v>
      </c>
      <c r="J95" s="7">
        <f t="shared" si="17"/>
        <v>0.35083006146154383</v>
      </c>
      <c r="K95" s="7">
        <f t="shared" si="18"/>
        <v>4.2578224418966668E-4</v>
      </c>
    </row>
    <row r="96" spans="1:11" ht="15" customHeight="1" x14ac:dyDescent="0.25">
      <c r="A96" s="2">
        <v>94</v>
      </c>
      <c r="B96" s="7">
        <v>0</v>
      </c>
      <c r="C96" s="7">
        <f t="shared" si="19"/>
        <v>1.0001695751100927</v>
      </c>
      <c r="D96" s="7">
        <f t="shared" si="20"/>
        <v>1.6956073385887674E-4</v>
      </c>
      <c r="E96" s="7">
        <f t="shared" si="13"/>
        <v>1.6108269716593289E-4</v>
      </c>
      <c r="F96" s="7">
        <f t="shared" si="14"/>
        <v>0.37037037037037035</v>
      </c>
      <c r="G96" s="7">
        <f t="shared" si="21"/>
        <v>0.35485728714423742</v>
      </c>
      <c r="H96" s="7">
        <f t="shared" si="15"/>
        <v>0.35485723320916834</v>
      </c>
      <c r="I96" s="7">
        <f t="shared" si="16"/>
        <v>0.36477088960102672</v>
      </c>
      <c r="J96" s="7">
        <f t="shared" si="17"/>
        <v>0.35082691265567972</v>
      </c>
      <c r="K96" s="7">
        <f t="shared" si="18"/>
        <v>4.2577842266530323E-4</v>
      </c>
    </row>
    <row r="97" spans="1:11" ht="15" customHeight="1" x14ac:dyDescent="0.25">
      <c r="A97" s="2">
        <v>95</v>
      </c>
      <c r="B97" s="7">
        <v>0</v>
      </c>
      <c r="C97" s="7">
        <f t="shared" si="19"/>
        <v>1.0001610956716802</v>
      </c>
      <c r="D97" s="7">
        <f t="shared" si="20"/>
        <v>1.6108269716593289E-4</v>
      </c>
      <c r="E97" s="7">
        <f t="shared" si="13"/>
        <v>1.5302856230763623E-4</v>
      </c>
      <c r="F97" s="7">
        <f t="shared" si="14"/>
        <v>0.37037037037037035</v>
      </c>
      <c r="G97" s="7">
        <f t="shared" si="21"/>
        <v>0.35485723320916834</v>
      </c>
      <c r="H97" s="7">
        <f t="shared" si="15"/>
        <v>0.35485717588584859</v>
      </c>
      <c r="I97" s="7">
        <f t="shared" si="16"/>
        <v>0.36476777711425301</v>
      </c>
      <c r="J97" s="7">
        <f t="shared" si="17"/>
        <v>0.35082391914891531</v>
      </c>
      <c r="K97" s="7">
        <f t="shared" si="18"/>
        <v>4.2577478961851453E-4</v>
      </c>
    </row>
    <row r="98" spans="1:11" ht="15" customHeight="1" x14ac:dyDescent="0.25">
      <c r="A98" s="2">
        <v>96</v>
      </c>
      <c r="B98" s="7">
        <v>0</v>
      </c>
      <c r="C98" s="7">
        <f t="shared" si="19"/>
        <v>1.0001530402717753</v>
      </c>
      <c r="D98" s="7">
        <f t="shared" si="20"/>
        <v>1.5302856230763623E-4</v>
      </c>
      <c r="E98" s="7">
        <f t="shared" si="13"/>
        <v>1.4537713419225442E-4</v>
      </c>
      <c r="F98" s="7">
        <f t="shared" si="14"/>
        <v>0.37037037037037035</v>
      </c>
      <c r="G98" s="7">
        <f t="shared" si="21"/>
        <v>0.35485717588584859</v>
      </c>
      <c r="H98" s="7">
        <f t="shared" ref="H98:H129" si="22">G99</f>
        <v>0.35485711534836589</v>
      </c>
      <c r="I98" s="7">
        <f t="shared" si="16"/>
        <v>0.36476481802465133</v>
      </c>
      <c r="J98" s="7">
        <f t="shared" si="17"/>
        <v>0.35082107317545957</v>
      </c>
      <c r="K98" s="7">
        <f t="shared" si="18"/>
        <v>4.2577133562440742E-4</v>
      </c>
    </row>
    <row r="99" spans="1:11" ht="15" customHeight="1" x14ac:dyDescent="0.25">
      <c r="A99" s="2">
        <v>97</v>
      </c>
      <c r="B99" s="7">
        <v>0</v>
      </c>
      <c r="C99" s="7">
        <f t="shared" ref="C99:C130" si="23">EXP(D99)</f>
        <v>1.0001453877019599</v>
      </c>
      <c r="D99" s="7">
        <f t="shared" ref="D99:D130" si="24">E98</f>
        <v>1.4537713419225442E-4</v>
      </c>
      <c r="E99" s="7">
        <f t="shared" si="13"/>
        <v>1.381082774826417E-4</v>
      </c>
      <c r="F99" s="7">
        <f t="shared" si="14"/>
        <v>0.37037037037037035</v>
      </c>
      <c r="G99" s="7">
        <f t="shared" ref="G99:G130" si="25">(($C99*$G98^$N$1*$F99^(1-$N$1)*(($N$2*$N$1*$N$4)/(1-$N$2*(1-$N$1))))^$N$4)*($N$5*$G98^(1-$N$4))</f>
        <v>0.35485711534836589</v>
      </c>
      <c r="H99" s="7">
        <f t="shared" si="22"/>
        <v>0.35485705176210025</v>
      </c>
      <c r="I99" s="7">
        <f t="shared" si="16"/>
        <v>0.36476200466174491</v>
      </c>
      <c r="J99" s="7">
        <f t="shared" si="17"/>
        <v>0.35081836735805255</v>
      </c>
      <c r="K99" s="7">
        <f t="shared" si="18"/>
        <v>4.2576805172962626E-4</v>
      </c>
    </row>
    <row r="100" spans="1:11" ht="15" customHeight="1" x14ac:dyDescent="0.25">
      <c r="A100" s="2">
        <v>98</v>
      </c>
      <c r="B100" s="7">
        <v>0</v>
      </c>
      <c r="C100" s="7">
        <f t="shared" si="23"/>
        <v>1.0001381178148698</v>
      </c>
      <c r="D100" s="7">
        <f t="shared" si="24"/>
        <v>1.381082774826417E-4</v>
      </c>
      <c r="E100" s="7">
        <f t="shared" si="13"/>
        <v>1.312028636085096E-4</v>
      </c>
      <c r="F100" s="7">
        <f t="shared" si="14"/>
        <v>0.37037037037037035</v>
      </c>
      <c r="G100" s="7">
        <f t="shared" si="25"/>
        <v>0.35485705176210025</v>
      </c>
      <c r="H100" s="7">
        <f t="shared" si="22"/>
        <v>0.35485698528415904</v>
      </c>
      <c r="I100" s="7">
        <f t="shared" si="16"/>
        <v>0.36475932973880754</v>
      </c>
      <c r="J100" s="7">
        <f t="shared" si="17"/>
        <v>0.35081579468851543</v>
      </c>
      <c r="K100" s="7">
        <f t="shared" si="18"/>
        <v>4.257649294287478E-4</v>
      </c>
    </row>
    <row r="101" spans="1:11" ht="15" customHeight="1" x14ac:dyDescent="0.25">
      <c r="A101" s="2">
        <v>99</v>
      </c>
      <c r="B101" s="7">
        <v>0</v>
      </c>
      <c r="C101" s="7">
        <f t="shared" si="23"/>
        <v>1.0001312114710807</v>
      </c>
      <c r="D101" s="7">
        <f t="shared" si="24"/>
        <v>1.312028636085096E-4</v>
      </c>
      <c r="E101" s="7">
        <f t="shared" si="13"/>
        <v>1.2464272042808411E-4</v>
      </c>
      <c r="F101" s="7">
        <f t="shared" si="14"/>
        <v>0.37037037037037035</v>
      </c>
      <c r="G101" s="7">
        <f t="shared" si="25"/>
        <v>0.35485698528415904</v>
      </c>
      <c r="H101" s="7">
        <f t="shared" si="22"/>
        <v>0.35485691606379077</v>
      </c>
      <c r="I101" s="7">
        <f t="shared" si="16"/>
        <v>0.36475678633365399</v>
      </c>
      <c r="J101" s="7">
        <f t="shared" si="17"/>
        <v>0.35081334850927504</v>
      </c>
      <c r="K101" s="7">
        <f t="shared" si="18"/>
        <v>4.2576196064185895E-4</v>
      </c>
    </row>
    <row r="102" spans="1:11" ht="15" customHeight="1" x14ac:dyDescent="0.25">
      <c r="A102" s="2">
        <v>100</v>
      </c>
      <c r="B102" s="7">
        <v>0</v>
      </c>
      <c r="C102" s="7">
        <f t="shared" si="23"/>
        <v>1.0001246504886547</v>
      </c>
      <c r="D102" s="7">
        <f t="shared" si="24"/>
        <v>1.2464272042808411E-4</v>
      </c>
      <c r="E102" s="7">
        <f t="shared" si="13"/>
        <v>1.184105844066799E-4</v>
      </c>
      <c r="F102" s="7">
        <f t="shared" si="14"/>
        <v>0.37037037037037035</v>
      </c>
      <c r="G102" s="7">
        <f t="shared" si="25"/>
        <v>0.35485691606379077</v>
      </c>
      <c r="H102" s="7">
        <f t="shared" si="22"/>
        <v>0.3548568442427778</v>
      </c>
      <c r="I102" s="7">
        <f t="shared" si="16"/>
        <v>0.36475436787039256</v>
      </c>
      <c r="J102" s="7">
        <f t="shared" si="17"/>
        <v>0.35081102249581408</v>
      </c>
      <c r="K102" s="7">
        <f t="shared" si="18"/>
        <v>4.257591376932573E-4</v>
      </c>
    </row>
    <row r="103" spans="1:11" ht="15" customHeight="1" x14ac:dyDescent="0.25">
      <c r="A103" s="2">
        <v>101</v>
      </c>
      <c r="B103" s="7">
        <v>0</v>
      </c>
      <c r="C103" s="7">
        <f t="shared" si="23"/>
        <v>1.0001184175952167</v>
      </c>
      <c r="D103" s="7">
        <f t="shared" si="24"/>
        <v>1.184105844066799E-4</v>
      </c>
      <c r="E103" s="7">
        <f t="shared" si="13"/>
        <v>1.1249005518634589E-4</v>
      </c>
      <c r="F103" s="7">
        <f t="shared" si="14"/>
        <v>0.37037037037037035</v>
      </c>
      <c r="G103" s="7">
        <f t="shared" si="25"/>
        <v>0.3548568442427778</v>
      </c>
      <c r="H103" s="7">
        <f t="shared" si="22"/>
        <v>0.35485676995581006</v>
      </c>
      <c r="I103" s="7">
        <f t="shared" si="16"/>
        <v>0.36475206810209265</v>
      </c>
      <c r="J103" s="7">
        <f t="shared" si="17"/>
        <v>0.3508088106400013</v>
      </c>
      <c r="K103" s="7">
        <f t="shared" si="18"/>
        <v>4.2575645329121989E-4</v>
      </c>
    </row>
    <row r="104" spans="1:11" ht="15" customHeight="1" x14ac:dyDescent="0.25">
      <c r="A104" s="2">
        <v>102</v>
      </c>
      <c r="B104" s="7">
        <v>0</v>
      </c>
      <c r="C104" s="7">
        <f t="shared" si="23"/>
        <v>1.0001124963824299</v>
      </c>
      <c r="D104" s="7">
        <f t="shared" si="24"/>
        <v>1.1249005518634589E-4</v>
      </c>
      <c r="E104" s="7">
        <f t="shared" si="13"/>
        <v>1.0686555242702859E-4</v>
      </c>
      <c r="F104" s="7">
        <f t="shared" si="14"/>
        <v>0.37037037037037035</v>
      </c>
      <c r="G104" s="7">
        <f t="shared" si="25"/>
        <v>0.35485676995581006</v>
      </c>
      <c r="H104" s="7">
        <f t="shared" si="22"/>
        <v>0.35485669333083925</v>
      </c>
      <c r="I104" s="7">
        <f t="shared" si="16"/>
        <v>0.36474988109432027</v>
      </c>
      <c r="J104" s="7">
        <f t="shared" si="17"/>
        <v>0.3508067072342565</v>
      </c>
      <c r="K104" s="7">
        <f t="shared" si="18"/>
        <v>4.2575390050878518E-4</v>
      </c>
    </row>
    <row r="105" spans="1:11" ht="15" customHeight="1" x14ac:dyDescent="0.25">
      <c r="A105" s="2">
        <v>103</v>
      </c>
      <c r="B105" s="7">
        <v>0</v>
      </c>
      <c r="C105" s="7">
        <f t="shared" si="23"/>
        <v>1.0001068712627537</v>
      </c>
      <c r="D105" s="7">
        <f t="shared" si="24"/>
        <v>1.0686555242702859E-4</v>
      </c>
      <c r="E105" s="7">
        <f t="shared" si="13"/>
        <v>1.0152227480567715E-4</v>
      </c>
      <c r="F105" s="7">
        <f t="shared" si="14"/>
        <v>0.37037037037037035</v>
      </c>
      <c r="G105" s="7">
        <f t="shared" si="25"/>
        <v>0.35485669333083925</v>
      </c>
      <c r="H105" s="7">
        <f t="shared" si="22"/>
        <v>0.35485661448941602</v>
      </c>
      <c r="I105" s="7">
        <f t="shared" si="16"/>
        <v>0.36474780120949862</v>
      </c>
      <c r="J105" s="7">
        <f t="shared" si="17"/>
        <v>0.35080470685650855</v>
      </c>
      <c r="K105" s="7">
        <f t="shared" si="18"/>
        <v>4.2575147276549769E-4</v>
      </c>
    </row>
    <row r="106" spans="1:11" ht="15" customHeight="1" x14ac:dyDescent="0.25">
      <c r="A106" s="2">
        <v>104</v>
      </c>
      <c r="B106" s="7">
        <v>0</v>
      </c>
      <c r="C106" s="7">
        <f t="shared" si="23"/>
        <v>1.0001015274283662</v>
      </c>
      <c r="D106" s="7">
        <f t="shared" si="24"/>
        <v>1.0152227480567715E-4</v>
      </c>
      <c r="E106" s="7">
        <f t="shared" si="13"/>
        <v>9.6446161065393286E-5</v>
      </c>
      <c r="F106" s="7">
        <f t="shared" si="14"/>
        <v>0.37037037037037035</v>
      </c>
      <c r="G106" s="7">
        <f t="shared" si="25"/>
        <v>0.35485661448941602</v>
      </c>
      <c r="H106" s="7">
        <f t="shared" si="22"/>
        <v>0.35485653354700991</v>
      </c>
      <c r="I106" s="7">
        <f t="shared" si="16"/>
        <v>0.36474582309205139</v>
      </c>
      <c r="J106" s="7">
        <f t="shared" si="17"/>
        <v>0.35080280435590699</v>
      </c>
      <c r="K106" s="7">
        <f t="shared" si="18"/>
        <v>4.2574916381006697E-4</v>
      </c>
    </row>
    <row r="107" spans="1:11" ht="15" customHeight="1" x14ac:dyDescent="0.25">
      <c r="A107" s="2">
        <v>105</v>
      </c>
      <c r="B107" s="7">
        <v>0</v>
      </c>
      <c r="C107" s="7">
        <f t="shared" si="23"/>
        <v>1.0000964508121459</v>
      </c>
      <c r="D107" s="7">
        <f t="shared" si="24"/>
        <v>9.6446161065393286E-5</v>
      </c>
      <c r="E107" s="7">
        <f t="shared" si="13"/>
        <v>9.1623853012123623E-5</v>
      </c>
      <c r="F107" s="7">
        <f t="shared" si="14"/>
        <v>0.37037037037037035</v>
      </c>
      <c r="G107" s="7">
        <f t="shared" si="25"/>
        <v>0.35485653354700991</v>
      </c>
      <c r="H107" s="7">
        <f t="shared" si="22"/>
        <v>0.3548564506133135</v>
      </c>
      <c r="I107" s="7">
        <f t="shared" si="16"/>
        <v>0.36474394165429153</v>
      </c>
      <c r="J107" s="7">
        <f t="shared" si="17"/>
        <v>0.3508009948392502</v>
      </c>
      <c r="K107" s="7">
        <f t="shared" si="18"/>
        <v>4.2574696770389571E-4</v>
      </c>
    </row>
    <row r="108" spans="1:11" ht="15" customHeight="1" x14ac:dyDescent="0.25">
      <c r="A108" s="2">
        <v>106</v>
      </c>
      <c r="B108" s="7">
        <v>0</v>
      </c>
      <c r="C108" s="7">
        <f t="shared" si="23"/>
        <v>1.0000916280506056</v>
      </c>
      <c r="D108" s="7">
        <f t="shared" si="24"/>
        <v>9.1623853012123623E-5</v>
      </c>
      <c r="E108" s="7">
        <f t="shared" si="13"/>
        <v>8.7042660361517433E-5</v>
      </c>
      <c r="F108" s="7">
        <f t="shared" si="14"/>
        <v>0.37037037037037035</v>
      </c>
      <c r="G108" s="7">
        <f t="shared" si="25"/>
        <v>0.3548564506133135</v>
      </c>
      <c r="H108" s="7">
        <f t="shared" si="22"/>
        <v>0.3548563657925311</v>
      </c>
      <c r="I108" s="7">
        <f t="shared" si="16"/>
        <v>0.36474215206301552</v>
      </c>
      <c r="J108" s="7">
        <f t="shared" si="17"/>
        <v>0.35079927365809194</v>
      </c>
      <c r="K108" s="7">
        <f t="shared" si="18"/>
        <v>4.2574487880543249E-4</v>
      </c>
    </row>
    <row r="109" spans="1:11" ht="15" customHeight="1" x14ac:dyDescent="0.25">
      <c r="A109" s="2">
        <v>107</v>
      </c>
      <c r="B109" s="7">
        <v>0</v>
      </c>
      <c r="C109" s="7">
        <f t="shared" si="23"/>
        <v>1.0000870464486837</v>
      </c>
      <c r="D109" s="7">
        <f t="shared" si="24"/>
        <v>8.7042660361517433E-5</v>
      </c>
      <c r="E109" s="7">
        <f t="shared" si="13"/>
        <v>8.2690527343441561E-5</v>
      </c>
      <c r="F109" s="7">
        <f t="shared" si="14"/>
        <v>0.37037037037037035</v>
      </c>
      <c r="G109" s="7">
        <f t="shared" si="25"/>
        <v>0.3548563657925311</v>
      </c>
      <c r="H109" s="7">
        <f t="shared" si="22"/>
        <v>0.3548562791836532</v>
      </c>
      <c r="I109" s="7">
        <f t="shared" si="16"/>
        <v>0.36474044972676933</v>
      </c>
      <c r="J109" s="7">
        <f t="shared" si="17"/>
        <v>0.35079763639649408</v>
      </c>
      <c r="K109" s="7">
        <f t="shared" si="18"/>
        <v>4.2574289175530757E-4</v>
      </c>
    </row>
    <row r="110" spans="1:11" ht="15" customHeight="1" x14ac:dyDescent="0.25">
      <c r="A110" s="2">
        <v>108</v>
      </c>
      <c r="B110" s="7">
        <v>0</v>
      </c>
      <c r="C110" s="7">
        <f t="shared" si="23"/>
        <v>1.0000826939462992</v>
      </c>
      <c r="D110" s="7">
        <f t="shared" si="24"/>
        <v>8.2690527343441561E-5</v>
      </c>
      <c r="E110" s="7">
        <f t="shared" si="13"/>
        <v>7.8556000976269478E-5</v>
      </c>
      <c r="F110" s="7">
        <f t="shared" si="14"/>
        <v>0.37037037037037035</v>
      </c>
      <c r="G110" s="7">
        <f t="shared" si="25"/>
        <v>0.3548562791836532</v>
      </c>
      <c r="H110" s="7">
        <f t="shared" si="22"/>
        <v>0.35485619088071724</v>
      </c>
      <c r="I110" s="7">
        <f t="shared" si="16"/>
        <v>0.36473883028375237</v>
      </c>
      <c r="J110" s="7">
        <f t="shared" si="17"/>
        <v>0.35079607885939323</v>
      </c>
      <c r="K110" s="7">
        <f t="shared" si="18"/>
        <v>4.2574100146221396E-4</v>
      </c>
    </row>
    <row r="111" spans="1:11" ht="15" customHeight="1" x14ac:dyDescent="0.25">
      <c r="A111" s="2">
        <v>109</v>
      </c>
      <c r="B111" s="7">
        <v>0</v>
      </c>
      <c r="C111" s="7">
        <f t="shared" si="23"/>
        <v>1.0000785590865797</v>
      </c>
      <c r="D111" s="7">
        <f t="shared" si="24"/>
        <v>7.8556000976269478E-5</v>
      </c>
      <c r="E111" s="7">
        <f t="shared" si="13"/>
        <v>7.4628200927456006E-5</v>
      </c>
      <c r="F111" s="7">
        <f t="shared" si="14"/>
        <v>0.37037037037037035</v>
      </c>
      <c r="G111" s="7">
        <f t="shared" si="25"/>
        <v>0.35485619088071724</v>
      </c>
      <c r="H111" s="7">
        <f t="shared" si="22"/>
        <v>0.35485610097305537</v>
      </c>
      <c r="I111" s="7">
        <f t="shared" si="16"/>
        <v>0.36473728959032692</v>
      </c>
      <c r="J111" s="7">
        <f t="shared" si="17"/>
        <v>0.35079459706154914</v>
      </c>
      <c r="K111" s="7">
        <f t="shared" si="18"/>
        <v>4.257392030894951E-4</v>
      </c>
    </row>
    <row r="112" spans="1:11" ht="15" customHeight="1" x14ac:dyDescent="0.25">
      <c r="A112" s="2">
        <v>110</v>
      </c>
      <c r="B112" s="7">
        <v>0</v>
      </c>
      <c r="C112" s="7">
        <f t="shared" si="23"/>
        <v>1.0000746309856809</v>
      </c>
      <c r="D112" s="7">
        <f t="shared" si="24"/>
        <v>7.4628200927456006E-5</v>
      </c>
      <c r="E112" s="7">
        <f t="shared" si="13"/>
        <v>7.0896790881083205E-5</v>
      </c>
      <c r="F112" s="7">
        <f t="shared" si="14"/>
        <v>0.37037037037037035</v>
      </c>
      <c r="G112" s="7">
        <f t="shared" si="25"/>
        <v>0.35485610097305537</v>
      </c>
      <c r="H112" s="7">
        <f t="shared" si="22"/>
        <v>0.35485600954552943</v>
      </c>
      <c r="I112" s="7">
        <f t="shared" si="16"/>
        <v>0.36473582371010216</v>
      </c>
      <c r="J112" s="7">
        <f t="shared" si="17"/>
        <v>0.35079318721704611</v>
      </c>
      <c r="K112" s="7">
        <f t="shared" si="18"/>
        <v>4.2573749204240306E-4</v>
      </c>
    </row>
    <row r="113" spans="1:11" ht="15" customHeight="1" x14ac:dyDescent="0.25">
      <c r="A113" s="2">
        <v>111</v>
      </c>
      <c r="B113" s="7">
        <v>0</v>
      </c>
      <c r="C113" s="7">
        <f t="shared" si="23"/>
        <v>1.0000708993041179</v>
      </c>
      <c r="D113" s="7">
        <f t="shared" si="24"/>
        <v>7.0896790881083205E-5</v>
      </c>
      <c r="E113" s="7">
        <f t="shared" si="13"/>
        <v>6.7351951337029037E-5</v>
      </c>
      <c r="F113" s="7">
        <f t="shared" si="14"/>
        <v>0.37037037037037035</v>
      </c>
      <c r="G113" s="7">
        <f t="shared" si="25"/>
        <v>0.35485600954552943</v>
      </c>
      <c r="H113" s="7">
        <f t="shared" si="22"/>
        <v>0.3548559166787546</v>
      </c>
      <c r="I113" s="7">
        <f t="shared" si="16"/>
        <v>0.36473442890356622</v>
      </c>
      <c r="J113" s="7">
        <f t="shared" si="17"/>
        <v>0.35079184572932132</v>
      </c>
      <c r="K113" s="7">
        <f t="shared" si="18"/>
        <v>4.257358639559967E-4</v>
      </c>
    </row>
    <row r="114" spans="1:11" ht="15" customHeight="1" x14ac:dyDescent="0.25">
      <c r="A114" s="2">
        <v>112</v>
      </c>
      <c r="B114" s="7">
        <v>0</v>
      </c>
      <c r="C114" s="7">
        <f t="shared" si="23"/>
        <v>1.0000673542195306</v>
      </c>
      <c r="D114" s="7">
        <f t="shared" si="24"/>
        <v>6.7351951337029037E-5</v>
      </c>
      <c r="E114" s="7">
        <f t="shared" si="13"/>
        <v>6.3984353770177584E-5</v>
      </c>
      <c r="F114" s="7">
        <f t="shared" si="14"/>
        <v>0.37037037037037035</v>
      </c>
      <c r="G114" s="7">
        <f t="shared" si="25"/>
        <v>0.3548559166787546</v>
      </c>
      <c r="H114" s="7">
        <f t="shared" si="22"/>
        <v>0.3548558224493118</v>
      </c>
      <c r="I114" s="7">
        <f t="shared" si="16"/>
        <v>0.36473310161823597</v>
      </c>
      <c r="J114" s="7">
        <f t="shared" si="17"/>
        <v>0.35079056918169127</v>
      </c>
      <c r="K114" s="7">
        <f t="shared" si="18"/>
        <v>4.2573431468364398E-4</v>
      </c>
    </row>
    <row r="115" spans="1:11" ht="15" customHeight="1" x14ac:dyDescent="0.25">
      <c r="A115" s="2">
        <v>113</v>
      </c>
      <c r="B115" s="7">
        <v>0</v>
      </c>
      <c r="C115" s="7">
        <f t="shared" si="23"/>
        <v>1.0000639864008125</v>
      </c>
      <c r="D115" s="7">
        <f t="shared" si="24"/>
        <v>6.3984353770177584E-5</v>
      </c>
      <c r="E115" s="7">
        <f t="shared" si="13"/>
        <v>6.0785136081668701E-5</v>
      </c>
      <c r="F115" s="7">
        <f t="shared" si="14"/>
        <v>0.37037037037037035</v>
      </c>
      <c r="G115" s="7">
        <f t="shared" si="25"/>
        <v>0.3548558224493118</v>
      </c>
      <c r="H115" s="7">
        <f t="shared" si="22"/>
        <v>0.35485572692994932</v>
      </c>
      <c r="I115" s="7">
        <f t="shared" si="16"/>
        <v>0.36473183847930002</v>
      </c>
      <c r="J115" s="7">
        <f t="shared" si="17"/>
        <v>0.3507893543283524</v>
      </c>
      <c r="K115" s="7">
        <f t="shared" si="18"/>
        <v>4.2573284028609993E-4</v>
      </c>
    </row>
    <row r="116" spans="1:11" ht="15" customHeight="1" x14ac:dyDescent="0.25">
      <c r="A116" s="2">
        <v>114</v>
      </c>
      <c r="B116" s="7">
        <v>0</v>
      </c>
      <c r="C116" s="7">
        <f t="shared" si="23"/>
        <v>1.0000607869835354</v>
      </c>
      <c r="D116" s="7">
        <f t="shared" si="24"/>
        <v>6.0785136081668701E-5</v>
      </c>
      <c r="E116" s="7">
        <f t="shared" si="13"/>
        <v>5.7745879277585261E-5</v>
      </c>
      <c r="F116" s="7">
        <f t="shared" si="14"/>
        <v>0.37037037037037035</v>
      </c>
      <c r="G116" s="7">
        <f t="shared" si="25"/>
        <v>0.35485572692994932</v>
      </c>
      <c r="H116" s="7">
        <f t="shared" si="22"/>
        <v>0.35485563018977456</v>
      </c>
      <c r="I116" s="7">
        <f t="shared" si="16"/>
        <v>0.36473063628073077</v>
      </c>
      <c r="J116" s="7">
        <f t="shared" si="17"/>
        <v>0.35078819808583289</v>
      </c>
      <c r="K116" s="7">
        <f t="shared" si="18"/>
        <v>4.2573143702113244E-4</v>
      </c>
    </row>
    <row r="117" spans="1:11" ht="15" customHeight="1" x14ac:dyDescent="0.25">
      <c r="A117" s="2">
        <v>115</v>
      </c>
      <c r="B117" s="7">
        <v>0</v>
      </c>
      <c r="C117" s="7">
        <f t="shared" si="23"/>
        <v>1.000057747546603</v>
      </c>
      <c r="D117" s="7">
        <f t="shared" si="24"/>
        <v>5.7745879277585261E-5</v>
      </c>
      <c r="E117" s="7">
        <f t="shared" si="13"/>
        <v>5.4858585313705993E-5</v>
      </c>
      <c r="F117" s="7">
        <f t="shared" si="14"/>
        <v>0.37037037037037035</v>
      </c>
      <c r="G117" s="7">
        <f t="shared" si="25"/>
        <v>0.35485563018977456</v>
      </c>
      <c r="H117" s="7">
        <f t="shared" si="22"/>
        <v>0.35485553229443589</v>
      </c>
      <c r="I117" s="7">
        <f t="shared" si="16"/>
        <v>0.36472949197684085</v>
      </c>
      <c r="J117" s="7">
        <f t="shared" si="17"/>
        <v>0.35078709752487175</v>
      </c>
      <c r="K117" s="7">
        <f t="shared" si="18"/>
        <v>4.2573010133366615E-4</v>
      </c>
    </row>
    <row r="118" spans="1:11" ht="15" customHeight="1" x14ac:dyDescent="0.25">
      <c r="A118" s="2">
        <v>116</v>
      </c>
      <c r="B118" s="7">
        <v>0</v>
      </c>
      <c r="C118" s="7">
        <f t="shared" si="23"/>
        <v>1.0000548600900734</v>
      </c>
      <c r="D118" s="7">
        <f t="shared" si="24"/>
        <v>5.4858585313705993E-5</v>
      </c>
      <c r="E118" s="7">
        <f t="shared" si="13"/>
        <v>5.2115656048020689E-5</v>
      </c>
      <c r="F118" s="7">
        <f t="shared" si="14"/>
        <v>0.37037037037037035</v>
      </c>
      <c r="G118" s="7">
        <f t="shared" si="25"/>
        <v>0.35485553229443589</v>
      </c>
      <c r="H118" s="7">
        <f t="shared" si="22"/>
        <v>0.35485543330629582</v>
      </c>
      <c r="I118" s="7">
        <f t="shared" si="16"/>
        <v>0.36472840267426193</v>
      </c>
      <c r="J118" s="7">
        <f t="shared" si="17"/>
        <v>0.35078604986270462</v>
      </c>
      <c r="K118" s="7">
        <f t="shared" si="18"/>
        <v>4.257288298464201E-4</v>
      </c>
    </row>
    <row r="119" spans="1:11" ht="15" customHeight="1" x14ac:dyDescent="0.25">
      <c r="A119" s="2">
        <v>117</v>
      </c>
      <c r="B119" s="7">
        <v>0</v>
      </c>
      <c r="C119" s="7">
        <f t="shared" si="23"/>
        <v>1.0000521170140924</v>
      </c>
      <c r="D119" s="7">
        <f t="shared" si="24"/>
        <v>5.2115656048020689E-5</v>
      </c>
      <c r="E119" s="7">
        <f t="shared" si="13"/>
        <v>4.9509873245619651E-5</v>
      </c>
      <c r="F119" s="7">
        <f t="shared" si="14"/>
        <v>0.37037037037037035</v>
      </c>
      <c r="G119" s="7">
        <f t="shared" si="25"/>
        <v>0.35485543330629582</v>
      </c>
      <c r="H119" s="7">
        <f t="shared" si="22"/>
        <v>0.35485533328459512</v>
      </c>
      <c r="I119" s="7">
        <f t="shared" si="16"/>
        <v>0.36472736562432573</v>
      </c>
      <c r="J119" s="7">
        <f t="shared" si="17"/>
        <v>0.3507850524557356</v>
      </c>
      <c r="K119" s="7">
        <f t="shared" si="18"/>
        <v>4.2572761935101425E-4</v>
      </c>
    </row>
    <row r="120" spans="1:11" ht="15" customHeight="1" x14ac:dyDescent="0.25">
      <c r="A120" s="2">
        <v>118</v>
      </c>
      <c r="B120" s="7">
        <v>0</v>
      </c>
      <c r="C120" s="7">
        <f t="shared" si="23"/>
        <v>1.0000495110988796</v>
      </c>
      <c r="D120" s="7">
        <f t="shared" si="24"/>
        <v>4.9509873245619651E-5</v>
      </c>
      <c r="E120" s="7">
        <f t="shared" si="13"/>
        <v>4.7034379583338669E-5</v>
      </c>
      <c r="F120" s="7">
        <f t="shared" si="14"/>
        <v>0.37037037037037035</v>
      </c>
      <c r="G120" s="7">
        <f t="shared" si="25"/>
        <v>0.35485533328459512</v>
      </c>
      <c r="H120" s="7">
        <f t="shared" si="22"/>
        <v>0.35485523228560889</v>
      </c>
      <c r="I120" s="7">
        <f t="shared" si="16"/>
        <v>0.36472637821582538</v>
      </c>
      <c r="J120" s="7">
        <f t="shared" si="17"/>
        <v>0.35078410279257555</v>
      </c>
      <c r="K120" s="7">
        <f t="shared" si="18"/>
        <v>4.2572646679952018E-4</v>
      </c>
    </row>
    <row r="121" spans="1:11" ht="15" customHeight="1" x14ac:dyDescent="0.25">
      <c r="A121" s="2">
        <v>119</v>
      </c>
      <c r="B121" s="7">
        <v>0</v>
      </c>
      <c r="C121" s="7">
        <f t="shared" si="23"/>
        <v>1.0000470354857172</v>
      </c>
      <c r="D121" s="7">
        <f t="shared" si="24"/>
        <v>4.7034379583338669E-5</v>
      </c>
      <c r="E121" s="7">
        <f t="shared" si="13"/>
        <v>4.4682660604171731E-5</v>
      </c>
      <c r="F121" s="7">
        <f t="shared" si="14"/>
        <v>0.37037037037037035</v>
      </c>
      <c r="G121" s="7">
        <f t="shared" si="25"/>
        <v>0.35485523228560889</v>
      </c>
      <c r="H121" s="7">
        <f t="shared" si="22"/>
        <v>0.35485513036279515</v>
      </c>
      <c r="I121" s="7">
        <f t="shared" si="16"/>
        <v>0.36472543796813978</v>
      </c>
      <c r="J121" s="7">
        <f t="shared" si="17"/>
        <v>0.35078319848742928</v>
      </c>
      <c r="K121" s="7">
        <f t="shared" si="18"/>
        <v>4.2572536929643562E-4</v>
      </c>
    </row>
    <row r="122" spans="1:11" ht="15" customHeight="1" x14ac:dyDescent="0.25">
      <c r="A122" s="2">
        <v>120</v>
      </c>
      <c r="B122" s="7">
        <v>0</v>
      </c>
      <c r="C122" s="7">
        <f t="shared" si="23"/>
        <v>1.0000446836588892</v>
      </c>
      <c r="D122" s="7">
        <f t="shared" si="24"/>
        <v>4.4682660604171731E-5</v>
      </c>
      <c r="E122" s="7">
        <f t="shared" si="13"/>
        <v>4.2448527573963144E-5</v>
      </c>
      <c r="F122" s="7">
        <f t="shared" si="14"/>
        <v>0.37037037037037035</v>
      </c>
      <c r="G122" s="7">
        <f t="shared" si="25"/>
        <v>0.35485513036279515</v>
      </c>
      <c r="H122" s="7">
        <f t="shared" si="22"/>
        <v>0.35485502756693532</v>
      </c>
      <c r="I122" s="7">
        <f t="shared" si="16"/>
        <v>0.36472454252470166</v>
      </c>
      <c r="J122" s="7">
        <f t="shared" si="17"/>
        <v>0.3507823372738133</v>
      </c>
      <c r="K122" s="7">
        <f t="shared" si="18"/>
        <v>4.2572432409106002E-4</v>
      </c>
    </row>
    <row r="123" spans="1:11" ht="15" customHeight="1" x14ac:dyDescent="0.25">
      <c r="A123" s="2">
        <v>121</v>
      </c>
      <c r="B123" s="7">
        <v>0</v>
      </c>
      <c r="C123" s="7">
        <f t="shared" si="23"/>
        <v>1.0000424494285254</v>
      </c>
      <c r="D123" s="7">
        <f t="shared" si="24"/>
        <v>4.2448527573963144E-5</v>
      </c>
      <c r="E123" s="7">
        <f t="shared" si="13"/>
        <v>4.0326101195264983E-5</v>
      </c>
      <c r="F123" s="7">
        <f t="shared" si="14"/>
        <v>0.37037037037037035</v>
      </c>
      <c r="G123" s="7">
        <f t="shared" si="25"/>
        <v>0.35485502756693532</v>
      </c>
      <c r="H123" s="7">
        <f t="shared" si="22"/>
        <v>0.35485492394626844</v>
      </c>
      <c r="I123" s="7">
        <f t="shared" si="16"/>
        <v>0.36472368964679241</v>
      </c>
      <c r="J123" s="7">
        <f t="shared" si="17"/>
        <v>0.35078151699858767</v>
      </c>
      <c r="K123" s="7">
        <f t="shared" si="18"/>
        <v>4.2572332857025155E-4</v>
      </c>
    </row>
    <row r="124" spans="1:11" ht="15" customHeight="1" x14ac:dyDescent="0.25">
      <c r="A124" s="2">
        <v>122</v>
      </c>
      <c r="B124" s="7">
        <v>0</v>
      </c>
      <c r="C124" s="7">
        <f t="shared" si="23"/>
        <v>1.0000403269143034</v>
      </c>
      <c r="D124" s="7">
        <f t="shared" si="24"/>
        <v>4.0326101195264983E-5</v>
      </c>
      <c r="E124" s="7">
        <f t="shared" si="13"/>
        <v>3.830979613550173E-5</v>
      </c>
      <c r="F124" s="7">
        <f t="shared" si="14"/>
        <v>0.37037037037037035</v>
      </c>
      <c r="G124" s="7">
        <f t="shared" si="25"/>
        <v>0.35485492394626844</v>
      </c>
      <c r="H124" s="7">
        <f t="shared" si="22"/>
        <v>0.35485481954661774</v>
      </c>
      <c r="I124" s="7">
        <f t="shared" si="16"/>
        <v>0.36472287720764801</v>
      </c>
      <c r="J124" s="7">
        <f t="shared" si="17"/>
        <v>0.35078073561628748</v>
      </c>
      <c r="K124" s="7">
        <f t="shared" si="18"/>
        <v>4.2572238025154717E-4</v>
      </c>
    </row>
    <row r="125" spans="1:11" ht="15" customHeight="1" x14ac:dyDescent="0.25">
      <c r="A125" s="2">
        <v>123</v>
      </c>
      <c r="B125" s="7">
        <v>0</v>
      </c>
      <c r="C125" s="7">
        <f t="shared" si="23"/>
        <v>1.0000383105299651</v>
      </c>
      <c r="D125" s="7">
        <f t="shared" si="24"/>
        <v>3.830979613550173E-5</v>
      </c>
      <c r="E125" s="7">
        <f t="shared" si="13"/>
        <v>3.6394306328726644E-5</v>
      </c>
      <c r="F125" s="7">
        <f t="shared" si="14"/>
        <v>0.37037037037037035</v>
      </c>
      <c r="G125" s="7">
        <f t="shared" si="25"/>
        <v>0.35485481954661774</v>
      </c>
      <c r="H125" s="7">
        <f t="shared" si="22"/>
        <v>0.35485471441151195</v>
      </c>
      <c r="I125" s="7">
        <f t="shared" si="16"/>
        <v>0.36472210318685871</v>
      </c>
      <c r="J125" s="7">
        <f t="shared" si="17"/>
        <v>0.35077999118373659</v>
      </c>
      <c r="K125" s="7">
        <f t="shared" si="18"/>
        <v>4.2572147677662588E-4</v>
      </c>
    </row>
    <row r="126" spans="1:11" ht="15" customHeight="1" x14ac:dyDescent="0.25">
      <c r="A126" s="2">
        <v>124</v>
      </c>
      <c r="B126" s="7">
        <v>0</v>
      </c>
      <c r="C126" s="7">
        <f t="shared" si="23"/>
        <v>1.0000363949686095</v>
      </c>
      <c r="D126" s="7">
        <f t="shared" si="24"/>
        <v>3.6394306328726644E-5</v>
      </c>
      <c r="E126" s="7">
        <f t="shared" si="13"/>
        <v>3.4574591012290307E-5</v>
      </c>
      <c r="F126" s="7">
        <f t="shared" si="14"/>
        <v>0.37037037037037035</v>
      </c>
      <c r="G126" s="7">
        <f t="shared" si="25"/>
        <v>0.35485471441151195</v>
      </c>
      <c r="H126" s="7">
        <f t="shared" si="22"/>
        <v>0.35485460858229978</v>
      </c>
      <c r="I126" s="7">
        <f t="shared" si="16"/>
        <v>0.36472136566505003</v>
      </c>
      <c r="J126" s="7">
        <f t="shared" si="17"/>
        <v>0.35077928185493173</v>
      </c>
      <c r="K126" s="7">
        <f t="shared" si="18"/>
        <v>4.2572061590509985E-4</v>
      </c>
    </row>
    <row r="127" spans="1:11" ht="15" customHeight="1" x14ac:dyDescent="0.25">
      <c r="A127" s="2">
        <v>125</v>
      </c>
      <c r="B127" s="7">
        <v>0</v>
      </c>
      <c r="C127" s="7">
        <f t="shared" si="23"/>
        <v>1.0000345751887203</v>
      </c>
      <c r="D127" s="7">
        <f t="shared" si="24"/>
        <v>3.4574591012290307E-5</v>
      </c>
      <c r="E127" s="7">
        <f t="shared" si="13"/>
        <v>3.2845861461675792E-5</v>
      </c>
      <c r="F127" s="7">
        <f t="shared" si="14"/>
        <v>0.37037037037037035</v>
      </c>
      <c r="G127" s="7">
        <f t="shared" si="25"/>
        <v>0.35485460858229978</v>
      </c>
      <c r="H127" s="7">
        <f t="shared" si="22"/>
        <v>0.35485450209825908</v>
      </c>
      <c r="I127" s="7">
        <f t="shared" si="16"/>
        <v>0.36472066281882953</v>
      </c>
      <c r="J127" s="7">
        <f t="shared" si="17"/>
        <v>0.35077860587618281</v>
      </c>
      <c r="K127" s="7">
        <f t="shared" si="18"/>
        <v>4.257197955086163E-4</v>
      </c>
    </row>
    <row r="128" spans="1:11" ht="15" customHeight="1" x14ac:dyDescent="0.25">
      <c r="A128" s="2">
        <v>126</v>
      </c>
      <c r="B128" s="7">
        <v>0</v>
      </c>
      <c r="C128" s="7">
        <f t="shared" si="23"/>
        <v>1.000032846400893</v>
      </c>
      <c r="D128" s="7">
        <f t="shared" si="24"/>
        <v>3.2845861461675792E-5</v>
      </c>
      <c r="E128" s="7">
        <f t="shared" si="13"/>
        <v>3.1203568388592004E-5</v>
      </c>
      <c r="F128" s="7">
        <f t="shared" si="14"/>
        <v>0.37037037037037035</v>
      </c>
      <c r="G128" s="7">
        <f t="shared" si="25"/>
        <v>0.35485450209825908</v>
      </c>
      <c r="H128" s="7">
        <f t="shared" si="22"/>
        <v>0.35485439499670007</v>
      </c>
      <c r="I128" s="7">
        <f t="shared" si="16"/>
        <v>0.36471999291598595</v>
      </c>
      <c r="J128" s="7">
        <f t="shared" si="17"/>
        <v>0.3507779615814951</v>
      </c>
      <c r="K128" s="7">
        <f t="shared" si="18"/>
        <v>4.2571901356525343E-4</v>
      </c>
    </row>
    <row r="129" spans="1:11" ht="15" customHeight="1" x14ac:dyDescent="0.25">
      <c r="A129" s="2">
        <v>127</v>
      </c>
      <c r="B129" s="7">
        <v>0</v>
      </c>
      <c r="C129" s="7">
        <f t="shared" si="23"/>
        <v>1.0000312040552251</v>
      </c>
      <c r="D129" s="7">
        <f t="shared" si="24"/>
        <v>3.1203568388592004E-5</v>
      </c>
      <c r="E129" s="7">
        <f t="shared" si="13"/>
        <v>2.9643389969162401E-5</v>
      </c>
      <c r="F129" s="7">
        <f t="shared" si="14"/>
        <v>0.37037037037037035</v>
      </c>
      <c r="G129" s="7">
        <f t="shared" si="25"/>
        <v>0.35485439499670007</v>
      </c>
      <c r="H129" s="7">
        <f t="shared" si="22"/>
        <v>0.35485428731306418</v>
      </c>
      <c r="I129" s="7">
        <f t="shared" si="16"/>
        <v>0.36471935431092917</v>
      </c>
      <c r="J129" s="7">
        <f t="shared" si="17"/>
        <v>0.350777347388184</v>
      </c>
      <c r="K129" s="7">
        <f t="shared" si="18"/>
        <v>4.2571826815419807E-4</v>
      </c>
    </row>
    <row r="130" spans="1:11" ht="15" customHeight="1" x14ac:dyDescent="0.25">
      <c r="A130" s="2">
        <v>128</v>
      </c>
      <c r="B130" s="7">
        <v>0</v>
      </c>
      <c r="C130" s="7">
        <f t="shared" si="23"/>
        <v>1.0000296438293388</v>
      </c>
      <c r="D130" s="7">
        <f t="shared" si="24"/>
        <v>2.9643389969162401E-5</v>
      </c>
      <c r="E130" s="7">
        <f t="shared" ref="E130:E193" si="26">$N$6*D130+B130</f>
        <v>2.8161220470704278E-5</v>
      </c>
      <c r="F130" s="7">
        <f t="shared" ref="F130:F193" si="27">((1-$N$2*(1-$N$4))*(1-$N$1))/(((1-$N$2*(1-$N$4))*(1-$N$1))*$N$3+(1-$N$2*(1-$N$4))*(1-$N$1))</f>
        <v>0.37037037037037035</v>
      </c>
      <c r="G130" s="7">
        <f t="shared" si="25"/>
        <v>0.35485428731306418</v>
      </c>
      <c r="H130" s="7">
        <f t="shared" ref="H130:H161" si="28">G131</f>
        <v>0.35485417908101707</v>
      </c>
      <c r="I130" s="7">
        <f t="shared" ref="I130:I193" si="29">$C130*$G130^$N$1*$F130^(1-$N$1)</f>
        <v>0.36471874544035809</v>
      </c>
      <c r="J130" s="7">
        <f t="shared" ref="J130:J193" si="30">$C130*$G130^$N$1*$F130^(1-$N$1)*((1-$N$2*(1-$N$4*(1-$N$1)))/(1-$N$2*(1-$N$4)))</f>
        <v>0.35077676179270817</v>
      </c>
      <c r="K130" s="7">
        <f t="shared" ref="K130:K193" si="31">$C130*$G130^$N$1*$F130^(1-$N$1)*(($N$2*$N$1*$N$4)/(1-$N$2*(1-$N$1)))</f>
        <v>4.2571755745068868E-4</v>
      </c>
    </row>
    <row r="131" spans="1:11" ht="15" customHeight="1" x14ac:dyDescent="0.25">
      <c r="A131" s="2">
        <v>129</v>
      </c>
      <c r="B131" s="7">
        <v>0</v>
      </c>
      <c r="C131" s="7">
        <f t="shared" ref="C131:C162" si="32">EXP(D131)</f>
        <v>1.0000281616170017</v>
      </c>
      <c r="D131" s="7">
        <f t="shared" ref="D131:D162" si="33">E130</f>
        <v>2.8161220470704278E-5</v>
      </c>
      <c r="E131" s="7">
        <f t="shared" si="26"/>
        <v>2.6753159447169063E-5</v>
      </c>
      <c r="F131" s="7">
        <f t="shared" si="27"/>
        <v>0.37037037037037035</v>
      </c>
      <c r="G131" s="7">
        <f t="shared" ref="G131:G162" si="34">(($C131*$G130^$N$1*$F131^(1-$N$1)*(($N$2*$N$1*$N$4)/(1-$N$2*(1-$N$1))))^$N$4)*($N$5*$G130^(1-$N$4))</f>
        <v>0.35485417908101707</v>
      </c>
      <c r="H131" s="7">
        <f t="shared" si="28"/>
        <v>0.35485407033253785</v>
      </c>
      <c r="I131" s="7">
        <f t="shared" si="29"/>
        <v>0.36471816481914482</v>
      </c>
      <c r="J131" s="7">
        <f t="shared" si="30"/>
        <v>0.35077620336671128</v>
      </c>
      <c r="K131" s="7">
        <f t="shared" si="31"/>
        <v>4.2571687972121138E-4</v>
      </c>
    </row>
    <row r="132" spans="1:11" ht="15" customHeight="1" x14ac:dyDescent="0.25">
      <c r="A132" s="2">
        <v>130</v>
      </c>
      <c r="B132" s="7">
        <v>0</v>
      </c>
      <c r="C132" s="7">
        <f t="shared" si="32"/>
        <v>1.0000267535173162</v>
      </c>
      <c r="D132" s="7">
        <f t="shared" si="33"/>
        <v>2.6753159447169063E-5</v>
      </c>
      <c r="E132" s="7">
        <f t="shared" si="26"/>
        <v>2.5415501474810611E-5</v>
      </c>
      <c r="F132" s="7">
        <f t="shared" si="27"/>
        <v>0.37037037037037035</v>
      </c>
      <c r="G132" s="7">
        <f t="shared" si="34"/>
        <v>0.35485407033253785</v>
      </c>
      <c r="H132" s="7">
        <f t="shared" si="28"/>
        <v>0.35485396109800282</v>
      </c>
      <c r="I132" s="7">
        <f t="shared" si="29"/>
        <v>0.3647176110364253</v>
      </c>
      <c r="J132" s="7">
        <f t="shared" si="30"/>
        <v>0.35077567075326183</v>
      </c>
      <c r="K132" s="7">
        <f t="shared" si="31"/>
        <v>4.2571623331893657E-4</v>
      </c>
    </row>
    <row r="133" spans="1:11" ht="15" customHeight="1" x14ac:dyDescent="0.25">
      <c r="A133" s="2">
        <v>131</v>
      </c>
      <c r="B133" s="7">
        <v>0</v>
      </c>
      <c r="C133" s="7">
        <f t="shared" si="32"/>
        <v>1.0000254158244515</v>
      </c>
      <c r="D133" s="7">
        <f t="shared" si="33"/>
        <v>2.5415501474810611E-5</v>
      </c>
      <c r="E133" s="7">
        <f t="shared" si="26"/>
        <v>2.4144726401070077E-5</v>
      </c>
      <c r="F133" s="7">
        <f t="shared" si="27"/>
        <v>0.37037037037037035</v>
      </c>
      <c r="G133" s="7">
        <f t="shared" si="34"/>
        <v>0.35485396109800282</v>
      </c>
      <c r="H133" s="7">
        <f t="shared" si="28"/>
        <v>0.35485385140626619</v>
      </c>
      <c r="I133" s="7">
        <f t="shared" si="29"/>
        <v>0.36471708275188519</v>
      </c>
      <c r="J133" s="7">
        <f t="shared" si="30"/>
        <v>0.35077516266328124</v>
      </c>
      <c r="K133" s="7">
        <f t="shared" si="31"/>
        <v>4.2571561667938384E-4</v>
      </c>
    </row>
    <row r="134" spans="1:11" ht="15" customHeight="1" x14ac:dyDescent="0.25">
      <c r="A134" s="2">
        <v>132</v>
      </c>
      <c r="B134" s="7">
        <v>0</v>
      </c>
      <c r="C134" s="7">
        <f t="shared" si="32"/>
        <v>1.0000241450178873</v>
      </c>
      <c r="D134" s="7">
        <f t="shared" si="33"/>
        <v>2.4144726401070077E-5</v>
      </c>
      <c r="E134" s="7">
        <f t="shared" si="26"/>
        <v>2.2937490081016571E-5</v>
      </c>
      <c r="F134" s="7">
        <f t="shared" si="27"/>
        <v>0.37037037037037035</v>
      </c>
      <c r="G134" s="7">
        <f t="shared" si="34"/>
        <v>0.35485385140626619</v>
      </c>
      <c r="H134" s="7">
        <f t="shared" si="28"/>
        <v>0.35485374128473585</v>
      </c>
      <c r="I134" s="7">
        <f t="shared" si="29"/>
        <v>0.36471657869223179</v>
      </c>
      <c r="J134" s="7">
        <f t="shared" si="30"/>
        <v>0.35077467787215061</v>
      </c>
      <c r="K134" s="7">
        <f t="shared" si="31"/>
        <v>4.2571502831630369E-4</v>
      </c>
    </row>
    <row r="135" spans="1:11" ht="15" customHeight="1" x14ac:dyDescent="0.25">
      <c r="A135" s="2">
        <v>133</v>
      </c>
      <c r="B135" s="7">
        <v>0</v>
      </c>
      <c r="C135" s="7">
        <f t="shared" si="32"/>
        <v>1.0000229377531473</v>
      </c>
      <c r="D135" s="7">
        <f t="shared" si="33"/>
        <v>2.2937490081016571E-5</v>
      </c>
      <c r="E135" s="7">
        <f t="shared" si="26"/>
        <v>2.179061557696574E-5</v>
      </c>
      <c r="F135" s="7">
        <f t="shared" si="27"/>
        <v>0.37037037037037035</v>
      </c>
      <c r="G135" s="7">
        <f t="shared" si="34"/>
        <v>0.35485374128473585</v>
      </c>
      <c r="H135" s="7">
        <f t="shared" si="28"/>
        <v>0.35485363075944582</v>
      </c>
      <c r="I135" s="7">
        <f t="shared" si="29"/>
        <v>0.36471609764784202</v>
      </c>
      <c r="J135" s="7">
        <f t="shared" si="30"/>
        <v>0.35077421521648666</v>
      </c>
      <c r="K135" s="7">
        <f t="shared" si="31"/>
        <v>4.2571446681776489E-4</v>
      </c>
    </row>
    <row r="136" spans="1:11" ht="15" customHeight="1" x14ac:dyDescent="0.25">
      <c r="A136" s="2">
        <v>134</v>
      </c>
      <c r="B136" s="7">
        <v>0</v>
      </c>
      <c r="C136" s="7">
        <f t="shared" si="32"/>
        <v>1.0000217908529943</v>
      </c>
      <c r="D136" s="7">
        <f t="shared" si="33"/>
        <v>2.179061557696574E-5</v>
      </c>
      <c r="E136" s="7">
        <f t="shared" si="26"/>
        <v>2.0701084798117452E-5</v>
      </c>
      <c r="F136" s="7">
        <f t="shared" si="27"/>
        <v>0.37037037037037035</v>
      </c>
      <c r="G136" s="7">
        <f t="shared" si="34"/>
        <v>0.35485363075944582</v>
      </c>
      <c r="H136" s="7">
        <f t="shared" si="28"/>
        <v>0.35485351985512503</v>
      </c>
      <c r="I136" s="7">
        <f t="shared" si="29"/>
        <v>0.36471563846957861</v>
      </c>
      <c r="J136" s="7">
        <f t="shared" si="30"/>
        <v>0.35077377359107986</v>
      </c>
      <c r="K136" s="7">
        <f t="shared" si="31"/>
        <v>4.2571393084243821E-4</v>
      </c>
    </row>
    <row r="137" spans="1:11" ht="15" customHeight="1" x14ac:dyDescent="0.25">
      <c r="A137" s="2">
        <v>135</v>
      </c>
      <c r="B137" s="7">
        <v>0</v>
      </c>
      <c r="C137" s="7">
        <f t="shared" si="32"/>
        <v>1.0000207012990669</v>
      </c>
      <c r="D137" s="7">
        <f t="shared" si="33"/>
        <v>2.0701084798117452E-5</v>
      </c>
      <c r="E137" s="7">
        <f t="shared" si="26"/>
        <v>1.9666030558211578E-5</v>
      </c>
      <c r="F137" s="7">
        <f t="shared" si="27"/>
        <v>0.37037037037037035</v>
      </c>
      <c r="G137" s="7">
        <f t="shared" si="34"/>
        <v>0.35485351985512503</v>
      </c>
      <c r="H137" s="7">
        <f t="shared" si="28"/>
        <v>0.35485340859526232</v>
      </c>
      <c r="I137" s="7">
        <f t="shared" si="29"/>
        <v>0.36471520006576497</v>
      </c>
      <c r="J137" s="7">
        <f t="shared" si="30"/>
        <v>0.35077335194598475</v>
      </c>
      <c r="K137" s="7">
        <f t="shared" si="31"/>
        <v>4.2571341911606535E-4</v>
      </c>
    </row>
    <row r="138" spans="1:11" ht="15" customHeight="1" x14ac:dyDescent="0.25">
      <c r="A138" s="2">
        <v>136</v>
      </c>
      <c r="B138" s="7">
        <v>0</v>
      </c>
      <c r="C138" s="7">
        <f t="shared" si="32"/>
        <v>1.0000196662239358</v>
      </c>
      <c r="D138" s="7">
        <f t="shared" si="33"/>
        <v>1.9666030558211578E-5</v>
      </c>
      <c r="E138" s="7">
        <f t="shared" si="26"/>
        <v>1.8682729030300997E-5</v>
      </c>
      <c r="F138" s="7">
        <f t="shared" si="27"/>
        <v>0.37037037037037035</v>
      </c>
      <c r="G138" s="7">
        <f t="shared" si="34"/>
        <v>0.35485340859526232</v>
      </c>
      <c r="H138" s="7">
        <f t="shared" si="28"/>
        <v>0.35485329700216883</v>
      </c>
      <c r="I138" s="7">
        <f t="shared" si="29"/>
        <v>0.36471478139931196</v>
      </c>
      <c r="J138" s="7">
        <f t="shared" si="30"/>
        <v>0.35077294928375669</v>
      </c>
      <c r="K138" s="7">
        <f t="shared" si="31"/>
        <v>4.2571293042810513E-4</v>
      </c>
    </row>
    <row r="139" spans="1:11" ht="15" customHeight="1" x14ac:dyDescent="0.25">
      <c r="A139" s="2">
        <v>137</v>
      </c>
      <c r="B139" s="7">
        <v>0</v>
      </c>
      <c r="C139" s="7">
        <f t="shared" si="32"/>
        <v>1.0000186829035536</v>
      </c>
      <c r="D139" s="7">
        <f t="shared" si="33"/>
        <v>1.8682729030300997E-5</v>
      </c>
      <c r="E139" s="7">
        <f t="shared" si="26"/>
        <v>1.7748592578785947E-5</v>
      </c>
      <c r="F139" s="7">
        <f t="shared" si="27"/>
        <v>0.37037037037037035</v>
      </c>
      <c r="G139" s="7">
        <f t="shared" si="34"/>
        <v>0.35485329700216883</v>
      </c>
      <c r="H139" s="7">
        <f t="shared" si="28"/>
        <v>0.35485318509703623</v>
      </c>
      <c r="I139" s="7">
        <f t="shared" si="29"/>
        <v>0.36471438148498775</v>
      </c>
      <c r="J139" s="7">
        <f t="shared" si="30"/>
        <v>0.35077256465682594</v>
      </c>
      <c r="K139" s="7">
        <f t="shared" si="31"/>
        <v>4.2571246362854682E-4</v>
      </c>
    </row>
    <row r="140" spans="1:11" ht="15" customHeight="1" x14ac:dyDescent="0.25">
      <c r="A140" s="2">
        <v>138</v>
      </c>
      <c r="B140" s="7">
        <v>0</v>
      </c>
      <c r="C140" s="7">
        <f t="shared" si="32"/>
        <v>1.0000177487500861</v>
      </c>
      <c r="D140" s="7">
        <f t="shared" si="33"/>
        <v>1.7748592578785947E-5</v>
      </c>
      <c r="E140" s="7">
        <f t="shared" si="26"/>
        <v>1.686116294984665E-5</v>
      </c>
      <c r="F140" s="7">
        <f t="shared" si="27"/>
        <v>0.37037037037037035</v>
      </c>
      <c r="G140" s="7">
        <f t="shared" si="34"/>
        <v>0.35485318509703623</v>
      </c>
      <c r="H140" s="7">
        <f t="shared" si="28"/>
        <v>0.35485307289999346</v>
      </c>
      <c r="I140" s="7">
        <f t="shared" si="29"/>
        <v>0.36471399938682453</v>
      </c>
      <c r="J140" s="7">
        <f t="shared" si="30"/>
        <v>0.35077219716500369</v>
      </c>
      <c r="K140" s="7">
        <f t="shared" si="31"/>
        <v>4.2571201762488291E-4</v>
      </c>
    </row>
    <row r="141" spans="1:11" ht="15" customHeight="1" x14ac:dyDescent="0.25">
      <c r="A141" s="2">
        <v>139</v>
      </c>
      <c r="B141" s="7">
        <v>0</v>
      </c>
      <c r="C141" s="7">
        <f t="shared" si="32"/>
        <v>1.0000168613051001</v>
      </c>
      <c r="D141" s="7">
        <f t="shared" si="33"/>
        <v>1.686116294984665E-5</v>
      </c>
      <c r="E141" s="7">
        <f t="shared" si="26"/>
        <v>1.6018104802354317E-5</v>
      </c>
      <c r="F141" s="7">
        <f t="shared" si="27"/>
        <v>0.37037037037037035</v>
      </c>
      <c r="G141" s="7">
        <f t="shared" si="34"/>
        <v>0.35485307289999346</v>
      </c>
      <c r="H141" s="7">
        <f t="shared" si="28"/>
        <v>0.35485296043015946</v>
      </c>
      <c r="I141" s="7">
        <f t="shared" si="29"/>
        <v>0.36471363421565545</v>
      </c>
      <c r="J141" s="7">
        <f t="shared" si="30"/>
        <v>0.35077184595311289</v>
      </c>
      <c r="K141" s="7">
        <f t="shared" si="31"/>
        <v>4.2571159137923449E-4</v>
      </c>
    </row>
    <row r="142" spans="1:11" ht="15" customHeight="1" x14ac:dyDescent="0.25">
      <c r="A142" s="2">
        <v>140</v>
      </c>
      <c r="B142" s="7">
        <v>0</v>
      </c>
      <c r="C142" s="7">
        <f t="shared" si="32"/>
        <v>1.0000160182330928</v>
      </c>
      <c r="D142" s="7">
        <f t="shared" si="33"/>
        <v>1.6018104802354317E-5</v>
      </c>
      <c r="E142" s="7">
        <f t="shared" si="26"/>
        <v>1.5217199562236601E-5</v>
      </c>
      <c r="F142" s="7">
        <f t="shared" si="27"/>
        <v>0.37037037037037035</v>
      </c>
      <c r="G142" s="7">
        <f t="shared" si="34"/>
        <v>0.35485296043015946</v>
      </c>
      <c r="H142" s="7">
        <f t="shared" si="28"/>
        <v>0.3548528477056937</v>
      </c>
      <c r="I142" s="7">
        <f t="shared" si="29"/>
        <v>0.36471328512677348</v>
      </c>
      <c r="J142" s="7">
        <f t="shared" si="30"/>
        <v>0.35077151020873693</v>
      </c>
      <c r="K142" s="7">
        <f t="shared" si="31"/>
        <v>4.2571118390561811E-4</v>
      </c>
    </row>
    <row r="143" spans="1:11" ht="15" customHeight="1" x14ac:dyDescent="0.25">
      <c r="A143" s="2">
        <v>141</v>
      </c>
      <c r="B143" s="7">
        <v>0</v>
      </c>
      <c r="C143" s="7">
        <f t="shared" si="32"/>
        <v>1.0000152173153445</v>
      </c>
      <c r="D143" s="7">
        <f t="shared" si="33"/>
        <v>1.5217199562236601E-5</v>
      </c>
      <c r="E143" s="7">
        <f t="shared" si="26"/>
        <v>1.445633958412477E-5</v>
      </c>
      <c r="F143" s="7">
        <f t="shared" si="27"/>
        <v>0.37037037037037035</v>
      </c>
      <c r="G143" s="7">
        <f t="shared" si="34"/>
        <v>0.3548528477056937</v>
      </c>
      <c r="H143" s="7">
        <f t="shared" si="28"/>
        <v>0.35485273474384421</v>
      </c>
      <c r="I143" s="7">
        <f t="shared" si="29"/>
        <v>0.36471295131770898</v>
      </c>
      <c r="J143" s="7">
        <f t="shared" si="30"/>
        <v>0.35077118916008182</v>
      </c>
      <c r="K143" s="7">
        <f t="shared" si="31"/>
        <v>4.2571079426735196E-4</v>
      </c>
    </row>
    <row r="144" spans="1:11" ht="15" customHeight="1" x14ac:dyDescent="0.25">
      <c r="A144" s="2">
        <v>142</v>
      </c>
      <c r="B144" s="7">
        <v>0</v>
      </c>
      <c r="C144" s="7">
        <f t="shared" si="32"/>
        <v>1.0000144564440776</v>
      </c>
      <c r="D144" s="7">
        <f t="shared" si="33"/>
        <v>1.445633958412477E-5</v>
      </c>
      <c r="E144" s="7">
        <f t="shared" si="26"/>
        <v>1.373352260491853E-5</v>
      </c>
      <c r="F144" s="7">
        <f t="shared" si="27"/>
        <v>0.37037037037037035</v>
      </c>
      <c r="G144" s="7">
        <f t="shared" si="34"/>
        <v>0.35485273474384421</v>
      </c>
      <c r="H144" s="7">
        <f t="shared" si="28"/>
        <v>0.35485262156099312</v>
      </c>
      <c r="I144" s="7">
        <f t="shared" si="29"/>
        <v>0.36471263202611665</v>
      </c>
      <c r="J144" s="7">
        <f t="shared" si="30"/>
        <v>0.3507708820739443</v>
      </c>
      <c r="K144" s="7">
        <f t="shared" si="31"/>
        <v>4.2571042157458941E-4</v>
      </c>
    </row>
    <row r="145" spans="1:11" ht="15" customHeight="1" x14ac:dyDescent="0.25">
      <c r="A145" s="2">
        <v>143</v>
      </c>
      <c r="B145" s="7">
        <v>0</v>
      </c>
      <c r="C145" s="7">
        <f t="shared" si="32"/>
        <v>1.0000137336169101</v>
      </c>
      <c r="D145" s="7">
        <f t="shared" si="33"/>
        <v>1.373352260491853E-5</v>
      </c>
      <c r="E145" s="7">
        <f t="shared" si="26"/>
        <v>1.3046846474672603E-5</v>
      </c>
      <c r="F145" s="7">
        <f t="shared" si="27"/>
        <v>0.37037037037037035</v>
      </c>
      <c r="G145" s="7">
        <f t="shared" si="34"/>
        <v>0.35485262156099312</v>
      </c>
      <c r="H145" s="7">
        <f t="shared" si="28"/>
        <v>0.35485250817270003</v>
      </c>
      <c r="I145" s="7">
        <f t="shared" si="29"/>
        <v>0.36471232652776969</v>
      </c>
      <c r="J145" s="7">
        <f t="shared" si="30"/>
        <v>0.35077058825378227</v>
      </c>
      <c r="K145" s="7">
        <f t="shared" si="31"/>
        <v>4.2571006498197742E-4</v>
      </c>
    </row>
    <row r="146" spans="1:11" ht="15" customHeight="1" x14ac:dyDescent="0.25">
      <c r="A146" s="2">
        <v>144</v>
      </c>
      <c r="B146" s="7">
        <v>0</v>
      </c>
      <c r="C146" s="7">
        <f t="shared" si="32"/>
        <v>1.0000130469315851</v>
      </c>
      <c r="D146" s="7">
        <f t="shared" si="33"/>
        <v>1.3046846474672603E-5</v>
      </c>
      <c r="E146" s="7">
        <f t="shared" si="26"/>
        <v>1.2394504150938971E-5</v>
      </c>
      <c r="F146" s="7">
        <f t="shared" si="27"/>
        <v>0.37037037037037035</v>
      </c>
      <c r="G146" s="7">
        <f t="shared" si="34"/>
        <v>0.35485250817270003</v>
      </c>
      <c r="H146" s="7">
        <f t="shared" si="28"/>
        <v>0.35485239459374313</v>
      </c>
      <c r="I146" s="7">
        <f t="shared" si="29"/>
        <v>0.36471203413465353</v>
      </c>
      <c r="J146" s="7">
        <f t="shared" si="30"/>
        <v>0.3507703070378817</v>
      </c>
      <c r="K146" s="7">
        <f t="shared" si="31"/>
        <v>4.2570972368643182E-4</v>
      </c>
    </row>
    <row r="147" spans="1:11" ht="15" customHeight="1" x14ac:dyDescent="0.25">
      <c r="A147" s="2">
        <v>145</v>
      </c>
      <c r="B147" s="7">
        <v>0</v>
      </c>
      <c r="C147" s="7">
        <f t="shared" si="32"/>
        <v>1.0000123945809631</v>
      </c>
      <c r="D147" s="7">
        <f t="shared" si="33"/>
        <v>1.2394504150938971E-5</v>
      </c>
      <c r="E147" s="7">
        <f t="shared" si="26"/>
        <v>1.1774778943392023E-5</v>
      </c>
      <c r="F147" s="7">
        <f t="shared" si="27"/>
        <v>0.37037037037037035</v>
      </c>
      <c r="G147" s="7">
        <f t="shared" si="34"/>
        <v>0.35485239459374313</v>
      </c>
      <c r="H147" s="7">
        <f t="shared" si="28"/>
        <v>0.35485228083815801</v>
      </c>
      <c r="I147" s="7">
        <f t="shared" si="29"/>
        <v>0.36471175419315499</v>
      </c>
      <c r="J147" s="7">
        <f t="shared" si="30"/>
        <v>0.35077003779761484</v>
      </c>
      <c r="K147" s="7">
        <f t="shared" si="31"/>
        <v>4.2570939692502326E-4</v>
      </c>
    </row>
    <row r="148" spans="1:11" ht="15" customHeight="1" x14ac:dyDescent="0.25">
      <c r="A148" s="2">
        <v>146</v>
      </c>
      <c r="B148" s="7">
        <v>0</v>
      </c>
      <c r="C148" s="7">
        <f t="shared" si="32"/>
        <v>1.0000117748482664</v>
      </c>
      <c r="D148" s="7">
        <f t="shared" si="33"/>
        <v>1.1774778943392023E-5</v>
      </c>
      <c r="E148" s="7">
        <f t="shared" si="26"/>
        <v>1.1186039996222421E-5</v>
      </c>
      <c r="F148" s="7">
        <f t="shared" si="27"/>
        <v>0.37037037037037035</v>
      </c>
      <c r="G148" s="7">
        <f t="shared" si="34"/>
        <v>0.35485228083815801</v>
      </c>
      <c r="H148" s="7">
        <f t="shared" si="28"/>
        <v>0.35485216691927529</v>
      </c>
      <c r="I148" s="7">
        <f t="shared" si="29"/>
        <v>0.36471148608234166</v>
      </c>
      <c r="J148" s="7">
        <f t="shared" si="30"/>
        <v>0.35076977993578545</v>
      </c>
      <c r="K148" s="7">
        <f t="shared" si="31"/>
        <v>4.2570908397296907E-4</v>
      </c>
    </row>
    <row r="149" spans="1:11" ht="15" customHeight="1" x14ac:dyDescent="0.25">
      <c r="A149" s="2">
        <v>147</v>
      </c>
      <c r="B149" s="7">
        <v>0</v>
      </c>
      <c r="C149" s="7">
        <f t="shared" si="32"/>
        <v>1.0000111861025602</v>
      </c>
      <c r="D149" s="7">
        <f t="shared" si="33"/>
        <v>1.1186039996222421E-5</v>
      </c>
      <c r="E149" s="7">
        <f t="shared" si="26"/>
        <v>1.0626737996411299E-5</v>
      </c>
      <c r="F149" s="7">
        <f t="shared" si="27"/>
        <v>0.37037037037037035</v>
      </c>
      <c r="G149" s="7">
        <f t="shared" si="34"/>
        <v>0.35485216691927529</v>
      </c>
      <c r="H149" s="7">
        <f t="shared" si="28"/>
        <v>0.35485205284975541</v>
      </c>
      <c r="I149" s="7">
        <f t="shared" si="29"/>
        <v>0.3647112292123284</v>
      </c>
      <c r="J149" s="7">
        <f t="shared" si="30"/>
        <v>0.3507695328850578</v>
      </c>
      <c r="K149" s="7">
        <f t="shared" si="31"/>
        <v>4.2570878414172655E-4</v>
      </c>
    </row>
    <row r="150" spans="1:11" ht="15" customHeight="1" x14ac:dyDescent="0.25">
      <c r="A150" s="2">
        <v>148</v>
      </c>
      <c r="B150" s="7">
        <v>0</v>
      </c>
      <c r="C150" s="7">
        <f t="shared" si="32"/>
        <v>1.0000106267944604</v>
      </c>
      <c r="D150" s="7">
        <f t="shared" si="33"/>
        <v>1.0626737996411299E-5</v>
      </c>
      <c r="E150" s="7">
        <f t="shared" si="26"/>
        <v>1.0095401096590734E-5</v>
      </c>
      <c r="F150" s="7">
        <f t="shared" si="27"/>
        <v>0.37037037037037035</v>
      </c>
      <c r="G150" s="7">
        <f t="shared" si="34"/>
        <v>0.35485205284975541</v>
      </c>
      <c r="H150" s="7">
        <f t="shared" si="28"/>
        <v>0.35485193864162234</v>
      </c>
      <c r="I150" s="7">
        <f t="shared" si="29"/>
        <v>0.36471098302272442</v>
      </c>
      <c r="J150" s="7">
        <f t="shared" si="30"/>
        <v>0.35076929610646296</v>
      </c>
      <c r="K150" s="7">
        <f t="shared" si="31"/>
        <v>4.2570849677718006E-4</v>
      </c>
    </row>
    <row r="151" spans="1:11" ht="15" customHeight="1" x14ac:dyDescent="0.25">
      <c r="A151" s="2">
        <v>149</v>
      </c>
      <c r="B151" s="7">
        <v>0</v>
      </c>
      <c r="C151" s="7">
        <f t="shared" si="32"/>
        <v>1.0000100954520552</v>
      </c>
      <c r="D151" s="7">
        <f t="shared" si="33"/>
        <v>1.0095401096590734E-5</v>
      </c>
      <c r="E151" s="7">
        <f t="shared" si="26"/>
        <v>9.5906310417611967E-6</v>
      </c>
      <c r="F151" s="7">
        <f t="shared" si="27"/>
        <v>0.37037037037037035</v>
      </c>
      <c r="G151" s="7">
        <f t="shared" si="34"/>
        <v>0.35485193864162234</v>
      </c>
      <c r="H151" s="7">
        <f t="shared" si="28"/>
        <v>0.35485182430629553</v>
      </c>
      <c r="I151" s="7">
        <f t="shared" si="29"/>
        <v>0.36471074698115818</v>
      </c>
      <c r="J151" s="7">
        <f t="shared" si="30"/>
        <v>0.35076906908798011</v>
      </c>
      <c r="K151" s="7">
        <f t="shared" si="31"/>
        <v>4.2570822125791955E-4</v>
      </c>
    </row>
    <row r="152" spans="1:11" ht="15" customHeight="1" x14ac:dyDescent="0.25">
      <c r="A152" s="2">
        <v>150</v>
      </c>
      <c r="B152" s="7">
        <v>0</v>
      </c>
      <c r="C152" s="7">
        <f t="shared" si="32"/>
        <v>1.0000095906770321</v>
      </c>
      <c r="D152" s="7">
        <f t="shared" si="33"/>
        <v>9.5906310417611967E-6</v>
      </c>
      <c r="E152" s="7">
        <f t="shared" si="26"/>
        <v>9.1110994896731371E-6</v>
      </c>
      <c r="F152" s="7">
        <f t="shared" si="27"/>
        <v>0.37037037037037035</v>
      </c>
      <c r="G152" s="7">
        <f t="shared" si="34"/>
        <v>0.35485182430629553</v>
      </c>
      <c r="H152" s="7">
        <f t="shared" si="28"/>
        <v>0.35485170985462</v>
      </c>
      <c r="I152" s="7">
        <f t="shared" si="29"/>
        <v>0.36471052058187708</v>
      </c>
      <c r="J152" s="7">
        <f t="shared" si="30"/>
        <v>0.35076885134318991</v>
      </c>
      <c r="K152" s="7">
        <f t="shared" si="31"/>
        <v>4.2570795699360583E-4</v>
      </c>
    </row>
    <row r="153" spans="1:11" ht="15" customHeight="1" x14ac:dyDescent="0.25">
      <c r="A153" s="2">
        <v>151</v>
      </c>
      <c r="B153" s="7">
        <v>0</v>
      </c>
      <c r="C153" s="7">
        <f t="shared" si="32"/>
        <v>1.0000091111409959</v>
      </c>
      <c r="D153" s="7">
        <f t="shared" si="33"/>
        <v>9.1110994896731371E-6</v>
      </c>
      <c r="E153" s="7">
        <f t="shared" si="26"/>
        <v>8.6555445151894798E-6</v>
      </c>
      <c r="F153" s="7">
        <f t="shared" si="27"/>
        <v>0.37037037037037035</v>
      </c>
      <c r="G153" s="7">
        <f t="shared" si="34"/>
        <v>0.35485170985462</v>
      </c>
      <c r="H153" s="7">
        <f t="shared" si="28"/>
        <v>0.35485159529689497</v>
      </c>
      <c r="I153" s="7">
        <f t="shared" si="29"/>
        <v>0.36471030334441551</v>
      </c>
      <c r="J153" s="7">
        <f t="shared" si="30"/>
        <v>0.35076864240999339</v>
      </c>
      <c r="K153" s="7">
        <f t="shared" si="31"/>
        <v>4.2570770342341597E-4</v>
      </c>
    </row>
    <row r="154" spans="1:11" ht="15" customHeight="1" x14ac:dyDescent="0.25">
      <c r="A154" s="2">
        <v>152</v>
      </c>
      <c r="B154" s="7">
        <v>0</v>
      </c>
      <c r="C154" s="7">
        <f t="shared" si="32"/>
        <v>1.0000086555819745</v>
      </c>
      <c r="D154" s="7">
        <f t="shared" si="33"/>
        <v>8.6555445151894798E-6</v>
      </c>
      <c r="E154" s="7">
        <f t="shared" si="26"/>
        <v>8.2227672894300061E-6</v>
      </c>
      <c r="F154" s="7">
        <f t="shared" si="27"/>
        <v>0.37037037037037035</v>
      </c>
      <c r="G154" s="7">
        <f t="shared" si="34"/>
        <v>0.35485159529689497</v>
      </c>
      <c r="H154" s="7">
        <f t="shared" si="28"/>
        <v>0.35485148064290123</v>
      </c>
      <c r="I154" s="7">
        <f t="shared" si="29"/>
        <v>0.36471009481233091</v>
      </c>
      <c r="J154" s="7">
        <f t="shared" si="30"/>
        <v>0.35076844184939632</v>
      </c>
      <c r="K154" s="7">
        <f t="shared" si="31"/>
        <v>4.2570746001456788E-4</v>
      </c>
    </row>
    <row r="155" spans="1:11" ht="15" customHeight="1" x14ac:dyDescent="0.25">
      <c r="A155" s="2">
        <v>153</v>
      </c>
      <c r="B155" s="7">
        <v>0</v>
      </c>
      <c r="C155" s="7">
        <f t="shared" si="32"/>
        <v>1.0000082228010965</v>
      </c>
      <c r="D155" s="7">
        <f t="shared" si="33"/>
        <v>8.2227672894300061E-6</v>
      </c>
      <c r="E155" s="7">
        <f t="shared" si="26"/>
        <v>7.8116289249585061E-6</v>
      </c>
      <c r="F155" s="7">
        <f t="shared" si="27"/>
        <v>0.37037037037037035</v>
      </c>
      <c r="G155" s="7">
        <f t="shared" si="34"/>
        <v>0.35485148064290123</v>
      </c>
      <c r="H155" s="7">
        <f t="shared" si="28"/>
        <v>0.35485136590192717</v>
      </c>
      <c r="I155" s="7">
        <f t="shared" si="29"/>
        <v>0.36470989455200264</v>
      </c>
      <c r="J155" s="7">
        <f t="shared" si="30"/>
        <v>0.35076824924435379</v>
      </c>
      <c r="K155" s="7">
        <f t="shared" si="31"/>
        <v>4.2570722626091836E-4</v>
      </c>
    </row>
    <row r="156" spans="1:11" ht="15" customHeight="1" x14ac:dyDescent="0.25">
      <c r="A156" s="2">
        <v>154</v>
      </c>
      <c r="B156" s="7">
        <v>0</v>
      </c>
      <c r="C156" s="7">
        <f t="shared" si="32"/>
        <v>1.0000078116594358</v>
      </c>
      <c r="D156" s="7">
        <f t="shared" si="33"/>
        <v>7.8116289249585061E-6</v>
      </c>
      <c r="E156" s="7">
        <f t="shared" si="26"/>
        <v>7.4210474787105804E-6</v>
      </c>
      <c r="F156" s="7">
        <f t="shared" si="27"/>
        <v>0.37037037037037035</v>
      </c>
      <c r="G156" s="7">
        <f t="shared" si="34"/>
        <v>0.35485136590192717</v>
      </c>
      <c r="H156" s="7">
        <f t="shared" si="28"/>
        <v>0.35485125108279325</v>
      </c>
      <c r="I156" s="7">
        <f t="shared" si="29"/>
        <v>0.36470970215149029</v>
      </c>
      <c r="J156" s="7">
        <f t="shared" si="30"/>
        <v>0.35076806419867262</v>
      </c>
      <c r="K156" s="7">
        <f t="shared" si="31"/>
        <v>4.2570700168163036E-4</v>
      </c>
    </row>
    <row r="157" spans="1:11" ht="15" customHeight="1" x14ac:dyDescent="0.25">
      <c r="A157" s="2">
        <v>155</v>
      </c>
      <c r="B157" s="7">
        <v>0</v>
      </c>
      <c r="C157" s="7">
        <f t="shared" si="32"/>
        <v>1.0000074210750147</v>
      </c>
      <c r="D157" s="7">
        <f t="shared" si="33"/>
        <v>7.4210474787105804E-6</v>
      </c>
      <c r="E157" s="7">
        <f t="shared" si="26"/>
        <v>7.0499951047750507E-6</v>
      </c>
      <c r="F157" s="7">
        <f t="shared" si="27"/>
        <v>0.37037037037037035</v>
      </c>
      <c r="G157" s="7">
        <f t="shared" si="34"/>
        <v>0.35485125108279325</v>
      </c>
      <c r="H157" s="7">
        <f t="shared" si="28"/>
        <v>0.35485113619387548</v>
      </c>
      <c r="I157" s="7">
        <f t="shared" si="29"/>
        <v>0.36470951721945011</v>
      </c>
      <c r="J157" s="7">
        <f t="shared" si="30"/>
        <v>0.35076788633596878</v>
      </c>
      <c r="K157" s="7">
        <f t="shared" si="31"/>
        <v>4.2570678581990831E-4</v>
      </c>
    </row>
    <row r="158" spans="1:11" ht="15" customHeight="1" x14ac:dyDescent="0.25">
      <c r="A158" s="2">
        <v>156</v>
      </c>
      <c r="B158" s="7">
        <v>0</v>
      </c>
      <c r="C158" s="7">
        <f t="shared" si="32"/>
        <v>1.000007050019956</v>
      </c>
      <c r="D158" s="7">
        <f t="shared" si="33"/>
        <v>7.0499951047750507E-6</v>
      </c>
      <c r="E158" s="7">
        <f t="shared" si="26"/>
        <v>6.6974953495362979E-6</v>
      </c>
      <c r="F158" s="7">
        <f t="shared" si="27"/>
        <v>0.37037037037037035</v>
      </c>
      <c r="G158" s="7">
        <f t="shared" si="34"/>
        <v>0.35485113619387548</v>
      </c>
      <c r="H158" s="7">
        <f t="shared" si="28"/>
        <v>0.35485102124312773</v>
      </c>
      <c r="I158" s="7">
        <f t="shared" si="29"/>
        <v>0.36470933938410482</v>
      </c>
      <c r="J158" s="7">
        <f t="shared" si="30"/>
        <v>0.35076771529867679</v>
      </c>
      <c r="K158" s="7">
        <f t="shared" si="31"/>
        <v>4.2570657824179568E-4</v>
      </c>
    </row>
    <row r="159" spans="1:11" ht="15" customHeight="1" x14ac:dyDescent="0.25">
      <c r="A159" s="2">
        <v>157</v>
      </c>
      <c r="B159" s="7">
        <v>0</v>
      </c>
      <c r="C159" s="7">
        <f t="shared" si="32"/>
        <v>1.0000066975177777</v>
      </c>
      <c r="D159" s="7">
        <f t="shared" si="33"/>
        <v>6.6974953495362979E-6</v>
      </c>
      <c r="E159" s="7">
        <f t="shared" si="26"/>
        <v>6.3626205820594822E-6</v>
      </c>
      <c r="F159" s="7">
        <f t="shared" si="27"/>
        <v>0.37037037037037035</v>
      </c>
      <c r="G159" s="7">
        <f t="shared" si="34"/>
        <v>0.35485102124312773</v>
      </c>
      <c r="H159" s="7">
        <f t="shared" si="28"/>
        <v>0.35485090623810261</v>
      </c>
      <c r="I159" s="7">
        <f t="shared" si="29"/>
        <v>0.36470916829226535</v>
      </c>
      <c r="J159" s="7">
        <f t="shared" si="30"/>
        <v>0.35076755074710886</v>
      </c>
      <c r="K159" s="7">
        <f t="shared" si="31"/>
        <v>4.2570637853503283E-4</v>
      </c>
    </row>
    <row r="160" spans="1:11" ht="15" customHeight="1" x14ac:dyDescent="0.25">
      <c r="A160" s="2">
        <v>158</v>
      </c>
      <c r="B160" s="7">
        <v>0</v>
      </c>
      <c r="C160" s="7">
        <f t="shared" si="32"/>
        <v>1.0000063626408235</v>
      </c>
      <c r="D160" s="7">
        <f t="shared" si="33"/>
        <v>6.3626205820594822E-6</v>
      </c>
      <c r="E160" s="7">
        <f t="shared" si="26"/>
        <v>6.0444895529565083E-6</v>
      </c>
      <c r="F160" s="7">
        <f t="shared" si="27"/>
        <v>0.37037037037037035</v>
      </c>
      <c r="G160" s="7">
        <f t="shared" si="34"/>
        <v>0.35485090623810261</v>
      </c>
      <c r="H160" s="7">
        <f t="shared" si="28"/>
        <v>0.35485079118597174</v>
      </c>
      <c r="I160" s="7">
        <f t="shared" si="29"/>
        <v>0.36470900360840147</v>
      </c>
      <c r="J160" s="7">
        <f t="shared" si="30"/>
        <v>0.35076739235856091</v>
      </c>
      <c r="K160" s="7">
        <f t="shared" si="31"/>
        <v>4.257061863079725E-4</v>
      </c>
    </row>
    <row r="161" spans="1:11" ht="15" customHeight="1" x14ac:dyDescent="0.25">
      <c r="A161" s="2">
        <v>159</v>
      </c>
      <c r="B161" s="7">
        <v>0</v>
      </c>
      <c r="C161" s="7">
        <f t="shared" si="32"/>
        <v>1.0000060445078209</v>
      </c>
      <c r="D161" s="7">
        <f t="shared" si="33"/>
        <v>6.0444895529565083E-6</v>
      </c>
      <c r="E161" s="7">
        <f t="shared" si="26"/>
        <v>5.7422650753086822E-6</v>
      </c>
      <c r="F161" s="7">
        <f t="shared" si="27"/>
        <v>0.37037037037037035</v>
      </c>
      <c r="G161" s="7">
        <f t="shared" si="34"/>
        <v>0.35485079118597174</v>
      </c>
      <c r="H161" s="7">
        <f t="shared" si="28"/>
        <v>0.35485067609354459</v>
      </c>
      <c r="I161" s="7">
        <f t="shared" si="29"/>
        <v>0.36470884501375833</v>
      </c>
      <c r="J161" s="7">
        <f t="shared" si="30"/>
        <v>0.35076723982646313</v>
      </c>
      <c r="K161" s="7">
        <f t="shared" si="31"/>
        <v>4.2570600118854843E-4</v>
      </c>
    </row>
    <row r="162" spans="1:11" ht="15" customHeight="1" x14ac:dyDescent="0.25">
      <c r="A162" s="2">
        <v>160</v>
      </c>
      <c r="B162" s="7">
        <v>0</v>
      </c>
      <c r="C162" s="7">
        <f t="shared" si="32"/>
        <v>1.0000057422815622</v>
      </c>
      <c r="D162" s="7">
        <f t="shared" si="33"/>
        <v>5.7422650753086822E-6</v>
      </c>
      <c r="E162" s="7">
        <f t="shared" si="26"/>
        <v>5.4551518215432475E-6</v>
      </c>
      <c r="F162" s="7">
        <f t="shared" si="27"/>
        <v>0.37037037037037035</v>
      </c>
      <c r="G162" s="7">
        <f t="shared" si="34"/>
        <v>0.35485067609354459</v>
      </c>
      <c r="H162" s="7">
        <f t="shared" ref="H162:H193" si="35">G163</f>
        <v>0.35485056096728701</v>
      </c>
      <c r="I162" s="7">
        <f t="shared" si="29"/>
        <v>0.36470869220551833</v>
      </c>
      <c r="J162" s="7">
        <f t="shared" si="30"/>
        <v>0.35076709285957347</v>
      </c>
      <c r="K162" s="7">
        <f t="shared" si="31"/>
        <v>4.2570582282329715E-4</v>
      </c>
    </row>
    <row r="163" spans="1:11" ht="15" customHeight="1" x14ac:dyDescent="0.25">
      <c r="A163" s="2">
        <v>161</v>
      </c>
      <c r="B163" s="7">
        <v>0</v>
      </c>
      <c r="C163" s="7">
        <f t="shared" ref="C163:C194" si="36">EXP(D163)</f>
        <v>1.0000054551667008</v>
      </c>
      <c r="D163" s="7">
        <f t="shared" ref="D163:D194" si="37">E162</f>
        <v>5.4551518215432475E-6</v>
      </c>
      <c r="E163" s="7">
        <f t="shared" si="26"/>
        <v>5.1823942304660851E-6</v>
      </c>
      <c r="F163" s="7">
        <f t="shared" si="27"/>
        <v>0.37037037037037035</v>
      </c>
      <c r="G163" s="7">
        <f t="shared" ref="G163:G194" si="38">(($C163*$G162^$N$1*$F163^(1-$N$1)*(($N$2*$N$1*$N$4)/(1-$N$2*(1-$N$1))))^$N$4)*($N$5*$G162^(1-$N$4))</f>
        <v>0.35485056096728701</v>
      </c>
      <c r="H163" s="7">
        <f t="shared" si="35"/>
        <v>0.35485044581333791</v>
      </c>
      <c r="I163" s="7">
        <f t="shared" si="29"/>
        <v>0.36470854489600352</v>
      </c>
      <c r="J163" s="7">
        <f t="shared" si="30"/>
        <v>0.3507669511812111</v>
      </c>
      <c r="K163" s="7">
        <f t="shared" si="31"/>
        <v>4.2570565087642678E-4</v>
      </c>
    </row>
    <row r="164" spans="1:11" ht="15" customHeight="1" x14ac:dyDescent="0.25">
      <c r="A164" s="2">
        <v>162</v>
      </c>
      <c r="B164" s="7">
        <v>0</v>
      </c>
      <c r="C164" s="7">
        <f t="shared" si="36"/>
        <v>1.000005182407659</v>
      </c>
      <c r="D164" s="7">
        <f t="shared" si="37"/>
        <v>5.1823942304660851E-6</v>
      </c>
      <c r="E164" s="7">
        <f t="shared" si="26"/>
        <v>4.9232745189427807E-6</v>
      </c>
      <c r="F164" s="7">
        <f t="shared" si="27"/>
        <v>0.37037037037037035</v>
      </c>
      <c r="G164" s="7">
        <f t="shared" si="38"/>
        <v>0.35485044581333791</v>
      </c>
      <c r="H164" s="7">
        <f t="shared" si="35"/>
        <v>0.35485033063752591</v>
      </c>
      <c r="I164" s="7">
        <f t="shared" si="29"/>
        <v>0.36470840281191935</v>
      </c>
      <c r="J164" s="7">
        <f t="shared" si="30"/>
        <v>0.35076681452852854</v>
      </c>
      <c r="K164" s="7">
        <f t="shared" si="31"/>
        <v>4.2570548502893468E-4</v>
      </c>
    </row>
    <row r="165" spans="1:11" ht="15" customHeight="1" x14ac:dyDescent="0.25">
      <c r="A165" s="2">
        <v>163</v>
      </c>
      <c r="B165" s="7">
        <v>0</v>
      </c>
      <c r="C165" s="7">
        <f t="shared" si="36"/>
        <v>1.0000049232866384</v>
      </c>
      <c r="D165" s="7">
        <f t="shared" si="37"/>
        <v>4.9232745189427807E-6</v>
      </c>
      <c r="E165" s="7">
        <f t="shared" si="26"/>
        <v>4.6771107929956413E-6</v>
      </c>
      <c r="F165" s="7">
        <f t="shared" si="27"/>
        <v>0.37037037037037035</v>
      </c>
      <c r="G165" s="7">
        <f t="shared" si="38"/>
        <v>0.35485033063752591</v>
      </c>
      <c r="H165" s="7">
        <f t="shared" si="35"/>
        <v>0.35485021544538486</v>
      </c>
      <c r="I165" s="7">
        <f t="shared" si="29"/>
        <v>0.36470826569363479</v>
      </c>
      <c r="J165" s="7">
        <f t="shared" si="30"/>
        <v>0.35076668265181959</v>
      </c>
      <c r="K165" s="7">
        <f t="shared" si="31"/>
        <v>4.2570532497776672E-4</v>
      </c>
    </row>
    <row r="166" spans="1:11" ht="15" customHeight="1" x14ac:dyDescent="0.25">
      <c r="A166" s="2">
        <v>164</v>
      </c>
      <c r="B166" s="7">
        <v>0</v>
      </c>
      <c r="C166" s="7">
        <f t="shared" si="36"/>
        <v>1.0000046771217308</v>
      </c>
      <c r="D166" s="7">
        <f t="shared" si="37"/>
        <v>4.6771107929956413E-6</v>
      </c>
      <c r="E166" s="7">
        <f t="shared" si="26"/>
        <v>4.4432552533458593E-6</v>
      </c>
      <c r="F166" s="7">
        <f t="shared" si="27"/>
        <v>0.37037037037037035</v>
      </c>
      <c r="G166" s="7">
        <f t="shared" si="38"/>
        <v>0.35485021544538486</v>
      </c>
      <c r="H166" s="7">
        <f t="shared" si="35"/>
        <v>0.35485010024216829</v>
      </c>
      <c r="I166" s="7">
        <f t="shared" si="29"/>
        <v>0.36470813329449958</v>
      </c>
      <c r="J166" s="7">
        <f t="shared" si="30"/>
        <v>0.35076655531386264</v>
      </c>
      <c r="K166" s="7">
        <f t="shared" si="31"/>
        <v>4.2570517043502066E-4</v>
      </c>
    </row>
    <row r="167" spans="1:11" ht="15" customHeight="1" x14ac:dyDescent="0.25">
      <c r="A167" s="2">
        <v>165</v>
      </c>
      <c r="B167" s="7">
        <v>0</v>
      </c>
      <c r="C167" s="7">
        <f t="shared" si="36"/>
        <v>1.0000044432651247</v>
      </c>
      <c r="D167" s="7">
        <f t="shared" si="37"/>
        <v>4.4432552533458593E-6</v>
      </c>
      <c r="E167" s="7">
        <f t="shared" si="26"/>
        <v>4.2210924906785663E-6</v>
      </c>
      <c r="F167" s="7">
        <f t="shared" si="27"/>
        <v>0.37037037037037035</v>
      </c>
      <c r="G167" s="7">
        <f t="shared" si="38"/>
        <v>0.35485010024216829</v>
      </c>
      <c r="H167" s="7">
        <f t="shared" si="35"/>
        <v>0.3548499850328638</v>
      </c>
      <c r="I167" s="7">
        <f t="shared" si="29"/>
        <v>0.36470800538019454</v>
      </c>
      <c r="J167" s="7">
        <f t="shared" si="30"/>
        <v>0.35076643228929572</v>
      </c>
      <c r="K167" s="7">
        <f t="shared" si="31"/>
        <v>4.2570502112718775E-4</v>
      </c>
    </row>
    <row r="168" spans="1:11" ht="15" customHeight="1" x14ac:dyDescent="0.25">
      <c r="A168" s="2">
        <v>166</v>
      </c>
      <c r="B168" s="7">
        <v>0</v>
      </c>
      <c r="C168" s="7">
        <f t="shared" si="36"/>
        <v>1.0000042211013995</v>
      </c>
      <c r="D168" s="7">
        <f t="shared" si="37"/>
        <v>4.2210924906785663E-6</v>
      </c>
      <c r="E168" s="7">
        <f t="shared" si="26"/>
        <v>4.0100378661446381E-6</v>
      </c>
      <c r="F168" s="7">
        <f t="shared" si="27"/>
        <v>0.37037037037037035</v>
      </c>
      <c r="G168" s="7">
        <f t="shared" si="38"/>
        <v>0.3548499850328638</v>
      </c>
      <c r="H168" s="7">
        <f t="shared" si="35"/>
        <v>0.35484986982220618</v>
      </c>
      <c r="I168" s="7">
        <f t="shared" si="29"/>
        <v>0.36470788172811586</v>
      </c>
      <c r="J168" s="7">
        <f t="shared" si="30"/>
        <v>0.35076631336402436</v>
      </c>
      <c r="K168" s="7">
        <f t="shared" si="31"/>
        <v>4.2570487679443388E-4</v>
      </c>
    </row>
    <row r="169" spans="1:11" ht="15" customHeight="1" x14ac:dyDescent="0.25">
      <c r="A169" s="2">
        <v>167</v>
      </c>
      <c r="B169" s="7">
        <v>0</v>
      </c>
      <c r="C169" s="7">
        <f t="shared" si="36"/>
        <v>1.0000040100459064</v>
      </c>
      <c r="D169" s="7">
        <f t="shared" si="37"/>
        <v>4.0100378661446381E-6</v>
      </c>
      <c r="E169" s="7">
        <f t="shared" si="26"/>
        <v>3.8095359728374062E-6</v>
      </c>
      <c r="F169" s="7">
        <f t="shared" si="27"/>
        <v>0.37037037037037035</v>
      </c>
      <c r="G169" s="7">
        <f t="shared" si="38"/>
        <v>0.35484986982220618</v>
      </c>
      <c r="H169" s="7">
        <f t="shared" si="35"/>
        <v>0.35484975461469004</v>
      </c>
      <c r="I169" s="7">
        <f t="shared" si="29"/>
        <v>0.36470776212678885</v>
      </c>
      <c r="J169" s="7">
        <f t="shared" si="30"/>
        <v>0.350766198334658</v>
      </c>
      <c r="K169" s="7">
        <f t="shared" si="31"/>
        <v>4.257047371899155E-4</v>
      </c>
    </row>
    <row r="170" spans="1:11" ht="15" customHeight="1" x14ac:dyDescent="0.25">
      <c r="A170" s="2">
        <v>168</v>
      </c>
      <c r="B170" s="7">
        <v>0</v>
      </c>
      <c r="C170" s="7">
        <f t="shared" si="36"/>
        <v>1.0000038095432291</v>
      </c>
      <c r="D170" s="7">
        <f t="shared" si="37"/>
        <v>3.8095359728374062E-6</v>
      </c>
      <c r="E170" s="7">
        <f t="shared" si="26"/>
        <v>3.6190591741955356E-6</v>
      </c>
      <c r="F170" s="7">
        <f t="shared" si="27"/>
        <v>0.37037037037037035</v>
      </c>
      <c r="G170" s="7">
        <f t="shared" si="38"/>
        <v>0.35484975461469004</v>
      </c>
      <c r="H170" s="7">
        <f t="shared" si="35"/>
        <v>0.35484963941458186</v>
      </c>
      <c r="I170" s="7">
        <f t="shared" si="29"/>
        <v>0.36470764637531128</v>
      </c>
      <c r="J170" s="7">
        <f t="shared" si="30"/>
        <v>0.35076608700797413</v>
      </c>
      <c r="K170" s="7">
        <f t="shared" si="31"/>
        <v>4.2570460207912966E-4</v>
      </c>
    </row>
    <row r="171" spans="1:11" ht="15" customHeight="1" x14ac:dyDescent="0.25">
      <c r="A171" s="2">
        <v>169</v>
      </c>
      <c r="B171" s="7">
        <v>0</v>
      </c>
      <c r="C171" s="7">
        <f t="shared" si="36"/>
        <v>1.0000036190657231</v>
      </c>
      <c r="D171" s="7">
        <f t="shared" si="37"/>
        <v>3.6190591741955356E-6</v>
      </c>
      <c r="E171" s="7">
        <f t="shared" si="26"/>
        <v>3.4381062154857585E-6</v>
      </c>
      <c r="F171" s="7">
        <f t="shared" si="27"/>
        <v>0.37037037037037035</v>
      </c>
      <c r="G171" s="7">
        <f t="shared" si="38"/>
        <v>0.35484963941458186</v>
      </c>
      <c r="H171" s="7">
        <f t="shared" si="35"/>
        <v>0.35484952422593141</v>
      </c>
      <c r="I171" s="7">
        <f t="shared" si="29"/>
        <v>0.36470753428282515</v>
      </c>
      <c r="J171" s="7">
        <f t="shared" si="30"/>
        <v>0.35076597920041064</v>
      </c>
      <c r="K171" s="7">
        <f t="shared" si="31"/>
        <v>4.2570447123929764E-4</v>
      </c>
    </row>
    <row r="172" spans="1:11" ht="15" customHeight="1" x14ac:dyDescent="0.25">
      <c r="A172" s="2">
        <v>170</v>
      </c>
      <c r="B172" s="7">
        <v>0</v>
      </c>
      <c r="C172" s="7">
        <f t="shared" si="36"/>
        <v>1.0000034381121259</v>
      </c>
      <c r="D172" s="7">
        <f t="shared" si="37"/>
        <v>3.4381062154857585E-6</v>
      </c>
      <c r="E172" s="7">
        <f t="shared" si="26"/>
        <v>3.2662009047114705E-6</v>
      </c>
      <c r="F172" s="7">
        <f t="shared" si="27"/>
        <v>0.37037037037037035</v>
      </c>
      <c r="G172" s="7">
        <f t="shared" si="38"/>
        <v>0.35484952422593141</v>
      </c>
      <c r="H172" s="7">
        <f t="shared" si="35"/>
        <v>0.35484940905258261</v>
      </c>
      <c r="I172" s="7">
        <f t="shared" si="29"/>
        <v>0.36470742566801412</v>
      </c>
      <c r="J172" s="7">
        <f t="shared" si="30"/>
        <v>0.35076587473758231</v>
      </c>
      <c r="K172" s="7">
        <f t="shared" si="31"/>
        <v>4.2570434445877802E-4</v>
      </c>
    </row>
    <row r="173" spans="1:11" ht="15" customHeight="1" x14ac:dyDescent="0.25">
      <c r="A173" s="2">
        <v>171</v>
      </c>
      <c r="B173" s="7">
        <v>0</v>
      </c>
      <c r="C173" s="7">
        <f t="shared" si="36"/>
        <v>1.0000032662062388</v>
      </c>
      <c r="D173" s="7">
        <f t="shared" si="37"/>
        <v>3.2662009047114705E-6</v>
      </c>
      <c r="E173" s="7">
        <f t="shared" si="26"/>
        <v>3.1028908594758969E-6</v>
      </c>
      <c r="F173" s="7">
        <f t="shared" si="27"/>
        <v>0.37037037037037035</v>
      </c>
      <c r="G173" s="7">
        <f t="shared" si="38"/>
        <v>0.35484940905258261</v>
      </c>
      <c r="H173" s="7">
        <f t="shared" si="35"/>
        <v>0.35484929389818376</v>
      </c>
      <c r="I173" s="7">
        <f t="shared" si="29"/>
        <v>0.36470732035862663</v>
      </c>
      <c r="J173" s="7">
        <f t="shared" si="30"/>
        <v>0.3507657734538222</v>
      </c>
      <c r="K173" s="7">
        <f t="shared" si="31"/>
        <v>4.2570422153651044E-4</v>
      </c>
    </row>
    <row r="174" spans="1:11" ht="15" customHeight="1" x14ac:dyDescent="0.25">
      <c r="A174" s="2">
        <v>172</v>
      </c>
      <c r="B174" s="7">
        <v>0</v>
      </c>
      <c r="C174" s="7">
        <f t="shared" si="36"/>
        <v>1.0000031028956735</v>
      </c>
      <c r="D174" s="7">
        <f t="shared" si="37"/>
        <v>3.1028908594758969E-6</v>
      </c>
      <c r="E174" s="7">
        <f t="shared" si="26"/>
        <v>2.9477463165021021E-6</v>
      </c>
      <c r="F174" s="7">
        <f t="shared" si="27"/>
        <v>0.37037037037037035</v>
      </c>
      <c r="G174" s="7">
        <f t="shared" si="38"/>
        <v>0.35484929389818376</v>
      </c>
      <c r="H174" s="7">
        <f t="shared" si="35"/>
        <v>0.35484917876619737</v>
      </c>
      <c r="I174" s="7">
        <f t="shared" si="29"/>
        <v>0.36470721819102264</v>
      </c>
      <c r="J174" s="7">
        <f t="shared" si="30"/>
        <v>0.35076567519174562</v>
      </c>
      <c r="K174" s="7">
        <f t="shared" si="31"/>
        <v>4.2570410228148623E-4</v>
      </c>
    </row>
    <row r="175" spans="1:11" ht="15" customHeight="1" x14ac:dyDescent="0.25">
      <c r="A175" s="2">
        <v>173</v>
      </c>
      <c r="B175" s="7">
        <v>0</v>
      </c>
      <c r="C175" s="7">
        <f t="shared" si="36"/>
        <v>1.0000029477506611</v>
      </c>
      <c r="D175" s="7">
        <f t="shared" si="37"/>
        <v>2.9477463165021021E-6</v>
      </c>
      <c r="E175" s="7">
        <f t="shared" si="26"/>
        <v>2.8003590006769968E-6</v>
      </c>
      <c r="F175" s="7">
        <f t="shared" si="27"/>
        <v>0.37037037037037035</v>
      </c>
      <c r="G175" s="7">
        <f t="shared" si="38"/>
        <v>0.35484917876619737</v>
      </c>
      <c r="H175" s="7">
        <f t="shared" si="35"/>
        <v>0.3548490636599092</v>
      </c>
      <c r="I175" s="7">
        <f t="shared" si="29"/>
        <v>0.36470711900974273</v>
      </c>
      <c r="J175" s="7">
        <f t="shared" si="30"/>
        <v>0.35076557980183593</v>
      </c>
      <c r="K175" s="7">
        <f t="shared" si="31"/>
        <v>4.2570398651224552E-4</v>
      </c>
    </row>
    <row r="176" spans="1:11" ht="15" customHeight="1" x14ac:dyDescent="0.25">
      <c r="A176" s="2">
        <v>174</v>
      </c>
      <c r="B176" s="7">
        <v>0</v>
      </c>
      <c r="C176" s="7">
        <f t="shared" si="36"/>
        <v>1.0000028003629218</v>
      </c>
      <c r="D176" s="7">
        <f t="shared" si="37"/>
        <v>2.8003590006769968E-6</v>
      </c>
      <c r="E176" s="7">
        <f t="shared" si="26"/>
        <v>2.6603410506431468E-6</v>
      </c>
      <c r="F176" s="7">
        <f t="shared" si="27"/>
        <v>0.37037037037037035</v>
      </c>
      <c r="G176" s="7">
        <f t="shared" si="38"/>
        <v>0.3548490636599092</v>
      </c>
      <c r="H176" s="7">
        <f t="shared" si="35"/>
        <v>0.35484894858243776</v>
      </c>
      <c r="I176" s="7">
        <f t="shared" si="29"/>
        <v>0.3647070226670997</v>
      </c>
      <c r="J176" s="7">
        <f t="shared" si="30"/>
        <v>0.35076548714205141</v>
      </c>
      <c r="K176" s="7">
        <f t="shared" si="31"/>
        <v>4.2570387405640065E-4</v>
      </c>
    </row>
    <row r="177" spans="1:11" ht="15" customHeight="1" x14ac:dyDescent="0.25">
      <c r="A177" s="2">
        <v>175</v>
      </c>
      <c r="B177" s="7">
        <v>0</v>
      </c>
      <c r="C177" s="7">
        <f t="shared" si="36"/>
        <v>1.0000026603445893</v>
      </c>
      <c r="D177" s="7">
        <f t="shared" si="37"/>
        <v>2.6603410506431468E-6</v>
      </c>
      <c r="E177" s="7">
        <f t="shared" si="26"/>
        <v>2.5273239981109892E-6</v>
      </c>
      <c r="F177" s="7">
        <f t="shared" si="27"/>
        <v>0.37037037037037035</v>
      </c>
      <c r="G177" s="7">
        <f t="shared" si="38"/>
        <v>0.35484894858243776</v>
      </c>
      <c r="H177" s="7">
        <f t="shared" si="35"/>
        <v>0.3548488335367419</v>
      </c>
      <c r="I177" s="7">
        <f t="shared" si="29"/>
        <v>0.36470692902278917</v>
      </c>
      <c r="J177" s="7">
        <f t="shared" si="30"/>
        <v>0.35076539707745119</v>
      </c>
      <c r="K177" s="7">
        <f t="shared" si="31"/>
        <v>4.2570376475018141E-4</v>
      </c>
    </row>
    <row r="178" spans="1:11" ht="15" customHeight="1" x14ac:dyDescent="0.25">
      <c r="A178" s="2">
        <v>176</v>
      </c>
      <c r="B178" s="7">
        <v>0</v>
      </c>
      <c r="C178" s="7">
        <f t="shared" si="36"/>
        <v>1.0000025273271917</v>
      </c>
      <c r="D178" s="7">
        <f t="shared" si="37"/>
        <v>2.5273239981109892E-6</v>
      </c>
      <c r="E178" s="7">
        <f t="shared" si="26"/>
        <v>2.4009577982054398E-6</v>
      </c>
      <c r="F178" s="7">
        <f t="shared" si="27"/>
        <v>0.37037037037037035</v>
      </c>
      <c r="G178" s="7">
        <f t="shared" si="38"/>
        <v>0.3548488335367419</v>
      </c>
      <c r="H178" s="7">
        <f t="shared" si="35"/>
        <v>0.35484871852562944</v>
      </c>
      <c r="I178" s="7">
        <f t="shared" si="29"/>
        <v>0.3647068379435211</v>
      </c>
      <c r="J178" s="7">
        <f t="shared" si="30"/>
        <v>0.35076530947984036</v>
      </c>
      <c r="K178" s="7">
        <f t="shared" si="31"/>
        <v>4.2570365843800517E-4</v>
      </c>
    </row>
    <row r="179" spans="1:11" ht="15" customHeight="1" x14ac:dyDescent="0.25">
      <c r="A179" s="2">
        <v>177</v>
      </c>
      <c r="B179" s="7">
        <v>0</v>
      </c>
      <c r="C179" s="7">
        <f t="shared" si="36"/>
        <v>1.0000024009606805</v>
      </c>
      <c r="D179" s="7">
        <f t="shared" si="37"/>
        <v>2.4009577982054398E-6</v>
      </c>
      <c r="E179" s="7">
        <f t="shared" si="26"/>
        <v>2.2809099082951677E-6</v>
      </c>
      <c r="F179" s="7">
        <f t="shared" si="27"/>
        <v>0.37037037037037035</v>
      </c>
      <c r="G179" s="7">
        <f t="shared" si="38"/>
        <v>0.35484871852562944</v>
      </c>
      <c r="H179" s="7">
        <f t="shared" si="35"/>
        <v>0.35484860355176417</v>
      </c>
      <c r="I179" s="7">
        <f t="shared" si="29"/>
        <v>0.36470674930266878</v>
      </c>
      <c r="J179" s="7">
        <f t="shared" si="30"/>
        <v>0.35076522422743278</v>
      </c>
      <c r="K179" s="7">
        <f t="shared" si="31"/>
        <v>4.2570355497206704E-4</v>
      </c>
    </row>
    <row r="180" spans="1:11" ht="15" customHeight="1" x14ac:dyDescent="0.25">
      <c r="A180" s="2">
        <v>178</v>
      </c>
      <c r="B180" s="7">
        <v>0</v>
      </c>
      <c r="C180" s="7">
        <f t="shared" si="36"/>
        <v>1.0000022809125095</v>
      </c>
      <c r="D180" s="7">
        <f t="shared" si="37"/>
        <v>2.2809099082951677E-6</v>
      </c>
      <c r="E180" s="7">
        <f t="shared" si="26"/>
        <v>2.166864412880409E-6</v>
      </c>
      <c r="F180" s="7">
        <f t="shared" si="27"/>
        <v>0.37037037037037035</v>
      </c>
      <c r="G180" s="7">
        <f t="shared" si="38"/>
        <v>0.35484860355176417</v>
      </c>
      <c r="H180" s="7">
        <f t="shared" si="35"/>
        <v>0.35484848861767332</v>
      </c>
      <c r="I180" s="7">
        <f t="shared" si="29"/>
        <v>0.36470666297993537</v>
      </c>
      <c r="J180" s="7">
        <f t="shared" si="30"/>
        <v>0.35076514120453017</v>
      </c>
      <c r="K180" s="7">
        <f t="shared" si="31"/>
        <v>4.2570345421195075E-4</v>
      </c>
    </row>
    <row r="181" spans="1:11" ht="15" customHeight="1" x14ac:dyDescent="0.25">
      <c r="A181" s="2">
        <v>179</v>
      </c>
      <c r="B181" s="7">
        <v>0</v>
      </c>
      <c r="C181" s="7">
        <f t="shared" si="36"/>
        <v>1.0000021668667605</v>
      </c>
      <c r="D181" s="7">
        <f t="shared" si="37"/>
        <v>2.166864412880409E-6</v>
      </c>
      <c r="E181" s="7">
        <f t="shared" si="26"/>
        <v>2.0585211922363883E-6</v>
      </c>
      <c r="F181" s="7">
        <f t="shared" si="27"/>
        <v>0.37037037037037035</v>
      </c>
      <c r="G181" s="7">
        <f t="shared" si="38"/>
        <v>0.35484848861767332</v>
      </c>
      <c r="H181" s="7">
        <f t="shared" si="35"/>
        <v>0.35484837372575456</v>
      </c>
      <c r="I181" s="7">
        <f t="shared" si="29"/>
        <v>0.36470657886103797</v>
      </c>
      <c r="J181" s="7">
        <f t="shared" si="30"/>
        <v>0.35076506030121823</v>
      </c>
      <c r="K181" s="7">
        <f t="shared" si="31"/>
        <v>4.2570335602425959E-4</v>
      </c>
    </row>
    <row r="182" spans="1:11" ht="15" customHeight="1" x14ac:dyDescent="0.25">
      <c r="A182" s="2">
        <v>180</v>
      </c>
      <c r="B182" s="7">
        <v>0</v>
      </c>
      <c r="C182" s="7">
        <f t="shared" si="36"/>
        <v>1.0000020585233109</v>
      </c>
      <c r="D182" s="7">
        <f t="shared" si="37"/>
        <v>2.0585211922363883E-6</v>
      </c>
      <c r="E182" s="7">
        <f t="shared" si="26"/>
        <v>1.9555951326245687E-6</v>
      </c>
      <c r="F182" s="7">
        <f t="shared" si="27"/>
        <v>0.37037037037037035</v>
      </c>
      <c r="G182" s="7">
        <f t="shared" si="38"/>
        <v>0.35484837372575456</v>
      </c>
      <c r="H182" s="7">
        <f t="shared" si="35"/>
        <v>0.3548482588782822</v>
      </c>
      <c r="I182" s="7">
        <f t="shared" si="29"/>
        <v>0.36470649683740658</v>
      </c>
      <c r="J182" s="7">
        <f t="shared" si="30"/>
        <v>0.35076498141307721</v>
      </c>
      <c r="K182" s="7">
        <f t="shared" si="31"/>
        <v>4.257032602822654E-4</v>
      </c>
    </row>
    <row r="183" spans="1:11" ht="15" customHeight="1" x14ac:dyDescent="0.25">
      <c r="A183" s="2">
        <v>181</v>
      </c>
      <c r="B183" s="7">
        <v>0</v>
      </c>
      <c r="C183" s="7">
        <f t="shared" si="36"/>
        <v>1.0000019555970447</v>
      </c>
      <c r="D183" s="7">
        <f t="shared" si="37"/>
        <v>1.9555951326245687E-6</v>
      </c>
      <c r="E183" s="7">
        <f t="shared" si="26"/>
        <v>1.8578153759933401E-6</v>
      </c>
      <c r="F183" s="7">
        <f t="shared" si="27"/>
        <v>0.37037037037037035</v>
      </c>
      <c r="G183" s="7">
        <f t="shared" si="38"/>
        <v>0.3548482588782822</v>
      </c>
      <c r="H183" s="7">
        <f t="shared" si="35"/>
        <v>0.35484814407741344</v>
      </c>
      <c r="I183" s="7">
        <f t="shared" si="29"/>
        <v>0.36470641680589844</v>
      </c>
      <c r="J183" s="7">
        <f t="shared" si="30"/>
        <v>0.35076490444090724</v>
      </c>
      <c r="K183" s="7">
        <f t="shared" si="31"/>
        <v>4.2570316686557489E-4</v>
      </c>
    </row>
    <row r="184" spans="1:11" ht="15" customHeight="1" x14ac:dyDescent="0.25">
      <c r="A184" s="2">
        <v>182</v>
      </c>
      <c r="B184" s="7">
        <v>0</v>
      </c>
      <c r="C184" s="7">
        <f t="shared" si="36"/>
        <v>1.0000018578171017</v>
      </c>
      <c r="D184" s="7">
        <f t="shared" si="37"/>
        <v>1.8578153759933401E-6</v>
      </c>
      <c r="E184" s="7">
        <f t="shared" si="26"/>
        <v>1.7649246071936731E-6</v>
      </c>
      <c r="F184" s="7">
        <f t="shared" si="27"/>
        <v>0.37037037037037035</v>
      </c>
      <c r="G184" s="7">
        <f t="shared" si="38"/>
        <v>0.35484814407741344</v>
      </c>
      <c r="H184" s="7">
        <f t="shared" si="35"/>
        <v>0.35484802932519427</v>
      </c>
      <c r="I184" s="7">
        <f t="shared" si="29"/>
        <v>0.36470633866852686</v>
      </c>
      <c r="J184" s="7">
        <f t="shared" si="30"/>
        <v>0.35076482929046732</v>
      </c>
      <c r="K184" s="7">
        <f t="shared" si="31"/>
        <v>4.257030756598132E-4</v>
      </c>
    </row>
    <row r="185" spans="1:11" ht="15" customHeight="1" x14ac:dyDescent="0.25">
      <c r="A185" s="2">
        <v>183</v>
      </c>
      <c r="B185" s="7">
        <v>0</v>
      </c>
      <c r="C185" s="7">
        <f t="shared" si="36"/>
        <v>1.0000017649261648</v>
      </c>
      <c r="D185" s="7">
        <f t="shared" si="37"/>
        <v>1.7649246071936731E-6</v>
      </c>
      <c r="E185" s="7">
        <f t="shared" si="26"/>
        <v>1.6766783768339894E-6</v>
      </c>
      <c r="F185" s="7">
        <f t="shared" si="27"/>
        <v>0.37037037037037035</v>
      </c>
      <c r="G185" s="7">
        <f t="shared" si="38"/>
        <v>0.35484802932519427</v>
      </c>
      <c r="H185" s="7">
        <f t="shared" si="35"/>
        <v>0.35484791462356513</v>
      </c>
      <c r="I185" s="7">
        <f t="shared" si="29"/>
        <v>0.36470626233220327</v>
      </c>
      <c r="J185" s="7">
        <f t="shared" si="30"/>
        <v>0.35076475587222727</v>
      </c>
      <c r="K185" s="7">
        <f t="shared" si="31"/>
        <v>4.2570298655632283E-4</v>
      </c>
    </row>
    <row r="186" spans="1:11" ht="15" customHeight="1" x14ac:dyDescent="0.25">
      <c r="A186" s="2">
        <v>184</v>
      </c>
      <c r="B186" s="7">
        <v>0</v>
      </c>
      <c r="C186" s="7">
        <f t="shared" si="36"/>
        <v>1.0000016766797826</v>
      </c>
      <c r="D186" s="7">
        <f t="shared" si="37"/>
        <v>1.6766783768339894E-6</v>
      </c>
      <c r="E186" s="7">
        <f t="shared" si="26"/>
        <v>1.5928444579922898E-6</v>
      </c>
      <c r="F186" s="7">
        <f t="shared" si="27"/>
        <v>0.37037037037037035</v>
      </c>
      <c r="G186" s="7">
        <f t="shared" si="38"/>
        <v>0.35484791462356513</v>
      </c>
      <c r="H186" s="7">
        <f t="shared" si="35"/>
        <v>0.35484779997436594</v>
      </c>
      <c r="I186" s="7">
        <f t="shared" si="29"/>
        <v>0.36470618770849211</v>
      </c>
      <c r="J186" s="7">
        <f t="shared" si="30"/>
        <v>0.35076468410113221</v>
      </c>
      <c r="K186" s="7">
        <f t="shared" si="31"/>
        <v>4.2570289945187742E-4</v>
      </c>
    </row>
    <row r="187" spans="1:11" ht="15" customHeight="1" x14ac:dyDescent="0.25">
      <c r="A187" s="2">
        <v>185</v>
      </c>
      <c r="B187" s="7">
        <v>0</v>
      </c>
      <c r="C187" s="7">
        <f t="shared" si="36"/>
        <v>1.0000015928457267</v>
      </c>
      <c r="D187" s="7">
        <f t="shared" si="37"/>
        <v>1.5928444579922898E-6</v>
      </c>
      <c r="E187" s="7">
        <f t="shared" si="26"/>
        <v>1.5132022350926753E-6</v>
      </c>
      <c r="F187" s="7">
        <f t="shared" si="27"/>
        <v>0.37037037037037035</v>
      </c>
      <c r="G187" s="7">
        <f t="shared" si="38"/>
        <v>0.35484779997436594</v>
      </c>
      <c r="H187" s="7">
        <f t="shared" si="35"/>
        <v>0.35484768537934125</v>
      </c>
      <c r="I187" s="7">
        <f t="shared" si="29"/>
        <v>0.3647061147133786</v>
      </c>
      <c r="J187" s="7">
        <f t="shared" si="30"/>
        <v>0.35076461389637892</v>
      </c>
      <c r="K187" s="7">
        <f t="shared" si="31"/>
        <v>4.2570281424841091E-4</v>
      </c>
    </row>
    <row r="188" spans="1:11" ht="15" customHeight="1" x14ac:dyDescent="0.25">
      <c r="A188" s="2">
        <v>186</v>
      </c>
      <c r="B188" s="7">
        <v>0</v>
      </c>
      <c r="C188" s="7">
        <f t="shared" si="36"/>
        <v>1.0000015132033799</v>
      </c>
      <c r="D188" s="7">
        <f t="shared" si="37"/>
        <v>1.5132022350926753E-6</v>
      </c>
      <c r="E188" s="7">
        <f t="shared" si="26"/>
        <v>1.4375421233380416E-6</v>
      </c>
      <c r="F188" s="7">
        <f t="shared" si="27"/>
        <v>0.37037037037037035</v>
      </c>
      <c r="G188" s="7">
        <f t="shared" si="38"/>
        <v>0.35484768537934125</v>
      </c>
      <c r="H188" s="7">
        <f t="shared" si="35"/>
        <v>0.35484757084014529</v>
      </c>
      <c r="I188" s="7">
        <f t="shared" si="29"/>
        <v>0.36470604326704747</v>
      </c>
      <c r="J188" s="7">
        <f t="shared" si="30"/>
        <v>0.3507645451812032</v>
      </c>
      <c r="K188" s="7">
        <f t="shared" si="31"/>
        <v>4.2570273085275887E-4</v>
      </c>
    </row>
    <row r="189" spans="1:11" ht="15" customHeight="1" x14ac:dyDescent="0.25">
      <c r="A189" s="2">
        <v>187</v>
      </c>
      <c r="B189" s="7">
        <v>0</v>
      </c>
      <c r="C189" s="7">
        <f t="shared" si="36"/>
        <v>1.0000014375431565</v>
      </c>
      <c r="D189" s="7">
        <f t="shared" si="37"/>
        <v>1.4375421233380416E-6</v>
      </c>
      <c r="E189" s="7">
        <f t="shared" si="26"/>
        <v>1.3656650171711394E-6</v>
      </c>
      <c r="F189" s="7">
        <f t="shared" si="27"/>
        <v>0.37037037037037035</v>
      </c>
      <c r="G189" s="7">
        <f t="shared" si="38"/>
        <v>0.35484757084014529</v>
      </c>
      <c r="H189" s="7">
        <f t="shared" si="35"/>
        <v>0.35484745635834569</v>
      </c>
      <c r="I189" s="7">
        <f t="shared" si="29"/>
        <v>0.36470597329367305</v>
      </c>
      <c r="J189" s="7">
        <f t="shared" si="30"/>
        <v>0.35076447788267795</v>
      </c>
      <c r="K189" s="7">
        <f t="shared" si="31"/>
        <v>4.2570264917641398E-4</v>
      </c>
    </row>
    <row r="190" spans="1:11" ht="15" customHeight="1" x14ac:dyDescent="0.25">
      <c r="A190" s="2">
        <v>188</v>
      </c>
      <c r="B190" s="7">
        <v>0</v>
      </c>
      <c r="C190" s="7">
        <f t="shared" si="36"/>
        <v>1.0000013656659497</v>
      </c>
      <c r="D190" s="7">
        <f t="shared" si="37"/>
        <v>1.3656650171711394E-6</v>
      </c>
      <c r="E190" s="7">
        <f t="shared" si="26"/>
        <v>1.2973817663125823E-6</v>
      </c>
      <c r="F190" s="7">
        <f t="shared" si="27"/>
        <v>0.37037037037037035</v>
      </c>
      <c r="G190" s="7">
        <f t="shared" si="38"/>
        <v>0.35484745635834569</v>
      </c>
      <c r="H190" s="7">
        <f t="shared" si="35"/>
        <v>0.35484734193542899</v>
      </c>
      <c r="I190" s="7">
        <f t="shared" si="29"/>
        <v>0.36470590472121978</v>
      </c>
      <c r="J190" s="7">
        <f t="shared" si="30"/>
        <v>0.35076441193152136</v>
      </c>
      <c r="K190" s="7">
        <f t="shared" si="31"/>
        <v>4.2570256913529274E-4</v>
      </c>
    </row>
    <row r="191" spans="1:11" ht="15" customHeight="1" x14ac:dyDescent="0.25">
      <c r="A191" s="2">
        <v>189</v>
      </c>
      <c r="B191" s="7">
        <v>0</v>
      </c>
      <c r="C191" s="7">
        <f t="shared" si="36"/>
        <v>1.000001297382608</v>
      </c>
      <c r="D191" s="7">
        <f t="shared" si="37"/>
        <v>1.2973817663125823E-6</v>
      </c>
      <c r="E191" s="7">
        <f t="shared" si="26"/>
        <v>1.2325126779969531E-6</v>
      </c>
      <c r="F191" s="7">
        <f t="shared" si="27"/>
        <v>0.37037037037037035</v>
      </c>
      <c r="G191" s="7">
        <f t="shared" si="38"/>
        <v>0.35484734193542899</v>
      </c>
      <c r="H191" s="7">
        <f t="shared" si="35"/>
        <v>0.35484722757280368</v>
      </c>
      <c r="I191" s="7">
        <f t="shared" si="29"/>
        <v>0.36470583748125246</v>
      </c>
      <c r="J191" s="7">
        <f t="shared" si="30"/>
        <v>0.35076434726191419</v>
      </c>
      <c r="K191" s="7">
        <f t="shared" si="31"/>
        <v>4.2570249064951431E-4</v>
      </c>
    </row>
    <row r="192" spans="1:11" ht="15" customHeight="1" x14ac:dyDescent="0.25">
      <c r="A192" s="2">
        <v>190</v>
      </c>
      <c r="B192" s="7">
        <v>0</v>
      </c>
      <c r="C192" s="7">
        <f t="shared" si="36"/>
        <v>1.0000012325134375</v>
      </c>
      <c r="D192" s="7">
        <f t="shared" si="37"/>
        <v>1.2325126779969531E-6</v>
      </c>
      <c r="E192" s="7">
        <f t="shared" si="26"/>
        <v>1.1708870440971054E-6</v>
      </c>
      <c r="F192" s="7">
        <f t="shared" si="27"/>
        <v>0.37037037037037035</v>
      </c>
      <c r="G192" s="7">
        <f t="shared" si="38"/>
        <v>0.35484722757280368</v>
      </c>
      <c r="H192" s="7">
        <f t="shared" si="35"/>
        <v>0.3548471132718044</v>
      </c>
      <c r="I192" s="7">
        <f t="shared" si="29"/>
        <v>0.36470577150875649</v>
      </c>
      <c r="J192" s="7">
        <f t="shared" si="30"/>
        <v>0.35076428381132713</v>
      </c>
      <c r="K192" s="7">
        <f t="shared" si="31"/>
        <v>4.2570241364319042E-4</v>
      </c>
    </row>
    <row r="193" spans="1:11" ht="15" customHeight="1" x14ac:dyDescent="0.25">
      <c r="A193" s="2">
        <v>191</v>
      </c>
      <c r="B193" s="7">
        <v>0</v>
      </c>
      <c r="C193" s="7">
        <f t="shared" si="36"/>
        <v>1.0000011708877297</v>
      </c>
      <c r="D193" s="7">
        <f t="shared" si="37"/>
        <v>1.1708870440971054E-6</v>
      </c>
      <c r="E193" s="7">
        <f t="shared" si="26"/>
        <v>1.1123426918922502E-6</v>
      </c>
      <c r="F193" s="7">
        <f t="shared" si="27"/>
        <v>0.37037037037037035</v>
      </c>
      <c r="G193" s="7">
        <f t="shared" si="38"/>
        <v>0.3548471132718044</v>
      </c>
      <c r="H193" s="7">
        <f t="shared" si="35"/>
        <v>0.35484699903369588</v>
      </c>
      <c r="I193" s="7">
        <f t="shared" si="29"/>
        <v>0.36470570674196695</v>
      </c>
      <c r="J193" s="7">
        <f t="shared" si="30"/>
        <v>0.35076422152035636</v>
      </c>
      <c r="K193" s="7">
        <f t="shared" si="31"/>
        <v>4.2570233804422605E-4</v>
      </c>
    </row>
    <row r="194" spans="1:11" ht="15" customHeight="1" x14ac:dyDescent="0.25">
      <c r="A194" s="2">
        <v>192</v>
      </c>
      <c r="B194" s="7">
        <v>0</v>
      </c>
      <c r="C194" s="7">
        <f t="shared" si="36"/>
        <v>1.0000011123433106</v>
      </c>
      <c r="D194" s="7">
        <f t="shared" si="37"/>
        <v>1.1123426918922502E-6</v>
      </c>
      <c r="E194" s="7">
        <f t="shared" ref="E194:E202" si="39">$N$6*D194+B194</f>
        <v>1.0567255572976377E-6</v>
      </c>
      <c r="F194" s="7">
        <f t="shared" ref="F194:F202" si="40">((1-$N$2*(1-$N$4))*(1-$N$1))/(((1-$N$2*(1-$N$4))*(1-$N$1))*$N$3+(1-$N$2*(1-$N$4))*(1-$N$1))</f>
        <v>0.37037037037037035</v>
      </c>
      <c r="G194" s="7">
        <f t="shared" si="38"/>
        <v>0.35484699903369588</v>
      </c>
      <c r="H194" s="7">
        <f t="shared" ref="H194:H201" si="41">G195</f>
        <v>0.35484688485967625</v>
      </c>
      <c r="I194" s="7">
        <f t="shared" ref="I194:I202" si="42">$C194*$G194^$N$1*$F194^(1-$N$1)</f>
        <v>0.36470564312220577</v>
      </c>
      <c r="J194" s="7">
        <f t="shared" ref="J194:J202" si="43">$C194*$G194^$N$1*$F194^(1-$N$1)*((1-$N$2*(1-$N$4*(1-$N$1)))/(1-$N$2*(1-$N$4)))</f>
        <v>0.35076416033256691</v>
      </c>
      <c r="K194" s="7">
        <f t="shared" ref="K194:K202" si="44">$C194*$G194^$N$1*$F194^(1-$N$1)*(($N$2*$N$1*$N$4)/(1-$N$2*(1-$N$1)))</f>
        <v>4.2570226378412922E-4</v>
      </c>
    </row>
    <row r="195" spans="1:11" ht="15" customHeight="1" x14ac:dyDescent="0.25">
      <c r="A195" s="2">
        <v>193</v>
      </c>
      <c r="B195" s="7">
        <v>0</v>
      </c>
      <c r="C195" s="7">
        <f t="shared" ref="C195:C202" si="45">EXP(D195)</f>
        <v>1.0000010567261157</v>
      </c>
      <c r="D195" s="7">
        <f t="shared" ref="D195:D202" si="46">E194</f>
        <v>1.0567255572976377E-6</v>
      </c>
      <c r="E195" s="7">
        <f t="shared" si="39"/>
        <v>1.0038892794327557E-6</v>
      </c>
      <c r="F195" s="7">
        <f t="shared" si="40"/>
        <v>0.37037037037037035</v>
      </c>
      <c r="G195" s="7">
        <f t="shared" ref="G195:G202" si="47">(($C195*$G194^$N$1*$F195^(1-$N$1)*(($N$2*$N$1*$N$4)/(1-$N$2*(1-$N$1))))^$N$4)*($N$5*$G194^(1-$N$4))</f>
        <v>0.35484688485967625</v>
      </c>
      <c r="H195" s="7">
        <f t="shared" si="41"/>
        <v>0.35484677075088039</v>
      </c>
      <c r="I195" s="7">
        <f t="shared" si="42"/>
        <v>0.36470558059372765</v>
      </c>
      <c r="J195" s="7">
        <f t="shared" si="43"/>
        <v>0.35076410019434434</v>
      </c>
      <c r="K195" s="7">
        <f t="shared" si="44"/>
        <v>4.2570219079783144E-4</v>
      </c>
    </row>
    <row r="196" spans="1:11" ht="15" customHeight="1" x14ac:dyDescent="0.25">
      <c r="A196" s="2">
        <v>194</v>
      </c>
      <c r="B196" s="7">
        <v>0</v>
      </c>
      <c r="C196" s="7">
        <f t="shared" si="45"/>
        <v>1.0000010038897833</v>
      </c>
      <c r="D196" s="7">
        <f t="shared" si="46"/>
        <v>1.0038892794327557E-6</v>
      </c>
      <c r="E196" s="7">
        <f t="shared" si="39"/>
        <v>9.5369481546111797E-7</v>
      </c>
      <c r="F196" s="7">
        <f t="shared" si="40"/>
        <v>0.37037037037037035</v>
      </c>
      <c r="G196" s="7">
        <f t="shared" si="47"/>
        <v>0.35484677075088039</v>
      </c>
      <c r="H196" s="7">
        <f t="shared" si="41"/>
        <v>0.35484665670838317</v>
      </c>
      <c r="I196" s="7">
        <f t="shared" si="42"/>
        <v>0.36470551910357346</v>
      </c>
      <c r="J196" s="7">
        <f t="shared" si="43"/>
        <v>0.35076404105475412</v>
      </c>
      <c r="K196" s="7">
        <f t="shared" si="44"/>
        <v>4.2570211902351606E-4</v>
      </c>
    </row>
    <row r="197" spans="1:11" ht="15" customHeight="1" x14ac:dyDescent="0.25">
      <c r="A197" s="2">
        <v>195</v>
      </c>
      <c r="B197" s="7">
        <v>0</v>
      </c>
      <c r="C197" s="7">
        <f t="shared" si="45"/>
        <v>1.0000009536952703</v>
      </c>
      <c r="D197" s="7">
        <f t="shared" si="46"/>
        <v>9.5369481546111797E-7</v>
      </c>
      <c r="E197" s="7">
        <f t="shared" si="39"/>
        <v>9.0601007468806202E-7</v>
      </c>
      <c r="F197" s="7">
        <f t="shared" si="40"/>
        <v>0.37037037037037035</v>
      </c>
      <c r="G197" s="7">
        <f t="shared" si="47"/>
        <v>0.35484665670838317</v>
      </c>
      <c r="H197" s="7">
        <f t="shared" si="41"/>
        <v>0.35484654273320226</v>
      </c>
      <c r="I197" s="7">
        <f t="shared" si="42"/>
        <v>0.36470545860143061</v>
      </c>
      <c r="J197" s="7">
        <f t="shared" si="43"/>
        <v>0.35076398286540678</v>
      </c>
      <c r="K197" s="7">
        <f t="shared" si="44"/>
        <v>4.257020484024559E-4</v>
      </c>
    </row>
    <row r="198" spans="1:11" ht="15" customHeight="1" x14ac:dyDescent="0.25">
      <c r="A198" s="2">
        <v>196</v>
      </c>
      <c r="B198" s="7">
        <v>0</v>
      </c>
      <c r="C198" s="7">
        <f t="shared" si="45"/>
        <v>1.0000009060104851</v>
      </c>
      <c r="D198" s="7">
        <f t="shared" si="46"/>
        <v>9.0601007468806202E-7</v>
      </c>
      <c r="E198" s="7">
        <f t="shared" si="39"/>
        <v>8.607095709536589E-7</v>
      </c>
      <c r="F198" s="7">
        <f t="shared" si="40"/>
        <v>0.37037037037037035</v>
      </c>
      <c r="G198" s="7">
        <f t="shared" si="47"/>
        <v>0.35484654273320226</v>
      </c>
      <c r="H198" s="7">
        <f t="shared" si="41"/>
        <v>0.3548464288263013</v>
      </c>
      <c r="I198" s="7">
        <f t="shared" si="42"/>
        <v>0.36470539903950094</v>
      </c>
      <c r="J198" s="7">
        <f t="shared" si="43"/>
        <v>0.35076392558033143</v>
      </c>
      <c r="K198" s="7">
        <f t="shared" si="44"/>
        <v>4.2570197887885851E-4</v>
      </c>
    </row>
    <row r="199" spans="1:11" ht="15" customHeight="1" x14ac:dyDescent="0.25">
      <c r="A199" s="2">
        <v>197</v>
      </c>
      <c r="B199" s="7">
        <v>0</v>
      </c>
      <c r="C199" s="7">
        <f t="shared" si="45"/>
        <v>1.0000008607099413</v>
      </c>
      <c r="D199" s="7">
        <f t="shared" si="46"/>
        <v>8.607095709536589E-7</v>
      </c>
      <c r="E199" s="7">
        <f t="shared" si="39"/>
        <v>8.1767409240597586E-7</v>
      </c>
      <c r="F199" s="7">
        <f t="shared" si="40"/>
        <v>0.37037037037037035</v>
      </c>
      <c r="G199" s="7">
        <f t="shared" si="47"/>
        <v>0.3548464288263013</v>
      </c>
      <c r="H199" s="7">
        <f t="shared" si="41"/>
        <v>0.35484631498859209</v>
      </c>
      <c r="I199" s="7">
        <f t="shared" si="42"/>
        <v>0.36470534037237523</v>
      </c>
      <c r="J199" s="7">
        <f t="shared" si="43"/>
        <v>0.35076386915585467</v>
      </c>
      <c r="K199" s="7">
        <f t="shared" si="44"/>
        <v>4.2570191039972003E-4</v>
      </c>
    </row>
    <row r="200" spans="1:11" ht="15" customHeight="1" x14ac:dyDescent="0.25">
      <c r="A200" s="2">
        <v>198</v>
      </c>
      <c r="B200" s="7">
        <v>0</v>
      </c>
      <c r="C200" s="7">
        <f t="shared" si="45"/>
        <v>1.0000008176744266</v>
      </c>
      <c r="D200" s="7">
        <f t="shared" si="46"/>
        <v>8.1767409240597586E-7</v>
      </c>
      <c r="E200" s="7">
        <f t="shared" si="39"/>
        <v>7.7679038778567704E-7</v>
      </c>
      <c r="F200" s="7">
        <f t="shared" si="40"/>
        <v>0.37037037037037035</v>
      </c>
      <c r="G200" s="7">
        <f t="shared" si="47"/>
        <v>0.35484631498859209</v>
      </c>
      <c r="H200" s="7">
        <f t="shared" si="41"/>
        <v>0.3548462012209378</v>
      </c>
      <c r="I200" s="7">
        <f t="shared" si="42"/>
        <v>0.3647052825569132</v>
      </c>
      <c r="J200" s="7">
        <f t="shared" si="43"/>
        <v>0.3507638135504853</v>
      </c>
      <c r="K200" s="7">
        <f t="shared" si="44"/>
        <v>4.2570184291468511E-4</v>
      </c>
    </row>
    <row r="201" spans="1:11" ht="15" customHeight="1" x14ac:dyDescent="0.25">
      <c r="A201" s="2">
        <v>199</v>
      </c>
      <c r="B201" s="7">
        <v>0</v>
      </c>
      <c r="C201" s="7">
        <f t="shared" si="45"/>
        <v>1.0000007767906895</v>
      </c>
      <c r="D201" s="7">
        <f t="shared" si="46"/>
        <v>7.7679038778567704E-7</v>
      </c>
      <c r="E201" s="7">
        <f t="shared" si="39"/>
        <v>7.3795086839639314E-7</v>
      </c>
      <c r="F201" s="7">
        <f t="shared" si="40"/>
        <v>0.37037037037037035</v>
      </c>
      <c r="G201" s="7">
        <f t="shared" si="47"/>
        <v>0.3548462012209378</v>
      </c>
      <c r="H201" s="7">
        <f t="shared" si="41"/>
        <v>0.35484608752415508</v>
      </c>
      <c r="I201" s="7">
        <f t="shared" si="42"/>
        <v>0.36470522555213042</v>
      </c>
      <c r="J201" s="7">
        <f t="shared" si="43"/>
        <v>0.35076375872480564</v>
      </c>
      <c r="K201" s="7">
        <f t="shared" si="44"/>
        <v>4.2570177637591463E-4</v>
      </c>
    </row>
    <row r="202" spans="1:11" ht="15" customHeight="1" thickBot="1" x14ac:dyDescent="0.3">
      <c r="A202" s="3">
        <v>200</v>
      </c>
      <c r="B202" s="9">
        <v>0</v>
      </c>
      <c r="C202" s="9">
        <f t="shared" si="45"/>
        <v>1.0000007379511406</v>
      </c>
      <c r="D202" s="9">
        <f t="shared" si="46"/>
        <v>7.3795086839639314E-7</v>
      </c>
      <c r="E202" s="9">
        <f t="shared" si="39"/>
        <v>7.0105332497657344E-7</v>
      </c>
      <c r="F202" s="9">
        <f t="shared" si="40"/>
        <v>0.37037037037037035</v>
      </c>
      <c r="G202" s="9">
        <f t="shared" si="47"/>
        <v>0.35484608752415508</v>
      </c>
      <c r="H202" s="9"/>
      <c r="I202" s="9">
        <f t="shared" si="42"/>
        <v>0.36470516931909064</v>
      </c>
      <c r="J202" s="9">
        <f t="shared" si="43"/>
        <v>0.35076370464136775</v>
      </c>
      <c r="K202" s="9">
        <f t="shared" si="44"/>
        <v>4.2570171073796036E-4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0C3C9-1CF9-402F-A9C7-06CF0873D212}">
  <dimension ref="A1:K202"/>
  <sheetViews>
    <sheetView zoomScale="80" zoomScaleNormal="80" workbookViewId="0"/>
  </sheetViews>
  <sheetFormatPr baseColWidth="10" defaultRowHeight="15" customHeight="1" x14ac:dyDescent="0.25"/>
  <cols>
    <col min="1" max="16384" width="11.42578125" style="1"/>
  </cols>
  <sheetData>
    <row r="1" spans="1:11" ht="15" customHeight="1" thickBot="1" x14ac:dyDescent="0.3">
      <c r="A1" s="4" t="s">
        <v>0</v>
      </c>
      <c r="B1" s="4" t="s">
        <v>15</v>
      </c>
      <c r="C1" s="4" t="s">
        <v>18</v>
      </c>
      <c r="D1" s="4" t="s">
        <v>11</v>
      </c>
      <c r="E1" s="4" t="s">
        <v>17</v>
      </c>
      <c r="F1" s="4" t="s">
        <v>21</v>
      </c>
      <c r="G1" s="4" t="s">
        <v>16</v>
      </c>
      <c r="H1" s="4" t="s">
        <v>13</v>
      </c>
      <c r="I1" s="4" t="s">
        <v>20</v>
      </c>
      <c r="J1" s="4" t="s">
        <v>14</v>
      </c>
      <c r="K1" s="4" t="s">
        <v>19</v>
      </c>
    </row>
    <row r="2" spans="1:11" ht="15" customHeight="1" x14ac:dyDescent="0.25">
      <c r="A2" s="2">
        <v>0</v>
      </c>
      <c r="B2" s="7">
        <f>'Ejercicio 1.e (3)'!F2</f>
        <v>0.37037037037037035</v>
      </c>
      <c r="C2" s="7">
        <f t="shared" ref="C2:C65" si="0">$B$2</f>
        <v>0.37037037037037035</v>
      </c>
      <c r="D2" s="7">
        <f>'Ejercicio 1.e (3)'!G2</f>
        <v>0.35469778040507688</v>
      </c>
      <c r="E2" s="7">
        <f t="shared" ref="E2:E65" si="1">$D$2</f>
        <v>0.35469778040507688</v>
      </c>
      <c r="F2" s="7">
        <f>$G$2</f>
        <v>0.36465001891249188</v>
      </c>
      <c r="G2" s="7">
        <f>'Ejercicio 1.e (3)'!I2</f>
        <v>0.36465001891249188</v>
      </c>
      <c r="H2" s="7">
        <f>'Ejercicio 1.e (3)'!J2</f>
        <v>0.35071066245124149</v>
      </c>
      <c r="I2" s="7">
        <f>$H$2</f>
        <v>0.35071066245124149</v>
      </c>
      <c r="J2" s="7">
        <f>'Ejercicio 1.e (3)'!K2</f>
        <v>4.2563733648606582E-4</v>
      </c>
      <c r="K2" s="7">
        <f>$J$2</f>
        <v>4.2563733648606582E-4</v>
      </c>
    </row>
    <row r="3" spans="1:11" ht="15" customHeight="1" x14ac:dyDescent="0.25">
      <c r="A3" s="2">
        <v>1</v>
      </c>
      <c r="B3" s="7">
        <f>'Ejercicio 1.e (3)'!F3</f>
        <v>0.37037037037037035</v>
      </c>
      <c r="C3" s="7">
        <f t="shared" si="0"/>
        <v>0.37037037037037035</v>
      </c>
      <c r="D3" s="7">
        <f>'Ejercicio 1.e (3)'!G3</f>
        <v>0.35470629325396041</v>
      </c>
      <c r="E3" s="7">
        <f t="shared" si="1"/>
        <v>0.35469778040507688</v>
      </c>
      <c r="F3" s="7">
        <f t="shared" ref="F3:F66" si="2">$G$2</f>
        <v>0.36465001891249188</v>
      </c>
      <c r="G3" s="7">
        <f>'Ejercicio 1.e (3)'!I3</f>
        <v>0.37201965217121535</v>
      </c>
      <c r="H3" s="7">
        <f>'Ejercicio 1.e (3)'!J3</f>
        <v>0.3577985791607971</v>
      </c>
      <c r="I3" s="7">
        <f t="shared" ref="I3:I66" si="3">$H$2</f>
        <v>0.35071066245124149</v>
      </c>
      <c r="J3" s="7">
        <f>'Ejercicio 1.e (3)'!K3</f>
        <v>4.3423953286185962E-4</v>
      </c>
      <c r="K3" s="7">
        <f t="shared" ref="K3:K66" si="4">$J$2</f>
        <v>4.2563733648606582E-4</v>
      </c>
    </row>
    <row r="4" spans="1:11" ht="15" customHeight="1" x14ac:dyDescent="0.25">
      <c r="A4" s="2">
        <v>2</v>
      </c>
      <c r="B4" s="7">
        <f>'Ejercicio 1.e (3)'!F4</f>
        <v>0.37037037037037035</v>
      </c>
      <c r="C4" s="7">
        <f t="shared" si="0"/>
        <v>0.37037037037037035</v>
      </c>
      <c r="D4" s="7">
        <f>'Ejercicio 1.e (3)'!G4</f>
        <v>0.35471437411154716</v>
      </c>
      <c r="E4" s="7">
        <f t="shared" si="1"/>
        <v>0.35469778040507688</v>
      </c>
      <c r="F4" s="7">
        <f t="shared" si="2"/>
        <v>0.36465001891249188</v>
      </c>
      <c r="G4" s="7">
        <f>'Ejercicio 1.e (3)'!I4</f>
        <v>0.37165086649859885</v>
      </c>
      <c r="H4" s="7">
        <f>'Ejercicio 1.e (3)'!J4</f>
        <v>0.35744389093691714</v>
      </c>
      <c r="I4" s="7">
        <f t="shared" si="3"/>
        <v>0.35071066245124149</v>
      </c>
      <c r="J4" s="7">
        <f>'Ejercicio 1.e (3)'!K4</f>
        <v>4.3380906818810247E-4</v>
      </c>
      <c r="K4" s="7">
        <f t="shared" si="4"/>
        <v>4.2563733648606582E-4</v>
      </c>
    </row>
    <row r="5" spans="1:11" ht="15" customHeight="1" x14ac:dyDescent="0.25">
      <c r="A5" s="2">
        <v>3</v>
      </c>
      <c r="B5" s="7">
        <f>'Ejercicio 1.e (3)'!F5</f>
        <v>0.37037037037037035</v>
      </c>
      <c r="C5" s="7">
        <f t="shared" si="0"/>
        <v>0.37037037037037035</v>
      </c>
      <c r="D5" s="7">
        <f>'Ejercicio 1.e (3)'!G5</f>
        <v>0.35472204456355866</v>
      </c>
      <c r="E5" s="7">
        <f t="shared" si="1"/>
        <v>0.35469778040507688</v>
      </c>
      <c r="F5" s="7">
        <f t="shared" si="2"/>
        <v>0.36465001891249188</v>
      </c>
      <c r="G5" s="7">
        <f>'Ejercicio 1.e (3)'!I5</f>
        <v>0.37130085627162263</v>
      </c>
      <c r="H5" s="7">
        <f>'Ejercicio 1.e (3)'!J5</f>
        <v>0.35710726043588598</v>
      </c>
      <c r="I5" s="7">
        <f t="shared" si="3"/>
        <v>0.35071066245124149</v>
      </c>
      <c r="J5" s="7">
        <f>'Ejercicio 1.e (3)'!K5</f>
        <v>4.3340051913277173E-4</v>
      </c>
      <c r="K5" s="7">
        <f t="shared" si="4"/>
        <v>4.2563733648606582E-4</v>
      </c>
    </row>
    <row r="6" spans="1:11" ht="15" customHeight="1" x14ac:dyDescent="0.25">
      <c r="A6" s="2">
        <v>4</v>
      </c>
      <c r="B6" s="7">
        <f>'Ejercicio 1.e (3)'!F6</f>
        <v>0.37037037037037035</v>
      </c>
      <c r="C6" s="7">
        <f t="shared" si="0"/>
        <v>0.37037037037037035</v>
      </c>
      <c r="D6" s="7">
        <f>'Ejercicio 1.e (3)'!G6</f>
        <v>0.35472932511827299</v>
      </c>
      <c r="E6" s="7">
        <f t="shared" si="1"/>
        <v>0.35469778040507688</v>
      </c>
      <c r="F6" s="7">
        <f t="shared" si="2"/>
        <v>0.36465001891249188</v>
      </c>
      <c r="G6" s="7">
        <f>'Ejercicio 1.e (3)'!I6</f>
        <v>0.37096864942249635</v>
      </c>
      <c r="H6" s="7">
        <f>'Ejercicio 1.e (3)'!J6</f>
        <v>0.35678775274882923</v>
      </c>
      <c r="I6" s="7">
        <f t="shared" si="3"/>
        <v>0.35071066245124149</v>
      </c>
      <c r="J6" s="7">
        <f>'Ejercicio 1.e (3)'!K6</f>
        <v>4.3301275105080031E-4</v>
      </c>
      <c r="K6" s="7">
        <f t="shared" si="4"/>
        <v>4.2563733648606582E-4</v>
      </c>
    </row>
    <row r="7" spans="1:11" ht="15" customHeight="1" x14ac:dyDescent="0.25">
      <c r="A7" s="2">
        <v>5</v>
      </c>
      <c r="B7" s="7">
        <f>'Ejercicio 1.e (3)'!F7</f>
        <v>0.37037037037037035</v>
      </c>
      <c r="C7" s="7">
        <f t="shared" si="0"/>
        <v>0.37037037037037035</v>
      </c>
      <c r="D7" s="7">
        <f>'Ejercicio 1.e (3)'!G7</f>
        <v>0.35473623526021691</v>
      </c>
      <c r="E7" s="7">
        <f t="shared" si="1"/>
        <v>0.35469778040507688</v>
      </c>
      <c r="F7" s="7">
        <f t="shared" si="2"/>
        <v>0.36465001891249188</v>
      </c>
      <c r="G7" s="7">
        <f>'Ejercicio 1.e (3)'!I7</f>
        <v>0.37065332577449966</v>
      </c>
      <c r="H7" s="7">
        <f>'Ejercicio 1.e (3)'!J7</f>
        <v>0.35648448287431977</v>
      </c>
      <c r="I7" s="7">
        <f t="shared" si="3"/>
        <v>0.35071066245124149</v>
      </c>
      <c r="J7" s="7">
        <f>'Ejercicio 1.e (3)'!K7</f>
        <v>4.3264468986691597E-4</v>
      </c>
      <c r="K7" s="7">
        <f t="shared" si="4"/>
        <v>4.2563733648606582E-4</v>
      </c>
    </row>
    <row r="8" spans="1:11" ht="15" customHeight="1" x14ac:dyDescent="0.25">
      <c r="A8" s="2">
        <v>6</v>
      </c>
      <c r="B8" s="7">
        <f>'Ejercicio 1.e (3)'!F8</f>
        <v>0.37037037037037035</v>
      </c>
      <c r="C8" s="7">
        <f t="shared" si="0"/>
        <v>0.37037037037037035</v>
      </c>
      <c r="D8" s="7">
        <f>'Ejercicio 1.e (3)'!G8</f>
        <v>0.35474279350119026</v>
      </c>
      <c r="E8" s="7">
        <f t="shared" si="1"/>
        <v>0.35469778040507688</v>
      </c>
      <c r="F8" s="7">
        <f t="shared" si="2"/>
        <v>0.36465001891249188</v>
      </c>
      <c r="G8" s="7">
        <f>'Ejercicio 1.e (3)'!I8</f>
        <v>0.37035401412095259</v>
      </c>
      <c r="H8" s="7">
        <f>'Ejercicio 1.e (3)'!J8</f>
        <v>0.35619661290900911</v>
      </c>
      <c r="I8" s="7">
        <f t="shared" si="3"/>
        <v>0.35071066245124149</v>
      </c>
      <c r="J8" s="7">
        <f>'Ejercicio 1.e (3)'!K8</f>
        <v>4.3229531866607255E-4</v>
      </c>
      <c r="K8" s="7">
        <f t="shared" si="4"/>
        <v>4.2563733648606582E-4</v>
      </c>
    </row>
    <row r="9" spans="1:11" ht="15" customHeight="1" x14ac:dyDescent="0.25">
      <c r="A9" s="2">
        <v>7</v>
      </c>
      <c r="B9" s="7">
        <f>'Ejercicio 1.e (3)'!F9</f>
        <v>0.37037037037037035</v>
      </c>
      <c r="C9" s="7">
        <f t="shared" si="0"/>
        <v>0.37037037037037035</v>
      </c>
      <c r="D9" s="7">
        <f>'Ejercicio 1.e (3)'!G9</f>
        <v>0.3547490174287557</v>
      </c>
      <c r="E9" s="7">
        <f t="shared" si="1"/>
        <v>0.35469778040507688</v>
      </c>
      <c r="F9" s="7">
        <f t="shared" si="2"/>
        <v>0.36465001891249188</v>
      </c>
      <c r="G9" s="7">
        <f>'Ejercicio 1.e (3)'!I9</f>
        <v>0.37006988948292269</v>
      </c>
      <c r="H9" s="7">
        <f>'Ejercicio 1.e (3)'!J9</f>
        <v>0.3559233494101634</v>
      </c>
      <c r="I9" s="7">
        <f t="shared" si="3"/>
        <v>0.35071066245124149</v>
      </c>
      <c r="J9" s="7">
        <f>'Ejercicio 1.e (3)'!K9</f>
        <v>4.3196367449251192E-4</v>
      </c>
      <c r="K9" s="7">
        <f t="shared" si="4"/>
        <v>4.2563733648606582E-4</v>
      </c>
    </row>
    <row r="10" spans="1:11" ht="15" customHeight="1" x14ac:dyDescent="0.25">
      <c r="A10" s="2">
        <v>8</v>
      </c>
      <c r="B10" s="7">
        <f>'Ejercicio 1.e (3)'!F10</f>
        <v>0.37037037037037035</v>
      </c>
      <c r="C10" s="7">
        <f t="shared" si="0"/>
        <v>0.37037037037037035</v>
      </c>
      <c r="D10" s="7">
        <f>'Ejercicio 1.e (3)'!G10</f>
        <v>0.35475492375231799</v>
      </c>
      <c r="E10" s="7">
        <f t="shared" si="1"/>
        <v>0.35469778040507688</v>
      </c>
      <c r="F10" s="7">
        <f t="shared" si="2"/>
        <v>0.36465001891249188</v>
      </c>
      <c r="G10" s="7">
        <f>'Ejercicio 1.e (3)'!I10</f>
        <v>0.36980017053342212</v>
      </c>
      <c r="H10" s="7">
        <f>'Ejercicio 1.e (3)'!J10</f>
        <v>0.35566394091832482</v>
      </c>
      <c r="I10" s="7">
        <f t="shared" si="3"/>
        <v>0.35071066245124149</v>
      </c>
      <c r="J10" s="7">
        <f>'Ejercicio 1.e (3)'!K10</f>
        <v>4.3164884534316041E-4</v>
      </c>
      <c r="K10" s="7">
        <f t="shared" si="4"/>
        <v>4.2563733648606582E-4</v>
      </c>
    </row>
    <row r="11" spans="1:11" ht="15" customHeight="1" x14ac:dyDescent="0.25">
      <c r="A11" s="2">
        <v>9</v>
      </c>
      <c r="B11" s="7">
        <f>'Ejercicio 1.e (3)'!F11</f>
        <v>0.37037037037037035</v>
      </c>
      <c r="C11" s="7">
        <f t="shared" si="0"/>
        <v>0.37037037037037035</v>
      </c>
      <c r="D11" s="7">
        <f>'Ejercicio 1.e (3)'!G11</f>
        <v>0.35476052834691246</v>
      </c>
      <c r="E11" s="7">
        <f t="shared" si="1"/>
        <v>0.35469778040507688</v>
      </c>
      <c r="F11" s="7">
        <f t="shared" si="2"/>
        <v>0.36465001891249188</v>
      </c>
      <c r="G11" s="7">
        <f>'Ejercicio 1.e (3)'!I11</f>
        <v>0.36954411717680075</v>
      </c>
      <c r="H11" s="7">
        <f>'Ejercicio 1.e (3)'!J11</f>
        <v>0.35541767562923654</v>
      </c>
      <c r="I11" s="7">
        <f t="shared" si="3"/>
        <v>0.35071066245124149</v>
      </c>
      <c r="J11" s="7">
        <f>'Ejercicio 1.e (3)'!K11</f>
        <v>4.3134996734217829E-4</v>
      </c>
      <c r="K11" s="7">
        <f t="shared" si="4"/>
        <v>4.2563733648606582E-4</v>
      </c>
    </row>
    <row r="12" spans="1:11" ht="15" customHeight="1" x14ac:dyDescent="0.25">
      <c r="A12" s="2">
        <v>10</v>
      </c>
      <c r="B12" s="7">
        <f>'Ejercicio 1.e (3)'!F12</f>
        <v>0.37037037037037035</v>
      </c>
      <c r="C12" s="7">
        <f t="shared" si="0"/>
        <v>0.37037037037037035</v>
      </c>
      <c r="D12" s="7">
        <f>'Ejercicio 1.e (3)'!G12</f>
        <v>0.35476584629481517</v>
      </c>
      <c r="E12" s="7">
        <f t="shared" si="1"/>
        <v>0.35469778040507688</v>
      </c>
      <c r="F12" s="7">
        <f t="shared" si="2"/>
        <v>0.36465001891249188</v>
      </c>
      <c r="G12" s="7">
        <f>'Ejercicio 1.e (3)'!I12</f>
        <v>0.36930102827290939</v>
      </c>
      <c r="H12" s="7">
        <f>'Ejercicio 1.e (3)'!J12</f>
        <v>0.35518387920500338</v>
      </c>
      <c r="I12" s="7">
        <f t="shared" si="3"/>
        <v>0.35071066245124149</v>
      </c>
      <c r="J12" s="7">
        <f>'Ejercicio 1.e (3)'!K12</f>
        <v>4.3106622208449204E-4</v>
      </c>
      <c r="K12" s="7">
        <f t="shared" si="4"/>
        <v>4.2563733648606582E-4</v>
      </c>
    </row>
    <row r="13" spans="1:11" ht="15" customHeight="1" x14ac:dyDescent="0.25">
      <c r="A13" s="2">
        <v>11</v>
      </c>
      <c r="B13" s="7">
        <f>'Ejercicio 1.e (3)'!F13</f>
        <v>0.37037037037037035</v>
      </c>
      <c r="C13" s="7">
        <f t="shared" si="0"/>
        <v>0.37037037037037035</v>
      </c>
      <c r="D13" s="7">
        <f>'Ejercicio 1.e (3)'!G13</f>
        <v>0.35477089192508365</v>
      </c>
      <c r="E13" s="7">
        <f t="shared" si="1"/>
        <v>0.35469778040507688</v>
      </c>
      <c r="F13" s="7">
        <f t="shared" si="2"/>
        <v>0.36465001891249188</v>
      </c>
      <c r="G13" s="7">
        <f>'Ejercicio 1.e (3)'!I13</f>
        <v>0.36907023949640499</v>
      </c>
      <c r="H13" s="7">
        <f>'Ejercicio 1.e (3)'!J13</f>
        <v>0.35496191271522903</v>
      </c>
      <c r="I13" s="7">
        <f t="shared" si="3"/>
        <v>0.35071066245124149</v>
      </c>
      <c r="J13" s="7">
        <f>'Ejercicio 1.e (3)'!K13</f>
        <v>4.3079683413707007E-4</v>
      </c>
      <c r="K13" s="7">
        <f t="shared" si="4"/>
        <v>4.2563733648606582E-4</v>
      </c>
    </row>
    <row r="14" spans="1:11" ht="15" customHeight="1" x14ac:dyDescent="0.25">
      <c r="A14" s="2">
        <v>12</v>
      </c>
      <c r="B14" s="7">
        <f>'Ejercicio 1.e (3)'!F14</f>
        <v>0.37037037037037035</v>
      </c>
      <c r="C14" s="7">
        <f t="shared" si="0"/>
        <v>0.37037037037037035</v>
      </c>
      <c r="D14" s="7">
        <f>'Ejercicio 1.e (3)'!G14</f>
        <v>0.35477567885112998</v>
      </c>
      <c r="E14" s="7">
        <f t="shared" si="1"/>
        <v>0.35469778040507688</v>
      </c>
      <c r="F14" s="7">
        <f t="shared" si="2"/>
        <v>0.36465001891249188</v>
      </c>
      <c r="G14" s="7">
        <f>'Ejercicio 1.e (3)'!I14</f>
        <v>0.36885112132229142</v>
      </c>
      <c r="H14" s="7">
        <f>'Ejercicio 1.e (3)'!J14</f>
        <v>0.35475117069956241</v>
      </c>
      <c r="I14" s="7">
        <f t="shared" si="3"/>
        <v>0.35071066245124149</v>
      </c>
      <c r="J14" s="7">
        <f>'Ejercicio 1.e (3)'!K14</f>
        <v>4.30541068687548E-4</v>
      </c>
      <c r="K14" s="7">
        <f t="shared" si="4"/>
        <v>4.2563733648606582E-4</v>
      </c>
    </row>
    <row r="15" spans="1:11" ht="15" customHeight="1" x14ac:dyDescent="0.25">
      <c r="A15" s="2">
        <v>13</v>
      </c>
      <c r="B15" s="7">
        <f>'Ejercicio 1.e (3)'!F15</f>
        <v>0.37037037037037035</v>
      </c>
      <c r="C15" s="7">
        <f t="shared" si="0"/>
        <v>0.37037037037037035</v>
      </c>
      <c r="D15" s="7">
        <f>'Ejercicio 1.e (3)'!G15</f>
        <v>0.3547802200064239</v>
      </c>
      <c r="E15" s="7">
        <f t="shared" si="1"/>
        <v>0.35469778040507688</v>
      </c>
      <c r="F15" s="7">
        <f t="shared" si="2"/>
        <v>0.36465001891249188</v>
      </c>
      <c r="G15" s="7">
        <f>'Ejercicio 1.e (3)'!I15</f>
        <v>0.36864307712945693</v>
      </c>
      <c r="H15" s="7">
        <f>'Ejercicio 1.e (3)'!J15</f>
        <v>0.35455107934373109</v>
      </c>
      <c r="I15" s="7">
        <f t="shared" si="3"/>
        <v>0.35071066245124149</v>
      </c>
      <c r="J15" s="7">
        <f>'Ejercicio 1.e (3)'!K15</f>
        <v>4.3029822933058444E-4</v>
      </c>
      <c r="K15" s="7">
        <f t="shared" si="4"/>
        <v>4.2563733648606582E-4</v>
      </c>
    </row>
    <row r="16" spans="1:11" ht="15" customHeight="1" x14ac:dyDescent="0.25">
      <c r="A16" s="2">
        <v>14</v>
      </c>
      <c r="B16" s="7">
        <f>'Ejercicio 1.e (3)'!F16</f>
        <v>0.37037037037037035</v>
      </c>
      <c r="C16" s="7">
        <f t="shared" si="0"/>
        <v>0.37037037037037035</v>
      </c>
      <c r="D16" s="7">
        <f>'Ejercicio 1.e (3)'!G16</f>
        <v>0.354784527678418</v>
      </c>
      <c r="E16" s="7">
        <f t="shared" si="1"/>
        <v>0.35469778040507688</v>
      </c>
      <c r="F16" s="7">
        <f t="shared" si="2"/>
        <v>0.36465001891249188</v>
      </c>
      <c r="G16" s="7">
        <f>'Ejercicio 1.e (3)'!I16</f>
        <v>0.36844554141457453</v>
      </c>
      <c r="H16" s="7">
        <f>'Ejercicio 1.e (3)'!J16</f>
        <v>0.3543610947617179</v>
      </c>
      <c r="I16" s="7">
        <f t="shared" si="3"/>
        <v>0.35071066245124149</v>
      </c>
      <c r="J16" s="7">
        <f>'Ejercicio 1.e (3)'!K16</f>
        <v>4.3006765598303825E-4</v>
      </c>
      <c r="K16" s="7">
        <f t="shared" si="4"/>
        <v>4.2563733648606582E-4</v>
      </c>
    </row>
    <row r="17" spans="1:11" ht="15" customHeight="1" x14ac:dyDescent="0.25">
      <c r="A17" s="2">
        <v>15</v>
      </c>
      <c r="B17" s="7">
        <f>'Ejercicio 1.e (3)'!F17</f>
        <v>0.37037037037037035</v>
      </c>
      <c r="C17" s="7">
        <f t="shared" si="0"/>
        <v>0.37037037037037035</v>
      </c>
      <c r="D17" s="7">
        <f>'Ejercicio 1.e (3)'!G17</f>
        <v>0.35478861354078411</v>
      </c>
      <c r="E17" s="7">
        <f t="shared" si="1"/>
        <v>0.35469778040507688</v>
      </c>
      <c r="F17" s="7">
        <f t="shared" si="2"/>
        <v>0.36465001891249188</v>
      </c>
      <c r="G17" s="7">
        <f>'Ejercicio 1.e (3)'!I17</f>
        <v>0.36825797810929162</v>
      </c>
      <c r="H17" s="7">
        <f>'Ejercicio 1.e (3)'!J17</f>
        <v>0.35418070137727908</v>
      </c>
      <c r="I17" s="7">
        <f t="shared" si="3"/>
        <v>0.35071066245124149</v>
      </c>
      <c r="J17" s="7">
        <f>'Ejercicio 1.e (3)'!K17</f>
        <v>4.2984872291971024E-4</v>
      </c>
      <c r="K17" s="7">
        <f t="shared" si="4"/>
        <v>4.2563733648606582E-4</v>
      </c>
    </row>
    <row r="18" spans="1:11" ht="15" customHeight="1" x14ac:dyDescent="0.25">
      <c r="A18" s="2">
        <v>16</v>
      </c>
      <c r="B18" s="7">
        <f>'Ejercicio 1.e (3)'!F18</f>
        <v>0.37037037037037035</v>
      </c>
      <c r="C18" s="7">
        <f t="shared" si="0"/>
        <v>0.37037037037037035</v>
      </c>
      <c r="D18" s="7">
        <f>'Ejercicio 1.e (3)'!G18</f>
        <v>0.35479248868404434</v>
      </c>
      <c r="E18" s="7">
        <f t="shared" si="1"/>
        <v>0.35469778040507688</v>
      </c>
      <c r="F18" s="7">
        <f t="shared" si="2"/>
        <v>0.36465001891249188</v>
      </c>
      <c r="G18" s="7">
        <f>'Ejercicio 1.e (3)'!I18</f>
        <v>0.36807987899414651</v>
      </c>
      <c r="H18" s="7">
        <f>'Ejercicio 1.e (3)'!J18</f>
        <v>0.35400941039849126</v>
      </c>
      <c r="I18" s="7">
        <f t="shared" si="3"/>
        <v>0.35071066245124149</v>
      </c>
      <c r="J18" s="7">
        <f>'Ejercicio 1.e (3)'!K18</f>
        <v>4.2964083692198843E-4</v>
      </c>
      <c r="K18" s="7">
        <f t="shared" si="4"/>
        <v>4.2563733648606582E-4</v>
      </c>
    </row>
    <row r="19" spans="1:11" ht="15" customHeight="1" x14ac:dyDescent="0.25">
      <c r="A19" s="2">
        <v>17</v>
      </c>
      <c r="B19" s="7">
        <f>'Ejercicio 1.e (3)'!F19</f>
        <v>0.37037037037037035</v>
      </c>
      <c r="C19" s="7">
        <f t="shared" si="0"/>
        <v>0.37037037037037035</v>
      </c>
      <c r="D19" s="7">
        <f>'Ejercicio 1.e (3)'!G19</f>
        <v>0.35479616364467548</v>
      </c>
      <c r="E19" s="7">
        <f t="shared" si="1"/>
        <v>0.35469778040507688</v>
      </c>
      <c r="F19" s="7">
        <f t="shared" si="2"/>
        <v>0.36465001891249188</v>
      </c>
      <c r="G19" s="7">
        <f>'Ejercicio 1.e (3)'!I19</f>
        <v>0.36791076220311442</v>
      </c>
      <c r="H19" s="7">
        <f>'Ejercicio 1.e (3)'!J19</f>
        <v>0.35384675837946383</v>
      </c>
      <c r="I19" s="7">
        <f t="shared" si="3"/>
        <v>0.35071066245124149</v>
      </c>
      <c r="J19" s="7">
        <f>'Ejercicio 1.e (3)'!K19</f>
        <v>4.2944343553228157E-4</v>
      </c>
      <c r="K19" s="7">
        <f t="shared" si="4"/>
        <v>4.2563733648606582E-4</v>
      </c>
    </row>
    <row r="20" spans="1:11" ht="15" customHeight="1" x14ac:dyDescent="0.25">
      <c r="A20" s="2">
        <v>18</v>
      </c>
      <c r="B20" s="7">
        <f>'Ejercicio 1.e (3)'!F20</f>
        <v>0.37037037037037035</v>
      </c>
      <c r="C20" s="7">
        <f t="shared" si="0"/>
        <v>0.37037037037037035</v>
      </c>
      <c r="D20" s="7">
        <f>'Ejercicio 1.e (3)'!G20</f>
        <v>0.35479964843276418</v>
      </c>
      <c r="E20" s="7">
        <f t="shared" si="1"/>
        <v>0.35469778040507688</v>
      </c>
      <c r="F20" s="7">
        <f t="shared" si="2"/>
        <v>0.36465001891249188</v>
      </c>
      <c r="G20" s="7">
        <f>'Ejercicio 1.e (3)'!I20</f>
        <v>0.36775017081312711</v>
      </c>
      <c r="H20" s="7">
        <f>'Ejercicio 1.e (3)'!J20</f>
        <v>0.35369230586377665</v>
      </c>
      <c r="I20" s="7">
        <f t="shared" si="3"/>
        <v>0.35071066245124149</v>
      </c>
      <c r="J20" s="7">
        <f>'Ejercicio 1.e (3)'!K20</f>
        <v>4.2925598540763697E-4</v>
      </c>
      <c r="K20" s="7">
        <f t="shared" si="4"/>
        <v>4.2563733648606582E-4</v>
      </c>
    </row>
    <row r="21" spans="1:11" ht="15" customHeight="1" x14ac:dyDescent="0.25">
      <c r="A21" s="2">
        <v>19</v>
      </c>
      <c r="B21" s="7">
        <f>'Ejercicio 1.e (3)'!F21</f>
        <v>0.37037037037037035</v>
      </c>
      <c r="C21" s="7">
        <f t="shared" si="0"/>
        <v>0.37037037037037035</v>
      </c>
      <c r="D21" s="7">
        <f>'Ejercicio 1.e (3)'!G21</f>
        <v>0.35480295255828359</v>
      </c>
      <c r="E21" s="7">
        <f t="shared" si="1"/>
        <v>0.35469778040507688</v>
      </c>
      <c r="F21" s="7">
        <f t="shared" si="2"/>
        <v>0.36465001891249188</v>
      </c>
      <c r="G21" s="7">
        <f>'Ejercicio 1.e (3)'!I21</f>
        <v>0.36759767151329464</v>
      </c>
      <c r="H21" s="7">
        <f>'Ejercicio 1.e (3)'!J21</f>
        <v>0.35354563610457274</v>
      </c>
      <c r="I21" s="7">
        <f t="shared" si="3"/>
        <v>0.35071066245124149</v>
      </c>
      <c r="J21" s="7">
        <f>'Ejercicio 1.e (3)'!K21</f>
        <v>4.2907798076639148E-4</v>
      </c>
      <c r="K21" s="7">
        <f t="shared" si="4"/>
        <v>4.2563733648606582E-4</v>
      </c>
    </row>
    <row r="22" spans="1:11" ht="15" customHeight="1" x14ac:dyDescent="0.25">
      <c r="A22" s="2">
        <v>20</v>
      </c>
      <c r="B22" s="7">
        <f>'Ejercicio 1.e (3)'!F22</f>
        <v>0.37037037037037035</v>
      </c>
      <c r="C22" s="7">
        <f t="shared" si="0"/>
        <v>0.37037037037037035</v>
      </c>
      <c r="D22" s="7">
        <f>'Ejercicio 1.e (3)'!G22</f>
        <v>0.35480608505606032</v>
      </c>
      <c r="E22" s="7">
        <f t="shared" si="1"/>
        <v>0.35469778040507688</v>
      </c>
      <c r="F22" s="7">
        <f t="shared" si="2"/>
        <v>0.36465001891249188</v>
      </c>
      <c r="G22" s="7">
        <f>'Ejercicio 1.e (3)'!I22</f>
        <v>0.36745285334893518</v>
      </c>
      <c r="H22" s="7">
        <f>'Ejercicio 1.e (3)'!J22</f>
        <v>0.35340635385659991</v>
      </c>
      <c r="I22" s="7">
        <f t="shared" si="3"/>
        <v>0.35071066245124149</v>
      </c>
      <c r="J22" s="7">
        <f>'Ejercicio 1.e (3)'!K22</f>
        <v>4.2890894192214134E-4</v>
      </c>
      <c r="K22" s="7">
        <f t="shared" si="4"/>
        <v>4.2563733648606582E-4</v>
      </c>
    </row>
    <row r="23" spans="1:11" ht="15" customHeight="1" x14ac:dyDescent="0.25">
      <c r="A23" s="2">
        <v>21</v>
      </c>
      <c r="B23" s="7">
        <f>'Ejercicio 1.e (3)'!F23</f>
        <v>0.37037037037037035</v>
      </c>
      <c r="C23" s="7">
        <f t="shared" si="0"/>
        <v>0.37037037037037035</v>
      </c>
      <c r="D23" s="7">
        <f>'Ejercicio 1.e (3)'!G23</f>
        <v>0.35480905450949696</v>
      </c>
      <c r="E23" s="7">
        <f t="shared" si="1"/>
        <v>0.35469778040507688</v>
      </c>
      <c r="F23" s="7">
        <f t="shared" si="2"/>
        <v>0.36465001891249188</v>
      </c>
      <c r="G23" s="7">
        <f>'Ejercicio 1.e (3)'!I23</f>
        <v>0.36731532653584642</v>
      </c>
      <c r="H23" s="7">
        <f>'Ejercicio 1.e (3)'!J23</f>
        <v>0.35327408423580842</v>
      </c>
      <c r="I23" s="7">
        <f t="shared" si="3"/>
        <v>0.35071066245124149</v>
      </c>
      <c r="J23" s="7">
        <f>'Ejercicio 1.e (3)'!K23</f>
        <v>4.287484138997019E-4</v>
      </c>
      <c r="K23" s="7">
        <f t="shared" si="4"/>
        <v>4.2563733648606582E-4</v>
      </c>
    </row>
    <row r="24" spans="1:11" ht="15" customHeight="1" x14ac:dyDescent="0.25">
      <c r="A24" s="2">
        <v>22</v>
      </c>
      <c r="B24" s="7">
        <f>'Ejercicio 1.e (3)'!F24</f>
        <v>0.37037037037037035</v>
      </c>
      <c r="C24" s="7">
        <f t="shared" si="0"/>
        <v>0.37037037037037035</v>
      </c>
      <c r="D24" s="7">
        <f>'Ejercicio 1.e (3)'!G24</f>
        <v>0.35481186907311169</v>
      </c>
      <c r="E24" s="7">
        <f t="shared" si="1"/>
        <v>0.35469778040507688</v>
      </c>
      <c r="F24" s="7">
        <f t="shared" si="2"/>
        <v>0.36465001891249188</v>
      </c>
      <c r="G24" s="7">
        <f>'Ejercicio 1.e (3)'!I24</f>
        <v>0.36718472134056979</v>
      </c>
      <c r="H24" s="7">
        <f>'Ejercicio 1.e (3)'!J24</f>
        <v>0.35314847164241914</v>
      </c>
      <c r="I24" s="7">
        <f t="shared" si="3"/>
        <v>0.35071066245124149</v>
      </c>
      <c r="J24" s="7">
        <f>'Ejercicio 1.e (3)'!K24</f>
        <v>4.2859596512809738E-4</v>
      </c>
      <c r="K24" s="7">
        <f t="shared" si="4"/>
        <v>4.2563733648606582E-4</v>
      </c>
    </row>
    <row r="25" spans="1:11" ht="15" customHeight="1" x14ac:dyDescent="0.25">
      <c r="A25" s="2">
        <v>23</v>
      </c>
      <c r="B25" s="7">
        <f>'Ejercicio 1.e (3)'!F25</f>
        <v>0.37037037037037035</v>
      </c>
      <c r="C25" s="7">
        <f t="shared" si="0"/>
        <v>0.37037037037037035</v>
      </c>
      <c r="D25" s="7">
        <f>'Ejercicio 1.e (3)'!G25</f>
        <v>0.3548145364939545</v>
      </c>
      <c r="E25" s="7">
        <f t="shared" si="1"/>
        <v>0.35469778040507688</v>
      </c>
      <c r="F25" s="7">
        <f t="shared" si="2"/>
        <v>0.36465001891249188</v>
      </c>
      <c r="G25" s="7">
        <f>'Ejercicio 1.e (3)'!I25</f>
        <v>0.36706068702267947</v>
      </c>
      <c r="H25" s="7">
        <f>'Ejercicio 1.e (3)'!J25</f>
        <v>0.35302917874364531</v>
      </c>
      <c r="I25" s="7">
        <f t="shared" si="3"/>
        <v>0.35071066245124149</v>
      </c>
      <c r="J25" s="7">
        <f>'Ejercicio 1.e (3)'!K25</f>
        <v>4.2845118620594855E-4</v>
      </c>
      <c r="K25" s="7">
        <f t="shared" si="4"/>
        <v>4.2563733648606582E-4</v>
      </c>
    </row>
    <row r="26" spans="1:11" ht="15" customHeight="1" x14ac:dyDescent="0.25">
      <c r="A26" s="2">
        <v>24</v>
      </c>
      <c r="B26" s="7">
        <f>'Ejercicio 1.e (3)'!F26</f>
        <v>0.37037037037037035</v>
      </c>
      <c r="C26" s="7">
        <f t="shared" si="0"/>
        <v>0.37037037037037035</v>
      </c>
      <c r="D26" s="7">
        <f>'Ejercicio 1.e (3)'!G26</f>
        <v>0.35481706413195441</v>
      </c>
      <c r="E26" s="7">
        <f t="shared" si="1"/>
        <v>0.35469778040507688</v>
      </c>
      <c r="F26" s="7">
        <f t="shared" si="2"/>
        <v>0.36465001891249188</v>
      </c>
      <c r="G26" s="7">
        <f>'Ejercicio 1.e (3)'!I26</f>
        <v>0.36694289083539811</v>
      </c>
      <c r="H26" s="7">
        <f>'Ejercicio 1.e (3)'!J26</f>
        <v>0.3529158855125113</v>
      </c>
      <c r="I26" s="7">
        <f t="shared" si="3"/>
        <v>0.35071066245124149</v>
      </c>
      <c r="J26" s="7">
        <f>'Ejercicio 1.e (3)'!K26</f>
        <v>4.2831368873494282E-4</v>
      </c>
      <c r="K26" s="7">
        <f t="shared" si="4"/>
        <v>4.2563733648606582E-4</v>
      </c>
    </row>
    <row r="27" spans="1:11" ht="15" customHeight="1" x14ac:dyDescent="0.25">
      <c r="A27" s="2">
        <v>25</v>
      </c>
      <c r="B27" s="7">
        <f>'Ejercicio 1.e (3)'!F27</f>
        <v>0.37037037037037035</v>
      </c>
      <c r="C27" s="7">
        <f t="shared" si="0"/>
        <v>0.37037037037037035</v>
      </c>
      <c r="D27" s="7">
        <f>'Ejercicio 1.e (3)'!G27</f>
        <v>0.35481945897925288</v>
      </c>
      <c r="E27" s="7">
        <f t="shared" si="1"/>
        <v>0.35469778040507688</v>
      </c>
      <c r="F27" s="7">
        <f t="shared" si="2"/>
        <v>0.36465001891249188</v>
      </c>
      <c r="G27" s="7">
        <f>'Ejercicio 1.e (3)'!I27</f>
        <v>0.36683101708108251</v>
      </c>
      <c r="H27" s="7">
        <f>'Ejercicio 1.e (3)'!J27</f>
        <v>0.352808288319444</v>
      </c>
      <c r="I27" s="7">
        <f t="shared" si="3"/>
        <v>0.35071066245124149</v>
      </c>
      <c r="J27" s="7">
        <f>'Ejercicio 1.e (3)'!K27</f>
        <v>4.2818310421735084E-4</v>
      </c>
      <c r="K27" s="7">
        <f t="shared" si="4"/>
        <v>4.2563733648606582E-4</v>
      </c>
    </row>
    <row r="28" spans="1:11" ht="15" customHeight="1" x14ac:dyDescent="0.25">
      <c r="A28" s="2">
        <v>26</v>
      </c>
      <c r="B28" s="7">
        <f>'Ejercicio 1.e (3)'!F28</f>
        <v>0.37037037037037035</v>
      </c>
      <c r="C28" s="7">
        <f t="shared" si="0"/>
        <v>0.37037037037037035</v>
      </c>
      <c r="D28" s="7">
        <f>'Ejercicio 1.e (3)'!G28</f>
        <v>0.35482172767857223</v>
      </c>
      <c r="E28" s="7">
        <f t="shared" si="1"/>
        <v>0.35469778040507688</v>
      </c>
      <c r="F28" s="7">
        <f t="shared" si="2"/>
        <v>0.36465001891249188</v>
      </c>
      <c r="G28" s="7">
        <f>'Ejercicio 1.e (3)'!I28</f>
        <v>0.36672476621835043</v>
      </c>
      <c r="H28" s="7">
        <f>'Ejercicio 1.e (3)'!J28</f>
        <v>0.35270609907353112</v>
      </c>
      <c r="I28" s="7">
        <f t="shared" si="3"/>
        <v>0.35071066245124149</v>
      </c>
      <c r="J28" s="7">
        <f>'Ejercicio 1.e (3)'!K28</f>
        <v>4.2805908301382124E-4</v>
      </c>
      <c r="K28" s="7">
        <f t="shared" si="4"/>
        <v>4.2563733648606582E-4</v>
      </c>
    </row>
    <row r="29" spans="1:11" ht="15" customHeight="1" x14ac:dyDescent="0.25">
      <c r="A29" s="2">
        <v>27</v>
      </c>
      <c r="B29" s="7">
        <f>'Ejercicio 1.e (3)'!F29</f>
        <v>0.37037037037037035</v>
      </c>
      <c r="C29" s="7">
        <f t="shared" si="0"/>
        <v>0.37037037037037035</v>
      </c>
      <c r="D29" s="7">
        <f>'Ejercicio 1.e (3)'!G29</f>
        <v>0.35482387654066766</v>
      </c>
      <c r="E29" s="7">
        <f t="shared" si="1"/>
        <v>0.35469778040507688</v>
      </c>
      <c r="F29" s="7">
        <f t="shared" si="2"/>
        <v>0.36465001891249188</v>
      </c>
      <c r="G29" s="7">
        <f>'Ejercicio 1.e (3)'!I29</f>
        <v>0.36662385401783087</v>
      </c>
      <c r="H29" s="7">
        <f>'Ejercicio 1.e (3)'!J29</f>
        <v>0.35260904441054447</v>
      </c>
      <c r="I29" s="7">
        <f t="shared" si="3"/>
        <v>0.35071066245124149</v>
      </c>
      <c r="J29" s="7">
        <f>'Ejercicio 1.e (3)'!K29</f>
        <v>4.2794129335793093E-4</v>
      </c>
      <c r="K29" s="7">
        <f t="shared" si="4"/>
        <v>4.2563733648606582E-4</v>
      </c>
    </row>
    <row r="30" spans="1:11" ht="15" customHeight="1" x14ac:dyDescent="0.25">
      <c r="A30" s="2">
        <v>28</v>
      </c>
      <c r="B30" s="7">
        <f>'Ejercicio 1.e (3)'!F30</f>
        <v>0.37037037037037035</v>
      </c>
      <c r="C30" s="7">
        <f t="shared" si="0"/>
        <v>0.37037037037037035</v>
      </c>
      <c r="D30" s="7">
        <f>'Ejercicio 1.e (3)'!G30</f>
        <v>0.35482591156090881</v>
      </c>
      <c r="E30" s="7">
        <f t="shared" si="1"/>
        <v>0.35469778040507688</v>
      </c>
      <c r="F30" s="7">
        <f t="shared" si="2"/>
        <v>0.36465001891249188</v>
      </c>
      <c r="G30" s="7">
        <f>'Ejercicio 1.e (3)'!I30</f>
        <v>0.36652801076371083</v>
      </c>
      <c r="H30" s="7">
        <f>'Ejercicio 1.e (3)'!J30</f>
        <v>0.35251686492500878</v>
      </c>
      <c r="I30" s="7">
        <f t="shared" si="3"/>
        <v>0.35071066245124149</v>
      </c>
      <c r="J30" s="7">
        <f>'Ejercicio 1.e (3)'!K30</f>
        <v>4.2782942042419168E-4</v>
      </c>
      <c r="K30" s="7">
        <f t="shared" si="4"/>
        <v>4.2563733648606582E-4</v>
      </c>
    </row>
    <row r="31" spans="1:11" ht="15" customHeight="1" x14ac:dyDescent="0.25">
      <c r="A31" s="2">
        <v>29</v>
      </c>
      <c r="B31" s="7">
        <f>'Ejercicio 1.e (3)'!F31</f>
        <v>0.37037037037037035</v>
      </c>
      <c r="C31" s="7">
        <f t="shared" si="0"/>
        <v>0.37037037037037035</v>
      </c>
      <c r="D31" s="7">
        <f>'Ejercicio 1.e (3)'!G31</f>
        <v>0.3548278384350339</v>
      </c>
      <c r="E31" s="7">
        <f t="shared" si="1"/>
        <v>0.35469778040507688</v>
      </c>
      <c r="F31" s="7">
        <f t="shared" si="2"/>
        <v>0.36465001891249188</v>
      </c>
      <c r="G31" s="7">
        <f>'Ejercicio 1.e (3)'!I31</f>
        <v>0.36643698049843754</v>
      </c>
      <c r="H31" s="7">
        <f>'Ejercicio 1.e (3)'!J31</f>
        <v>0.35242931444377662</v>
      </c>
      <c r="I31" s="7">
        <f t="shared" si="3"/>
        <v>0.35071066245124149</v>
      </c>
      <c r="J31" s="7">
        <f>'Ejercicio 1.e (3)'!K31</f>
        <v>4.2772316544642948E-4</v>
      </c>
      <c r="K31" s="7">
        <f t="shared" si="4"/>
        <v>4.2563733648606582E-4</v>
      </c>
    </row>
    <row r="32" spans="1:11" ht="15" customHeight="1" x14ac:dyDescent="0.25">
      <c r="A32" s="2">
        <v>30</v>
      </c>
      <c r="B32" s="7">
        <f>'Ejercicio 1.e (3)'!F32</f>
        <v>0.37037037037037035</v>
      </c>
      <c r="C32" s="7">
        <f t="shared" si="0"/>
        <v>0.37037037037037035</v>
      </c>
      <c r="D32" s="7">
        <f>'Ejercicio 1.e (3)'!G32</f>
        <v>0.3548296625741168</v>
      </c>
      <c r="E32" s="7">
        <f t="shared" si="1"/>
        <v>0.35469778040507688</v>
      </c>
      <c r="F32" s="7">
        <f t="shared" si="2"/>
        <v>0.36465001891249188</v>
      </c>
      <c r="G32" s="7">
        <f>'Ejercicio 1.e (3)'!I32</f>
        <v>0.36635052030809562</v>
      </c>
      <c r="H32" s="7">
        <f>'Ejercicio 1.e (3)'!J32</f>
        <v>0.35234615933872299</v>
      </c>
      <c r="I32" s="7">
        <f t="shared" si="3"/>
        <v>0.35071066245124149</v>
      </c>
      <c r="J32" s="7">
        <f>'Ejercicio 1.e (3)'!K32</f>
        <v>4.2762224488364169E-4</v>
      </c>
      <c r="K32" s="7">
        <f t="shared" si="4"/>
        <v>4.2563733648606582E-4</v>
      </c>
    </row>
    <row r="33" spans="1:11" ht="15" customHeight="1" x14ac:dyDescent="0.25">
      <c r="A33" s="2">
        <v>31</v>
      </c>
      <c r="B33" s="7">
        <f>'Ejercicio 1.e (3)'!F33</f>
        <v>0.37037037037037035</v>
      </c>
      <c r="C33" s="7">
        <f t="shared" si="0"/>
        <v>0.37037037037037035</v>
      </c>
      <c r="D33" s="7">
        <f>'Ejercicio 1.e (3)'!G33</f>
        <v>0.35483138911878864</v>
      </c>
      <c r="E33" s="7">
        <f t="shared" si="1"/>
        <v>0.35469778040507688</v>
      </c>
      <c r="F33" s="7">
        <f t="shared" si="2"/>
        <v>0.36465001891249188</v>
      </c>
      <c r="G33" s="7">
        <f>'Ejercicio 1.e (3)'!I33</f>
        <v>0.36626839964614188</v>
      </c>
      <c r="H33" s="7">
        <f>'Ejercicio 1.e (3)'!J33</f>
        <v>0.35226717787633166</v>
      </c>
      <c r="I33" s="7">
        <f t="shared" si="3"/>
        <v>0.35071066245124149</v>
      </c>
      <c r="J33" s="7">
        <f>'Ejercicio 1.e (3)'!K33</f>
        <v>4.2752638963062758E-4</v>
      </c>
      <c r="K33" s="7">
        <f t="shared" si="4"/>
        <v>4.2563733648606582E-4</v>
      </c>
    </row>
    <row r="34" spans="1:11" ht="15" customHeight="1" x14ac:dyDescent="0.25">
      <c r="A34" s="2">
        <v>32</v>
      </c>
      <c r="B34" s="7">
        <f>'Ejercicio 1.e (3)'!F34</f>
        <v>0.37037037037037035</v>
      </c>
      <c r="C34" s="7">
        <f t="shared" si="0"/>
        <v>0.37037037037037035</v>
      </c>
      <c r="D34" s="7">
        <f>'Ejercicio 1.e (3)'!G34</f>
        <v>0.35483302295274793</v>
      </c>
      <c r="E34" s="7">
        <f t="shared" si="1"/>
        <v>0.35469778040507688</v>
      </c>
      <c r="F34" s="7">
        <f t="shared" si="2"/>
        <v>0.36465001891249188</v>
      </c>
      <c r="G34" s="7">
        <f>'Ejercicio 1.e (3)'!I34</f>
        <v>0.36619039969331829</v>
      </c>
      <c r="H34" s="7">
        <f>'Ejercicio 1.e (3)'!J34</f>
        <v>0.3521921596020765</v>
      </c>
      <c r="I34" s="7">
        <f t="shared" si="3"/>
        <v>0.35071066245124149</v>
      </c>
      <c r="J34" s="7">
        <f>'Ejercicio 1.e (3)'!K34</f>
        <v>4.2743534427084706E-4</v>
      </c>
      <c r="K34" s="7">
        <f t="shared" si="4"/>
        <v>4.2563733648606582E-4</v>
      </c>
    </row>
    <row r="35" spans="1:11" ht="15" customHeight="1" x14ac:dyDescent="0.25">
      <c r="A35" s="2">
        <v>33</v>
      </c>
      <c r="B35" s="7">
        <f>'Ejercicio 1.e (3)'!F35</f>
        <v>0.37037037037037035</v>
      </c>
      <c r="C35" s="7">
        <f t="shared" si="0"/>
        <v>0.37037037037037035</v>
      </c>
      <c r="D35" s="7">
        <f>'Ejercicio 1.e (3)'!G35</f>
        <v>0.35483456871559782</v>
      </c>
      <c r="E35" s="7">
        <f t="shared" si="1"/>
        <v>0.35469778040507688</v>
      </c>
      <c r="F35" s="7">
        <f t="shared" si="2"/>
        <v>0.36465001891249188</v>
      </c>
      <c r="G35" s="7">
        <f>'Ejercicio 1.e (3)'!I35</f>
        <v>0.36611631275170231</v>
      </c>
      <c r="H35" s="7">
        <f>'Ejercicio 1.e (3)'!J35</f>
        <v>0.35212090475763519</v>
      </c>
      <c r="I35" s="7">
        <f t="shared" si="3"/>
        <v>0.35071066245124149</v>
      </c>
      <c r="J35" s="7">
        <f>'Ejercicio 1.e (3)'!K35</f>
        <v>4.2734886636912675E-4</v>
      </c>
      <c r="K35" s="7">
        <f t="shared" si="4"/>
        <v>4.2563733648606582E-4</v>
      </c>
    </row>
    <row r="36" spans="1:11" ht="15" customHeight="1" x14ac:dyDescent="0.25">
      <c r="A36" s="2">
        <v>34</v>
      </c>
      <c r="B36" s="7">
        <f>'Ejercicio 1.e (3)'!F36</f>
        <v>0.37037037037037035</v>
      </c>
      <c r="C36" s="7">
        <f t="shared" si="0"/>
        <v>0.37037037037037035</v>
      </c>
      <c r="D36" s="7">
        <f>'Ejercicio 1.e (3)'!G36</f>
        <v>0.35483603081504117</v>
      </c>
      <c r="E36" s="7">
        <f t="shared" si="1"/>
        <v>0.35469778040507688</v>
      </c>
      <c r="F36" s="7">
        <f t="shared" si="2"/>
        <v>0.36465001891249188</v>
      </c>
      <c r="G36" s="7">
        <f>'Ejercicio 1.e (3)'!I36</f>
        <v>0.36604594167097654</v>
      </c>
      <c r="H36" s="7">
        <f>'Ejercicio 1.e (3)'!J36</f>
        <v>0.35205322372909076</v>
      </c>
      <c r="I36" s="7">
        <f t="shared" si="3"/>
        <v>0.35071066245124149</v>
      </c>
      <c r="J36" s="7">
        <f>'Ejercicio 1.e (3)'!K36</f>
        <v>4.272667258019739E-4</v>
      </c>
      <c r="K36" s="7">
        <f t="shared" si="4"/>
        <v>4.2563733648606582E-4</v>
      </c>
    </row>
    <row r="37" spans="1:11" ht="15" customHeight="1" x14ac:dyDescent="0.25">
      <c r="A37" s="2">
        <v>35</v>
      </c>
      <c r="B37" s="7">
        <f>'Ejercicio 1.e (3)'!F37</f>
        <v>0.37037037037037035</v>
      </c>
      <c r="C37" s="7">
        <f t="shared" si="0"/>
        <v>0.37037037037037035</v>
      </c>
      <c r="D37" s="7">
        <f>'Ejercicio 1.e (3)'!G37</f>
        <v>0.35483741343846764</v>
      </c>
      <c r="E37" s="7">
        <f t="shared" si="1"/>
        <v>0.35469778040507688</v>
      </c>
      <c r="F37" s="7">
        <f t="shared" si="2"/>
        <v>0.36465001891249188</v>
      </c>
      <c r="G37" s="7">
        <f>'Ejercicio 1.e (3)'!I37</f>
        <v>0.36597909930511902</v>
      </c>
      <c r="H37" s="7">
        <f>'Ejercicio 1.e (3)'!J37</f>
        <v>0.35198893652439073</v>
      </c>
      <c r="I37" s="7">
        <f t="shared" si="3"/>
        <v>0.35071066245124149</v>
      </c>
      <c r="J37" s="7">
        <f>'Ejercicio 1.e (3)'!K37</f>
        <v>4.271887041233987E-4</v>
      </c>
      <c r="K37" s="7">
        <f t="shared" si="4"/>
        <v>4.2563733648606582E-4</v>
      </c>
    </row>
    <row r="38" spans="1:11" ht="15" customHeight="1" x14ac:dyDescent="0.25">
      <c r="A38" s="2">
        <v>36</v>
      </c>
      <c r="B38" s="7">
        <f>'Ejercicio 1.e (3)'!F38</f>
        <v>0.37037037037037035</v>
      </c>
      <c r="C38" s="7">
        <f t="shared" si="0"/>
        <v>0.37037037037037035</v>
      </c>
      <c r="D38" s="7">
        <f>'Ejercicio 1.e (3)'!G38</f>
        <v>0.35483872056396154</v>
      </c>
      <c r="E38" s="7">
        <f t="shared" si="1"/>
        <v>0.35469778040507688</v>
      </c>
      <c r="F38" s="7">
        <f t="shared" si="2"/>
        <v>0.36465001891249188</v>
      </c>
      <c r="G38" s="7">
        <f>'Ejercicio 1.e (3)'!I38</f>
        <v>0.36591560799782114</v>
      </c>
      <c r="H38" s="7">
        <f>'Ejercicio 1.e (3)'!J38</f>
        <v>0.3519278722784358</v>
      </c>
      <c r="I38" s="7">
        <f t="shared" si="3"/>
        <v>0.35071066245124149</v>
      </c>
      <c r="J38" s="7">
        <f>'Ejercicio 1.e (3)'!K38</f>
        <v>4.2711459396426891E-4</v>
      </c>
      <c r="K38" s="7">
        <f t="shared" si="4"/>
        <v>4.2563733648606582E-4</v>
      </c>
    </row>
    <row r="39" spans="1:11" ht="15" customHeight="1" x14ac:dyDescent="0.25">
      <c r="A39" s="2">
        <v>37</v>
      </c>
      <c r="B39" s="7">
        <f>'Ejercicio 1.e (3)'!F39</f>
        <v>0.37037037037037035</v>
      </c>
      <c r="C39" s="7">
        <f t="shared" si="0"/>
        <v>0.37037037037037035</v>
      </c>
      <c r="D39" s="7">
        <f>'Ejercicio 1.e (3)'!G39</f>
        <v>0.35483995597076079</v>
      </c>
      <c r="E39" s="7">
        <f t="shared" si="1"/>
        <v>0.35469778040507688</v>
      </c>
      <c r="F39" s="7">
        <f t="shared" si="2"/>
        <v>0.36465001891249188</v>
      </c>
      <c r="G39" s="7">
        <f>'Ejercicio 1.e (3)'!I39</f>
        <v>0.36585529909504377</v>
      </c>
      <c r="H39" s="7">
        <f>'Ejercicio 1.e (3)'!J39</f>
        <v>0.35186986878426946</v>
      </c>
      <c r="I39" s="7">
        <f t="shared" si="3"/>
        <v>0.35071066245124149</v>
      </c>
      <c r="J39" s="7">
        <f>'Ejercicio 1.e (3)'!K39</f>
        <v>4.2704419846334148E-4</v>
      </c>
      <c r="K39" s="7">
        <f t="shared" si="4"/>
        <v>4.2563733648606582E-4</v>
      </c>
    </row>
    <row r="40" spans="1:11" ht="15" customHeight="1" x14ac:dyDescent="0.25">
      <c r="A40" s="2">
        <v>38</v>
      </c>
      <c r="B40" s="7">
        <f>'Ejercicio 1.e (3)'!F40</f>
        <v>0.37037037037037035</v>
      </c>
      <c r="C40" s="7">
        <f t="shared" si="0"/>
        <v>0.37037037037037035</v>
      </c>
      <c r="D40" s="7">
        <f>'Ejercicio 1.e (3)'!G40</f>
        <v>0.35484112324919287</v>
      </c>
      <c r="E40" s="7">
        <f t="shared" si="1"/>
        <v>0.35469778040507688</v>
      </c>
      <c r="F40" s="7">
        <f t="shared" si="2"/>
        <v>0.36465001891249188</v>
      </c>
      <c r="G40" s="7">
        <f>'Ejercicio 1.e (3)'!I40</f>
        <v>0.36579801248321564</v>
      </c>
      <c r="H40" s="7">
        <f>'Ejercicio 1.e (3)'!J40</f>
        <v>0.35181477204892925</v>
      </c>
      <c r="I40" s="7">
        <f t="shared" si="3"/>
        <v>0.35071066245124149</v>
      </c>
      <c r="J40" s="7">
        <f>'Ejercicio 1.e (3)'!K40</f>
        <v>4.2697733072822501E-4</v>
      </c>
      <c r="K40" s="7">
        <f t="shared" si="4"/>
        <v>4.2563733648606582E-4</v>
      </c>
    </row>
    <row r="41" spans="1:11" ht="15" customHeight="1" x14ac:dyDescent="0.25">
      <c r="A41" s="2">
        <v>39</v>
      </c>
      <c r="B41" s="7">
        <f>'Ejercicio 1.e (3)'!F41</f>
        <v>0.37037037037037035</v>
      </c>
      <c r="C41" s="7">
        <f t="shared" si="0"/>
        <v>0.37037037037037035</v>
      </c>
      <c r="D41" s="7">
        <f>'Ejercicio 1.e (3)'!G41</f>
        <v>0.35484222581011526</v>
      </c>
      <c r="E41" s="7">
        <f t="shared" si="1"/>
        <v>0.35469778040507688</v>
      </c>
      <c r="F41" s="7">
        <f t="shared" si="2"/>
        <v>0.36465001891249188</v>
      </c>
      <c r="G41" s="7">
        <f>'Ejercicio 1.e (3)'!I41</f>
        <v>0.36574359615166763</v>
      </c>
      <c r="H41" s="7">
        <f>'Ejercicio 1.e (3)'!J41</f>
        <v>0.35176243587260791</v>
      </c>
      <c r="I41" s="7">
        <f t="shared" si="3"/>
        <v>0.35071066245124149</v>
      </c>
      <c r="J41" s="7">
        <f>'Ejercicio 1.e (3)'!K41</f>
        <v>4.269138133246321E-4</v>
      </c>
      <c r="K41" s="7">
        <f t="shared" si="4"/>
        <v>4.2563733648606582E-4</v>
      </c>
    </row>
    <row r="42" spans="1:11" ht="15" customHeight="1" x14ac:dyDescent="0.25">
      <c r="A42" s="2">
        <v>40</v>
      </c>
      <c r="B42" s="7">
        <f>'Ejercicio 1.e (3)'!F42</f>
        <v>0.37037037037037035</v>
      </c>
      <c r="C42" s="7">
        <f t="shared" si="0"/>
        <v>0.37037037037037035</v>
      </c>
      <c r="D42" s="7">
        <f>'Ejercicio 1.e (3)'!G42</f>
        <v>0.35484326689388357</v>
      </c>
      <c r="E42" s="7">
        <f t="shared" si="1"/>
        <v>0.35469778040507688</v>
      </c>
      <c r="F42" s="7">
        <f t="shared" si="2"/>
        <v>0.36465001891249188</v>
      </c>
      <c r="G42" s="7">
        <f>'Ejercicio 1.e (3)'!I42</f>
        <v>0.36569190577797883</v>
      </c>
      <c r="H42" s="7">
        <f>'Ejercicio 1.e (3)'!J42</f>
        <v>0.35171272144985044</v>
      </c>
      <c r="I42" s="7">
        <f t="shared" si="3"/>
        <v>0.35071066245124149</v>
      </c>
      <c r="J42" s="7">
        <f>'Ejercicio 1.e (3)'!K42</f>
        <v>4.2685347779237439E-4</v>
      </c>
      <c r="K42" s="7">
        <f t="shared" si="4"/>
        <v>4.2563733648606582E-4</v>
      </c>
    </row>
    <row r="43" spans="1:11" ht="15" customHeight="1" x14ac:dyDescent="0.25">
      <c r="A43" s="2">
        <v>41</v>
      </c>
      <c r="B43" s="7">
        <f>'Ejercicio 1.e (3)'!F43</f>
        <v>0.37037037037037035</v>
      </c>
      <c r="C43" s="7">
        <f t="shared" si="0"/>
        <v>0.37037037037037035</v>
      </c>
      <c r="D43" s="7">
        <f>'Ejercicio 1.e (3)'!G43</f>
        <v>0.35484424957887234</v>
      </c>
      <c r="E43" s="7">
        <f t="shared" si="1"/>
        <v>0.35469778040507688</v>
      </c>
      <c r="F43" s="7">
        <f t="shared" si="2"/>
        <v>0.36465001891249188</v>
      </c>
      <c r="G43" s="7">
        <f>'Ejercicio 1.e (3)'!I43</f>
        <v>0.36564280433498536</v>
      </c>
      <c r="H43" s="7">
        <f>'Ejercicio 1.e (3)'!J43</f>
        <v>0.35166549699158517</v>
      </c>
      <c r="I43" s="7">
        <f t="shared" si="3"/>
        <v>0.35071066245124149</v>
      </c>
      <c r="J43" s="7">
        <f>'Ejercicio 1.e (3)'!K43</f>
        <v>4.2679616418664443E-4</v>
      </c>
      <c r="K43" s="7">
        <f t="shared" si="4"/>
        <v>4.2563733648606582E-4</v>
      </c>
    </row>
    <row r="44" spans="1:11" ht="15" customHeight="1" x14ac:dyDescent="0.25">
      <c r="A44" s="2">
        <v>42</v>
      </c>
      <c r="B44" s="7">
        <f>'Ejercicio 1.e (3)'!F44</f>
        <v>0.37037037037037035</v>
      </c>
      <c r="C44" s="7">
        <f t="shared" si="0"/>
        <v>0.37037037037037035</v>
      </c>
      <c r="D44" s="7">
        <f>'Ejercicio 1.e (3)'!G44</f>
        <v>0.3548451767895705</v>
      </c>
      <c r="E44" s="7">
        <f t="shared" si="1"/>
        <v>0.35469778040507688</v>
      </c>
      <c r="F44" s="7">
        <f t="shared" si="2"/>
        <v>0.36465001891249188</v>
      </c>
      <c r="G44" s="7">
        <f>'Ejercicio 1.e (3)'!I44</f>
        <v>0.36559616171828047</v>
      </c>
      <c r="H44" s="7">
        <f>'Ejercicio 1.e (3)'!J44</f>
        <v>0.35162063736686389</v>
      </c>
      <c r="I44" s="7">
        <f t="shared" si="3"/>
        <v>0.35071066245124149</v>
      </c>
      <c r="J44" s="7">
        <f>'Ejercicio 1.e (3)'!K44</f>
        <v>4.2674172064321558E-4</v>
      </c>
      <c r="K44" s="7">
        <f t="shared" si="4"/>
        <v>4.2563733648606582E-4</v>
      </c>
    </row>
    <row r="45" spans="1:11" ht="15" customHeight="1" x14ac:dyDescent="0.25">
      <c r="A45" s="2">
        <v>43</v>
      </c>
      <c r="B45" s="7">
        <f>'Ejercicio 1.e (3)'!F45</f>
        <v>0.37037037037037035</v>
      </c>
      <c r="C45" s="7">
        <f t="shared" si="0"/>
        <v>0.37037037037037035</v>
      </c>
      <c r="D45" s="7">
        <f>'Ejercicio 1.e (3)'!G45</f>
        <v>0.35484605130427127</v>
      </c>
      <c r="E45" s="7">
        <f t="shared" si="1"/>
        <v>0.35469778040507688</v>
      </c>
      <c r="F45" s="7">
        <f t="shared" si="2"/>
        <v>0.36465001891249188</v>
      </c>
      <c r="G45" s="7">
        <f>'Ejercicio 1.e (3)'!I45</f>
        <v>0.36555185439309612</v>
      </c>
      <c r="H45" s="7">
        <f>'Ejercicio 1.e (3)'!J45</f>
        <v>0.35157802376324143</v>
      </c>
      <c r="I45" s="7">
        <f t="shared" si="3"/>
        <v>0.35071066245124149</v>
      </c>
      <c r="J45" s="7">
        <f>'Ejercicio 1.e (3)'!K45</f>
        <v>4.2669000296626457E-4</v>
      </c>
      <c r="K45" s="7">
        <f t="shared" si="4"/>
        <v>4.2563733648606582E-4</v>
      </c>
    </row>
    <row r="46" spans="1:11" ht="15" customHeight="1" x14ac:dyDescent="0.25">
      <c r="A46" s="2">
        <v>44</v>
      </c>
      <c r="B46" s="7">
        <f>'Ejercicio 1.e (3)'!F46</f>
        <v>0.37037037037037035</v>
      </c>
      <c r="C46" s="7">
        <f t="shared" si="0"/>
        <v>0.37037037037037035</v>
      </c>
      <c r="D46" s="7">
        <f>'Ejercicio 1.e (3)'!G46</f>
        <v>0.35484687576237944</v>
      </c>
      <c r="E46" s="7">
        <f t="shared" si="1"/>
        <v>0.35469778040507688</v>
      </c>
      <c r="F46" s="7">
        <f t="shared" si="2"/>
        <v>0.36465001891249188</v>
      </c>
      <c r="G46" s="7">
        <f>'Ejercicio 1.e (3)'!I46</f>
        <v>0.36550976505952443</v>
      </c>
      <c r="H46" s="7">
        <f>'Ejercicio 1.e (3)'!J46</f>
        <v>0.35153754336479509</v>
      </c>
      <c r="I46" s="7">
        <f t="shared" si="3"/>
        <v>0.35071066245124149</v>
      </c>
      <c r="J46" s="7">
        <f>'Ejercicio 1.e (3)'!K46</f>
        <v>4.2664087423760206E-4</v>
      </c>
      <c r="K46" s="7">
        <f t="shared" si="4"/>
        <v>4.2563733648606582E-4</v>
      </c>
    </row>
    <row r="47" spans="1:11" ht="15" customHeight="1" x14ac:dyDescent="0.25">
      <c r="A47" s="2">
        <v>45</v>
      </c>
      <c r="B47" s="7">
        <f>'Ejercicio 1.e (3)'!F47</f>
        <v>0.37037037037037035</v>
      </c>
      <c r="C47" s="7">
        <f t="shared" si="0"/>
        <v>0.37037037037037035</v>
      </c>
      <c r="D47" s="7">
        <f>'Ejercicio 1.e (3)'!G47</f>
        <v>0.35484765267135249</v>
      </c>
      <c r="E47" s="7">
        <f t="shared" si="1"/>
        <v>0.35469778040507688</v>
      </c>
      <c r="F47" s="7">
        <f t="shared" si="2"/>
        <v>0.36465001891249188</v>
      </c>
      <c r="G47" s="7">
        <f>'Ejercicio 1.e (3)'!I47</f>
        <v>0.36546978233509397</v>
      </c>
      <c r="H47" s="7">
        <f>'Ejercicio 1.e (3)'!J47</f>
        <v>0.35149908904683441</v>
      </c>
      <c r="I47" s="7">
        <f t="shared" si="3"/>
        <v>0.35071066245124149</v>
      </c>
      <c r="J47" s="7">
        <f>'Ejercicio 1.e (3)'!K47</f>
        <v>4.265942044461599E-4</v>
      </c>
      <c r="K47" s="7">
        <f t="shared" si="4"/>
        <v>4.2563733648606582E-4</v>
      </c>
    </row>
    <row r="48" spans="1:11" ht="15" customHeight="1" x14ac:dyDescent="0.25">
      <c r="A48" s="2">
        <v>46</v>
      </c>
      <c r="B48" s="7">
        <f>'Ejercicio 1.e (3)'!F48</f>
        <v>0.37037037037037035</v>
      </c>
      <c r="C48" s="7">
        <f t="shared" si="0"/>
        <v>0.37037037037037035</v>
      </c>
      <c r="D48" s="7">
        <f>'Ejercicio 1.e (3)'!G48</f>
        <v>0.35484838441329514</v>
      </c>
      <c r="E48" s="7">
        <f t="shared" si="1"/>
        <v>0.35469778040507688</v>
      </c>
      <c r="F48" s="7">
        <f t="shared" si="2"/>
        <v>0.36465001891249188</v>
      </c>
      <c r="G48" s="7">
        <f>'Ejercicio 1.e (3)'!I48</f>
        <v>0.36543180045377355</v>
      </c>
      <c r="H48" s="7">
        <f>'Ejercicio 1.e (3)'!J48</f>
        <v>0.35146255908641166</v>
      </c>
      <c r="I48" s="7">
        <f t="shared" si="3"/>
        <v>0.35071066245124149</v>
      </c>
      <c r="J48" s="7">
        <f>'Ejercicio 1.e (3)'!K48</f>
        <v>4.2654987013665357E-4</v>
      </c>
      <c r="K48" s="7">
        <f t="shared" si="4"/>
        <v>4.2563733648606582E-4</v>
      </c>
    </row>
    <row r="49" spans="1:11" ht="15" customHeight="1" x14ac:dyDescent="0.25">
      <c r="A49" s="2">
        <v>47</v>
      </c>
      <c r="B49" s="7">
        <f>'Ejercicio 1.e (3)'!F49</f>
        <v>0.37037037037037035</v>
      </c>
      <c r="C49" s="7">
        <f t="shared" si="0"/>
        <v>0.37037037037037035</v>
      </c>
      <c r="D49" s="7">
        <f>'Ejercicio 1.e (3)'!G49</f>
        <v>0.354849073251225</v>
      </c>
      <c r="E49" s="7">
        <f t="shared" si="1"/>
        <v>0.35469778040507688</v>
      </c>
      <c r="F49" s="7">
        <f t="shared" si="2"/>
        <v>0.36465001891249188</v>
      </c>
      <c r="G49" s="7">
        <f>'Ejercicio 1.e (3)'!I49</f>
        <v>0.36539571898052609</v>
      </c>
      <c r="H49" s="7">
        <f>'Ejercicio 1.e (3)'!J49</f>
        <v>0.35142785688778688</v>
      </c>
      <c r="I49" s="7">
        <f t="shared" si="3"/>
        <v>0.35071066245124149</v>
      </c>
      <c r="J49" s="7">
        <f>'Ejercicio 1.e (3)'!K49</f>
        <v>4.2650775407639569E-4</v>
      </c>
      <c r="K49" s="7">
        <f t="shared" si="4"/>
        <v>4.2563733648606582E-4</v>
      </c>
    </row>
    <row r="50" spans="1:11" ht="15" customHeight="1" x14ac:dyDescent="0.25">
      <c r="A50" s="2">
        <v>48</v>
      </c>
      <c r="B50" s="7">
        <f>'Ejercicio 1.e (3)'!F50</f>
        <v>0.37037037037037035</v>
      </c>
      <c r="C50" s="7">
        <f t="shared" si="0"/>
        <v>0.37037037037037035</v>
      </c>
      <c r="D50" s="7">
        <f>'Ejercicio 1.e (3)'!G50</f>
        <v>0.35484972133502463</v>
      </c>
      <c r="E50" s="7">
        <f t="shared" si="1"/>
        <v>0.35469778040507688</v>
      </c>
      <c r="F50" s="7">
        <f t="shared" si="2"/>
        <v>0.36465001891249188</v>
      </c>
      <c r="G50" s="7">
        <f>'Ejercicio 1.e (3)'!I50</f>
        <v>0.365361442540589</v>
      </c>
      <c r="H50" s="7">
        <f>'Ejercicio 1.e (3)'!J50</f>
        <v>0.35139489072205721</v>
      </c>
      <c r="I50" s="7">
        <f t="shared" si="3"/>
        <v>0.35071066245124149</v>
      </c>
      <c r="J50" s="7">
        <f>'Ejercicio 1.e (3)'!K50</f>
        <v>4.2646774493929881E-4</v>
      </c>
      <c r="K50" s="7">
        <f t="shared" si="4"/>
        <v>4.2563733648606582E-4</v>
      </c>
    </row>
    <row r="51" spans="1:11" ht="15" customHeight="1" x14ac:dyDescent="0.25">
      <c r="A51" s="2">
        <v>49</v>
      </c>
      <c r="B51" s="7">
        <f>'Ejercicio 1.e (3)'!F51</f>
        <v>0.37037037037037035</v>
      </c>
      <c r="C51" s="7">
        <f t="shared" si="0"/>
        <v>0.37037037037037035</v>
      </c>
      <c r="D51" s="7">
        <f>'Ejercicio 1.e (3)'!G51</f>
        <v>0.35485033070709615</v>
      </c>
      <c r="E51" s="7">
        <f t="shared" si="1"/>
        <v>0.35469778040507688</v>
      </c>
      <c r="F51" s="7">
        <f t="shared" si="2"/>
        <v>0.36465001891249188</v>
      </c>
      <c r="G51" s="7">
        <f>'Ejercicio 1.e (3)'!I51</f>
        <v>0.36532888056269625</v>
      </c>
      <c r="H51" s="7">
        <f>'Ejercicio 1.e (3)'!J51</f>
        <v>0.35136357348019459</v>
      </c>
      <c r="I51" s="7">
        <f t="shared" si="3"/>
        <v>0.35071066245124149</v>
      </c>
      <c r="J51" s="7">
        <f>'Ejercicio 1.e (3)'!K51</f>
        <v>4.2642973700615151E-4</v>
      </c>
      <c r="K51" s="7">
        <f t="shared" si="4"/>
        <v>4.2563733648606582E-4</v>
      </c>
    </row>
    <row r="52" spans="1:11" ht="15" customHeight="1" x14ac:dyDescent="0.25">
      <c r="A52" s="2">
        <v>50</v>
      </c>
      <c r="B52" s="7">
        <f>'Ejercicio 1.e (3)'!F52</f>
        <v>0.37037037037037035</v>
      </c>
      <c r="C52" s="7">
        <f t="shared" si="0"/>
        <v>0.37037037037037035</v>
      </c>
      <c r="D52" s="7">
        <f>'Ejercicio 1.e (3)'!G52</f>
        <v>0.35485090330773378</v>
      </c>
      <c r="E52" s="7">
        <f t="shared" si="1"/>
        <v>0.35469778040507688</v>
      </c>
      <c r="F52" s="7">
        <f t="shared" si="2"/>
        <v>0.36465001891249188</v>
      </c>
      <c r="G52" s="7">
        <f>'Ejercicio 1.e (3)'!I52</f>
        <v>0.365297947035509</v>
      </c>
      <c r="H52" s="7">
        <f>'Ejercicio 1.e (3)'!J52</f>
        <v>0.35133382243878741</v>
      </c>
      <c r="I52" s="7">
        <f t="shared" si="3"/>
        <v>0.35071066245124149</v>
      </c>
      <c r="J52" s="7">
        <f>'Ejercicio 1.e (3)'!K52</f>
        <v>4.2639362988031241E-4</v>
      </c>
      <c r="K52" s="7">
        <f t="shared" si="4"/>
        <v>4.2563733648606582E-4</v>
      </c>
    </row>
    <row r="53" spans="1:11" ht="15" customHeight="1" x14ac:dyDescent="0.25">
      <c r="A53" s="2">
        <v>51</v>
      </c>
      <c r="B53" s="7">
        <f>'Ejercicio 1.e (3)'!F53</f>
        <v>0.37037037037037035</v>
      </c>
      <c r="C53" s="7">
        <f t="shared" si="0"/>
        <v>0.37037037037037035</v>
      </c>
      <c r="D53" s="7">
        <f>'Ejercicio 1.e (3)'!G53</f>
        <v>0.35485144098022742</v>
      </c>
      <c r="E53" s="7">
        <f t="shared" si="1"/>
        <v>0.35469778040507688</v>
      </c>
      <c r="F53" s="7">
        <f t="shared" si="2"/>
        <v>0.36465001891249188</v>
      </c>
      <c r="G53" s="7">
        <f>'Ejercicio 1.e (3)'!I53</f>
        <v>0.36526856027655574</v>
      </c>
      <c r="H53" s="7">
        <f>'Ejercicio 1.e (3)'!J53</f>
        <v>0.35130555903781313</v>
      </c>
      <c r="I53" s="7">
        <f t="shared" si="3"/>
        <v>0.35071066245124149</v>
      </c>
      <c r="J53" s="7">
        <f>'Ejercicio 1.e (3)'!K53</f>
        <v>4.2635932821800585E-4</v>
      </c>
      <c r="K53" s="7">
        <f t="shared" si="4"/>
        <v>4.2563733648606582E-4</v>
      </c>
    </row>
    <row r="54" spans="1:11" ht="15" customHeight="1" x14ac:dyDescent="0.25">
      <c r="A54" s="2">
        <v>52</v>
      </c>
      <c r="B54" s="7">
        <f>'Ejercicio 1.e (3)'!F54</f>
        <v>0.37037037037037035</v>
      </c>
      <c r="C54" s="7">
        <f t="shared" si="0"/>
        <v>0.37037037037037035</v>
      </c>
      <c r="D54" s="7">
        <f>'Ejercicio 1.e (3)'!G54</f>
        <v>0.35485194547571197</v>
      </c>
      <c r="E54" s="7">
        <f t="shared" si="1"/>
        <v>0.35469778040507688</v>
      </c>
      <c r="F54" s="7">
        <f t="shared" si="2"/>
        <v>0.36465001891249188</v>
      </c>
      <c r="G54" s="7">
        <f>'Ejercicio 1.e (3)'!I54</f>
        <v>0.3652406427130252</v>
      </c>
      <c r="H54" s="7">
        <f>'Ejercicio 1.e (3)'!J54</f>
        <v>0.35127870866981092</v>
      </c>
      <c r="I54" s="7">
        <f t="shared" si="3"/>
        <v>0.35071066245124149</v>
      </c>
      <c r="J54" s="7">
        <f>'Ejercicio 1.e (3)'!K54</f>
        <v>4.2632674147245254E-4</v>
      </c>
      <c r="K54" s="7">
        <f t="shared" si="4"/>
        <v>4.2563733648606582E-4</v>
      </c>
    </row>
    <row r="55" spans="1:11" ht="15" customHeight="1" x14ac:dyDescent="0.25">
      <c r="A55" s="2">
        <v>53</v>
      </c>
      <c r="B55" s="7">
        <f>'Ejercicio 1.e (3)'!F55</f>
        <v>0.37037037037037035</v>
      </c>
      <c r="C55" s="7">
        <f t="shared" si="0"/>
        <v>0.37037037037037035</v>
      </c>
      <c r="D55" s="7">
        <f>'Ejercicio 1.e (3)'!G55</f>
        <v>0.35485241845777293</v>
      </c>
      <c r="E55" s="7">
        <f t="shared" si="1"/>
        <v>0.35469778040507688</v>
      </c>
      <c r="F55" s="7">
        <f t="shared" si="2"/>
        <v>0.36465001891249188</v>
      </c>
      <c r="G55" s="7">
        <f>'Ejercicio 1.e (3)'!I55</f>
        <v>0.36521412067378978</v>
      </c>
      <c r="H55" s="7">
        <f>'Ejercicio 1.e (3)'!J55</f>
        <v>0.35125320047985509</v>
      </c>
      <c r="I55" s="7">
        <f t="shared" si="3"/>
        <v>0.35071066245124149</v>
      </c>
      <c r="J55" s="7">
        <f>'Ejercicio 1.e (3)'!K55</f>
        <v>4.2629578365110916E-4</v>
      </c>
      <c r="K55" s="7">
        <f t="shared" si="4"/>
        <v>4.2563733648606582E-4</v>
      </c>
    </row>
    <row r="56" spans="1:11" ht="15" customHeight="1" x14ac:dyDescent="0.25">
      <c r="A56" s="2">
        <v>54</v>
      </c>
      <c r="B56" s="7">
        <f>'Ejercicio 1.e (3)'!F56</f>
        <v>0.37037037037037035</v>
      </c>
      <c r="C56" s="7">
        <f t="shared" si="0"/>
        <v>0.37037037037037035</v>
      </c>
      <c r="D56" s="7">
        <f>'Ejercicio 1.e (3)'!G56</f>
        <v>0.35485286150682349</v>
      </c>
      <c r="E56" s="7">
        <f t="shared" si="1"/>
        <v>0.35469778040507688</v>
      </c>
      <c r="F56" s="7">
        <f t="shared" si="2"/>
        <v>0.36465001891249188</v>
      </c>
      <c r="G56" s="7">
        <f>'Ejercicio 1.e (3)'!I56</f>
        <v>0.36518892419207127</v>
      </c>
      <c r="H56" s="7">
        <f>'Ejercicio 1.e (3)'!J56</f>
        <v>0.35122896717576452</v>
      </c>
      <c r="I56" s="7">
        <f t="shared" si="3"/>
        <v>0.35071066245124149</v>
      </c>
      <c r="J56" s="7">
        <f>'Ejercicio 1.e (3)'!K56</f>
        <v>4.2626637308533033E-4</v>
      </c>
      <c r="K56" s="7">
        <f t="shared" si="4"/>
        <v>4.2563733648606582E-4</v>
      </c>
    </row>
    <row r="57" spans="1:11" ht="15" customHeight="1" x14ac:dyDescent="0.25">
      <c r="A57" s="2">
        <v>55</v>
      </c>
      <c r="B57" s="7">
        <f>'Ejercicio 1.e (3)'!F57</f>
        <v>0.37037037037037035</v>
      </c>
      <c r="C57" s="7">
        <f t="shared" si="0"/>
        <v>0.37037037037037035</v>
      </c>
      <c r="D57" s="7">
        <f>'Ejercicio 1.e (3)'!G57</f>
        <v>0.35485327612426171</v>
      </c>
      <c r="E57" s="7">
        <f t="shared" si="1"/>
        <v>0.35469778040507688</v>
      </c>
      <c r="F57" s="7">
        <f t="shared" si="2"/>
        <v>0.36465001891249188</v>
      </c>
      <c r="G57" s="7">
        <f>'Ejercicio 1.e (3)'!I57</f>
        <v>0.36516498681819354</v>
      </c>
      <c r="H57" s="7">
        <f>'Ejercicio 1.e (3)'!J57</f>
        <v>0.35120594484801299</v>
      </c>
      <c r="I57" s="7">
        <f t="shared" si="3"/>
        <v>0.35071066245124149</v>
      </c>
      <c r="J57" s="7">
        <f>'Ejercicio 1.e (3)'!K57</f>
        <v>4.2623843221180406E-4</v>
      </c>
      <c r="K57" s="7">
        <f t="shared" si="4"/>
        <v>4.2563733648606582E-4</v>
      </c>
    </row>
    <row r="58" spans="1:11" ht="15" customHeight="1" x14ac:dyDescent="0.25">
      <c r="A58" s="2">
        <v>56</v>
      </c>
      <c r="B58" s="7">
        <f>'Ejercicio 1.e (3)'!F58</f>
        <v>0.37037037037037035</v>
      </c>
      <c r="C58" s="7">
        <f t="shared" si="0"/>
        <v>0.37037037037037035</v>
      </c>
      <c r="D58" s="7">
        <f>'Ejercicio 1.e (3)'!G58</f>
        <v>0.35485366373642058</v>
      </c>
      <c r="E58" s="7">
        <f t="shared" si="1"/>
        <v>0.35469778040507688</v>
      </c>
      <c r="F58" s="7">
        <f t="shared" si="2"/>
        <v>0.36465001891249188</v>
      </c>
      <c r="G58" s="7">
        <f>'Ejercicio 1.e (3)'!I58</f>
        <v>0.36514224544189527</v>
      </c>
      <c r="H58" s="7">
        <f>'Ejercicio 1.e (3)'!J58</f>
        <v>0.35118407279883446</v>
      </c>
      <c r="I58" s="7">
        <f t="shared" si="3"/>
        <v>0.35071066245124149</v>
      </c>
      <c r="J58" s="7">
        <f>'Ejercicio 1.e (3)'!K58</f>
        <v>4.2621188736514671E-4</v>
      </c>
      <c r="K58" s="7">
        <f t="shared" si="4"/>
        <v>4.2563733648606582E-4</v>
      </c>
    </row>
    <row r="59" spans="1:11" ht="15" customHeight="1" x14ac:dyDescent="0.25">
      <c r="A59" s="2">
        <v>57</v>
      </c>
      <c r="B59" s="7">
        <f>'Ejercicio 1.e (3)'!F59</f>
        <v>0.37037037037037035</v>
      </c>
      <c r="C59" s="7">
        <f t="shared" si="0"/>
        <v>0.37037037037037035</v>
      </c>
      <c r="D59" s="7">
        <f>'Ejercicio 1.e (3)'!G59</f>
        <v>0.35485402569832009</v>
      </c>
      <c r="E59" s="7">
        <f t="shared" si="1"/>
        <v>0.35469778040507688</v>
      </c>
      <c r="F59" s="7">
        <f t="shared" si="2"/>
        <v>0.36465001891249188</v>
      </c>
      <c r="G59" s="7">
        <f>'Ejercicio 1.e (3)'!I59</f>
        <v>0.36512064012370693</v>
      </c>
      <c r="H59" s="7">
        <f>'Ejercicio 1.e (3)'!J59</f>
        <v>0.3511632933800457</v>
      </c>
      <c r="I59" s="7">
        <f t="shared" si="3"/>
        <v>0.35071066245124149</v>
      </c>
      <c r="J59" s="7">
        <f>'Ejercicio 1.e (3)'!K59</f>
        <v>4.2618666858107798E-4</v>
      </c>
      <c r="K59" s="7">
        <f t="shared" si="4"/>
        <v>4.2563733648606582E-4</v>
      </c>
    </row>
    <row r="60" spans="1:11" ht="15" customHeight="1" x14ac:dyDescent="0.25">
      <c r="A60" s="2">
        <v>58</v>
      </c>
      <c r="B60" s="7">
        <f>'Ejercicio 1.e (3)'!F60</f>
        <v>0.37037037037037035</v>
      </c>
      <c r="C60" s="7">
        <f t="shared" si="0"/>
        <v>0.37037037037037035</v>
      </c>
      <c r="D60" s="7">
        <f>'Ejercicio 1.e (3)'!G60</f>
        <v>0.35485436329723252</v>
      </c>
      <c r="E60" s="7">
        <f t="shared" si="1"/>
        <v>0.35469778040507688</v>
      </c>
      <c r="F60" s="7">
        <f t="shared" si="2"/>
        <v>0.36465001891249188</v>
      </c>
      <c r="G60" s="7">
        <f>'Ejercicio 1.e (3)'!I60</f>
        <v>0.36510011393491965</v>
      </c>
      <c r="H60" s="7">
        <f>'Ejercicio 1.e (3)'!J60</f>
        <v>0.35114355183913298</v>
      </c>
      <c r="I60" s="7">
        <f t="shared" si="3"/>
        <v>0.35071066245124149</v>
      </c>
      <c r="J60" s="7">
        <f>'Ejercicio 1.e (3)'!K60</f>
        <v>4.2616270940962453E-4</v>
      </c>
      <c r="K60" s="7">
        <f t="shared" si="4"/>
        <v>4.2563733648606582E-4</v>
      </c>
    </row>
    <row r="61" spans="1:11" ht="15" customHeight="1" x14ac:dyDescent="0.25">
      <c r="A61" s="2">
        <v>59</v>
      </c>
      <c r="B61" s="7">
        <f>'Ejercicio 1.e (3)'!F61</f>
        <v>0.37037037037037035</v>
      </c>
      <c r="C61" s="7">
        <f t="shared" si="0"/>
        <v>0.37037037037037035</v>
      </c>
      <c r="D61" s="7">
        <f>'Ejercicio 1.e (3)'!G61</f>
        <v>0.35485467775606894</v>
      </c>
      <c r="E61" s="7">
        <f t="shared" si="1"/>
        <v>0.35469778040507688</v>
      </c>
      <c r="F61" s="7">
        <f t="shared" si="2"/>
        <v>0.36465001891249188</v>
      </c>
      <c r="G61" s="7">
        <f>'Ejercicio 1.e (3)'!I61</f>
        <v>0.36508061280570131</v>
      </c>
      <c r="H61" s="7">
        <f>'Ejercicio 1.e (3)'!J61</f>
        <v>0.35112479617317388</v>
      </c>
      <c r="I61" s="7">
        <f t="shared" si="3"/>
        <v>0.35071066245124149</v>
      </c>
      <c r="J61" s="7">
        <f>'Ejercicio 1.e (3)'!K61</f>
        <v>4.2613994673783387E-4</v>
      </c>
      <c r="K61" s="7">
        <f t="shared" si="4"/>
        <v>4.2563733648606582E-4</v>
      </c>
    </row>
    <row r="62" spans="1:11" ht="15" customHeight="1" x14ac:dyDescent="0.25">
      <c r="A62" s="2">
        <v>60</v>
      </c>
      <c r="B62" s="7">
        <f>'Ejercicio 1.e (3)'!F62</f>
        <v>0.37037037037037035</v>
      </c>
      <c r="C62" s="7">
        <f t="shared" si="0"/>
        <v>0.37037037037037035</v>
      </c>
      <c r="D62" s="7">
        <f>'Ejercicio 1.e (3)'!G62</f>
        <v>0.35485497023659657</v>
      </c>
      <c r="E62" s="7">
        <f t="shared" si="1"/>
        <v>0.35469778040507688</v>
      </c>
      <c r="F62" s="7">
        <f t="shared" si="2"/>
        <v>0.36465001891249188</v>
      </c>
      <c r="G62" s="7">
        <f>'Ejercicio 1.e (3)'!I62</f>
        <v>0.36506208538093871</v>
      </c>
      <c r="H62" s="7">
        <f>'Ejercicio 1.e (3)'!J62</f>
        <v>0.35110697699019017</v>
      </c>
      <c r="I62" s="7">
        <f t="shared" si="3"/>
        <v>0.35071066245124149</v>
      </c>
      <c r="J62" s="7">
        <f>'Ejercicio 1.e (3)'!K62</f>
        <v>4.2611832062150614E-4</v>
      </c>
      <c r="K62" s="7">
        <f t="shared" si="4"/>
        <v>4.2563733648606582E-4</v>
      </c>
    </row>
    <row r="63" spans="1:11" ht="15" customHeight="1" x14ac:dyDescent="0.25">
      <c r="A63" s="2">
        <v>61</v>
      </c>
      <c r="B63" s="7">
        <f>'Ejercicio 1.e (3)'!F63</f>
        <v>0.37037037037037035</v>
      </c>
      <c r="C63" s="7">
        <f t="shared" si="0"/>
        <v>0.37037037037037035</v>
      </c>
      <c r="D63" s="7">
        <f>'Ejercicio 1.e (3)'!G63</f>
        <v>0.35485524184249551</v>
      </c>
      <c r="E63" s="7">
        <f t="shared" si="1"/>
        <v>0.35469778040507688</v>
      </c>
      <c r="F63" s="7">
        <f t="shared" si="2"/>
        <v>0.36465001891249188</v>
      </c>
      <c r="G63" s="7">
        <f>'Ejercicio 1.e (3)'!I63</f>
        <v>0.36504448288340574</v>
      </c>
      <c r="H63" s="7">
        <f>'Ejercicio 1.e (3)'!J63</f>
        <v>0.35109004737754679</v>
      </c>
      <c r="I63" s="7">
        <f t="shared" si="3"/>
        <v>0.35071066245124149</v>
      </c>
      <c r="J63" s="7">
        <f>'Ejercicio 1.e (3)'!K63</f>
        <v>4.2609777412547749E-4</v>
      </c>
      <c r="K63" s="7">
        <f t="shared" si="4"/>
        <v>4.2563733648606582E-4</v>
      </c>
    </row>
    <row r="64" spans="1:11" ht="15" customHeight="1" x14ac:dyDescent="0.25">
      <c r="A64" s="2">
        <v>62</v>
      </c>
      <c r="B64" s="7">
        <f>'Ejercicio 1.e (3)'!F64</f>
        <v>0.37037037037037035</v>
      </c>
      <c r="C64" s="7">
        <f t="shared" si="0"/>
        <v>0.37037037037037035</v>
      </c>
      <c r="D64" s="7">
        <f>'Ejercicio 1.e (3)'!G64</f>
        <v>0.35485549362226276</v>
      </c>
      <c r="E64" s="7">
        <f t="shared" si="1"/>
        <v>0.35469778040507688</v>
      </c>
      <c r="F64" s="7">
        <f t="shared" si="2"/>
        <v>0.36465001891249188</v>
      </c>
      <c r="G64" s="7">
        <f>'Ejercicio 1.e (3)'!I64</f>
        <v>0.36502775898388057</v>
      </c>
      <c r="H64" s="7">
        <f>'Ejercicio 1.e (3)'!J64</f>
        <v>0.3510739627770339</v>
      </c>
      <c r="I64" s="7">
        <f t="shared" si="3"/>
        <v>0.35071066245124149</v>
      </c>
      <c r="J64" s="7">
        <f>'Ejercicio 1.e (3)'!K64</f>
        <v>4.2607825317201426E-4</v>
      </c>
      <c r="K64" s="7">
        <f t="shared" si="4"/>
        <v>4.2563733648606582E-4</v>
      </c>
    </row>
    <row r="65" spans="1:11" ht="15" customHeight="1" x14ac:dyDescent="0.25">
      <c r="A65" s="2">
        <v>63</v>
      </c>
      <c r="B65" s="7">
        <f>'Ejercicio 1.e (3)'!F65</f>
        <v>0.37037037037037035</v>
      </c>
      <c r="C65" s="7">
        <f t="shared" si="0"/>
        <v>0.37037037037037035</v>
      </c>
      <c r="D65" s="7">
        <f>'Ejercicio 1.e (3)'!G65</f>
        <v>0.35485572657197062</v>
      </c>
      <c r="E65" s="7">
        <f t="shared" si="1"/>
        <v>0.35469778040507688</v>
      </c>
      <c r="F65" s="7">
        <f t="shared" si="2"/>
        <v>0.36465001891249188</v>
      </c>
      <c r="G65" s="7">
        <f>'Ejercicio 1.e (3)'!I65</f>
        <v>0.36501186967785304</v>
      </c>
      <c r="H65" s="7">
        <f>'Ejercicio 1.e (3)'!J65</f>
        <v>0.35105868086628716</v>
      </c>
      <c r="I65" s="7">
        <f t="shared" si="3"/>
        <v>0.35071066245124149</v>
      </c>
      <c r="J65" s="7">
        <f>'Ejercicio 1.e (3)'!K65</f>
        <v>4.2605970639690008E-4</v>
      </c>
      <c r="K65" s="7">
        <f t="shared" si="4"/>
        <v>4.2563733648606582E-4</v>
      </c>
    </row>
    <row r="66" spans="1:11" ht="15" customHeight="1" x14ac:dyDescent="0.25">
      <c r="A66" s="2">
        <v>64</v>
      </c>
      <c r="B66" s="7">
        <f>'Ejercicio 1.e (3)'!F66</f>
        <v>0.37037037037037035</v>
      </c>
      <c r="C66" s="7">
        <f t="shared" ref="C66:C129" si="5">$B$2</f>
        <v>0.37037037037037035</v>
      </c>
      <c r="D66" s="7">
        <f>'Ejercicio 1.e (3)'!G66</f>
        <v>0.3548559416378877</v>
      </c>
      <c r="E66" s="7">
        <f t="shared" ref="E66:E129" si="6">$D$2</f>
        <v>0.35469778040507688</v>
      </c>
      <c r="F66" s="7">
        <f t="shared" si="2"/>
        <v>0.36465001891249188</v>
      </c>
      <c r="G66" s="7">
        <f>'Ejercicio 1.e (3)'!I66</f>
        <v>0.36499677316848406</v>
      </c>
      <c r="H66" s="7">
        <f>'Ejercicio 1.e (3)'!J66</f>
        <v>0.35104416144622164</v>
      </c>
      <c r="I66" s="7">
        <f t="shared" si="3"/>
        <v>0.35071066245124149</v>
      </c>
      <c r="J66" s="7">
        <f>'Ejercicio 1.e (3)'!K66</f>
        <v>4.2604208501281998E-4</v>
      </c>
      <c r="K66" s="7">
        <f t="shared" si="4"/>
        <v>4.2563733648606582E-4</v>
      </c>
    </row>
    <row r="67" spans="1:11" ht="15" customHeight="1" x14ac:dyDescent="0.25">
      <c r="A67" s="2">
        <v>65</v>
      </c>
      <c r="B67" s="7">
        <f>'Ejercicio 1.e (3)'!F67</f>
        <v>0.37037037037037035</v>
      </c>
      <c r="C67" s="7">
        <f t="shared" si="5"/>
        <v>0.37037037037037035</v>
      </c>
      <c r="D67" s="7">
        <f>'Ejercicio 1.e (3)'!G67</f>
        <v>0.35485613971896879</v>
      </c>
      <c r="E67" s="7">
        <f t="shared" si="6"/>
        <v>0.35469778040507688</v>
      </c>
      <c r="F67" s="7">
        <f t="shared" ref="F67:F130" si="7">$G$2</f>
        <v>0.36465001891249188</v>
      </c>
      <c r="G67" s="7">
        <f>'Ejercicio 1.e (3)'!I67</f>
        <v>0.36498242975549594</v>
      </c>
      <c r="H67" s="7">
        <f>'Ejercicio 1.e (3)'!J67</f>
        <v>0.35103036633416906</v>
      </c>
      <c r="I67" s="7">
        <f t="shared" ref="I67:I130" si="8">$H$2</f>
        <v>0.35071066245124149</v>
      </c>
      <c r="J67" s="7">
        <f>'Ejercicio 1.e (3)'!K67</f>
        <v>4.260253426796684E-4</v>
      </c>
      <c r="K67" s="7">
        <f t="shared" ref="K67:K130" si="9">$J$2</f>
        <v>4.2563733648606582E-4</v>
      </c>
    </row>
    <row r="68" spans="1:11" ht="15" customHeight="1" x14ac:dyDescent="0.25">
      <c r="A68" s="2">
        <v>66</v>
      </c>
      <c r="B68" s="7">
        <f>'Ejercicio 1.e (3)'!F68</f>
        <v>0.37037037037037035</v>
      </c>
      <c r="C68" s="7">
        <f t="shared" si="5"/>
        <v>0.37037037037037035</v>
      </c>
      <c r="D68" s="7">
        <f>'Ejercicio 1.e (3)'!G68</f>
        <v>0.35485632166922004</v>
      </c>
      <c r="E68" s="7">
        <f t="shared" si="6"/>
        <v>0.35469778040507688</v>
      </c>
      <c r="F68" s="7">
        <f t="shared" si="7"/>
        <v>0.36465001891249188</v>
      </c>
      <c r="G68" s="7">
        <f>'Ejercicio 1.e (3)'!I68</f>
        <v>0.3649688017296881</v>
      </c>
      <c r="H68" s="7">
        <f>'Ejercicio 1.e (3)'!J68</f>
        <v>0.35101725926242605</v>
      </c>
      <c r="I68" s="7">
        <f t="shared" si="8"/>
        <v>0.35071066245124149</v>
      </c>
      <c r="J68" s="7">
        <f>'Ejercicio 1.e (3)'!K68</f>
        <v>4.2600943538142192E-4</v>
      </c>
      <c r="K68" s="7">
        <f t="shared" si="9"/>
        <v>4.2563733648606582E-4</v>
      </c>
    </row>
    <row r="69" spans="1:11" ht="15" customHeight="1" x14ac:dyDescent="0.25">
      <c r="A69" s="2">
        <v>67</v>
      </c>
      <c r="B69" s="7">
        <f>'Ejercicio 1.e (3)'!F69</f>
        <v>0.37037037037037035</v>
      </c>
      <c r="C69" s="7">
        <f t="shared" si="5"/>
        <v>0.37037037037037035</v>
      </c>
      <c r="D69" s="7">
        <f>'Ejercicio 1.e (3)'!G69</f>
        <v>0.35485648829994632</v>
      </c>
      <c r="E69" s="7">
        <f t="shared" si="6"/>
        <v>0.35469778040507688</v>
      </c>
      <c r="F69" s="7">
        <f t="shared" si="7"/>
        <v>0.36465001891249188</v>
      </c>
      <c r="G69" s="7">
        <f>'Ejercicio 1.e (3)'!I69</f>
        <v>0.36495585327279212</v>
      </c>
      <c r="H69" s="7">
        <f>'Ejercicio 1.e (3)'!J69</f>
        <v>0.35100480578193743</v>
      </c>
      <c r="I69" s="7">
        <f t="shared" si="8"/>
        <v>0.35071066245124149</v>
      </c>
      <c r="J69" s="7">
        <f>'Ejercicio 1.e (3)'!K69</f>
        <v>4.2599432130924599E-4</v>
      </c>
      <c r="K69" s="7">
        <f t="shared" si="9"/>
        <v>4.2563733648606582E-4</v>
      </c>
    </row>
    <row r="70" spans="1:11" ht="15" customHeight="1" x14ac:dyDescent="0.25">
      <c r="A70" s="2">
        <v>68</v>
      </c>
      <c r="B70" s="7">
        <f>'Ejercicio 1.e (3)'!F70</f>
        <v>0.37037037037037035</v>
      </c>
      <c r="C70" s="7">
        <f t="shared" si="5"/>
        <v>0.37037037037037035</v>
      </c>
      <c r="D70" s="7">
        <f>'Ejercicio 1.e (3)'!G70</f>
        <v>0.3548566403818858</v>
      </c>
      <c r="E70" s="7">
        <f t="shared" si="6"/>
        <v>0.35469778040507688</v>
      </c>
      <c r="F70" s="7">
        <f t="shared" si="7"/>
        <v>0.36465001891249188</v>
      </c>
      <c r="G70" s="7">
        <f>'Ejercicio 1.e (3)'!I70</f>
        <v>0.36494355036239112</v>
      </c>
      <c r="H70" s="7">
        <f>'Ejercicio 1.e (3)'!J70</f>
        <v>0.35099297317084999</v>
      </c>
      <c r="I70" s="7">
        <f t="shared" si="8"/>
        <v>0.35071066245124149</v>
      </c>
      <c r="J70" s="7">
        <f>'Ejercicio 1.e (3)'!K70</f>
        <v>4.2597996075051153E-4</v>
      </c>
      <c r="K70" s="7">
        <f t="shared" si="9"/>
        <v>4.2563733648606582E-4</v>
      </c>
    </row>
    <row r="71" spans="1:11" ht="15" customHeight="1" x14ac:dyDescent="0.25">
      <c r="A71" s="2">
        <v>69</v>
      </c>
      <c r="B71" s="7">
        <f>'Ejercicio 1.e (3)'!F71</f>
        <v>0.37037037037037035</v>
      </c>
      <c r="C71" s="7">
        <f t="shared" si="5"/>
        <v>0.37037037037037035</v>
      </c>
      <c r="D71" s="7">
        <f>'Ejercicio 1.e (3)'!G71</f>
        <v>0.3548567786472383</v>
      </c>
      <c r="E71" s="7">
        <f t="shared" si="6"/>
        <v>0.35469778040507688</v>
      </c>
      <c r="F71" s="7">
        <f t="shared" si="7"/>
        <v>0.36465001891249188</v>
      </c>
      <c r="G71" s="7">
        <f>'Ejercicio 1.e (3)'!I71</f>
        <v>0.36493186068164551</v>
      </c>
      <c r="H71" s="7">
        <f>'Ejercicio 1.e (3)'!J71</f>
        <v>0.35098173034768942</v>
      </c>
      <c r="I71" s="7">
        <f t="shared" si="8"/>
        <v>0.35071066245124149</v>
      </c>
      <c r="J71" s="7">
        <f>'Ejercicio 1.e (3)'!K71</f>
        <v>4.2596631598342287E-4</v>
      </c>
      <c r="K71" s="7">
        <f t="shared" si="9"/>
        <v>4.2563733648606582E-4</v>
      </c>
    </row>
    <row r="72" spans="1:11" ht="15" customHeight="1" x14ac:dyDescent="0.25">
      <c r="A72" s="2">
        <v>70</v>
      </c>
      <c r="B72" s="7">
        <f>'Ejercicio 1.e (3)'!F72</f>
        <v>0.37037037037037035</v>
      </c>
      <c r="C72" s="7">
        <f t="shared" si="5"/>
        <v>0.37037037037037035</v>
      </c>
      <c r="D72" s="7">
        <f>'Ejercicio 1.e (3)'!G72</f>
        <v>0.35485690379159163</v>
      </c>
      <c r="E72" s="7">
        <f t="shared" si="6"/>
        <v>0.35469778040507688</v>
      </c>
      <c r="F72" s="7">
        <f t="shared" si="7"/>
        <v>0.36465001891249188</v>
      </c>
      <c r="G72" s="7">
        <f>'Ejercicio 1.e (3)'!I72</f>
        <v>0.36492075353357933</v>
      </c>
      <c r="H72" s="7">
        <f>'Ejercicio 1.e (3)'!J72</f>
        <v>0.35097104778892291</v>
      </c>
      <c r="I72" s="7">
        <f t="shared" si="8"/>
        <v>0.35071066245124149</v>
      </c>
      <c r="J72" s="7">
        <f>'Ejercicio 1.e (3)'!K72</f>
        <v>4.2595335117696833E-4</v>
      </c>
      <c r="K72" s="7">
        <f t="shared" si="9"/>
        <v>4.2563733648606582E-4</v>
      </c>
    </row>
    <row r="73" spans="1:11" ht="15" customHeight="1" x14ac:dyDescent="0.25">
      <c r="A73" s="2">
        <v>71</v>
      </c>
      <c r="B73" s="7">
        <f>'Ejercicio 1.e (3)'!F73</f>
        <v>0.37037037037037035</v>
      </c>
      <c r="C73" s="7">
        <f t="shared" si="5"/>
        <v>0.37037037037037035</v>
      </c>
      <c r="D73" s="7">
        <f>'Ejercicio 1.e (3)'!G73</f>
        <v>0.35485701647575241</v>
      </c>
      <c r="E73" s="7">
        <f t="shared" si="6"/>
        <v>0.35469778040507688</v>
      </c>
      <c r="F73" s="7">
        <f t="shared" si="7"/>
        <v>0.36465001891249188</v>
      </c>
      <c r="G73" s="7">
        <f>'Ejercicio 1.e (3)'!I73</f>
        <v>0.36491019975969496</v>
      </c>
      <c r="H73" s="7">
        <f>'Ejercicio 1.e (3)'!J73</f>
        <v>0.35096089745068521</v>
      </c>
      <c r="I73" s="7">
        <f t="shared" si="8"/>
        <v>0.35071066245124149</v>
      </c>
      <c r="J73" s="7">
        <f>'Ejercicio 1.e (3)'!K73</f>
        <v>4.2594103229592342E-4</v>
      </c>
      <c r="K73" s="7">
        <f t="shared" si="9"/>
        <v>4.2563733648606582E-4</v>
      </c>
    </row>
    <row r="74" spans="1:11" ht="15" customHeight="1" x14ac:dyDescent="0.25">
      <c r="A74" s="2">
        <v>72</v>
      </c>
      <c r="B74" s="7">
        <f>'Ejercicio 1.e (3)'!F74</f>
        <v>0.37037037037037035</v>
      </c>
      <c r="C74" s="7">
        <f t="shared" si="5"/>
        <v>0.37037037037037035</v>
      </c>
      <c r="D74" s="7">
        <f>'Ejercicio 1.e (3)'!G74</f>
        <v>0.35485711732748465</v>
      </c>
      <c r="E74" s="7">
        <f t="shared" si="6"/>
        <v>0.35469778040507688</v>
      </c>
      <c r="F74" s="7">
        <f t="shared" si="7"/>
        <v>0.36465001891249188</v>
      </c>
      <c r="G74" s="7">
        <f>'Ejercicio 1.e (3)'!I74</f>
        <v>0.36490017166269473</v>
      </c>
      <c r="H74" s="7">
        <f>'Ejercicio 1.e (3)'!J74</f>
        <v>0.3509512526944541</v>
      </c>
      <c r="I74" s="7">
        <f t="shared" si="8"/>
        <v>0.35071066245124149</v>
      </c>
      <c r="J74" s="7">
        <f>'Ejercicio 1.e (3)'!K74</f>
        <v>4.2592932701064759E-4</v>
      </c>
      <c r="K74" s="7">
        <f t="shared" si="9"/>
        <v>4.2563733648606582E-4</v>
      </c>
    </row>
    <row r="75" spans="1:11" ht="15" customHeight="1" x14ac:dyDescent="0.25">
      <c r="A75" s="2">
        <v>73</v>
      </c>
      <c r="B75" s="7">
        <f>'Ejercicio 1.e (3)'!F75</f>
        <v>0.37037037037037035</v>
      </c>
      <c r="C75" s="7">
        <f t="shared" si="5"/>
        <v>0.37037037037037035</v>
      </c>
      <c r="D75" s="7">
        <f>'Ejercicio 1.e (3)'!G75</f>
        <v>0.35485720694316186</v>
      </c>
      <c r="E75" s="7">
        <f t="shared" si="6"/>
        <v>0.35469778040507688</v>
      </c>
      <c r="F75" s="7">
        <f t="shared" si="7"/>
        <v>0.36465001891249188</v>
      </c>
      <c r="G75" s="7">
        <f>'Ejercicio 1.e (3)'!I75</f>
        <v>0.36489064293310169</v>
      </c>
      <c r="H75" s="7">
        <f>'Ejercicio 1.e (3)'!J75</f>
        <v>0.35094208821647643</v>
      </c>
      <c r="I75" s="7">
        <f t="shared" si="8"/>
        <v>0.35071066245124149</v>
      </c>
      <c r="J75" s="7">
        <f>'Ejercicio 1.e (3)'!K75</f>
        <v>4.2591820461143263E-4</v>
      </c>
      <c r="K75" s="7">
        <f t="shared" si="9"/>
        <v>4.2563733648606582E-4</v>
      </c>
    </row>
    <row r="76" spans="1:11" ht="15" customHeight="1" x14ac:dyDescent="0.25">
      <c r="A76" s="2">
        <v>74</v>
      </c>
      <c r="B76" s="7">
        <f>'Ejercicio 1.e (3)'!F76</f>
        <v>0.37037037037037035</v>
      </c>
      <c r="C76" s="7">
        <f t="shared" si="5"/>
        <v>0.37037037037037035</v>
      </c>
      <c r="D76" s="7">
        <f>'Ejercicio 1.e (3)'!G76</f>
        <v>0.35485728588933646</v>
      </c>
      <c r="E76" s="7">
        <f t="shared" si="6"/>
        <v>0.35469778040507688</v>
      </c>
      <c r="F76" s="7">
        <f t="shared" si="7"/>
        <v>0.36465001891249188</v>
      </c>
      <c r="G76" s="7">
        <f>'Ejercicio 1.e (3)'!I76</f>
        <v>0.36488158857958047</v>
      </c>
      <c r="H76" s="7">
        <f>'Ejercicio 1.e (3)'!J76</f>
        <v>0.3509333799807523</v>
      </c>
      <c r="I76" s="7">
        <f t="shared" si="8"/>
        <v>0.35071066245124149</v>
      </c>
      <c r="J76" s="7">
        <f>'Ejercicio 1.e (3)'!K76</f>
        <v>4.2590763592716965E-4</v>
      </c>
      <c r="K76" s="7">
        <f t="shared" si="9"/>
        <v>4.2563733648606582E-4</v>
      </c>
    </row>
    <row r="77" spans="1:11" ht="15" customHeight="1" x14ac:dyDescent="0.25">
      <c r="A77" s="2">
        <v>75</v>
      </c>
      <c r="B77" s="7">
        <f>'Ejercicio 1.e (3)'!F77</f>
        <v>0.37037037037037035</v>
      </c>
      <c r="C77" s="7">
        <f t="shared" si="5"/>
        <v>0.37037037037037035</v>
      </c>
      <c r="D77" s="7">
        <f>'Ejercicio 1.e (3)'!G77</f>
        <v>0.35485735470423063</v>
      </c>
      <c r="E77" s="7">
        <f t="shared" si="6"/>
        <v>0.35469778040507688</v>
      </c>
      <c r="F77" s="7">
        <f t="shared" si="7"/>
        <v>0.36465001891249188</v>
      </c>
      <c r="G77" s="7">
        <f>'Ejercicio 1.e (3)'!I77</f>
        <v>0.36487298486276964</v>
      </c>
      <c r="H77" s="7">
        <f>'Ejercicio 1.e (3)'!J77</f>
        <v>0.3509251051553971</v>
      </c>
      <c r="I77" s="7">
        <f t="shared" si="8"/>
        <v>0.35071066245124149</v>
      </c>
      <c r="J77" s="7">
        <f>'Ejercicio 1.e (3)'!K77</f>
        <v>4.2589759324811492E-4</v>
      </c>
      <c r="K77" s="7">
        <f t="shared" si="9"/>
        <v>4.2563733648606582E-4</v>
      </c>
    </row>
    <row r="78" spans="1:11" ht="15" customHeight="1" x14ac:dyDescent="0.25">
      <c r="A78" s="2">
        <v>76</v>
      </c>
      <c r="B78" s="7">
        <f>'Ejercicio 1.e (3)'!F78</f>
        <v>0.37037037037037035</v>
      </c>
      <c r="C78" s="7">
        <f t="shared" si="5"/>
        <v>0.37037037037037035</v>
      </c>
      <c r="D78" s="7">
        <f>'Ejercicio 1.e (3)'!G78</f>
        <v>0.35485741389915271</v>
      </c>
      <c r="E78" s="7">
        <f t="shared" si="6"/>
        <v>0.35469778040507688</v>
      </c>
      <c r="F78" s="7">
        <f t="shared" si="7"/>
        <v>0.36465001891249188</v>
      </c>
      <c r="G78" s="7">
        <f>'Ejercicio 1.e (3)'!I78</f>
        <v>0.36486480923244818</v>
      </c>
      <c r="H78" s="7">
        <f>'Ejercicio 1.e (3)'!J78</f>
        <v>0.3509172420522097</v>
      </c>
      <c r="I78" s="7">
        <f t="shared" si="8"/>
        <v>0.35071066245124149</v>
      </c>
      <c r="J78" s="7">
        <f>'Ejercicio 1.e (3)'!K78</f>
        <v>4.2588805025254759E-4</v>
      </c>
      <c r="K78" s="7">
        <f t="shared" si="9"/>
        <v>4.2563733648606582E-4</v>
      </c>
    </row>
    <row r="79" spans="1:11" ht="15" customHeight="1" x14ac:dyDescent="0.25">
      <c r="A79" s="2">
        <v>77</v>
      </c>
      <c r="B79" s="7">
        <f>'Ejercicio 1.e (3)'!F79</f>
        <v>0.37037037037037035</v>
      </c>
      <c r="C79" s="7">
        <f t="shared" si="5"/>
        <v>0.37037037037037035</v>
      </c>
      <c r="D79" s="7">
        <f>'Ejercicio 1.e (3)'!G79</f>
        <v>0.35485746395984291</v>
      </c>
      <c r="E79" s="7">
        <f t="shared" si="6"/>
        <v>0.35469778040507688</v>
      </c>
      <c r="F79" s="7">
        <f t="shared" si="7"/>
        <v>0.36465001891249188</v>
      </c>
      <c r="G79" s="7">
        <f>'Ejercicio 1.e (3)'!I79</f>
        <v>0.36485704026786703</v>
      </c>
      <c r="H79" s="7">
        <f>'Ejercicio 1.e (3)'!J79</f>
        <v>0.35090977006928498</v>
      </c>
      <c r="I79" s="7">
        <f t="shared" si="8"/>
        <v>0.35071066245124149</v>
      </c>
      <c r="J79" s="7">
        <f>'Ejercicio 1.e (3)'!K79</f>
        <v>4.258789819371216E-4</v>
      </c>
      <c r="K79" s="7">
        <f t="shared" si="9"/>
        <v>4.2563733648606582E-4</v>
      </c>
    </row>
    <row r="80" spans="1:11" ht="15" customHeight="1" x14ac:dyDescent="0.25">
      <c r="A80" s="2">
        <v>78</v>
      </c>
      <c r="B80" s="7">
        <f>'Ejercicio 1.e (3)'!F80</f>
        <v>0.37037037037037035</v>
      </c>
      <c r="C80" s="7">
        <f t="shared" si="5"/>
        <v>0.37037037037037035</v>
      </c>
      <c r="D80" s="7">
        <f>'Ejercicio 1.e (3)'!G80</f>
        <v>0.35485750534775157</v>
      </c>
      <c r="E80" s="7">
        <f t="shared" si="6"/>
        <v>0.35469778040507688</v>
      </c>
      <c r="F80" s="7">
        <f t="shared" si="7"/>
        <v>0.36465001891249188</v>
      </c>
      <c r="G80" s="7">
        <f>'Ejercicio 1.e (3)'!I80</f>
        <v>0.36484965762108362</v>
      </c>
      <c r="H80" s="7">
        <f>'Ejercicio 1.e (3)'!J80</f>
        <v>0.35090266963651445</v>
      </c>
      <c r="I80" s="7">
        <f t="shared" si="8"/>
        <v>0.35071066245124149</v>
      </c>
      <c r="J80" s="7">
        <f>'Ejercicio 1.e (3)'!K80</f>
        <v>4.2587036455072334E-4</v>
      </c>
      <c r="K80" s="7">
        <f t="shared" si="9"/>
        <v>4.2563733648606582E-4</v>
      </c>
    </row>
    <row r="81" spans="1:11" ht="15" customHeight="1" x14ac:dyDescent="0.25">
      <c r="A81" s="2">
        <v>79</v>
      </c>
      <c r="B81" s="7">
        <f>'Ejercicio 1.e (3)'!F81</f>
        <v>0.37037037037037035</v>
      </c>
      <c r="C81" s="7">
        <f t="shared" si="5"/>
        <v>0.37037037037037035</v>
      </c>
      <c r="D81" s="7">
        <f>'Ejercicio 1.e (3)'!G81</f>
        <v>0.35485753850125346</v>
      </c>
      <c r="E81" s="7">
        <f t="shared" si="6"/>
        <v>0.35469778040507688</v>
      </c>
      <c r="F81" s="7">
        <f t="shared" si="7"/>
        <v>0.36465001891249188</v>
      </c>
      <c r="G81" s="7">
        <f>'Ejercicio 1.e (3)'!I81</f>
        <v>0.36484264196314953</v>
      </c>
      <c r="H81" s="7">
        <f>'Ejercicio 1.e (3)'!J81</f>
        <v>0.35089592216383109</v>
      </c>
      <c r="I81" s="7">
        <f t="shared" si="8"/>
        <v>0.35071066245124149</v>
      </c>
      <c r="J81" s="7">
        <f>'Ejercicio 1.e (3)'!K81</f>
        <v>4.2586217553165881E-4</v>
      </c>
      <c r="K81" s="7">
        <f t="shared" si="9"/>
        <v>4.2563733648606582E-4</v>
      </c>
    </row>
    <row r="82" spans="1:11" ht="15" customHeight="1" x14ac:dyDescent="0.25">
      <c r="A82" s="2">
        <v>80</v>
      </c>
      <c r="B82" s="7">
        <f>'Ejercicio 1.e (3)'!F82</f>
        <v>0.37037037037037035</v>
      </c>
      <c r="C82" s="7">
        <f t="shared" si="5"/>
        <v>0.37037037037037035</v>
      </c>
      <c r="D82" s="7">
        <f>'Ejercicio 1.e (3)'!G82</f>
        <v>0.35485756383680161</v>
      </c>
      <c r="E82" s="7">
        <f t="shared" si="6"/>
        <v>0.35469778040507688</v>
      </c>
      <c r="F82" s="7">
        <f t="shared" si="7"/>
        <v>0.36465001891249188</v>
      </c>
      <c r="G82" s="7">
        <f>'Ejercicio 1.e (3)'!I82</f>
        <v>0.36483597493300446</v>
      </c>
      <c r="H82" s="7">
        <f>'Ejercicio 1.e (3)'!J82</f>
        <v>0.35088950999205681</v>
      </c>
      <c r="I82" s="7">
        <f t="shared" si="8"/>
        <v>0.35071066245124149</v>
      </c>
      <c r="J82" s="7">
        <f>'Ejercicio 1.e (3)'!K82</f>
        <v>4.258543934480004E-4</v>
      </c>
      <c r="K82" s="7">
        <f t="shared" si="9"/>
        <v>4.2563733648606582E-4</v>
      </c>
    </row>
    <row r="83" spans="1:11" ht="15" customHeight="1" x14ac:dyDescent="0.25">
      <c r="A83" s="2">
        <v>81</v>
      </c>
      <c r="B83" s="7">
        <f>'Ejercicio 1.e (3)'!F83</f>
        <v>0.37037037037037035</v>
      </c>
      <c r="C83" s="7">
        <f t="shared" si="5"/>
        <v>0.37037037037037035</v>
      </c>
      <c r="D83" s="7">
        <f>'Ejercicio 1.e (3)'!G83</f>
        <v>0.35485758175002324</v>
      </c>
      <c r="E83" s="7">
        <f t="shared" si="6"/>
        <v>0.35469778040507688</v>
      </c>
      <c r="F83" s="7">
        <f t="shared" si="7"/>
        <v>0.36465001891249188</v>
      </c>
      <c r="G83" s="7">
        <f>'Ejercicio 1.e (3)'!I83</f>
        <v>0.36482963908894173</v>
      </c>
      <c r="H83" s="7">
        <f>'Ejercicio 1.e (3)'!J83</f>
        <v>0.35088341634622333</v>
      </c>
      <c r="I83" s="7">
        <f t="shared" si="8"/>
        <v>0.35071066245124149</v>
      </c>
      <c r="J83" s="7">
        <f>'Ejercicio 1.e (3)'!K83</f>
        <v>4.2584699794093498E-4</v>
      </c>
      <c r="K83" s="7">
        <f t="shared" si="9"/>
        <v>4.2563733648606582E-4</v>
      </c>
    </row>
    <row r="84" spans="1:11" ht="15" customHeight="1" x14ac:dyDescent="0.25">
      <c r="A84" s="2">
        <v>82</v>
      </c>
      <c r="B84" s="7">
        <f>'Ejercicio 1.e (3)'!F84</f>
        <v>0.37037037037037035</v>
      </c>
      <c r="C84" s="7">
        <f t="shared" si="5"/>
        <v>0.37037037037037035</v>
      </c>
      <c r="D84" s="7">
        <f>'Ejercicio 1.e (3)'!G84</f>
        <v>0.35485759261676109</v>
      </c>
      <c r="E84" s="7">
        <f t="shared" si="6"/>
        <v>0.35469778040507688</v>
      </c>
      <c r="F84" s="7">
        <f t="shared" si="7"/>
        <v>0.36465001891249188</v>
      </c>
      <c r="G84" s="7">
        <f>'Ejercicio 1.e (3)'!I84</f>
        <v>0.36482361786251338</v>
      </c>
      <c r="H84" s="7">
        <f>'Ejercicio 1.e (3)'!J84</f>
        <v>0.35087762529123928</v>
      </c>
      <c r="I84" s="7">
        <f t="shared" si="8"/>
        <v>0.35071066245124149</v>
      </c>
      <c r="J84" s="7">
        <f>'Ejercicio 1.e (3)'!K84</f>
        <v>4.2583996967095991E-4</v>
      </c>
      <c r="K84" s="7">
        <f t="shared" si="9"/>
        <v>4.2563733648606582E-4</v>
      </c>
    </row>
    <row r="85" spans="1:11" ht="15" customHeight="1" x14ac:dyDescent="0.25">
      <c r="A85" s="2">
        <v>83</v>
      </c>
      <c r="B85" s="7">
        <f>'Ejercicio 1.e (3)'!F85</f>
        <v>0.37037037037037035</v>
      </c>
      <c r="C85" s="7">
        <f t="shared" si="5"/>
        <v>0.37037037037037035</v>
      </c>
      <c r="D85" s="7">
        <f>'Ejercicio 1.e (3)'!G85</f>
        <v>0.3548575967940627</v>
      </c>
      <c r="E85" s="7">
        <f t="shared" si="6"/>
        <v>0.35469778040507688</v>
      </c>
      <c r="F85" s="7">
        <f t="shared" si="7"/>
        <v>0.36465001891249188</v>
      </c>
      <c r="G85" s="7">
        <f>'Ejercicio 1.e (3)'!I85</f>
        <v>0.36481789551475319</v>
      </c>
      <c r="H85" s="7">
        <f>'Ejercicio 1.e (3)'!J85</f>
        <v>0.35087212168978676</v>
      </c>
      <c r="I85" s="7">
        <f t="shared" si="8"/>
        <v>0.35071066245124149</v>
      </c>
      <c r="J85" s="7">
        <f>'Ejercicio 1.e (3)'!K85</f>
        <v>4.2583329026678394E-4</v>
      </c>
      <c r="K85" s="7">
        <f t="shared" si="9"/>
        <v>4.2563733648606582E-4</v>
      </c>
    </row>
    <row r="86" spans="1:11" ht="15" customHeight="1" x14ac:dyDescent="0.25">
      <c r="A86" s="2">
        <v>84</v>
      </c>
      <c r="B86" s="7">
        <f>'Ejercicio 1.e (3)'!F86</f>
        <v>0.37037037037037035</v>
      </c>
      <c r="C86" s="7">
        <f t="shared" si="5"/>
        <v>0.37037037037037035</v>
      </c>
      <c r="D86" s="7">
        <f>'Ejercicio 1.e (3)'!G86</f>
        <v>0.35485759462111982</v>
      </c>
      <c r="E86" s="7">
        <f t="shared" si="6"/>
        <v>0.35469778040507688</v>
      </c>
      <c r="F86" s="7">
        <f t="shared" si="7"/>
        <v>0.36465001891249188</v>
      </c>
      <c r="G86" s="7">
        <f>'Ejercicio 1.e (3)'!I86</f>
        <v>0.36481245709459886</v>
      </c>
      <c r="H86" s="7">
        <f>'Ejercicio 1.e (3)'!J86</f>
        <v>0.35086689116233277</v>
      </c>
      <c r="I86" s="7">
        <f t="shared" si="8"/>
        <v>0.35071066245124149</v>
      </c>
      <c r="J86" s="7">
        <f>'Ejercicio 1.e (3)'!K86</f>
        <v>4.2582694227679595E-4</v>
      </c>
      <c r="K86" s="7">
        <f t="shared" si="9"/>
        <v>4.2563733648606582E-4</v>
      </c>
    </row>
    <row r="87" spans="1:11" ht="15" customHeight="1" x14ac:dyDescent="0.25">
      <c r="A87" s="2">
        <v>85</v>
      </c>
      <c r="B87" s="7">
        <f>'Ejercicio 1.e (3)'!F87</f>
        <v>0.37037037037037035</v>
      </c>
      <c r="C87" s="7">
        <f t="shared" si="5"/>
        <v>0.37037037037037035</v>
      </c>
      <c r="D87" s="7">
        <f>'Ejercicio 1.e (3)'!G87</f>
        <v>0.35485758642016135</v>
      </c>
      <c r="E87" s="7">
        <f t="shared" si="6"/>
        <v>0.35469778040507688</v>
      </c>
      <c r="F87" s="7">
        <f t="shared" si="7"/>
        <v>0.36465001891249188</v>
      </c>
      <c r="G87" s="7">
        <f>'Ejercicio 1.e (3)'!I87</f>
        <v>0.36480728839940352</v>
      </c>
      <c r="H87" s="7">
        <f>'Ejercicio 1.e (3)'!J87</f>
        <v>0.3508619200491504</v>
      </c>
      <c r="I87" s="7">
        <f t="shared" si="8"/>
        <v>0.35071066245124149</v>
      </c>
      <c r="J87" s="7">
        <f>'Ejercicio 1.e (3)'!K87</f>
        <v>4.2582090912297188E-4</v>
      </c>
      <c r="K87" s="7">
        <f t="shared" si="9"/>
        <v>4.2563733648606582E-4</v>
      </c>
    </row>
    <row r="88" spans="1:11" ht="15" customHeight="1" x14ac:dyDescent="0.25">
      <c r="A88" s="2">
        <v>86</v>
      </c>
      <c r="B88" s="7">
        <f>'Ejercicio 1.e (3)'!F88</f>
        <v>0.37037037037037035</v>
      </c>
      <c r="C88" s="7">
        <f t="shared" si="5"/>
        <v>0.37037037037037035</v>
      </c>
      <c r="D88" s="7">
        <f>'Ejercicio 1.e (3)'!G88</f>
        <v>0.35485757249730143</v>
      </c>
      <c r="E88" s="7">
        <f t="shared" si="6"/>
        <v>0.35469778040507688</v>
      </c>
      <c r="F88" s="7">
        <f t="shared" si="7"/>
        <v>0.36465001891249188</v>
      </c>
      <c r="G88" s="7">
        <f>'Ejercicio 1.e (3)'!I88</f>
        <v>0.3648023759374312</v>
      </c>
      <c r="H88" s="7">
        <f>'Ejercicio 1.e (3)'!J88</f>
        <v>0.35085719537424787</v>
      </c>
      <c r="I88" s="7">
        <f t="shared" si="8"/>
        <v>0.35071066245124149</v>
      </c>
      <c r="J88" s="7">
        <f>'Ejercicio 1.e (3)'!K88</f>
        <v>4.2581517505709763E-4</v>
      </c>
      <c r="K88" s="7">
        <f t="shared" si="9"/>
        <v>4.2563733648606582E-4</v>
      </c>
    </row>
    <row r="89" spans="1:11" ht="15" customHeight="1" x14ac:dyDescent="0.25">
      <c r="A89" s="2">
        <v>87</v>
      </c>
      <c r="B89" s="7">
        <f>'Ejercicio 1.e (3)'!F89</f>
        <v>0.37037037037037035</v>
      </c>
      <c r="C89" s="7">
        <f t="shared" si="5"/>
        <v>0.37037037037037035</v>
      </c>
      <c r="D89" s="7">
        <f>'Ejercicio 1.e (3)'!G89</f>
        <v>0.35485755314334511</v>
      </c>
      <c r="E89" s="7">
        <f t="shared" si="6"/>
        <v>0.35469778040507688</v>
      </c>
      <c r="F89" s="7">
        <f t="shared" si="7"/>
        <v>0.36465001891249188</v>
      </c>
      <c r="G89" s="7">
        <f>'Ejercicio 1.e (3)'!I89</f>
        <v>0.36479770689223484</v>
      </c>
      <c r="H89" s="7">
        <f>'Ejercicio 1.e (3)'!J89</f>
        <v>0.35085270481110814</v>
      </c>
      <c r="I89" s="7">
        <f t="shared" si="8"/>
        <v>0.35071066245124149</v>
      </c>
      <c r="J89" s="7">
        <f>'Ejercicio 1.e (3)'!K89</f>
        <v>4.2580972511918939E-4</v>
      </c>
      <c r="K89" s="7">
        <f t="shared" si="9"/>
        <v>4.2563733648606582E-4</v>
      </c>
    </row>
    <row r="90" spans="1:11" ht="15" customHeight="1" x14ac:dyDescent="0.25">
      <c r="A90" s="2">
        <v>88</v>
      </c>
      <c r="B90" s="7">
        <f>'Ejercicio 1.e (3)'!F90</f>
        <v>0.37037037037037035</v>
      </c>
      <c r="C90" s="7">
        <f t="shared" si="5"/>
        <v>0.37037037037037035</v>
      </c>
      <c r="D90" s="7">
        <f>'Ejercicio 1.e (3)'!G90</f>
        <v>0.35485752863455389</v>
      </c>
      <c r="E90" s="7">
        <f t="shared" si="6"/>
        <v>0.35469778040507688</v>
      </c>
      <c r="F90" s="7">
        <f t="shared" si="7"/>
        <v>0.36465001891249188</v>
      </c>
      <c r="G90" s="7">
        <f>'Ejercicio 1.e (3)'!I90</f>
        <v>0.36479326908882403</v>
      </c>
      <c r="H90" s="7">
        <f>'Ejercicio 1.e (3)'!J90</f>
        <v>0.3508484366501502</v>
      </c>
      <c r="I90" s="7">
        <f t="shared" si="8"/>
        <v>0.35071066245124149</v>
      </c>
      <c r="J90" s="7">
        <f>'Ejercicio 1.e (3)'!K90</f>
        <v>4.2580454509800287E-4</v>
      </c>
      <c r="K90" s="7">
        <f t="shared" si="9"/>
        <v>4.2563733648606582E-4</v>
      </c>
    </row>
    <row r="91" spans="1:11" ht="15" customHeight="1" x14ac:dyDescent="0.25">
      <c r="A91" s="2">
        <v>89</v>
      </c>
      <c r="B91" s="7">
        <f>'Ejercicio 1.e (3)'!F91</f>
        <v>0.37037037037037035</v>
      </c>
      <c r="C91" s="7">
        <f t="shared" si="5"/>
        <v>0.37037037037037035</v>
      </c>
      <c r="D91" s="7">
        <f>'Ejercicio 1.e (3)'!G91</f>
        <v>0.35485749923337273</v>
      </c>
      <c r="E91" s="7">
        <f t="shared" si="6"/>
        <v>0.35469778040507688</v>
      </c>
      <c r="F91" s="7">
        <f t="shared" si="7"/>
        <v>0.36465001891249188</v>
      </c>
      <c r="G91" s="7">
        <f>'Ejercicio 1.e (3)'!I91</f>
        <v>0.36478905096152936</v>
      </c>
      <c r="H91" s="7">
        <f>'Ejercicio 1.e (3)'!J91</f>
        <v>0.35084437976782168</v>
      </c>
      <c r="I91" s="7">
        <f t="shared" si="8"/>
        <v>0.35071066245124149</v>
      </c>
      <c r="J91" s="7">
        <f>'Ejercicio 1.e (3)'!K91</f>
        <v>4.2579962149352313E-4</v>
      </c>
      <c r="K91" s="7">
        <f t="shared" si="9"/>
        <v>4.2563733648606582E-4</v>
      </c>
    </row>
    <row r="92" spans="1:11" ht="15" customHeight="1" x14ac:dyDescent="0.25">
      <c r="A92" s="2">
        <v>90</v>
      </c>
      <c r="B92" s="7">
        <f>'Ejercicio 1.e (3)'!F92</f>
        <v>0.37037037037037035</v>
      </c>
      <c r="C92" s="7">
        <f t="shared" si="5"/>
        <v>0.37037037037037035</v>
      </c>
      <c r="D92" s="7">
        <f>'Ejercicio 1.e (3)'!G92</f>
        <v>0.35485746518912076</v>
      </c>
      <c r="E92" s="7">
        <f t="shared" si="6"/>
        <v>0.35469778040507688</v>
      </c>
      <c r="F92" s="7">
        <f t="shared" si="7"/>
        <v>0.36465001891249188</v>
      </c>
      <c r="G92" s="7">
        <f>'Ejercicio 1.e (3)'!I92</f>
        <v>0.36478504152348118</v>
      </c>
      <c r="H92" s="7">
        <f>'Ejercicio 1.e (3)'!J92</f>
        <v>0.35084052359724438</v>
      </c>
      <c r="I92" s="7">
        <f t="shared" si="8"/>
        <v>0.35071066245124149</v>
      </c>
      <c r="J92" s="7">
        <f>'Ejercicio 1.e (3)'!K92</f>
        <v>4.2579494148133848E-4</v>
      </c>
      <c r="K92" s="7">
        <f t="shared" si="9"/>
        <v>4.2563733648606582E-4</v>
      </c>
    </row>
    <row r="93" spans="1:11" ht="15" customHeight="1" x14ac:dyDescent="0.25">
      <c r="A93" s="2">
        <v>91</v>
      </c>
      <c r="B93" s="7">
        <f>'Ejercicio 1.e (3)'!F93</f>
        <v>0.37037037037037035</v>
      </c>
      <c r="C93" s="7">
        <f t="shared" si="5"/>
        <v>0.37037037037037035</v>
      </c>
      <c r="D93" s="7">
        <f>'Ejercicio 1.e (3)'!G93</f>
        <v>0.3548574267386479</v>
      </c>
      <c r="E93" s="7">
        <f t="shared" si="6"/>
        <v>0.35469778040507688</v>
      </c>
      <c r="F93" s="7">
        <f t="shared" si="7"/>
        <v>0.36465001891249188</v>
      </c>
      <c r="G93" s="7">
        <f>'Ejercicio 1.e (3)'!I93</f>
        <v>0.36478123033761906</v>
      </c>
      <c r="H93" s="7">
        <f>'Ejercicio 1.e (3)'!J93</f>
        <v>0.35083685810033199</v>
      </c>
      <c r="I93" s="7">
        <f t="shared" si="8"/>
        <v>0.35071066245124149</v>
      </c>
      <c r="J93" s="7">
        <f>'Ejercicio 1.e (3)'!K93</f>
        <v>4.2579049287880163E-4</v>
      </c>
      <c r="K93" s="7">
        <f t="shared" si="9"/>
        <v>4.2563733648606582E-4</v>
      </c>
    </row>
    <row r="94" spans="1:11" ht="15" customHeight="1" x14ac:dyDescent="0.25">
      <c r="A94" s="2">
        <v>92</v>
      </c>
      <c r="B94" s="7">
        <f>'Ejercicio 1.e (3)'!F94</f>
        <v>0.37037037037037035</v>
      </c>
      <c r="C94" s="7">
        <f t="shared" si="5"/>
        <v>0.37037037037037035</v>
      </c>
      <c r="D94" s="7">
        <f>'Ejercicio 1.e (3)'!G94</f>
        <v>0.35485738410695811</v>
      </c>
      <c r="E94" s="7">
        <f t="shared" si="6"/>
        <v>0.35469778040507688</v>
      </c>
      <c r="F94" s="7">
        <f t="shared" si="7"/>
        <v>0.36465001891249188</v>
      </c>
      <c r="G94" s="7">
        <f>'Ejercicio 1.e (3)'!I94</f>
        <v>0.36477760748915578</v>
      </c>
      <c r="H94" s="7">
        <f>'Ejercicio 1.e (3)'!J94</f>
        <v>0.35083337374130658</v>
      </c>
      <c r="I94" s="7">
        <f t="shared" si="8"/>
        <v>0.35071066245124149</v>
      </c>
      <c r="J94" s="7">
        <f>'Ejercicio 1.e (3)'!K94</f>
        <v>4.2578626411288791E-4</v>
      </c>
      <c r="K94" s="7">
        <f t="shared" si="9"/>
        <v>4.2563733648606582E-4</v>
      </c>
    </row>
    <row r="95" spans="1:11" ht="15" customHeight="1" x14ac:dyDescent="0.25">
      <c r="A95" s="2">
        <v>93</v>
      </c>
      <c r="B95" s="7">
        <f>'Ejercicio 1.e (3)'!F95</f>
        <v>0.37037037037037035</v>
      </c>
      <c r="C95" s="7">
        <f t="shared" si="5"/>
        <v>0.37037037037037035</v>
      </c>
      <c r="D95" s="7">
        <f>'Ejercicio 1.e (3)'!G95</f>
        <v>0.35485733750780157</v>
      </c>
      <c r="E95" s="7">
        <f t="shared" si="6"/>
        <v>0.35469778040507688</v>
      </c>
      <c r="F95" s="7">
        <f t="shared" si="7"/>
        <v>0.36465001891249188</v>
      </c>
      <c r="G95" s="7">
        <f>'Ejercicio 1.e (3)'!I95</f>
        <v>0.36477416355942266</v>
      </c>
      <c r="H95" s="7">
        <f>'Ejercicio 1.e (3)'!J95</f>
        <v>0.35083006146154383</v>
      </c>
      <c r="I95" s="7">
        <f t="shared" si="8"/>
        <v>0.35071066245124149</v>
      </c>
      <c r="J95" s="7">
        <f>'Ejercicio 1.e (3)'!K95</f>
        <v>4.2578224418966668E-4</v>
      </c>
      <c r="K95" s="7">
        <f t="shared" si="9"/>
        <v>4.2563733648606582E-4</v>
      </c>
    </row>
    <row r="96" spans="1:11" ht="15" customHeight="1" x14ac:dyDescent="0.25">
      <c r="A96" s="2">
        <v>94</v>
      </c>
      <c r="B96" s="7">
        <f>'Ejercicio 1.e (3)'!F96</f>
        <v>0.37037037037037035</v>
      </c>
      <c r="C96" s="7">
        <f t="shared" si="5"/>
        <v>0.37037037037037035</v>
      </c>
      <c r="D96" s="7">
        <f>'Ejercicio 1.e (3)'!G96</f>
        <v>0.35485728714423742</v>
      </c>
      <c r="E96" s="7">
        <f t="shared" si="6"/>
        <v>0.35469778040507688</v>
      </c>
      <c r="F96" s="7">
        <f t="shared" si="7"/>
        <v>0.36465001891249188</v>
      </c>
      <c r="G96" s="7">
        <f>'Ejercicio 1.e (3)'!I96</f>
        <v>0.36477088960102672</v>
      </c>
      <c r="H96" s="7">
        <f>'Ejercicio 1.e (3)'!J96</f>
        <v>0.35082691265567972</v>
      </c>
      <c r="I96" s="7">
        <f t="shared" si="8"/>
        <v>0.35071066245124149</v>
      </c>
      <c r="J96" s="7">
        <f>'Ejercicio 1.e (3)'!K96</f>
        <v>4.2577842266530323E-4</v>
      </c>
      <c r="K96" s="7">
        <f t="shared" si="9"/>
        <v>4.2563733648606582E-4</v>
      </c>
    </row>
    <row r="97" spans="1:11" ht="15" customHeight="1" x14ac:dyDescent="0.25">
      <c r="A97" s="2">
        <v>95</v>
      </c>
      <c r="B97" s="7">
        <f>'Ejercicio 1.e (3)'!F97</f>
        <v>0.37037037037037035</v>
      </c>
      <c r="C97" s="7">
        <f t="shared" si="5"/>
        <v>0.37037037037037035</v>
      </c>
      <c r="D97" s="7">
        <f>'Ejercicio 1.e (3)'!G97</f>
        <v>0.35485723320916834</v>
      </c>
      <c r="E97" s="7">
        <f t="shared" si="6"/>
        <v>0.35469778040507688</v>
      </c>
      <c r="F97" s="7">
        <f t="shared" si="7"/>
        <v>0.36465001891249188</v>
      </c>
      <c r="G97" s="7">
        <f>'Ejercicio 1.e (3)'!I97</f>
        <v>0.36476777711425301</v>
      </c>
      <c r="H97" s="7">
        <f>'Ejercicio 1.e (3)'!J97</f>
        <v>0.35082391914891531</v>
      </c>
      <c r="I97" s="7">
        <f t="shared" si="8"/>
        <v>0.35071066245124149</v>
      </c>
      <c r="J97" s="7">
        <f>'Ejercicio 1.e (3)'!K97</f>
        <v>4.2577478961851453E-4</v>
      </c>
      <c r="K97" s="7">
        <f t="shared" si="9"/>
        <v>4.2563733648606582E-4</v>
      </c>
    </row>
    <row r="98" spans="1:11" ht="15" customHeight="1" x14ac:dyDescent="0.25">
      <c r="A98" s="2">
        <v>96</v>
      </c>
      <c r="B98" s="7">
        <f>'Ejercicio 1.e (3)'!F98</f>
        <v>0.37037037037037035</v>
      </c>
      <c r="C98" s="7">
        <f t="shared" si="5"/>
        <v>0.37037037037037035</v>
      </c>
      <c r="D98" s="7">
        <f>'Ejercicio 1.e (3)'!G98</f>
        <v>0.35485717588584859</v>
      </c>
      <c r="E98" s="7">
        <f t="shared" si="6"/>
        <v>0.35469778040507688</v>
      </c>
      <c r="F98" s="7">
        <f t="shared" si="7"/>
        <v>0.36465001891249188</v>
      </c>
      <c r="G98" s="7">
        <f>'Ejercicio 1.e (3)'!I98</f>
        <v>0.36476481802465133</v>
      </c>
      <c r="H98" s="7">
        <f>'Ejercicio 1.e (3)'!J98</f>
        <v>0.35082107317545957</v>
      </c>
      <c r="I98" s="7">
        <f t="shared" si="8"/>
        <v>0.35071066245124149</v>
      </c>
      <c r="J98" s="7">
        <f>'Ejercicio 1.e (3)'!K98</f>
        <v>4.2577133562440742E-4</v>
      </c>
      <c r="K98" s="7">
        <f t="shared" si="9"/>
        <v>4.2563733648606582E-4</v>
      </c>
    </row>
    <row r="99" spans="1:11" ht="15" customHeight="1" x14ac:dyDescent="0.25">
      <c r="A99" s="2">
        <v>97</v>
      </c>
      <c r="B99" s="7">
        <f>'Ejercicio 1.e (3)'!F99</f>
        <v>0.37037037037037035</v>
      </c>
      <c r="C99" s="7">
        <f t="shared" si="5"/>
        <v>0.37037037037037035</v>
      </c>
      <c r="D99" s="7">
        <f>'Ejercicio 1.e (3)'!G99</f>
        <v>0.35485711534836589</v>
      </c>
      <c r="E99" s="7">
        <f t="shared" si="6"/>
        <v>0.35469778040507688</v>
      </c>
      <c r="F99" s="7">
        <f t="shared" si="7"/>
        <v>0.36465001891249188</v>
      </c>
      <c r="G99" s="7">
        <f>'Ejercicio 1.e (3)'!I99</f>
        <v>0.36476200466174491</v>
      </c>
      <c r="H99" s="7">
        <f>'Ejercicio 1.e (3)'!J99</f>
        <v>0.35081836735805255</v>
      </c>
      <c r="I99" s="7">
        <f t="shared" si="8"/>
        <v>0.35071066245124149</v>
      </c>
      <c r="J99" s="7">
        <f>'Ejercicio 1.e (3)'!K99</f>
        <v>4.2576805172962626E-4</v>
      </c>
      <c r="K99" s="7">
        <f t="shared" si="9"/>
        <v>4.2563733648606582E-4</v>
      </c>
    </row>
    <row r="100" spans="1:11" ht="15" customHeight="1" x14ac:dyDescent="0.25">
      <c r="A100" s="2">
        <v>98</v>
      </c>
      <c r="B100" s="7">
        <f>'Ejercicio 1.e (3)'!F100</f>
        <v>0.37037037037037035</v>
      </c>
      <c r="C100" s="7">
        <f t="shared" si="5"/>
        <v>0.37037037037037035</v>
      </c>
      <c r="D100" s="7">
        <f>'Ejercicio 1.e (3)'!G100</f>
        <v>0.35485705176210025</v>
      </c>
      <c r="E100" s="7">
        <f t="shared" si="6"/>
        <v>0.35469778040507688</v>
      </c>
      <c r="F100" s="7">
        <f t="shared" si="7"/>
        <v>0.36465001891249188</v>
      </c>
      <c r="G100" s="7">
        <f>'Ejercicio 1.e (3)'!I100</f>
        <v>0.36475932973880754</v>
      </c>
      <c r="H100" s="7">
        <f>'Ejercicio 1.e (3)'!J100</f>
        <v>0.35081579468851543</v>
      </c>
      <c r="I100" s="7">
        <f t="shared" si="8"/>
        <v>0.35071066245124149</v>
      </c>
      <c r="J100" s="7">
        <f>'Ejercicio 1.e (3)'!K100</f>
        <v>4.257649294287478E-4</v>
      </c>
      <c r="K100" s="7">
        <f t="shared" si="9"/>
        <v>4.2563733648606582E-4</v>
      </c>
    </row>
    <row r="101" spans="1:11" ht="15" customHeight="1" x14ac:dyDescent="0.25">
      <c r="A101" s="2">
        <v>99</v>
      </c>
      <c r="B101" s="7">
        <f>'Ejercicio 1.e (3)'!F101</f>
        <v>0.37037037037037035</v>
      </c>
      <c r="C101" s="7">
        <f t="shared" si="5"/>
        <v>0.37037037037037035</v>
      </c>
      <c r="D101" s="7">
        <f>'Ejercicio 1.e (3)'!G101</f>
        <v>0.35485698528415904</v>
      </c>
      <c r="E101" s="7">
        <f t="shared" si="6"/>
        <v>0.35469778040507688</v>
      </c>
      <c r="F101" s="7">
        <f t="shared" si="7"/>
        <v>0.36465001891249188</v>
      </c>
      <c r="G101" s="7">
        <f>'Ejercicio 1.e (3)'!I101</f>
        <v>0.36475678633365399</v>
      </c>
      <c r="H101" s="7">
        <f>'Ejercicio 1.e (3)'!J101</f>
        <v>0.35081334850927504</v>
      </c>
      <c r="I101" s="7">
        <f t="shared" si="8"/>
        <v>0.35071066245124149</v>
      </c>
      <c r="J101" s="7">
        <f>'Ejercicio 1.e (3)'!K101</f>
        <v>4.2576196064185895E-4</v>
      </c>
      <c r="K101" s="7">
        <f t="shared" si="9"/>
        <v>4.2563733648606582E-4</v>
      </c>
    </row>
    <row r="102" spans="1:11" ht="15" customHeight="1" x14ac:dyDescent="0.25">
      <c r="A102" s="2">
        <v>100</v>
      </c>
      <c r="B102" s="7">
        <f>'Ejercicio 1.e (3)'!F102</f>
        <v>0.37037037037037035</v>
      </c>
      <c r="C102" s="7">
        <f t="shared" si="5"/>
        <v>0.37037037037037035</v>
      </c>
      <c r="D102" s="7">
        <f>'Ejercicio 1.e (3)'!G102</f>
        <v>0.35485691606379077</v>
      </c>
      <c r="E102" s="7">
        <f t="shared" si="6"/>
        <v>0.35469778040507688</v>
      </c>
      <c r="F102" s="7">
        <f t="shared" si="7"/>
        <v>0.36465001891249188</v>
      </c>
      <c r="G102" s="7">
        <f>'Ejercicio 1.e (3)'!I102</f>
        <v>0.36475436787039256</v>
      </c>
      <c r="H102" s="7">
        <f>'Ejercicio 1.e (3)'!J102</f>
        <v>0.35081102249581408</v>
      </c>
      <c r="I102" s="7">
        <f t="shared" si="8"/>
        <v>0.35071066245124149</v>
      </c>
      <c r="J102" s="7">
        <f>'Ejercicio 1.e (3)'!K102</f>
        <v>4.257591376932573E-4</v>
      </c>
      <c r="K102" s="7">
        <f t="shared" si="9"/>
        <v>4.2563733648606582E-4</v>
      </c>
    </row>
    <row r="103" spans="1:11" ht="15" customHeight="1" x14ac:dyDescent="0.25">
      <c r="A103" s="2">
        <v>101</v>
      </c>
      <c r="B103" s="7">
        <f>'Ejercicio 1.e (3)'!F103</f>
        <v>0.37037037037037035</v>
      </c>
      <c r="C103" s="7">
        <f t="shared" si="5"/>
        <v>0.37037037037037035</v>
      </c>
      <c r="D103" s="7">
        <f>'Ejercicio 1.e (3)'!G103</f>
        <v>0.3548568442427778</v>
      </c>
      <c r="E103" s="7">
        <f t="shared" si="6"/>
        <v>0.35469778040507688</v>
      </c>
      <c r="F103" s="7">
        <f t="shared" si="7"/>
        <v>0.36465001891249188</v>
      </c>
      <c r="G103" s="7">
        <f>'Ejercicio 1.e (3)'!I103</f>
        <v>0.36475206810209265</v>
      </c>
      <c r="H103" s="7">
        <f>'Ejercicio 1.e (3)'!J103</f>
        <v>0.3508088106400013</v>
      </c>
      <c r="I103" s="7">
        <f t="shared" si="8"/>
        <v>0.35071066245124149</v>
      </c>
      <c r="J103" s="7">
        <f>'Ejercicio 1.e (3)'!K103</f>
        <v>4.2575645329121989E-4</v>
      </c>
      <c r="K103" s="7">
        <f t="shared" si="9"/>
        <v>4.2563733648606582E-4</v>
      </c>
    </row>
    <row r="104" spans="1:11" ht="15" customHeight="1" x14ac:dyDescent="0.25">
      <c r="A104" s="2">
        <v>102</v>
      </c>
      <c r="B104" s="7">
        <f>'Ejercicio 1.e (3)'!F104</f>
        <v>0.37037037037037035</v>
      </c>
      <c r="C104" s="7">
        <f t="shared" si="5"/>
        <v>0.37037037037037035</v>
      </c>
      <c r="D104" s="7">
        <f>'Ejercicio 1.e (3)'!G104</f>
        <v>0.35485676995581006</v>
      </c>
      <c r="E104" s="7">
        <f t="shared" si="6"/>
        <v>0.35469778040507688</v>
      </c>
      <c r="F104" s="7">
        <f t="shared" si="7"/>
        <v>0.36465001891249188</v>
      </c>
      <c r="G104" s="7">
        <f>'Ejercicio 1.e (3)'!I104</f>
        <v>0.36474988109432027</v>
      </c>
      <c r="H104" s="7">
        <f>'Ejercicio 1.e (3)'!J104</f>
        <v>0.3508067072342565</v>
      </c>
      <c r="I104" s="7">
        <f t="shared" si="8"/>
        <v>0.35071066245124149</v>
      </c>
      <c r="J104" s="7">
        <f>'Ejercicio 1.e (3)'!K104</f>
        <v>4.2575390050878518E-4</v>
      </c>
      <c r="K104" s="7">
        <f t="shared" si="9"/>
        <v>4.2563733648606582E-4</v>
      </c>
    </row>
    <row r="105" spans="1:11" ht="15" customHeight="1" x14ac:dyDescent="0.25">
      <c r="A105" s="2">
        <v>103</v>
      </c>
      <c r="B105" s="7">
        <f>'Ejercicio 1.e (3)'!F105</f>
        <v>0.37037037037037035</v>
      </c>
      <c r="C105" s="7">
        <f t="shared" si="5"/>
        <v>0.37037037037037035</v>
      </c>
      <c r="D105" s="7">
        <f>'Ejercicio 1.e (3)'!G105</f>
        <v>0.35485669333083925</v>
      </c>
      <c r="E105" s="7">
        <f t="shared" si="6"/>
        <v>0.35469778040507688</v>
      </c>
      <c r="F105" s="7">
        <f t="shared" si="7"/>
        <v>0.36465001891249188</v>
      </c>
      <c r="G105" s="7">
        <f>'Ejercicio 1.e (3)'!I105</f>
        <v>0.36474780120949862</v>
      </c>
      <c r="H105" s="7">
        <f>'Ejercicio 1.e (3)'!J105</f>
        <v>0.35080470685650855</v>
      </c>
      <c r="I105" s="7">
        <f t="shared" si="8"/>
        <v>0.35071066245124149</v>
      </c>
      <c r="J105" s="7">
        <f>'Ejercicio 1.e (3)'!K105</f>
        <v>4.2575147276549769E-4</v>
      </c>
      <c r="K105" s="7">
        <f t="shared" si="9"/>
        <v>4.2563733648606582E-4</v>
      </c>
    </row>
    <row r="106" spans="1:11" ht="15" customHeight="1" x14ac:dyDescent="0.25">
      <c r="A106" s="2">
        <v>104</v>
      </c>
      <c r="B106" s="7">
        <f>'Ejercicio 1.e (3)'!F106</f>
        <v>0.37037037037037035</v>
      </c>
      <c r="C106" s="7">
        <f t="shared" si="5"/>
        <v>0.37037037037037035</v>
      </c>
      <c r="D106" s="7">
        <f>'Ejercicio 1.e (3)'!G106</f>
        <v>0.35485661448941602</v>
      </c>
      <c r="E106" s="7">
        <f t="shared" si="6"/>
        <v>0.35469778040507688</v>
      </c>
      <c r="F106" s="7">
        <f t="shared" si="7"/>
        <v>0.36465001891249188</v>
      </c>
      <c r="G106" s="7">
        <f>'Ejercicio 1.e (3)'!I106</f>
        <v>0.36474582309205139</v>
      </c>
      <c r="H106" s="7">
        <f>'Ejercicio 1.e (3)'!J106</f>
        <v>0.35080280435590699</v>
      </c>
      <c r="I106" s="7">
        <f t="shared" si="8"/>
        <v>0.35071066245124149</v>
      </c>
      <c r="J106" s="7">
        <f>'Ejercicio 1.e (3)'!K106</f>
        <v>4.2574916381006697E-4</v>
      </c>
      <c r="K106" s="7">
        <f t="shared" si="9"/>
        <v>4.2563733648606582E-4</v>
      </c>
    </row>
    <row r="107" spans="1:11" ht="15" customHeight="1" x14ac:dyDescent="0.25">
      <c r="A107" s="2">
        <v>105</v>
      </c>
      <c r="B107" s="7">
        <f>'Ejercicio 1.e (3)'!F107</f>
        <v>0.37037037037037035</v>
      </c>
      <c r="C107" s="7">
        <f t="shared" si="5"/>
        <v>0.37037037037037035</v>
      </c>
      <c r="D107" s="7">
        <f>'Ejercicio 1.e (3)'!G107</f>
        <v>0.35485653354700991</v>
      </c>
      <c r="E107" s="7">
        <f t="shared" si="6"/>
        <v>0.35469778040507688</v>
      </c>
      <c r="F107" s="7">
        <f t="shared" si="7"/>
        <v>0.36465001891249188</v>
      </c>
      <c r="G107" s="7">
        <f>'Ejercicio 1.e (3)'!I107</f>
        <v>0.36474394165429153</v>
      </c>
      <c r="H107" s="7">
        <f>'Ejercicio 1.e (3)'!J107</f>
        <v>0.3508009948392502</v>
      </c>
      <c r="I107" s="7">
        <f t="shared" si="8"/>
        <v>0.35071066245124149</v>
      </c>
      <c r="J107" s="7">
        <f>'Ejercicio 1.e (3)'!K107</f>
        <v>4.2574696770389571E-4</v>
      </c>
      <c r="K107" s="7">
        <f t="shared" si="9"/>
        <v>4.2563733648606582E-4</v>
      </c>
    </row>
    <row r="108" spans="1:11" ht="15" customHeight="1" x14ac:dyDescent="0.25">
      <c r="A108" s="2">
        <v>106</v>
      </c>
      <c r="B108" s="7">
        <f>'Ejercicio 1.e (3)'!F108</f>
        <v>0.37037037037037035</v>
      </c>
      <c r="C108" s="7">
        <f t="shared" si="5"/>
        <v>0.37037037037037035</v>
      </c>
      <c r="D108" s="7">
        <f>'Ejercicio 1.e (3)'!G108</f>
        <v>0.3548564506133135</v>
      </c>
      <c r="E108" s="7">
        <f t="shared" si="6"/>
        <v>0.35469778040507688</v>
      </c>
      <c r="F108" s="7">
        <f t="shared" si="7"/>
        <v>0.36465001891249188</v>
      </c>
      <c r="G108" s="7">
        <f>'Ejercicio 1.e (3)'!I108</f>
        <v>0.36474215206301552</v>
      </c>
      <c r="H108" s="7">
        <f>'Ejercicio 1.e (3)'!J108</f>
        <v>0.35079927365809194</v>
      </c>
      <c r="I108" s="7">
        <f t="shared" si="8"/>
        <v>0.35071066245124149</v>
      </c>
      <c r="J108" s="7">
        <f>'Ejercicio 1.e (3)'!K108</f>
        <v>4.2574487880543249E-4</v>
      </c>
      <c r="K108" s="7">
        <f t="shared" si="9"/>
        <v>4.2563733648606582E-4</v>
      </c>
    </row>
    <row r="109" spans="1:11" ht="15" customHeight="1" x14ac:dyDescent="0.25">
      <c r="A109" s="2">
        <v>107</v>
      </c>
      <c r="B109" s="7">
        <f>'Ejercicio 1.e (3)'!F109</f>
        <v>0.37037037037037035</v>
      </c>
      <c r="C109" s="7">
        <f t="shared" si="5"/>
        <v>0.37037037037037035</v>
      </c>
      <c r="D109" s="7">
        <f>'Ejercicio 1.e (3)'!G109</f>
        <v>0.3548563657925311</v>
      </c>
      <c r="E109" s="7">
        <f t="shared" si="6"/>
        <v>0.35469778040507688</v>
      </c>
      <c r="F109" s="7">
        <f t="shared" si="7"/>
        <v>0.36465001891249188</v>
      </c>
      <c r="G109" s="7">
        <f>'Ejercicio 1.e (3)'!I109</f>
        <v>0.36474044972676933</v>
      </c>
      <c r="H109" s="7">
        <f>'Ejercicio 1.e (3)'!J109</f>
        <v>0.35079763639649408</v>
      </c>
      <c r="I109" s="7">
        <f t="shared" si="8"/>
        <v>0.35071066245124149</v>
      </c>
      <c r="J109" s="7">
        <f>'Ejercicio 1.e (3)'!K109</f>
        <v>4.2574289175530757E-4</v>
      </c>
      <c r="K109" s="7">
        <f t="shared" si="9"/>
        <v>4.2563733648606582E-4</v>
      </c>
    </row>
    <row r="110" spans="1:11" ht="15" customHeight="1" x14ac:dyDescent="0.25">
      <c r="A110" s="2">
        <v>108</v>
      </c>
      <c r="B110" s="7">
        <f>'Ejercicio 1.e (3)'!F110</f>
        <v>0.37037037037037035</v>
      </c>
      <c r="C110" s="7">
        <f t="shared" si="5"/>
        <v>0.37037037037037035</v>
      </c>
      <c r="D110" s="7">
        <f>'Ejercicio 1.e (3)'!G110</f>
        <v>0.3548562791836532</v>
      </c>
      <c r="E110" s="7">
        <f t="shared" si="6"/>
        <v>0.35469778040507688</v>
      </c>
      <c r="F110" s="7">
        <f t="shared" si="7"/>
        <v>0.36465001891249188</v>
      </c>
      <c r="G110" s="7">
        <f>'Ejercicio 1.e (3)'!I110</f>
        <v>0.36473883028375237</v>
      </c>
      <c r="H110" s="7">
        <f>'Ejercicio 1.e (3)'!J110</f>
        <v>0.35079607885939323</v>
      </c>
      <c r="I110" s="7">
        <f t="shared" si="8"/>
        <v>0.35071066245124149</v>
      </c>
      <c r="J110" s="7">
        <f>'Ejercicio 1.e (3)'!K110</f>
        <v>4.2574100146221396E-4</v>
      </c>
      <c r="K110" s="7">
        <f t="shared" si="9"/>
        <v>4.2563733648606582E-4</v>
      </c>
    </row>
    <row r="111" spans="1:11" ht="15" customHeight="1" x14ac:dyDescent="0.25">
      <c r="A111" s="2">
        <v>109</v>
      </c>
      <c r="B111" s="7">
        <f>'Ejercicio 1.e (3)'!F111</f>
        <v>0.37037037037037035</v>
      </c>
      <c r="C111" s="7">
        <f t="shared" si="5"/>
        <v>0.37037037037037035</v>
      </c>
      <c r="D111" s="7">
        <f>'Ejercicio 1.e (3)'!G111</f>
        <v>0.35485619088071724</v>
      </c>
      <c r="E111" s="7">
        <f t="shared" si="6"/>
        <v>0.35469778040507688</v>
      </c>
      <c r="F111" s="7">
        <f t="shared" si="7"/>
        <v>0.36465001891249188</v>
      </c>
      <c r="G111" s="7">
        <f>'Ejercicio 1.e (3)'!I111</f>
        <v>0.36473728959032692</v>
      </c>
      <c r="H111" s="7">
        <f>'Ejercicio 1.e (3)'!J111</f>
        <v>0.35079459706154914</v>
      </c>
      <c r="I111" s="7">
        <f t="shared" si="8"/>
        <v>0.35071066245124149</v>
      </c>
      <c r="J111" s="7">
        <f>'Ejercicio 1.e (3)'!K111</f>
        <v>4.257392030894951E-4</v>
      </c>
      <c r="K111" s="7">
        <f t="shared" si="9"/>
        <v>4.2563733648606582E-4</v>
      </c>
    </row>
    <row r="112" spans="1:11" ht="15" customHeight="1" x14ac:dyDescent="0.25">
      <c r="A112" s="2">
        <v>110</v>
      </c>
      <c r="B112" s="7">
        <f>'Ejercicio 1.e (3)'!F112</f>
        <v>0.37037037037037035</v>
      </c>
      <c r="C112" s="7">
        <f t="shared" si="5"/>
        <v>0.37037037037037035</v>
      </c>
      <c r="D112" s="7">
        <f>'Ejercicio 1.e (3)'!G112</f>
        <v>0.35485610097305537</v>
      </c>
      <c r="E112" s="7">
        <f t="shared" si="6"/>
        <v>0.35469778040507688</v>
      </c>
      <c r="F112" s="7">
        <f t="shared" si="7"/>
        <v>0.36465001891249188</v>
      </c>
      <c r="G112" s="7">
        <f>'Ejercicio 1.e (3)'!I112</f>
        <v>0.36473582371010216</v>
      </c>
      <c r="H112" s="7">
        <f>'Ejercicio 1.e (3)'!J112</f>
        <v>0.35079318721704611</v>
      </c>
      <c r="I112" s="7">
        <f t="shared" si="8"/>
        <v>0.35071066245124149</v>
      </c>
      <c r="J112" s="7">
        <f>'Ejercicio 1.e (3)'!K112</f>
        <v>4.2573749204240306E-4</v>
      </c>
      <c r="K112" s="7">
        <f t="shared" si="9"/>
        <v>4.2563733648606582E-4</v>
      </c>
    </row>
    <row r="113" spans="1:11" ht="15" customHeight="1" x14ac:dyDescent="0.25">
      <c r="A113" s="2">
        <v>111</v>
      </c>
      <c r="B113" s="7">
        <f>'Ejercicio 1.e (3)'!F113</f>
        <v>0.37037037037037035</v>
      </c>
      <c r="C113" s="7">
        <f t="shared" si="5"/>
        <v>0.37037037037037035</v>
      </c>
      <c r="D113" s="7">
        <f>'Ejercicio 1.e (3)'!G113</f>
        <v>0.35485600954552943</v>
      </c>
      <c r="E113" s="7">
        <f t="shared" si="6"/>
        <v>0.35469778040507688</v>
      </c>
      <c r="F113" s="7">
        <f t="shared" si="7"/>
        <v>0.36465001891249188</v>
      </c>
      <c r="G113" s="7">
        <f>'Ejercicio 1.e (3)'!I113</f>
        <v>0.36473442890356622</v>
      </c>
      <c r="H113" s="7">
        <f>'Ejercicio 1.e (3)'!J113</f>
        <v>0.35079184572932132</v>
      </c>
      <c r="I113" s="7">
        <f t="shared" si="8"/>
        <v>0.35071066245124149</v>
      </c>
      <c r="J113" s="7">
        <f>'Ejercicio 1.e (3)'!K113</f>
        <v>4.257358639559967E-4</v>
      </c>
      <c r="K113" s="7">
        <f t="shared" si="9"/>
        <v>4.2563733648606582E-4</v>
      </c>
    </row>
    <row r="114" spans="1:11" ht="15" customHeight="1" x14ac:dyDescent="0.25">
      <c r="A114" s="2">
        <v>112</v>
      </c>
      <c r="B114" s="7">
        <f>'Ejercicio 1.e (3)'!F114</f>
        <v>0.37037037037037035</v>
      </c>
      <c r="C114" s="7">
        <f t="shared" si="5"/>
        <v>0.37037037037037035</v>
      </c>
      <c r="D114" s="7">
        <f>'Ejercicio 1.e (3)'!G114</f>
        <v>0.3548559166787546</v>
      </c>
      <c r="E114" s="7">
        <f t="shared" si="6"/>
        <v>0.35469778040507688</v>
      </c>
      <c r="F114" s="7">
        <f t="shared" si="7"/>
        <v>0.36465001891249188</v>
      </c>
      <c r="G114" s="7">
        <f>'Ejercicio 1.e (3)'!I114</f>
        <v>0.36473310161823597</v>
      </c>
      <c r="H114" s="7">
        <f>'Ejercicio 1.e (3)'!J114</f>
        <v>0.35079056918169127</v>
      </c>
      <c r="I114" s="7">
        <f t="shared" si="8"/>
        <v>0.35071066245124149</v>
      </c>
      <c r="J114" s="7">
        <f>'Ejercicio 1.e (3)'!K114</f>
        <v>4.2573431468364398E-4</v>
      </c>
      <c r="K114" s="7">
        <f t="shared" si="9"/>
        <v>4.2563733648606582E-4</v>
      </c>
    </row>
    <row r="115" spans="1:11" ht="15" customHeight="1" x14ac:dyDescent="0.25">
      <c r="A115" s="2">
        <v>113</v>
      </c>
      <c r="B115" s="7">
        <f>'Ejercicio 1.e (3)'!F115</f>
        <v>0.37037037037037035</v>
      </c>
      <c r="C115" s="7">
        <f t="shared" si="5"/>
        <v>0.37037037037037035</v>
      </c>
      <c r="D115" s="7">
        <f>'Ejercicio 1.e (3)'!G115</f>
        <v>0.3548558224493118</v>
      </c>
      <c r="E115" s="7">
        <f t="shared" si="6"/>
        <v>0.35469778040507688</v>
      </c>
      <c r="F115" s="7">
        <f t="shared" si="7"/>
        <v>0.36465001891249188</v>
      </c>
      <c r="G115" s="7">
        <f>'Ejercicio 1.e (3)'!I115</f>
        <v>0.36473183847930002</v>
      </c>
      <c r="H115" s="7">
        <f>'Ejercicio 1.e (3)'!J115</f>
        <v>0.3507893543283524</v>
      </c>
      <c r="I115" s="7">
        <f t="shared" si="8"/>
        <v>0.35071066245124149</v>
      </c>
      <c r="J115" s="7">
        <f>'Ejercicio 1.e (3)'!K115</f>
        <v>4.2573284028609993E-4</v>
      </c>
      <c r="K115" s="7">
        <f t="shared" si="9"/>
        <v>4.2563733648606582E-4</v>
      </c>
    </row>
    <row r="116" spans="1:11" ht="15" customHeight="1" x14ac:dyDescent="0.25">
      <c r="A116" s="2">
        <v>114</v>
      </c>
      <c r="B116" s="7">
        <f>'Ejercicio 1.e (3)'!F116</f>
        <v>0.37037037037037035</v>
      </c>
      <c r="C116" s="7">
        <f t="shared" si="5"/>
        <v>0.37037037037037035</v>
      </c>
      <c r="D116" s="7">
        <f>'Ejercicio 1.e (3)'!G116</f>
        <v>0.35485572692994932</v>
      </c>
      <c r="E116" s="7">
        <f t="shared" si="6"/>
        <v>0.35469778040507688</v>
      </c>
      <c r="F116" s="7">
        <f t="shared" si="7"/>
        <v>0.36465001891249188</v>
      </c>
      <c r="G116" s="7">
        <f>'Ejercicio 1.e (3)'!I116</f>
        <v>0.36473063628073077</v>
      </c>
      <c r="H116" s="7">
        <f>'Ejercicio 1.e (3)'!J116</f>
        <v>0.35078819808583289</v>
      </c>
      <c r="I116" s="7">
        <f t="shared" si="8"/>
        <v>0.35071066245124149</v>
      </c>
      <c r="J116" s="7">
        <f>'Ejercicio 1.e (3)'!K116</f>
        <v>4.2573143702113244E-4</v>
      </c>
      <c r="K116" s="7">
        <f t="shared" si="9"/>
        <v>4.2563733648606582E-4</v>
      </c>
    </row>
    <row r="117" spans="1:11" ht="15" customHeight="1" x14ac:dyDescent="0.25">
      <c r="A117" s="2">
        <v>115</v>
      </c>
      <c r="B117" s="7">
        <f>'Ejercicio 1.e (3)'!F117</f>
        <v>0.37037037037037035</v>
      </c>
      <c r="C117" s="7">
        <f t="shared" si="5"/>
        <v>0.37037037037037035</v>
      </c>
      <c r="D117" s="7">
        <f>'Ejercicio 1.e (3)'!G117</f>
        <v>0.35485563018977456</v>
      </c>
      <c r="E117" s="7">
        <f t="shared" si="6"/>
        <v>0.35469778040507688</v>
      </c>
      <c r="F117" s="7">
        <f t="shared" si="7"/>
        <v>0.36465001891249188</v>
      </c>
      <c r="G117" s="7">
        <f>'Ejercicio 1.e (3)'!I117</f>
        <v>0.36472949197684085</v>
      </c>
      <c r="H117" s="7">
        <f>'Ejercicio 1.e (3)'!J117</f>
        <v>0.35078709752487175</v>
      </c>
      <c r="I117" s="7">
        <f t="shared" si="8"/>
        <v>0.35071066245124149</v>
      </c>
      <c r="J117" s="7">
        <f>'Ejercicio 1.e (3)'!K117</f>
        <v>4.2573010133366615E-4</v>
      </c>
      <c r="K117" s="7">
        <f t="shared" si="9"/>
        <v>4.2563733648606582E-4</v>
      </c>
    </row>
    <row r="118" spans="1:11" ht="15" customHeight="1" x14ac:dyDescent="0.25">
      <c r="A118" s="2">
        <v>116</v>
      </c>
      <c r="B118" s="7">
        <f>'Ejercicio 1.e (3)'!F118</f>
        <v>0.37037037037037035</v>
      </c>
      <c r="C118" s="7">
        <f t="shared" si="5"/>
        <v>0.37037037037037035</v>
      </c>
      <c r="D118" s="7">
        <f>'Ejercicio 1.e (3)'!G118</f>
        <v>0.35485553229443589</v>
      </c>
      <c r="E118" s="7">
        <f t="shared" si="6"/>
        <v>0.35469778040507688</v>
      </c>
      <c r="F118" s="7">
        <f t="shared" si="7"/>
        <v>0.36465001891249188</v>
      </c>
      <c r="G118" s="7">
        <f>'Ejercicio 1.e (3)'!I118</f>
        <v>0.36472840267426193</v>
      </c>
      <c r="H118" s="7">
        <f>'Ejercicio 1.e (3)'!J118</f>
        <v>0.35078604986270462</v>
      </c>
      <c r="I118" s="7">
        <f t="shared" si="8"/>
        <v>0.35071066245124149</v>
      </c>
      <c r="J118" s="7">
        <f>'Ejercicio 1.e (3)'!K118</f>
        <v>4.257288298464201E-4</v>
      </c>
      <c r="K118" s="7">
        <f t="shared" si="9"/>
        <v>4.2563733648606582E-4</v>
      </c>
    </row>
    <row r="119" spans="1:11" ht="15" customHeight="1" x14ac:dyDescent="0.25">
      <c r="A119" s="2">
        <v>117</v>
      </c>
      <c r="B119" s="7">
        <f>'Ejercicio 1.e (3)'!F119</f>
        <v>0.37037037037037035</v>
      </c>
      <c r="C119" s="7">
        <f t="shared" si="5"/>
        <v>0.37037037037037035</v>
      </c>
      <c r="D119" s="7">
        <f>'Ejercicio 1.e (3)'!G119</f>
        <v>0.35485543330629582</v>
      </c>
      <c r="E119" s="7">
        <f t="shared" si="6"/>
        <v>0.35469778040507688</v>
      </c>
      <c r="F119" s="7">
        <f t="shared" si="7"/>
        <v>0.36465001891249188</v>
      </c>
      <c r="G119" s="7">
        <f>'Ejercicio 1.e (3)'!I119</f>
        <v>0.36472736562432573</v>
      </c>
      <c r="H119" s="7">
        <f>'Ejercicio 1.e (3)'!J119</f>
        <v>0.3507850524557356</v>
      </c>
      <c r="I119" s="7">
        <f t="shared" si="8"/>
        <v>0.35071066245124149</v>
      </c>
      <c r="J119" s="7">
        <f>'Ejercicio 1.e (3)'!K119</f>
        <v>4.2572761935101425E-4</v>
      </c>
      <c r="K119" s="7">
        <f t="shared" si="9"/>
        <v>4.2563733648606582E-4</v>
      </c>
    </row>
    <row r="120" spans="1:11" ht="15" customHeight="1" x14ac:dyDescent="0.25">
      <c r="A120" s="2">
        <v>118</v>
      </c>
      <c r="B120" s="7">
        <f>'Ejercicio 1.e (3)'!F120</f>
        <v>0.37037037037037035</v>
      </c>
      <c r="C120" s="7">
        <f t="shared" si="5"/>
        <v>0.37037037037037035</v>
      </c>
      <c r="D120" s="7">
        <f>'Ejercicio 1.e (3)'!G120</f>
        <v>0.35485533328459512</v>
      </c>
      <c r="E120" s="7">
        <f t="shared" si="6"/>
        <v>0.35469778040507688</v>
      </c>
      <c r="F120" s="7">
        <f t="shared" si="7"/>
        <v>0.36465001891249188</v>
      </c>
      <c r="G120" s="7">
        <f>'Ejercicio 1.e (3)'!I120</f>
        <v>0.36472637821582538</v>
      </c>
      <c r="H120" s="7">
        <f>'Ejercicio 1.e (3)'!J120</f>
        <v>0.35078410279257555</v>
      </c>
      <c r="I120" s="7">
        <f t="shared" si="8"/>
        <v>0.35071066245124149</v>
      </c>
      <c r="J120" s="7">
        <f>'Ejercicio 1.e (3)'!K120</f>
        <v>4.2572646679952018E-4</v>
      </c>
      <c r="K120" s="7">
        <f t="shared" si="9"/>
        <v>4.2563733648606582E-4</v>
      </c>
    </row>
    <row r="121" spans="1:11" ht="15" customHeight="1" x14ac:dyDescent="0.25">
      <c r="A121" s="2">
        <v>119</v>
      </c>
      <c r="B121" s="7">
        <f>'Ejercicio 1.e (3)'!F121</f>
        <v>0.37037037037037035</v>
      </c>
      <c r="C121" s="7">
        <f t="shared" si="5"/>
        <v>0.37037037037037035</v>
      </c>
      <c r="D121" s="7">
        <f>'Ejercicio 1.e (3)'!G121</f>
        <v>0.35485523228560889</v>
      </c>
      <c r="E121" s="7">
        <f t="shared" si="6"/>
        <v>0.35469778040507688</v>
      </c>
      <c r="F121" s="7">
        <f t="shared" si="7"/>
        <v>0.36465001891249188</v>
      </c>
      <c r="G121" s="7">
        <f>'Ejercicio 1.e (3)'!I121</f>
        <v>0.36472543796813978</v>
      </c>
      <c r="H121" s="7">
        <f>'Ejercicio 1.e (3)'!J121</f>
        <v>0.35078319848742928</v>
      </c>
      <c r="I121" s="7">
        <f t="shared" si="8"/>
        <v>0.35071066245124149</v>
      </c>
      <c r="J121" s="7">
        <f>'Ejercicio 1.e (3)'!K121</f>
        <v>4.2572536929643562E-4</v>
      </c>
      <c r="K121" s="7">
        <f t="shared" si="9"/>
        <v>4.2563733648606582E-4</v>
      </c>
    </row>
    <row r="122" spans="1:11" ht="15" customHeight="1" x14ac:dyDescent="0.25">
      <c r="A122" s="2">
        <v>120</v>
      </c>
      <c r="B122" s="7">
        <f>'Ejercicio 1.e (3)'!F122</f>
        <v>0.37037037037037035</v>
      </c>
      <c r="C122" s="7">
        <f t="shared" si="5"/>
        <v>0.37037037037037035</v>
      </c>
      <c r="D122" s="7">
        <f>'Ejercicio 1.e (3)'!G122</f>
        <v>0.35485513036279515</v>
      </c>
      <c r="E122" s="7">
        <f t="shared" si="6"/>
        <v>0.35469778040507688</v>
      </c>
      <c r="F122" s="7">
        <f t="shared" si="7"/>
        <v>0.36465001891249188</v>
      </c>
      <c r="G122" s="7">
        <f>'Ejercicio 1.e (3)'!I122</f>
        <v>0.36472454252470166</v>
      </c>
      <c r="H122" s="7">
        <f>'Ejercicio 1.e (3)'!J122</f>
        <v>0.3507823372738133</v>
      </c>
      <c r="I122" s="7">
        <f t="shared" si="8"/>
        <v>0.35071066245124149</v>
      </c>
      <c r="J122" s="7">
        <f>'Ejercicio 1.e (3)'!K122</f>
        <v>4.2572432409106002E-4</v>
      </c>
      <c r="K122" s="7">
        <f t="shared" si="9"/>
        <v>4.2563733648606582E-4</v>
      </c>
    </row>
    <row r="123" spans="1:11" ht="15" customHeight="1" x14ac:dyDescent="0.25">
      <c r="A123" s="2">
        <v>121</v>
      </c>
      <c r="B123" s="7">
        <f>'Ejercicio 1.e (3)'!F123</f>
        <v>0.37037037037037035</v>
      </c>
      <c r="C123" s="7">
        <f t="shared" si="5"/>
        <v>0.37037037037037035</v>
      </c>
      <c r="D123" s="7">
        <f>'Ejercicio 1.e (3)'!G123</f>
        <v>0.35485502756693532</v>
      </c>
      <c r="E123" s="7">
        <f t="shared" si="6"/>
        <v>0.35469778040507688</v>
      </c>
      <c r="F123" s="7">
        <f t="shared" si="7"/>
        <v>0.36465001891249188</v>
      </c>
      <c r="G123" s="7">
        <f>'Ejercicio 1.e (3)'!I123</f>
        <v>0.36472368964679241</v>
      </c>
      <c r="H123" s="7">
        <f>'Ejercicio 1.e (3)'!J123</f>
        <v>0.35078151699858767</v>
      </c>
      <c r="I123" s="7">
        <f t="shared" si="8"/>
        <v>0.35071066245124149</v>
      </c>
      <c r="J123" s="7">
        <f>'Ejercicio 1.e (3)'!K123</f>
        <v>4.2572332857025155E-4</v>
      </c>
      <c r="K123" s="7">
        <f t="shared" si="9"/>
        <v>4.2563733648606582E-4</v>
      </c>
    </row>
    <row r="124" spans="1:11" ht="15" customHeight="1" x14ac:dyDescent="0.25">
      <c r="A124" s="2">
        <v>122</v>
      </c>
      <c r="B124" s="7">
        <f>'Ejercicio 1.e (3)'!F124</f>
        <v>0.37037037037037035</v>
      </c>
      <c r="C124" s="7">
        <f t="shared" si="5"/>
        <v>0.37037037037037035</v>
      </c>
      <c r="D124" s="7">
        <f>'Ejercicio 1.e (3)'!G124</f>
        <v>0.35485492394626844</v>
      </c>
      <c r="E124" s="7">
        <f t="shared" si="6"/>
        <v>0.35469778040507688</v>
      </c>
      <c r="F124" s="7">
        <f t="shared" si="7"/>
        <v>0.36465001891249188</v>
      </c>
      <c r="G124" s="7">
        <f>'Ejercicio 1.e (3)'!I124</f>
        <v>0.36472287720764801</v>
      </c>
      <c r="H124" s="7">
        <f>'Ejercicio 1.e (3)'!J124</f>
        <v>0.35078073561628748</v>
      </c>
      <c r="I124" s="7">
        <f t="shared" si="8"/>
        <v>0.35071066245124149</v>
      </c>
      <c r="J124" s="7">
        <f>'Ejercicio 1.e (3)'!K124</f>
        <v>4.2572238025154717E-4</v>
      </c>
      <c r="K124" s="7">
        <f t="shared" si="9"/>
        <v>4.2563733648606582E-4</v>
      </c>
    </row>
    <row r="125" spans="1:11" ht="15" customHeight="1" x14ac:dyDescent="0.25">
      <c r="A125" s="2">
        <v>123</v>
      </c>
      <c r="B125" s="7">
        <f>'Ejercicio 1.e (3)'!F125</f>
        <v>0.37037037037037035</v>
      </c>
      <c r="C125" s="7">
        <f t="shared" si="5"/>
        <v>0.37037037037037035</v>
      </c>
      <c r="D125" s="7">
        <f>'Ejercicio 1.e (3)'!G125</f>
        <v>0.35485481954661774</v>
      </c>
      <c r="E125" s="7">
        <f t="shared" si="6"/>
        <v>0.35469778040507688</v>
      </c>
      <c r="F125" s="7">
        <f t="shared" si="7"/>
        <v>0.36465001891249188</v>
      </c>
      <c r="G125" s="7">
        <f>'Ejercicio 1.e (3)'!I125</f>
        <v>0.36472210318685871</v>
      </c>
      <c r="H125" s="7">
        <f>'Ejercicio 1.e (3)'!J125</f>
        <v>0.35077999118373659</v>
      </c>
      <c r="I125" s="7">
        <f t="shared" si="8"/>
        <v>0.35071066245124149</v>
      </c>
      <c r="J125" s="7">
        <f>'Ejercicio 1.e (3)'!K125</f>
        <v>4.2572147677662588E-4</v>
      </c>
      <c r="K125" s="7">
        <f t="shared" si="9"/>
        <v>4.2563733648606582E-4</v>
      </c>
    </row>
    <row r="126" spans="1:11" ht="15" customHeight="1" x14ac:dyDescent="0.25">
      <c r="A126" s="2">
        <v>124</v>
      </c>
      <c r="B126" s="7">
        <f>'Ejercicio 1.e (3)'!F126</f>
        <v>0.37037037037037035</v>
      </c>
      <c r="C126" s="7">
        <f t="shared" si="5"/>
        <v>0.37037037037037035</v>
      </c>
      <c r="D126" s="7">
        <f>'Ejercicio 1.e (3)'!G126</f>
        <v>0.35485471441151195</v>
      </c>
      <c r="E126" s="7">
        <f t="shared" si="6"/>
        <v>0.35469778040507688</v>
      </c>
      <c r="F126" s="7">
        <f t="shared" si="7"/>
        <v>0.36465001891249188</v>
      </c>
      <c r="G126" s="7">
        <f>'Ejercicio 1.e (3)'!I126</f>
        <v>0.36472136566505003</v>
      </c>
      <c r="H126" s="7">
        <f>'Ejercicio 1.e (3)'!J126</f>
        <v>0.35077928185493173</v>
      </c>
      <c r="I126" s="7">
        <f t="shared" si="8"/>
        <v>0.35071066245124149</v>
      </c>
      <c r="J126" s="7">
        <f>'Ejercicio 1.e (3)'!K126</f>
        <v>4.2572061590509985E-4</v>
      </c>
      <c r="K126" s="7">
        <f t="shared" si="9"/>
        <v>4.2563733648606582E-4</v>
      </c>
    </row>
    <row r="127" spans="1:11" ht="15" customHeight="1" x14ac:dyDescent="0.25">
      <c r="A127" s="2">
        <v>125</v>
      </c>
      <c r="B127" s="7">
        <f>'Ejercicio 1.e (3)'!F127</f>
        <v>0.37037037037037035</v>
      </c>
      <c r="C127" s="7">
        <f t="shared" si="5"/>
        <v>0.37037037037037035</v>
      </c>
      <c r="D127" s="7">
        <f>'Ejercicio 1.e (3)'!G127</f>
        <v>0.35485460858229978</v>
      </c>
      <c r="E127" s="7">
        <f t="shared" si="6"/>
        <v>0.35469778040507688</v>
      </c>
      <c r="F127" s="7">
        <f t="shared" si="7"/>
        <v>0.36465001891249188</v>
      </c>
      <c r="G127" s="7">
        <f>'Ejercicio 1.e (3)'!I127</f>
        <v>0.36472066281882953</v>
      </c>
      <c r="H127" s="7">
        <f>'Ejercicio 1.e (3)'!J127</f>
        <v>0.35077860587618281</v>
      </c>
      <c r="I127" s="7">
        <f t="shared" si="8"/>
        <v>0.35071066245124149</v>
      </c>
      <c r="J127" s="7">
        <f>'Ejercicio 1.e (3)'!K127</f>
        <v>4.257197955086163E-4</v>
      </c>
      <c r="K127" s="7">
        <f t="shared" si="9"/>
        <v>4.2563733648606582E-4</v>
      </c>
    </row>
    <row r="128" spans="1:11" ht="15" customHeight="1" x14ac:dyDescent="0.25">
      <c r="A128" s="2">
        <v>126</v>
      </c>
      <c r="B128" s="7">
        <f>'Ejercicio 1.e (3)'!F128</f>
        <v>0.37037037037037035</v>
      </c>
      <c r="C128" s="7">
        <f t="shared" si="5"/>
        <v>0.37037037037037035</v>
      </c>
      <c r="D128" s="7">
        <f>'Ejercicio 1.e (3)'!G128</f>
        <v>0.35485450209825908</v>
      </c>
      <c r="E128" s="7">
        <f t="shared" si="6"/>
        <v>0.35469778040507688</v>
      </c>
      <c r="F128" s="7">
        <f t="shared" si="7"/>
        <v>0.36465001891249188</v>
      </c>
      <c r="G128" s="7">
        <f>'Ejercicio 1.e (3)'!I128</f>
        <v>0.36471999291598595</v>
      </c>
      <c r="H128" s="7">
        <f>'Ejercicio 1.e (3)'!J128</f>
        <v>0.3507779615814951</v>
      </c>
      <c r="I128" s="7">
        <f t="shared" si="8"/>
        <v>0.35071066245124149</v>
      </c>
      <c r="J128" s="7">
        <f>'Ejercicio 1.e (3)'!K128</f>
        <v>4.2571901356525343E-4</v>
      </c>
      <c r="K128" s="7">
        <f t="shared" si="9"/>
        <v>4.2563733648606582E-4</v>
      </c>
    </row>
    <row r="129" spans="1:11" ht="15" customHeight="1" x14ac:dyDescent="0.25">
      <c r="A129" s="2">
        <v>127</v>
      </c>
      <c r="B129" s="7">
        <f>'Ejercicio 1.e (3)'!F129</f>
        <v>0.37037037037037035</v>
      </c>
      <c r="C129" s="7">
        <f t="shared" si="5"/>
        <v>0.37037037037037035</v>
      </c>
      <c r="D129" s="7">
        <f>'Ejercicio 1.e (3)'!G129</f>
        <v>0.35485439499670007</v>
      </c>
      <c r="E129" s="7">
        <f t="shared" si="6"/>
        <v>0.35469778040507688</v>
      </c>
      <c r="F129" s="7">
        <f t="shared" si="7"/>
        <v>0.36465001891249188</v>
      </c>
      <c r="G129" s="7">
        <f>'Ejercicio 1.e (3)'!I129</f>
        <v>0.36471935431092917</v>
      </c>
      <c r="H129" s="7">
        <f>'Ejercicio 1.e (3)'!J129</f>
        <v>0.350777347388184</v>
      </c>
      <c r="I129" s="7">
        <f t="shared" si="8"/>
        <v>0.35071066245124149</v>
      </c>
      <c r="J129" s="7">
        <f>'Ejercicio 1.e (3)'!K129</f>
        <v>4.2571826815419807E-4</v>
      </c>
      <c r="K129" s="7">
        <f t="shared" si="9"/>
        <v>4.2563733648606582E-4</v>
      </c>
    </row>
    <row r="130" spans="1:11" ht="15" customHeight="1" x14ac:dyDescent="0.25">
      <c r="A130" s="2">
        <v>128</v>
      </c>
      <c r="B130" s="7">
        <f>'Ejercicio 1.e (3)'!F130</f>
        <v>0.37037037037037035</v>
      </c>
      <c r="C130" s="7">
        <f t="shared" ref="C130:C193" si="10">$B$2</f>
        <v>0.37037037037037035</v>
      </c>
      <c r="D130" s="7">
        <f>'Ejercicio 1.e (3)'!G130</f>
        <v>0.35485428731306418</v>
      </c>
      <c r="E130" s="7">
        <f t="shared" ref="E130:E193" si="11">$D$2</f>
        <v>0.35469778040507688</v>
      </c>
      <c r="F130" s="7">
        <f t="shared" si="7"/>
        <v>0.36465001891249188</v>
      </c>
      <c r="G130" s="7">
        <f>'Ejercicio 1.e (3)'!I130</f>
        <v>0.36471874544035809</v>
      </c>
      <c r="H130" s="7">
        <f>'Ejercicio 1.e (3)'!J130</f>
        <v>0.35077676179270817</v>
      </c>
      <c r="I130" s="7">
        <f t="shared" si="8"/>
        <v>0.35071066245124149</v>
      </c>
      <c r="J130" s="7">
        <f>'Ejercicio 1.e (3)'!K130</f>
        <v>4.2571755745068868E-4</v>
      </c>
      <c r="K130" s="7">
        <f t="shared" si="9"/>
        <v>4.2563733648606582E-4</v>
      </c>
    </row>
    <row r="131" spans="1:11" ht="15" customHeight="1" x14ac:dyDescent="0.25">
      <c r="A131" s="2">
        <v>129</v>
      </c>
      <c r="B131" s="7">
        <f>'Ejercicio 1.e (3)'!F131</f>
        <v>0.37037037037037035</v>
      </c>
      <c r="C131" s="7">
        <f t="shared" si="10"/>
        <v>0.37037037037037035</v>
      </c>
      <c r="D131" s="7">
        <f>'Ejercicio 1.e (3)'!G131</f>
        <v>0.35485417908101707</v>
      </c>
      <c r="E131" s="7">
        <f t="shared" si="11"/>
        <v>0.35469778040507688</v>
      </c>
      <c r="F131" s="7">
        <f t="shared" ref="F131:F194" si="12">$G$2</f>
        <v>0.36465001891249188</v>
      </c>
      <c r="G131" s="7">
        <f>'Ejercicio 1.e (3)'!I131</f>
        <v>0.36471816481914482</v>
      </c>
      <c r="H131" s="7">
        <f>'Ejercicio 1.e (3)'!J131</f>
        <v>0.35077620336671128</v>
      </c>
      <c r="I131" s="7">
        <f t="shared" ref="I131:I194" si="13">$H$2</f>
        <v>0.35071066245124149</v>
      </c>
      <c r="J131" s="7">
        <f>'Ejercicio 1.e (3)'!K131</f>
        <v>4.2571687972121138E-4</v>
      </c>
      <c r="K131" s="7">
        <f t="shared" ref="K131:K194" si="14">$J$2</f>
        <v>4.2563733648606582E-4</v>
      </c>
    </row>
    <row r="132" spans="1:11" ht="15" customHeight="1" x14ac:dyDescent="0.25">
      <c r="A132" s="2">
        <v>130</v>
      </c>
      <c r="B132" s="7">
        <f>'Ejercicio 1.e (3)'!F132</f>
        <v>0.37037037037037035</v>
      </c>
      <c r="C132" s="7">
        <f t="shared" si="10"/>
        <v>0.37037037037037035</v>
      </c>
      <c r="D132" s="7">
        <f>'Ejercicio 1.e (3)'!G132</f>
        <v>0.35485407033253785</v>
      </c>
      <c r="E132" s="7">
        <f t="shared" si="11"/>
        <v>0.35469778040507688</v>
      </c>
      <c r="F132" s="7">
        <f t="shared" si="12"/>
        <v>0.36465001891249188</v>
      </c>
      <c r="G132" s="7">
        <f>'Ejercicio 1.e (3)'!I132</f>
        <v>0.3647176110364253</v>
      </c>
      <c r="H132" s="7">
        <f>'Ejercicio 1.e (3)'!J132</f>
        <v>0.35077567075326183</v>
      </c>
      <c r="I132" s="7">
        <f t="shared" si="13"/>
        <v>0.35071066245124149</v>
      </c>
      <c r="J132" s="7">
        <f>'Ejercicio 1.e (3)'!K132</f>
        <v>4.2571623331893657E-4</v>
      </c>
      <c r="K132" s="7">
        <f t="shared" si="14"/>
        <v>4.2563733648606582E-4</v>
      </c>
    </row>
    <row r="133" spans="1:11" ht="15" customHeight="1" x14ac:dyDescent="0.25">
      <c r="A133" s="2">
        <v>131</v>
      </c>
      <c r="B133" s="7">
        <f>'Ejercicio 1.e (3)'!F133</f>
        <v>0.37037037037037035</v>
      </c>
      <c r="C133" s="7">
        <f t="shared" si="10"/>
        <v>0.37037037037037035</v>
      </c>
      <c r="D133" s="7">
        <f>'Ejercicio 1.e (3)'!G133</f>
        <v>0.35485396109800282</v>
      </c>
      <c r="E133" s="7">
        <f t="shared" si="11"/>
        <v>0.35469778040507688</v>
      </c>
      <c r="F133" s="7">
        <f t="shared" si="12"/>
        <v>0.36465001891249188</v>
      </c>
      <c r="G133" s="7">
        <f>'Ejercicio 1.e (3)'!I133</f>
        <v>0.36471708275188519</v>
      </c>
      <c r="H133" s="7">
        <f>'Ejercicio 1.e (3)'!J133</f>
        <v>0.35077516266328124</v>
      </c>
      <c r="I133" s="7">
        <f t="shared" si="13"/>
        <v>0.35071066245124149</v>
      </c>
      <c r="J133" s="7">
        <f>'Ejercicio 1.e (3)'!K133</f>
        <v>4.2571561667938384E-4</v>
      </c>
      <c r="K133" s="7">
        <f t="shared" si="14"/>
        <v>4.2563733648606582E-4</v>
      </c>
    </row>
    <row r="134" spans="1:11" ht="15" customHeight="1" x14ac:dyDescent="0.25">
      <c r="A134" s="2">
        <v>132</v>
      </c>
      <c r="B134" s="7">
        <f>'Ejercicio 1.e (3)'!F134</f>
        <v>0.37037037037037035</v>
      </c>
      <c r="C134" s="7">
        <f t="shared" si="10"/>
        <v>0.37037037037037035</v>
      </c>
      <c r="D134" s="7">
        <f>'Ejercicio 1.e (3)'!G134</f>
        <v>0.35485385140626619</v>
      </c>
      <c r="E134" s="7">
        <f t="shared" si="11"/>
        <v>0.35469778040507688</v>
      </c>
      <c r="F134" s="7">
        <f t="shared" si="12"/>
        <v>0.36465001891249188</v>
      </c>
      <c r="G134" s="7">
        <f>'Ejercicio 1.e (3)'!I134</f>
        <v>0.36471657869223179</v>
      </c>
      <c r="H134" s="7">
        <f>'Ejercicio 1.e (3)'!J134</f>
        <v>0.35077467787215061</v>
      </c>
      <c r="I134" s="7">
        <f t="shared" si="13"/>
        <v>0.35071066245124149</v>
      </c>
      <c r="J134" s="7">
        <f>'Ejercicio 1.e (3)'!K134</f>
        <v>4.2571502831630369E-4</v>
      </c>
      <c r="K134" s="7">
        <f t="shared" si="14"/>
        <v>4.2563733648606582E-4</v>
      </c>
    </row>
    <row r="135" spans="1:11" ht="15" customHeight="1" x14ac:dyDescent="0.25">
      <c r="A135" s="2">
        <v>133</v>
      </c>
      <c r="B135" s="7">
        <f>'Ejercicio 1.e (3)'!F135</f>
        <v>0.37037037037037035</v>
      </c>
      <c r="C135" s="7">
        <f t="shared" si="10"/>
        <v>0.37037037037037035</v>
      </c>
      <c r="D135" s="7">
        <f>'Ejercicio 1.e (3)'!G135</f>
        <v>0.35485374128473585</v>
      </c>
      <c r="E135" s="7">
        <f t="shared" si="11"/>
        <v>0.35469778040507688</v>
      </c>
      <c r="F135" s="7">
        <f t="shared" si="12"/>
        <v>0.36465001891249188</v>
      </c>
      <c r="G135" s="7">
        <f>'Ejercicio 1.e (3)'!I135</f>
        <v>0.36471609764784202</v>
      </c>
      <c r="H135" s="7">
        <f>'Ejercicio 1.e (3)'!J135</f>
        <v>0.35077421521648666</v>
      </c>
      <c r="I135" s="7">
        <f t="shared" si="13"/>
        <v>0.35071066245124149</v>
      </c>
      <c r="J135" s="7">
        <f>'Ejercicio 1.e (3)'!K135</f>
        <v>4.2571446681776489E-4</v>
      </c>
      <c r="K135" s="7">
        <f t="shared" si="14"/>
        <v>4.2563733648606582E-4</v>
      </c>
    </row>
    <row r="136" spans="1:11" ht="15" customHeight="1" x14ac:dyDescent="0.25">
      <c r="A136" s="2">
        <v>134</v>
      </c>
      <c r="B136" s="7">
        <f>'Ejercicio 1.e (3)'!F136</f>
        <v>0.37037037037037035</v>
      </c>
      <c r="C136" s="7">
        <f t="shared" si="10"/>
        <v>0.37037037037037035</v>
      </c>
      <c r="D136" s="7">
        <f>'Ejercicio 1.e (3)'!G136</f>
        <v>0.35485363075944582</v>
      </c>
      <c r="E136" s="7">
        <f t="shared" si="11"/>
        <v>0.35469778040507688</v>
      </c>
      <c r="F136" s="7">
        <f t="shared" si="12"/>
        <v>0.36465001891249188</v>
      </c>
      <c r="G136" s="7">
        <f>'Ejercicio 1.e (3)'!I136</f>
        <v>0.36471563846957861</v>
      </c>
      <c r="H136" s="7">
        <f>'Ejercicio 1.e (3)'!J136</f>
        <v>0.35077377359107986</v>
      </c>
      <c r="I136" s="7">
        <f t="shared" si="13"/>
        <v>0.35071066245124149</v>
      </c>
      <c r="J136" s="7">
        <f>'Ejercicio 1.e (3)'!K136</f>
        <v>4.2571393084243821E-4</v>
      </c>
      <c r="K136" s="7">
        <f t="shared" si="14"/>
        <v>4.2563733648606582E-4</v>
      </c>
    </row>
    <row r="137" spans="1:11" ht="15" customHeight="1" x14ac:dyDescent="0.25">
      <c r="A137" s="2">
        <v>135</v>
      </c>
      <c r="B137" s="7">
        <f>'Ejercicio 1.e (3)'!F137</f>
        <v>0.37037037037037035</v>
      </c>
      <c r="C137" s="7">
        <f t="shared" si="10"/>
        <v>0.37037037037037035</v>
      </c>
      <c r="D137" s="7">
        <f>'Ejercicio 1.e (3)'!G137</f>
        <v>0.35485351985512503</v>
      </c>
      <c r="E137" s="7">
        <f t="shared" si="11"/>
        <v>0.35469778040507688</v>
      </c>
      <c r="F137" s="7">
        <f t="shared" si="12"/>
        <v>0.36465001891249188</v>
      </c>
      <c r="G137" s="7">
        <f>'Ejercicio 1.e (3)'!I137</f>
        <v>0.36471520006576497</v>
      </c>
      <c r="H137" s="7">
        <f>'Ejercicio 1.e (3)'!J137</f>
        <v>0.35077335194598475</v>
      </c>
      <c r="I137" s="7">
        <f t="shared" si="13"/>
        <v>0.35071066245124149</v>
      </c>
      <c r="J137" s="7">
        <f>'Ejercicio 1.e (3)'!K137</f>
        <v>4.2571341911606535E-4</v>
      </c>
      <c r="K137" s="7">
        <f t="shared" si="14"/>
        <v>4.2563733648606582E-4</v>
      </c>
    </row>
    <row r="138" spans="1:11" ht="15" customHeight="1" x14ac:dyDescent="0.25">
      <c r="A138" s="2">
        <v>136</v>
      </c>
      <c r="B138" s="7">
        <f>'Ejercicio 1.e (3)'!F138</f>
        <v>0.37037037037037035</v>
      </c>
      <c r="C138" s="7">
        <f t="shared" si="10"/>
        <v>0.37037037037037035</v>
      </c>
      <c r="D138" s="7">
        <f>'Ejercicio 1.e (3)'!G138</f>
        <v>0.35485340859526232</v>
      </c>
      <c r="E138" s="7">
        <f t="shared" si="11"/>
        <v>0.35469778040507688</v>
      </c>
      <c r="F138" s="7">
        <f t="shared" si="12"/>
        <v>0.36465001891249188</v>
      </c>
      <c r="G138" s="7">
        <f>'Ejercicio 1.e (3)'!I138</f>
        <v>0.36471478139931196</v>
      </c>
      <c r="H138" s="7">
        <f>'Ejercicio 1.e (3)'!J138</f>
        <v>0.35077294928375669</v>
      </c>
      <c r="I138" s="7">
        <f t="shared" si="13"/>
        <v>0.35071066245124149</v>
      </c>
      <c r="J138" s="7">
        <f>'Ejercicio 1.e (3)'!K138</f>
        <v>4.2571293042810513E-4</v>
      </c>
      <c r="K138" s="7">
        <f t="shared" si="14"/>
        <v>4.2563733648606582E-4</v>
      </c>
    </row>
    <row r="139" spans="1:11" ht="15" customHeight="1" x14ac:dyDescent="0.25">
      <c r="A139" s="2">
        <v>137</v>
      </c>
      <c r="B139" s="7">
        <f>'Ejercicio 1.e (3)'!F139</f>
        <v>0.37037037037037035</v>
      </c>
      <c r="C139" s="7">
        <f t="shared" si="10"/>
        <v>0.37037037037037035</v>
      </c>
      <c r="D139" s="7">
        <f>'Ejercicio 1.e (3)'!G139</f>
        <v>0.35485329700216883</v>
      </c>
      <c r="E139" s="7">
        <f t="shared" si="11"/>
        <v>0.35469778040507688</v>
      </c>
      <c r="F139" s="7">
        <f t="shared" si="12"/>
        <v>0.36465001891249188</v>
      </c>
      <c r="G139" s="7">
        <f>'Ejercicio 1.e (3)'!I139</f>
        <v>0.36471438148498775</v>
      </c>
      <c r="H139" s="7">
        <f>'Ejercicio 1.e (3)'!J139</f>
        <v>0.35077256465682594</v>
      </c>
      <c r="I139" s="7">
        <f t="shared" si="13"/>
        <v>0.35071066245124149</v>
      </c>
      <c r="J139" s="7">
        <f>'Ejercicio 1.e (3)'!K139</f>
        <v>4.2571246362854682E-4</v>
      </c>
      <c r="K139" s="7">
        <f t="shared" si="14"/>
        <v>4.2563733648606582E-4</v>
      </c>
    </row>
    <row r="140" spans="1:11" ht="15" customHeight="1" x14ac:dyDescent="0.25">
      <c r="A140" s="2">
        <v>138</v>
      </c>
      <c r="B140" s="7">
        <f>'Ejercicio 1.e (3)'!F140</f>
        <v>0.37037037037037035</v>
      </c>
      <c r="C140" s="7">
        <f t="shared" si="10"/>
        <v>0.37037037037037035</v>
      </c>
      <c r="D140" s="7">
        <f>'Ejercicio 1.e (3)'!G140</f>
        <v>0.35485318509703623</v>
      </c>
      <c r="E140" s="7">
        <f t="shared" si="11"/>
        <v>0.35469778040507688</v>
      </c>
      <c r="F140" s="7">
        <f t="shared" si="12"/>
        <v>0.36465001891249188</v>
      </c>
      <c r="G140" s="7">
        <f>'Ejercicio 1.e (3)'!I140</f>
        <v>0.36471399938682453</v>
      </c>
      <c r="H140" s="7">
        <f>'Ejercicio 1.e (3)'!J140</f>
        <v>0.35077219716500369</v>
      </c>
      <c r="I140" s="7">
        <f t="shared" si="13"/>
        <v>0.35071066245124149</v>
      </c>
      <c r="J140" s="7">
        <f>'Ejercicio 1.e (3)'!K140</f>
        <v>4.2571201762488291E-4</v>
      </c>
      <c r="K140" s="7">
        <f t="shared" si="14"/>
        <v>4.2563733648606582E-4</v>
      </c>
    </row>
    <row r="141" spans="1:11" ht="15" customHeight="1" x14ac:dyDescent="0.25">
      <c r="A141" s="2">
        <v>139</v>
      </c>
      <c r="B141" s="7">
        <f>'Ejercicio 1.e (3)'!F141</f>
        <v>0.37037037037037035</v>
      </c>
      <c r="C141" s="7">
        <f t="shared" si="10"/>
        <v>0.37037037037037035</v>
      </c>
      <c r="D141" s="7">
        <f>'Ejercicio 1.e (3)'!G141</f>
        <v>0.35485307289999346</v>
      </c>
      <c r="E141" s="7">
        <f t="shared" si="11"/>
        <v>0.35469778040507688</v>
      </c>
      <c r="F141" s="7">
        <f t="shared" si="12"/>
        <v>0.36465001891249188</v>
      </c>
      <c r="G141" s="7">
        <f>'Ejercicio 1.e (3)'!I141</f>
        <v>0.36471363421565545</v>
      </c>
      <c r="H141" s="7">
        <f>'Ejercicio 1.e (3)'!J141</f>
        <v>0.35077184595311289</v>
      </c>
      <c r="I141" s="7">
        <f t="shared" si="13"/>
        <v>0.35071066245124149</v>
      </c>
      <c r="J141" s="7">
        <f>'Ejercicio 1.e (3)'!K141</f>
        <v>4.2571159137923449E-4</v>
      </c>
      <c r="K141" s="7">
        <f t="shared" si="14"/>
        <v>4.2563733648606582E-4</v>
      </c>
    </row>
    <row r="142" spans="1:11" ht="15" customHeight="1" x14ac:dyDescent="0.25">
      <c r="A142" s="2">
        <v>140</v>
      </c>
      <c r="B142" s="7">
        <f>'Ejercicio 1.e (3)'!F142</f>
        <v>0.37037037037037035</v>
      </c>
      <c r="C142" s="7">
        <f t="shared" si="10"/>
        <v>0.37037037037037035</v>
      </c>
      <c r="D142" s="7">
        <f>'Ejercicio 1.e (3)'!G142</f>
        <v>0.35485296043015946</v>
      </c>
      <c r="E142" s="7">
        <f t="shared" si="11"/>
        <v>0.35469778040507688</v>
      </c>
      <c r="F142" s="7">
        <f t="shared" si="12"/>
        <v>0.36465001891249188</v>
      </c>
      <c r="G142" s="7">
        <f>'Ejercicio 1.e (3)'!I142</f>
        <v>0.36471328512677348</v>
      </c>
      <c r="H142" s="7">
        <f>'Ejercicio 1.e (3)'!J142</f>
        <v>0.35077151020873693</v>
      </c>
      <c r="I142" s="7">
        <f t="shared" si="13"/>
        <v>0.35071066245124149</v>
      </c>
      <c r="J142" s="7">
        <f>'Ejercicio 1.e (3)'!K142</f>
        <v>4.2571118390561811E-4</v>
      </c>
      <c r="K142" s="7">
        <f t="shared" si="14"/>
        <v>4.2563733648606582E-4</v>
      </c>
    </row>
    <row r="143" spans="1:11" ht="15" customHeight="1" x14ac:dyDescent="0.25">
      <c r="A143" s="2">
        <v>141</v>
      </c>
      <c r="B143" s="7">
        <f>'Ejercicio 1.e (3)'!F143</f>
        <v>0.37037037037037035</v>
      </c>
      <c r="C143" s="7">
        <f t="shared" si="10"/>
        <v>0.37037037037037035</v>
      </c>
      <c r="D143" s="7">
        <f>'Ejercicio 1.e (3)'!G143</f>
        <v>0.3548528477056937</v>
      </c>
      <c r="E143" s="7">
        <f t="shared" si="11"/>
        <v>0.35469778040507688</v>
      </c>
      <c r="F143" s="7">
        <f t="shared" si="12"/>
        <v>0.36465001891249188</v>
      </c>
      <c r="G143" s="7">
        <f>'Ejercicio 1.e (3)'!I143</f>
        <v>0.36471295131770898</v>
      </c>
      <c r="H143" s="7">
        <f>'Ejercicio 1.e (3)'!J143</f>
        <v>0.35077118916008182</v>
      </c>
      <c r="I143" s="7">
        <f t="shared" si="13"/>
        <v>0.35071066245124149</v>
      </c>
      <c r="J143" s="7">
        <f>'Ejercicio 1.e (3)'!K143</f>
        <v>4.2571079426735196E-4</v>
      </c>
      <c r="K143" s="7">
        <f t="shared" si="14"/>
        <v>4.2563733648606582E-4</v>
      </c>
    </row>
    <row r="144" spans="1:11" ht="15" customHeight="1" x14ac:dyDescent="0.25">
      <c r="A144" s="2">
        <v>142</v>
      </c>
      <c r="B144" s="7">
        <f>'Ejercicio 1.e (3)'!F144</f>
        <v>0.37037037037037035</v>
      </c>
      <c r="C144" s="7">
        <f t="shared" si="10"/>
        <v>0.37037037037037035</v>
      </c>
      <c r="D144" s="7">
        <f>'Ejercicio 1.e (3)'!G144</f>
        <v>0.35485273474384421</v>
      </c>
      <c r="E144" s="7">
        <f t="shared" si="11"/>
        <v>0.35469778040507688</v>
      </c>
      <c r="F144" s="7">
        <f t="shared" si="12"/>
        <v>0.36465001891249188</v>
      </c>
      <c r="G144" s="7">
        <f>'Ejercicio 1.e (3)'!I144</f>
        <v>0.36471263202611665</v>
      </c>
      <c r="H144" s="7">
        <f>'Ejercicio 1.e (3)'!J144</f>
        <v>0.3507708820739443</v>
      </c>
      <c r="I144" s="7">
        <f t="shared" si="13"/>
        <v>0.35071066245124149</v>
      </c>
      <c r="J144" s="7">
        <f>'Ejercicio 1.e (3)'!K144</f>
        <v>4.2571042157458941E-4</v>
      </c>
      <c r="K144" s="7">
        <f t="shared" si="14"/>
        <v>4.2563733648606582E-4</v>
      </c>
    </row>
    <row r="145" spans="1:11" ht="15" customHeight="1" x14ac:dyDescent="0.25">
      <c r="A145" s="2">
        <v>143</v>
      </c>
      <c r="B145" s="7">
        <f>'Ejercicio 1.e (3)'!F145</f>
        <v>0.37037037037037035</v>
      </c>
      <c r="C145" s="7">
        <f t="shared" si="10"/>
        <v>0.37037037037037035</v>
      </c>
      <c r="D145" s="7">
        <f>'Ejercicio 1.e (3)'!G145</f>
        <v>0.35485262156099312</v>
      </c>
      <c r="E145" s="7">
        <f t="shared" si="11"/>
        <v>0.35469778040507688</v>
      </c>
      <c r="F145" s="7">
        <f t="shared" si="12"/>
        <v>0.36465001891249188</v>
      </c>
      <c r="G145" s="7">
        <f>'Ejercicio 1.e (3)'!I145</f>
        <v>0.36471232652776969</v>
      </c>
      <c r="H145" s="7">
        <f>'Ejercicio 1.e (3)'!J145</f>
        <v>0.35077058825378227</v>
      </c>
      <c r="I145" s="7">
        <f t="shared" si="13"/>
        <v>0.35071066245124149</v>
      </c>
      <c r="J145" s="7">
        <f>'Ejercicio 1.e (3)'!K145</f>
        <v>4.2571006498197742E-4</v>
      </c>
      <c r="K145" s="7">
        <f t="shared" si="14"/>
        <v>4.2563733648606582E-4</v>
      </c>
    </row>
    <row r="146" spans="1:11" ht="15" customHeight="1" x14ac:dyDescent="0.25">
      <c r="A146" s="2">
        <v>144</v>
      </c>
      <c r="B146" s="7">
        <f>'Ejercicio 1.e (3)'!F146</f>
        <v>0.37037037037037035</v>
      </c>
      <c r="C146" s="7">
        <f t="shared" si="10"/>
        <v>0.37037037037037035</v>
      </c>
      <c r="D146" s="7">
        <f>'Ejercicio 1.e (3)'!G146</f>
        <v>0.35485250817270003</v>
      </c>
      <c r="E146" s="7">
        <f t="shared" si="11"/>
        <v>0.35469778040507688</v>
      </c>
      <c r="F146" s="7">
        <f t="shared" si="12"/>
        <v>0.36465001891249188</v>
      </c>
      <c r="G146" s="7">
        <f>'Ejercicio 1.e (3)'!I146</f>
        <v>0.36471203413465353</v>
      </c>
      <c r="H146" s="7">
        <f>'Ejercicio 1.e (3)'!J146</f>
        <v>0.3507703070378817</v>
      </c>
      <c r="I146" s="7">
        <f t="shared" si="13"/>
        <v>0.35071066245124149</v>
      </c>
      <c r="J146" s="7">
        <f>'Ejercicio 1.e (3)'!K146</f>
        <v>4.2570972368643182E-4</v>
      </c>
      <c r="K146" s="7">
        <f t="shared" si="14"/>
        <v>4.2563733648606582E-4</v>
      </c>
    </row>
    <row r="147" spans="1:11" ht="15" customHeight="1" x14ac:dyDescent="0.25">
      <c r="A147" s="2">
        <v>145</v>
      </c>
      <c r="B147" s="7">
        <f>'Ejercicio 1.e (3)'!F147</f>
        <v>0.37037037037037035</v>
      </c>
      <c r="C147" s="7">
        <f t="shared" si="10"/>
        <v>0.37037037037037035</v>
      </c>
      <c r="D147" s="7">
        <f>'Ejercicio 1.e (3)'!G147</f>
        <v>0.35485239459374313</v>
      </c>
      <c r="E147" s="7">
        <f t="shared" si="11"/>
        <v>0.35469778040507688</v>
      </c>
      <c r="F147" s="7">
        <f t="shared" si="12"/>
        <v>0.36465001891249188</v>
      </c>
      <c r="G147" s="7">
        <f>'Ejercicio 1.e (3)'!I147</f>
        <v>0.36471175419315499</v>
      </c>
      <c r="H147" s="7">
        <f>'Ejercicio 1.e (3)'!J147</f>
        <v>0.35077003779761484</v>
      </c>
      <c r="I147" s="7">
        <f t="shared" si="13"/>
        <v>0.35071066245124149</v>
      </c>
      <c r="J147" s="7">
        <f>'Ejercicio 1.e (3)'!K147</f>
        <v>4.2570939692502326E-4</v>
      </c>
      <c r="K147" s="7">
        <f t="shared" si="14"/>
        <v>4.2563733648606582E-4</v>
      </c>
    </row>
    <row r="148" spans="1:11" ht="15" customHeight="1" x14ac:dyDescent="0.25">
      <c r="A148" s="2">
        <v>146</v>
      </c>
      <c r="B148" s="7">
        <f>'Ejercicio 1.e (3)'!F148</f>
        <v>0.37037037037037035</v>
      </c>
      <c r="C148" s="7">
        <f t="shared" si="10"/>
        <v>0.37037037037037035</v>
      </c>
      <c r="D148" s="7">
        <f>'Ejercicio 1.e (3)'!G148</f>
        <v>0.35485228083815801</v>
      </c>
      <c r="E148" s="7">
        <f t="shared" si="11"/>
        <v>0.35469778040507688</v>
      </c>
      <c r="F148" s="7">
        <f t="shared" si="12"/>
        <v>0.36465001891249188</v>
      </c>
      <c r="G148" s="7">
        <f>'Ejercicio 1.e (3)'!I148</f>
        <v>0.36471148608234166</v>
      </c>
      <c r="H148" s="7">
        <f>'Ejercicio 1.e (3)'!J148</f>
        <v>0.35076977993578545</v>
      </c>
      <c r="I148" s="7">
        <f t="shared" si="13"/>
        <v>0.35071066245124149</v>
      </c>
      <c r="J148" s="7">
        <f>'Ejercicio 1.e (3)'!K148</f>
        <v>4.2570908397296907E-4</v>
      </c>
      <c r="K148" s="7">
        <f t="shared" si="14"/>
        <v>4.2563733648606582E-4</v>
      </c>
    </row>
    <row r="149" spans="1:11" ht="15" customHeight="1" x14ac:dyDescent="0.25">
      <c r="A149" s="2">
        <v>147</v>
      </c>
      <c r="B149" s="7">
        <f>'Ejercicio 1.e (3)'!F149</f>
        <v>0.37037037037037035</v>
      </c>
      <c r="C149" s="7">
        <f t="shared" si="10"/>
        <v>0.37037037037037035</v>
      </c>
      <c r="D149" s="7">
        <f>'Ejercicio 1.e (3)'!G149</f>
        <v>0.35485216691927529</v>
      </c>
      <c r="E149" s="7">
        <f t="shared" si="11"/>
        <v>0.35469778040507688</v>
      </c>
      <c r="F149" s="7">
        <f t="shared" si="12"/>
        <v>0.36465001891249188</v>
      </c>
      <c r="G149" s="7">
        <f>'Ejercicio 1.e (3)'!I149</f>
        <v>0.3647112292123284</v>
      </c>
      <c r="H149" s="7">
        <f>'Ejercicio 1.e (3)'!J149</f>
        <v>0.3507695328850578</v>
      </c>
      <c r="I149" s="7">
        <f t="shared" si="13"/>
        <v>0.35071066245124149</v>
      </c>
      <c r="J149" s="7">
        <f>'Ejercicio 1.e (3)'!K149</f>
        <v>4.2570878414172655E-4</v>
      </c>
      <c r="K149" s="7">
        <f t="shared" si="14"/>
        <v>4.2563733648606582E-4</v>
      </c>
    </row>
    <row r="150" spans="1:11" ht="15" customHeight="1" x14ac:dyDescent="0.25">
      <c r="A150" s="2">
        <v>148</v>
      </c>
      <c r="B150" s="7">
        <f>'Ejercicio 1.e (3)'!F150</f>
        <v>0.37037037037037035</v>
      </c>
      <c r="C150" s="7">
        <f t="shared" si="10"/>
        <v>0.37037037037037035</v>
      </c>
      <c r="D150" s="7">
        <f>'Ejercicio 1.e (3)'!G150</f>
        <v>0.35485205284975541</v>
      </c>
      <c r="E150" s="7">
        <f t="shared" si="11"/>
        <v>0.35469778040507688</v>
      </c>
      <c r="F150" s="7">
        <f t="shared" si="12"/>
        <v>0.36465001891249188</v>
      </c>
      <c r="G150" s="7">
        <f>'Ejercicio 1.e (3)'!I150</f>
        <v>0.36471098302272442</v>
      </c>
      <c r="H150" s="7">
        <f>'Ejercicio 1.e (3)'!J150</f>
        <v>0.35076929610646296</v>
      </c>
      <c r="I150" s="7">
        <f t="shared" si="13"/>
        <v>0.35071066245124149</v>
      </c>
      <c r="J150" s="7">
        <f>'Ejercicio 1.e (3)'!K150</f>
        <v>4.2570849677718006E-4</v>
      </c>
      <c r="K150" s="7">
        <f t="shared" si="14"/>
        <v>4.2563733648606582E-4</v>
      </c>
    </row>
    <row r="151" spans="1:11" ht="15" customHeight="1" x14ac:dyDescent="0.25">
      <c r="A151" s="2">
        <v>149</v>
      </c>
      <c r="B151" s="7">
        <f>'Ejercicio 1.e (3)'!F151</f>
        <v>0.37037037037037035</v>
      </c>
      <c r="C151" s="7">
        <f t="shared" si="10"/>
        <v>0.37037037037037035</v>
      </c>
      <c r="D151" s="7">
        <f>'Ejercicio 1.e (3)'!G151</f>
        <v>0.35485193864162234</v>
      </c>
      <c r="E151" s="7">
        <f t="shared" si="11"/>
        <v>0.35469778040507688</v>
      </c>
      <c r="F151" s="7">
        <f t="shared" si="12"/>
        <v>0.36465001891249188</v>
      </c>
      <c r="G151" s="7">
        <f>'Ejercicio 1.e (3)'!I151</f>
        <v>0.36471074698115818</v>
      </c>
      <c r="H151" s="7">
        <f>'Ejercicio 1.e (3)'!J151</f>
        <v>0.35076906908798011</v>
      </c>
      <c r="I151" s="7">
        <f t="shared" si="13"/>
        <v>0.35071066245124149</v>
      </c>
      <c r="J151" s="7">
        <f>'Ejercicio 1.e (3)'!K151</f>
        <v>4.2570822125791955E-4</v>
      </c>
      <c r="K151" s="7">
        <f t="shared" si="14"/>
        <v>4.2563733648606582E-4</v>
      </c>
    </row>
    <row r="152" spans="1:11" ht="15" customHeight="1" x14ac:dyDescent="0.25">
      <c r="A152" s="2">
        <v>150</v>
      </c>
      <c r="B152" s="7">
        <f>'Ejercicio 1.e (3)'!F152</f>
        <v>0.37037037037037035</v>
      </c>
      <c r="C152" s="7">
        <f t="shared" si="10"/>
        <v>0.37037037037037035</v>
      </c>
      <c r="D152" s="7">
        <f>'Ejercicio 1.e (3)'!G152</f>
        <v>0.35485182430629553</v>
      </c>
      <c r="E152" s="7">
        <f t="shared" si="11"/>
        <v>0.35469778040507688</v>
      </c>
      <c r="F152" s="7">
        <f t="shared" si="12"/>
        <v>0.36465001891249188</v>
      </c>
      <c r="G152" s="7">
        <f>'Ejercicio 1.e (3)'!I152</f>
        <v>0.36471052058187708</v>
      </c>
      <c r="H152" s="7">
        <f>'Ejercicio 1.e (3)'!J152</f>
        <v>0.35076885134318991</v>
      </c>
      <c r="I152" s="7">
        <f t="shared" si="13"/>
        <v>0.35071066245124149</v>
      </c>
      <c r="J152" s="7">
        <f>'Ejercicio 1.e (3)'!K152</f>
        <v>4.2570795699360583E-4</v>
      </c>
      <c r="K152" s="7">
        <f t="shared" si="14"/>
        <v>4.2563733648606582E-4</v>
      </c>
    </row>
    <row r="153" spans="1:11" ht="15" customHeight="1" x14ac:dyDescent="0.25">
      <c r="A153" s="2">
        <v>151</v>
      </c>
      <c r="B153" s="7">
        <f>'Ejercicio 1.e (3)'!F153</f>
        <v>0.37037037037037035</v>
      </c>
      <c r="C153" s="7">
        <f t="shared" si="10"/>
        <v>0.37037037037037035</v>
      </c>
      <c r="D153" s="7">
        <f>'Ejercicio 1.e (3)'!G153</f>
        <v>0.35485170985462</v>
      </c>
      <c r="E153" s="7">
        <f t="shared" si="11"/>
        <v>0.35469778040507688</v>
      </c>
      <c r="F153" s="7">
        <f t="shared" si="12"/>
        <v>0.36465001891249188</v>
      </c>
      <c r="G153" s="7">
        <f>'Ejercicio 1.e (3)'!I153</f>
        <v>0.36471030334441551</v>
      </c>
      <c r="H153" s="7">
        <f>'Ejercicio 1.e (3)'!J153</f>
        <v>0.35076864240999339</v>
      </c>
      <c r="I153" s="7">
        <f t="shared" si="13"/>
        <v>0.35071066245124149</v>
      </c>
      <c r="J153" s="7">
        <f>'Ejercicio 1.e (3)'!K153</f>
        <v>4.2570770342341597E-4</v>
      </c>
      <c r="K153" s="7">
        <f t="shared" si="14"/>
        <v>4.2563733648606582E-4</v>
      </c>
    </row>
    <row r="154" spans="1:11" ht="15" customHeight="1" x14ac:dyDescent="0.25">
      <c r="A154" s="2">
        <v>152</v>
      </c>
      <c r="B154" s="7">
        <f>'Ejercicio 1.e (3)'!F154</f>
        <v>0.37037037037037035</v>
      </c>
      <c r="C154" s="7">
        <f t="shared" si="10"/>
        <v>0.37037037037037035</v>
      </c>
      <c r="D154" s="7">
        <f>'Ejercicio 1.e (3)'!G154</f>
        <v>0.35485159529689497</v>
      </c>
      <c r="E154" s="7">
        <f t="shared" si="11"/>
        <v>0.35469778040507688</v>
      </c>
      <c r="F154" s="7">
        <f t="shared" si="12"/>
        <v>0.36465001891249188</v>
      </c>
      <c r="G154" s="7">
        <f>'Ejercicio 1.e (3)'!I154</f>
        <v>0.36471009481233091</v>
      </c>
      <c r="H154" s="7">
        <f>'Ejercicio 1.e (3)'!J154</f>
        <v>0.35076844184939632</v>
      </c>
      <c r="I154" s="7">
        <f t="shared" si="13"/>
        <v>0.35071066245124149</v>
      </c>
      <c r="J154" s="7">
        <f>'Ejercicio 1.e (3)'!K154</f>
        <v>4.2570746001456788E-4</v>
      </c>
      <c r="K154" s="7">
        <f t="shared" si="14"/>
        <v>4.2563733648606582E-4</v>
      </c>
    </row>
    <row r="155" spans="1:11" ht="15" customHeight="1" x14ac:dyDescent="0.25">
      <c r="A155" s="2">
        <v>153</v>
      </c>
      <c r="B155" s="7">
        <f>'Ejercicio 1.e (3)'!F155</f>
        <v>0.37037037037037035</v>
      </c>
      <c r="C155" s="7">
        <f t="shared" si="10"/>
        <v>0.37037037037037035</v>
      </c>
      <c r="D155" s="7">
        <f>'Ejercicio 1.e (3)'!G155</f>
        <v>0.35485148064290123</v>
      </c>
      <c r="E155" s="7">
        <f t="shared" si="11"/>
        <v>0.35469778040507688</v>
      </c>
      <c r="F155" s="7">
        <f t="shared" si="12"/>
        <v>0.36465001891249188</v>
      </c>
      <c r="G155" s="7">
        <f>'Ejercicio 1.e (3)'!I155</f>
        <v>0.36470989455200264</v>
      </c>
      <c r="H155" s="7">
        <f>'Ejercicio 1.e (3)'!J155</f>
        <v>0.35076824924435379</v>
      </c>
      <c r="I155" s="7">
        <f t="shared" si="13"/>
        <v>0.35071066245124149</v>
      </c>
      <c r="J155" s="7">
        <f>'Ejercicio 1.e (3)'!K155</f>
        <v>4.2570722626091836E-4</v>
      </c>
      <c r="K155" s="7">
        <f t="shared" si="14"/>
        <v>4.2563733648606582E-4</v>
      </c>
    </row>
    <row r="156" spans="1:11" ht="15" customHeight="1" x14ac:dyDescent="0.25">
      <c r="A156" s="2">
        <v>154</v>
      </c>
      <c r="B156" s="7">
        <f>'Ejercicio 1.e (3)'!F156</f>
        <v>0.37037037037037035</v>
      </c>
      <c r="C156" s="7">
        <f t="shared" si="10"/>
        <v>0.37037037037037035</v>
      </c>
      <c r="D156" s="7">
        <f>'Ejercicio 1.e (3)'!G156</f>
        <v>0.35485136590192717</v>
      </c>
      <c r="E156" s="7">
        <f t="shared" si="11"/>
        <v>0.35469778040507688</v>
      </c>
      <c r="F156" s="7">
        <f t="shared" si="12"/>
        <v>0.36465001891249188</v>
      </c>
      <c r="G156" s="7">
        <f>'Ejercicio 1.e (3)'!I156</f>
        <v>0.36470970215149029</v>
      </c>
      <c r="H156" s="7">
        <f>'Ejercicio 1.e (3)'!J156</f>
        <v>0.35076806419867262</v>
      </c>
      <c r="I156" s="7">
        <f t="shared" si="13"/>
        <v>0.35071066245124149</v>
      </c>
      <c r="J156" s="7">
        <f>'Ejercicio 1.e (3)'!K156</f>
        <v>4.2570700168163036E-4</v>
      </c>
      <c r="K156" s="7">
        <f t="shared" si="14"/>
        <v>4.2563733648606582E-4</v>
      </c>
    </row>
    <row r="157" spans="1:11" ht="15" customHeight="1" x14ac:dyDescent="0.25">
      <c r="A157" s="2">
        <v>155</v>
      </c>
      <c r="B157" s="7">
        <f>'Ejercicio 1.e (3)'!F157</f>
        <v>0.37037037037037035</v>
      </c>
      <c r="C157" s="7">
        <f t="shared" si="10"/>
        <v>0.37037037037037035</v>
      </c>
      <c r="D157" s="7">
        <f>'Ejercicio 1.e (3)'!G157</f>
        <v>0.35485125108279325</v>
      </c>
      <c r="E157" s="7">
        <f t="shared" si="11"/>
        <v>0.35469778040507688</v>
      </c>
      <c r="F157" s="7">
        <f t="shared" si="12"/>
        <v>0.36465001891249188</v>
      </c>
      <c r="G157" s="7">
        <f>'Ejercicio 1.e (3)'!I157</f>
        <v>0.36470951721945011</v>
      </c>
      <c r="H157" s="7">
        <f>'Ejercicio 1.e (3)'!J157</f>
        <v>0.35076788633596878</v>
      </c>
      <c r="I157" s="7">
        <f t="shared" si="13"/>
        <v>0.35071066245124149</v>
      </c>
      <c r="J157" s="7">
        <f>'Ejercicio 1.e (3)'!K157</f>
        <v>4.2570678581990831E-4</v>
      </c>
      <c r="K157" s="7">
        <f t="shared" si="14"/>
        <v>4.2563733648606582E-4</v>
      </c>
    </row>
    <row r="158" spans="1:11" ht="15" customHeight="1" x14ac:dyDescent="0.25">
      <c r="A158" s="2">
        <v>156</v>
      </c>
      <c r="B158" s="7">
        <f>'Ejercicio 1.e (3)'!F158</f>
        <v>0.37037037037037035</v>
      </c>
      <c r="C158" s="7">
        <f t="shared" si="10"/>
        <v>0.37037037037037035</v>
      </c>
      <c r="D158" s="7">
        <f>'Ejercicio 1.e (3)'!G158</f>
        <v>0.35485113619387548</v>
      </c>
      <c r="E158" s="7">
        <f t="shared" si="11"/>
        <v>0.35469778040507688</v>
      </c>
      <c r="F158" s="7">
        <f t="shared" si="12"/>
        <v>0.36465001891249188</v>
      </c>
      <c r="G158" s="7">
        <f>'Ejercicio 1.e (3)'!I158</f>
        <v>0.36470933938410482</v>
      </c>
      <c r="H158" s="7">
        <f>'Ejercicio 1.e (3)'!J158</f>
        <v>0.35076771529867679</v>
      </c>
      <c r="I158" s="7">
        <f t="shared" si="13"/>
        <v>0.35071066245124149</v>
      </c>
      <c r="J158" s="7">
        <f>'Ejercicio 1.e (3)'!K158</f>
        <v>4.2570657824179568E-4</v>
      </c>
      <c r="K158" s="7">
        <f t="shared" si="14"/>
        <v>4.2563733648606582E-4</v>
      </c>
    </row>
    <row r="159" spans="1:11" ht="15" customHeight="1" x14ac:dyDescent="0.25">
      <c r="A159" s="2">
        <v>157</v>
      </c>
      <c r="B159" s="7">
        <f>'Ejercicio 1.e (3)'!F159</f>
        <v>0.37037037037037035</v>
      </c>
      <c r="C159" s="7">
        <f t="shared" si="10"/>
        <v>0.37037037037037035</v>
      </c>
      <c r="D159" s="7">
        <f>'Ejercicio 1.e (3)'!G159</f>
        <v>0.35485102124312773</v>
      </c>
      <c r="E159" s="7">
        <f t="shared" si="11"/>
        <v>0.35469778040507688</v>
      </c>
      <c r="F159" s="7">
        <f t="shared" si="12"/>
        <v>0.36465001891249188</v>
      </c>
      <c r="G159" s="7">
        <f>'Ejercicio 1.e (3)'!I159</f>
        <v>0.36470916829226535</v>
      </c>
      <c r="H159" s="7">
        <f>'Ejercicio 1.e (3)'!J159</f>
        <v>0.35076755074710886</v>
      </c>
      <c r="I159" s="7">
        <f t="shared" si="13"/>
        <v>0.35071066245124149</v>
      </c>
      <c r="J159" s="7">
        <f>'Ejercicio 1.e (3)'!K159</f>
        <v>4.2570637853503283E-4</v>
      </c>
      <c r="K159" s="7">
        <f t="shared" si="14"/>
        <v>4.2563733648606582E-4</v>
      </c>
    </row>
    <row r="160" spans="1:11" ht="15" customHeight="1" x14ac:dyDescent="0.25">
      <c r="A160" s="2">
        <v>158</v>
      </c>
      <c r="B160" s="7">
        <f>'Ejercicio 1.e (3)'!F160</f>
        <v>0.37037037037037035</v>
      </c>
      <c r="C160" s="7">
        <f t="shared" si="10"/>
        <v>0.37037037037037035</v>
      </c>
      <c r="D160" s="7">
        <f>'Ejercicio 1.e (3)'!G160</f>
        <v>0.35485090623810261</v>
      </c>
      <c r="E160" s="7">
        <f t="shared" si="11"/>
        <v>0.35469778040507688</v>
      </c>
      <c r="F160" s="7">
        <f t="shared" si="12"/>
        <v>0.36465001891249188</v>
      </c>
      <c r="G160" s="7">
        <f>'Ejercicio 1.e (3)'!I160</f>
        <v>0.36470900360840147</v>
      </c>
      <c r="H160" s="7">
        <f>'Ejercicio 1.e (3)'!J160</f>
        <v>0.35076739235856091</v>
      </c>
      <c r="I160" s="7">
        <f t="shared" si="13"/>
        <v>0.35071066245124149</v>
      </c>
      <c r="J160" s="7">
        <f>'Ejercicio 1.e (3)'!K160</f>
        <v>4.257061863079725E-4</v>
      </c>
      <c r="K160" s="7">
        <f t="shared" si="14"/>
        <v>4.2563733648606582E-4</v>
      </c>
    </row>
    <row r="161" spans="1:11" ht="15" customHeight="1" x14ac:dyDescent="0.25">
      <c r="A161" s="2">
        <v>159</v>
      </c>
      <c r="B161" s="7">
        <f>'Ejercicio 1.e (3)'!F161</f>
        <v>0.37037037037037035</v>
      </c>
      <c r="C161" s="7">
        <f t="shared" si="10"/>
        <v>0.37037037037037035</v>
      </c>
      <c r="D161" s="7">
        <f>'Ejercicio 1.e (3)'!G161</f>
        <v>0.35485079118597174</v>
      </c>
      <c r="E161" s="7">
        <f t="shared" si="11"/>
        <v>0.35469778040507688</v>
      </c>
      <c r="F161" s="7">
        <f t="shared" si="12"/>
        <v>0.36465001891249188</v>
      </c>
      <c r="G161" s="7">
        <f>'Ejercicio 1.e (3)'!I161</f>
        <v>0.36470884501375833</v>
      </c>
      <c r="H161" s="7">
        <f>'Ejercicio 1.e (3)'!J161</f>
        <v>0.35076723982646313</v>
      </c>
      <c r="I161" s="7">
        <f t="shared" si="13"/>
        <v>0.35071066245124149</v>
      </c>
      <c r="J161" s="7">
        <f>'Ejercicio 1.e (3)'!K161</f>
        <v>4.2570600118854843E-4</v>
      </c>
      <c r="K161" s="7">
        <f t="shared" si="14"/>
        <v>4.2563733648606582E-4</v>
      </c>
    </row>
    <row r="162" spans="1:11" ht="15" customHeight="1" x14ac:dyDescent="0.25">
      <c r="A162" s="2">
        <v>160</v>
      </c>
      <c r="B162" s="7">
        <f>'Ejercicio 1.e (3)'!F162</f>
        <v>0.37037037037037035</v>
      </c>
      <c r="C162" s="7">
        <f t="shared" si="10"/>
        <v>0.37037037037037035</v>
      </c>
      <c r="D162" s="7">
        <f>'Ejercicio 1.e (3)'!G162</f>
        <v>0.35485067609354459</v>
      </c>
      <c r="E162" s="7">
        <f t="shared" si="11"/>
        <v>0.35469778040507688</v>
      </c>
      <c r="F162" s="7">
        <f t="shared" si="12"/>
        <v>0.36465001891249188</v>
      </c>
      <c r="G162" s="7">
        <f>'Ejercicio 1.e (3)'!I162</f>
        <v>0.36470869220551833</v>
      </c>
      <c r="H162" s="7">
        <f>'Ejercicio 1.e (3)'!J162</f>
        <v>0.35076709285957347</v>
      </c>
      <c r="I162" s="7">
        <f t="shared" si="13"/>
        <v>0.35071066245124149</v>
      </c>
      <c r="J162" s="7">
        <f>'Ejercicio 1.e (3)'!K162</f>
        <v>4.2570582282329715E-4</v>
      </c>
      <c r="K162" s="7">
        <f t="shared" si="14"/>
        <v>4.2563733648606582E-4</v>
      </c>
    </row>
    <row r="163" spans="1:11" ht="15" customHeight="1" x14ac:dyDescent="0.25">
      <c r="A163" s="2">
        <v>161</v>
      </c>
      <c r="B163" s="7">
        <f>'Ejercicio 1.e (3)'!F163</f>
        <v>0.37037037037037035</v>
      </c>
      <c r="C163" s="7">
        <f t="shared" si="10"/>
        <v>0.37037037037037035</v>
      </c>
      <c r="D163" s="7">
        <f>'Ejercicio 1.e (3)'!G163</f>
        <v>0.35485056096728701</v>
      </c>
      <c r="E163" s="7">
        <f t="shared" si="11"/>
        <v>0.35469778040507688</v>
      </c>
      <c r="F163" s="7">
        <f t="shared" si="12"/>
        <v>0.36465001891249188</v>
      </c>
      <c r="G163" s="7">
        <f>'Ejercicio 1.e (3)'!I163</f>
        <v>0.36470854489600352</v>
      </c>
      <c r="H163" s="7">
        <f>'Ejercicio 1.e (3)'!J163</f>
        <v>0.3507669511812111</v>
      </c>
      <c r="I163" s="7">
        <f t="shared" si="13"/>
        <v>0.35071066245124149</v>
      </c>
      <c r="J163" s="7">
        <f>'Ejercicio 1.e (3)'!K163</f>
        <v>4.2570565087642678E-4</v>
      </c>
      <c r="K163" s="7">
        <f t="shared" si="14"/>
        <v>4.2563733648606582E-4</v>
      </c>
    </row>
    <row r="164" spans="1:11" ht="15" customHeight="1" x14ac:dyDescent="0.25">
      <c r="A164" s="2">
        <v>162</v>
      </c>
      <c r="B164" s="7">
        <f>'Ejercicio 1.e (3)'!F164</f>
        <v>0.37037037037037035</v>
      </c>
      <c r="C164" s="7">
        <f t="shared" si="10"/>
        <v>0.37037037037037035</v>
      </c>
      <c r="D164" s="7">
        <f>'Ejercicio 1.e (3)'!G164</f>
        <v>0.35485044581333791</v>
      </c>
      <c r="E164" s="7">
        <f t="shared" si="11"/>
        <v>0.35469778040507688</v>
      </c>
      <c r="F164" s="7">
        <f t="shared" si="12"/>
        <v>0.36465001891249188</v>
      </c>
      <c r="G164" s="7">
        <f>'Ejercicio 1.e (3)'!I164</f>
        <v>0.36470840281191935</v>
      </c>
      <c r="H164" s="7">
        <f>'Ejercicio 1.e (3)'!J164</f>
        <v>0.35076681452852854</v>
      </c>
      <c r="I164" s="7">
        <f t="shared" si="13"/>
        <v>0.35071066245124149</v>
      </c>
      <c r="J164" s="7">
        <f>'Ejercicio 1.e (3)'!K164</f>
        <v>4.2570548502893468E-4</v>
      </c>
      <c r="K164" s="7">
        <f t="shared" si="14"/>
        <v>4.2563733648606582E-4</v>
      </c>
    </row>
    <row r="165" spans="1:11" ht="15" customHeight="1" x14ac:dyDescent="0.25">
      <c r="A165" s="2">
        <v>163</v>
      </c>
      <c r="B165" s="7">
        <f>'Ejercicio 1.e (3)'!F165</f>
        <v>0.37037037037037035</v>
      </c>
      <c r="C165" s="7">
        <f t="shared" si="10"/>
        <v>0.37037037037037035</v>
      </c>
      <c r="D165" s="7">
        <f>'Ejercicio 1.e (3)'!G165</f>
        <v>0.35485033063752591</v>
      </c>
      <c r="E165" s="7">
        <f t="shared" si="11"/>
        <v>0.35469778040507688</v>
      </c>
      <c r="F165" s="7">
        <f t="shared" si="12"/>
        <v>0.36465001891249188</v>
      </c>
      <c r="G165" s="7">
        <f>'Ejercicio 1.e (3)'!I165</f>
        <v>0.36470826569363479</v>
      </c>
      <c r="H165" s="7">
        <f>'Ejercicio 1.e (3)'!J165</f>
        <v>0.35076668265181959</v>
      </c>
      <c r="I165" s="7">
        <f t="shared" si="13"/>
        <v>0.35071066245124149</v>
      </c>
      <c r="J165" s="7">
        <f>'Ejercicio 1.e (3)'!K165</f>
        <v>4.2570532497776672E-4</v>
      </c>
      <c r="K165" s="7">
        <f t="shared" si="14"/>
        <v>4.2563733648606582E-4</v>
      </c>
    </row>
    <row r="166" spans="1:11" ht="15" customHeight="1" x14ac:dyDescent="0.25">
      <c r="A166" s="2">
        <v>164</v>
      </c>
      <c r="B166" s="7">
        <f>'Ejercicio 1.e (3)'!F166</f>
        <v>0.37037037037037035</v>
      </c>
      <c r="C166" s="7">
        <f t="shared" si="10"/>
        <v>0.37037037037037035</v>
      </c>
      <c r="D166" s="7">
        <f>'Ejercicio 1.e (3)'!G166</f>
        <v>0.35485021544538486</v>
      </c>
      <c r="E166" s="7">
        <f t="shared" si="11"/>
        <v>0.35469778040507688</v>
      </c>
      <c r="F166" s="7">
        <f t="shared" si="12"/>
        <v>0.36465001891249188</v>
      </c>
      <c r="G166" s="7">
        <f>'Ejercicio 1.e (3)'!I166</f>
        <v>0.36470813329449958</v>
      </c>
      <c r="H166" s="7">
        <f>'Ejercicio 1.e (3)'!J166</f>
        <v>0.35076655531386264</v>
      </c>
      <c r="I166" s="7">
        <f t="shared" si="13"/>
        <v>0.35071066245124149</v>
      </c>
      <c r="J166" s="7">
        <f>'Ejercicio 1.e (3)'!K166</f>
        <v>4.2570517043502066E-4</v>
      </c>
      <c r="K166" s="7">
        <f t="shared" si="14"/>
        <v>4.2563733648606582E-4</v>
      </c>
    </row>
    <row r="167" spans="1:11" ht="15" customHeight="1" x14ac:dyDescent="0.25">
      <c r="A167" s="2">
        <v>165</v>
      </c>
      <c r="B167" s="7">
        <f>'Ejercicio 1.e (3)'!F167</f>
        <v>0.37037037037037035</v>
      </c>
      <c r="C167" s="7">
        <f t="shared" si="10"/>
        <v>0.37037037037037035</v>
      </c>
      <c r="D167" s="7">
        <f>'Ejercicio 1.e (3)'!G167</f>
        <v>0.35485010024216829</v>
      </c>
      <c r="E167" s="7">
        <f t="shared" si="11"/>
        <v>0.35469778040507688</v>
      </c>
      <c r="F167" s="7">
        <f t="shared" si="12"/>
        <v>0.36465001891249188</v>
      </c>
      <c r="G167" s="7">
        <f>'Ejercicio 1.e (3)'!I167</f>
        <v>0.36470800538019454</v>
      </c>
      <c r="H167" s="7">
        <f>'Ejercicio 1.e (3)'!J167</f>
        <v>0.35076643228929572</v>
      </c>
      <c r="I167" s="7">
        <f t="shared" si="13"/>
        <v>0.35071066245124149</v>
      </c>
      <c r="J167" s="7">
        <f>'Ejercicio 1.e (3)'!K167</f>
        <v>4.2570502112718775E-4</v>
      </c>
      <c r="K167" s="7">
        <f t="shared" si="14"/>
        <v>4.2563733648606582E-4</v>
      </c>
    </row>
    <row r="168" spans="1:11" ht="15" customHeight="1" x14ac:dyDescent="0.25">
      <c r="A168" s="2">
        <v>166</v>
      </c>
      <c r="B168" s="7">
        <f>'Ejercicio 1.e (3)'!F168</f>
        <v>0.37037037037037035</v>
      </c>
      <c r="C168" s="7">
        <f t="shared" si="10"/>
        <v>0.37037037037037035</v>
      </c>
      <c r="D168" s="7">
        <f>'Ejercicio 1.e (3)'!G168</f>
        <v>0.3548499850328638</v>
      </c>
      <c r="E168" s="7">
        <f t="shared" si="11"/>
        <v>0.35469778040507688</v>
      </c>
      <c r="F168" s="7">
        <f t="shared" si="12"/>
        <v>0.36465001891249188</v>
      </c>
      <c r="G168" s="7">
        <f>'Ejercicio 1.e (3)'!I168</f>
        <v>0.36470788172811586</v>
      </c>
      <c r="H168" s="7">
        <f>'Ejercicio 1.e (3)'!J168</f>
        <v>0.35076631336402436</v>
      </c>
      <c r="I168" s="7">
        <f t="shared" si="13"/>
        <v>0.35071066245124149</v>
      </c>
      <c r="J168" s="7">
        <f>'Ejercicio 1.e (3)'!K168</f>
        <v>4.2570487679443388E-4</v>
      </c>
      <c r="K168" s="7">
        <f t="shared" si="14"/>
        <v>4.2563733648606582E-4</v>
      </c>
    </row>
    <row r="169" spans="1:11" ht="15" customHeight="1" x14ac:dyDescent="0.25">
      <c r="A169" s="2">
        <v>167</v>
      </c>
      <c r="B169" s="7">
        <f>'Ejercicio 1.e (3)'!F169</f>
        <v>0.37037037037037035</v>
      </c>
      <c r="C169" s="7">
        <f t="shared" si="10"/>
        <v>0.37037037037037035</v>
      </c>
      <c r="D169" s="7">
        <f>'Ejercicio 1.e (3)'!G169</f>
        <v>0.35484986982220618</v>
      </c>
      <c r="E169" s="7">
        <f t="shared" si="11"/>
        <v>0.35469778040507688</v>
      </c>
      <c r="F169" s="7">
        <f t="shared" si="12"/>
        <v>0.36465001891249188</v>
      </c>
      <c r="G169" s="7">
        <f>'Ejercicio 1.e (3)'!I169</f>
        <v>0.36470776212678885</v>
      </c>
      <c r="H169" s="7">
        <f>'Ejercicio 1.e (3)'!J169</f>
        <v>0.350766198334658</v>
      </c>
      <c r="I169" s="7">
        <f t="shared" si="13"/>
        <v>0.35071066245124149</v>
      </c>
      <c r="J169" s="7">
        <f>'Ejercicio 1.e (3)'!K169</f>
        <v>4.257047371899155E-4</v>
      </c>
      <c r="K169" s="7">
        <f t="shared" si="14"/>
        <v>4.2563733648606582E-4</v>
      </c>
    </row>
    <row r="170" spans="1:11" ht="15" customHeight="1" x14ac:dyDescent="0.25">
      <c r="A170" s="2">
        <v>168</v>
      </c>
      <c r="B170" s="7">
        <f>'Ejercicio 1.e (3)'!F170</f>
        <v>0.37037037037037035</v>
      </c>
      <c r="C170" s="7">
        <f t="shared" si="10"/>
        <v>0.37037037037037035</v>
      </c>
      <c r="D170" s="7">
        <f>'Ejercicio 1.e (3)'!G170</f>
        <v>0.35484975461469004</v>
      </c>
      <c r="E170" s="7">
        <f t="shared" si="11"/>
        <v>0.35469778040507688</v>
      </c>
      <c r="F170" s="7">
        <f t="shared" si="12"/>
        <v>0.36465001891249188</v>
      </c>
      <c r="G170" s="7">
        <f>'Ejercicio 1.e (3)'!I170</f>
        <v>0.36470764637531128</v>
      </c>
      <c r="H170" s="7">
        <f>'Ejercicio 1.e (3)'!J170</f>
        <v>0.35076608700797413</v>
      </c>
      <c r="I170" s="7">
        <f t="shared" si="13"/>
        <v>0.35071066245124149</v>
      </c>
      <c r="J170" s="7">
        <f>'Ejercicio 1.e (3)'!K170</f>
        <v>4.2570460207912966E-4</v>
      </c>
      <c r="K170" s="7">
        <f t="shared" si="14"/>
        <v>4.2563733648606582E-4</v>
      </c>
    </row>
    <row r="171" spans="1:11" ht="15" customHeight="1" x14ac:dyDescent="0.25">
      <c r="A171" s="2">
        <v>169</v>
      </c>
      <c r="B171" s="7">
        <f>'Ejercicio 1.e (3)'!F171</f>
        <v>0.37037037037037035</v>
      </c>
      <c r="C171" s="7">
        <f t="shared" si="10"/>
        <v>0.37037037037037035</v>
      </c>
      <c r="D171" s="7">
        <f>'Ejercicio 1.e (3)'!G171</f>
        <v>0.35484963941458186</v>
      </c>
      <c r="E171" s="7">
        <f t="shared" si="11"/>
        <v>0.35469778040507688</v>
      </c>
      <c r="F171" s="7">
        <f t="shared" si="12"/>
        <v>0.36465001891249188</v>
      </c>
      <c r="G171" s="7">
        <f>'Ejercicio 1.e (3)'!I171</f>
        <v>0.36470753428282515</v>
      </c>
      <c r="H171" s="7">
        <f>'Ejercicio 1.e (3)'!J171</f>
        <v>0.35076597920041064</v>
      </c>
      <c r="I171" s="7">
        <f t="shared" si="13"/>
        <v>0.35071066245124149</v>
      </c>
      <c r="J171" s="7">
        <f>'Ejercicio 1.e (3)'!K171</f>
        <v>4.2570447123929764E-4</v>
      </c>
      <c r="K171" s="7">
        <f t="shared" si="14"/>
        <v>4.2563733648606582E-4</v>
      </c>
    </row>
    <row r="172" spans="1:11" ht="15" customHeight="1" x14ac:dyDescent="0.25">
      <c r="A172" s="2">
        <v>170</v>
      </c>
      <c r="B172" s="7">
        <f>'Ejercicio 1.e (3)'!F172</f>
        <v>0.37037037037037035</v>
      </c>
      <c r="C172" s="7">
        <f t="shared" si="10"/>
        <v>0.37037037037037035</v>
      </c>
      <c r="D172" s="7">
        <f>'Ejercicio 1.e (3)'!G172</f>
        <v>0.35484952422593141</v>
      </c>
      <c r="E172" s="7">
        <f t="shared" si="11"/>
        <v>0.35469778040507688</v>
      </c>
      <c r="F172" s="7">
        <f t="shared" si="12"/>
        <v>0.36465001891249188</v>
      </c>
      <c r="G172" s="7">
        <f>'Ejercicio 1.e (3)'!I172</f>
        <v>0.36470742566801412</v>
      </c>
      <c r="H172" s="7">
        <f>'Ejercicio 1.e (3)'!J172</f>
        <v>0.35076587473758231</v>
      </c>
      <c r="I172" s="7">
        <f t="shared" si="13"/>
        <v>0.35071066245124149</v>
      </c>
      <c r="J172" s="7">
        <f>'Ejercicio 1.e (3)'!K172</f>
        <v>4.2570434445877802E-4</v>
      </c>
      <c r="K172" s="7">
        <f t="shared" si="14"/>
        <v>4.2563733648606582E-4</v>
      </c>
    </row>
    <row r="173" spans="1:11" ht="15" customHeight="1" x14ac:dyDescent="0.25">
      <c r="A173" s="2">
        <v>171</v>
      </c>
      <c r="B173" s="7">
        <f>'Ejercicio 1.e (3)'!F173</f>
        <v>0.37037037037037035</v>
      </c>
      <c r="C173" s="7">
        <f t="shared" si="10"/>
        <v>0.37037037037037035</v>
      </c>
      <c r="D173" s="7">
        <f>'Ejercicio 1.e (3)'!G173</f>
        <v>0.35484940905258261</v>
      </c>
      <c r="E173" s="7">
        <f t="shared" si="11"/>
        <v>0.35469778040507688</v>
      </c>
      <c r="F173" s="7">
        <f t="shared" si="12"/>
        <v>0.36465001891249188</v>
      </c>
      <c r="G173" s="7">
        <f>'Ejercicio 1.e (3)'!I173</f>
        <v>0.36470732035862663</v>
      </c>
      <c r="H173" s="7">
        <f>'Ejercicio 1.e (3)'!J173</f>
        <v>0.3507657734538222</v>
      </c>
      <c r="I173" s="7">
        <f t="shared" si="13"/>
        <v>0.35071066245124149</v>
      </c>
      <c r="J173" s="7">
        <f>'Ejercicio 1.e (3)'!K173</f>
        <v>4.2570422153651044E-4</v>
      </c>
      <c r="K173" s="7">
        <f t="shared" si="14"/>
        <v>4.2563733648606582E-4</v>
      </c>
    </row>
    <row r="174" spans="1:11" ht="15" customHeight="1" x14ac:dyDescent="0.25">
      <c r="A174" s="2">
        <v>172</v>
      </c>
      <c r="B174" s="7">
        <f>'Ejercicio 1.e (3)'!F174</f>
        <v>0.37037037037037035</v>
      </c>
      <c r="C174" s="7">
        <f t="shared" si="10"/>
        <v>0.37037037037037035</v>
      </c>
      <c r="D174" s="7">
        <f>'Ejercicio 1.e (3)'!G174</f>
        <v>0.35484929389818376</v>
      </c>
      <c r="E174" s="7">
        <f t="shared" si="11"/>
        <v>0.35469778040507688</v>
      </c>
      <c r="F174" s="7">
        <f t="shared" si="12"/>
        <v>0.36465001891249188</v>
      </c>
      <c r="G174" s="7">
        <f>'Ejercicio 1.e (3)'!I174</f>
        <v>0.36470721819102264</v>
      </c>
      <c r="H174" s="7">
        <f>'Ejercicio 1.e (3)'!J174</f>
        <v>0.35076567519174562</v>
      </c>
      <c r="I174" s="7">
        <f t="shared" si="13"/>
        <v>0.35071066245124149</v>
      </c>
      <c r="J174" s="7">
        <f>'Ejercicio 1.e (3)'!K174</f>
        <v>4.2570410228148623E-4</v>
      </c>
      <c r="K174" s="7">
        <f t="shared" si="14"/>
        <v>4.2563733648606582E-4</v>
      </c>
    </row>
    <row r="175" spans="1:11" ht="15" customHeight="1" x14ac:dyDescent="0.25">
      <c r="A175" s="2">
        <v>173</v>
      </c>
      <c r="B175" s="7">
        <f>'Ejercicio 1.e (3)'!F175</f>
        <v>0.37037037037037035</v>
      </c>
      <c r="C175" s="7">
        <f t="shared" si="10"/>
        <v>0.37037037037037035</v>
      </c>
      <c r="D175" s="7">
        <f>'Ejercicio 1.e (3)'!G175</f>
        <v>0.35484917876619737</v>
      </c>
      <c r="E175" s="7">
        <f t="shared" si="11"/>
        <v>0.35469778040507688</v>
      </c>
      <c r="F175" s="7">
        <f t="shared" si="12"/>
        <v>0.36465001891249188</v>
      </c>
      <c r="G175" s="7">
        <f>'Ejercicio 1.e (3)'!I175</f>
        <v>0.36470711900974273</v>
      </c>
      <c r="H175" s="7">
        <f>'Ejercicio 1.e (3)'!J175</f>
        <v>0.35076557980183593</v>
      </c>
      <c r="I175" s="7">
        <f t="shared" si="13"/>
        <v>0.35071066245124149</v>
      </c>
      <c r="J175" s="7">
        <f>'Ejercicio 1.e (3)'!K175</f>
        <v>4.2570398651224552E-4</v>
      </c>
      <c r="K175" s="7">
        <f t="shared" si="14"/>
        <v>4.2563733648606582E-4</v>
      </c>
    </row>
    <row r="176" spans="1:11" ht="15" customHeight="1" x14ac:dyDescent="0.25">
      <c r="A176" s="2">
        <v>174</v>
      </c>
      <c r="B176" s="7">
        <f>'Ejercicio 1.e (3)'!F176</f>
        <v>0.37037037037037035</v>
      </c>
      <c r="C176" s="7">
        <f t="shared" si="10"/>
        <v>0.37037037037037035</v>
      </c>
      <c r="D176" s="7">
        <f>'Ejercicio 1.e (3)'!G176</f>
        <v>0.3548490636599092</v>
      </c>
      <c r="E176" s="7">
        <f t="shared" si="11"/>
        <v>0.35469778040507688</v>
      </c>
      <c r="F176" s="7">
        <f t="shared" si="12"/>
        <v>0.36465001891249188</v>
      </c>
      <c r="G176" s="7">
        <f>'Ejercicio 1.e (3)'!I176</f>
        <v>0.3647070226670997</v>
      </c>
      <c r="H176" s="7">
        <f>'Ejercicio 1.e (3)'!J176</f>
        <v>0.35076548714205141</v>
      </c>
      <c r="I176" s="7">
        <f t="shared" si="13"/>
        <v>0.35071066245124149</v>
      </c>
      <c r="J176" s="7">
        <f>'Ejercicio 1.e (3)'!K176</f>
        <v>4.2570387405640065E-4</v>
      </c>
      <c r="K176" s="7">
        <f t="shared" si="14"/>
        <v>4.2563733648606582E-4</v>
      </c>
    </row>
    <row r="177" spans="1:11" ht="15" customHeight="1" x14ac:dyDescent="0.25">
      <c r="A177" s="2">
        <v>175</v>
      </c>
      <c r="B177" s="7">
        <f>'Ejercicio 1.e (3)'!F177</f>
        <v>0.37037037037037035</v>
      </c>
      <c r="C177" s="7">
        <f t="shared" si="10"/>
        <v>0.37037037037037035</v>
      </c>
      <c r="D177" s="7">
        <f>'Ejercicio 1.e (3)'!G177</f>
        <v>0.35484894858243776</v>
      </c>
      <c r="E177" s="7">
        <f t="shared" si="11"/>
        <v>0.35469778040507688</v>
      </c>
      <c r="F177" s="7">
        <f t="shared" si="12"/>
        <v>0.36465001891249188</v>
      </c>
      <c r="G177" s="7">
        <f>'Ejercicio 1.e (3)'!I177</f>
        <v>0.36470692902278917</v>
      </c>
      <c r="H177" s="7">
        <f>'Ejercicio 1.e (3)'!J177</f>
        <v>0.35076539707745119</v>
      </c>
      <c r="I177" s="7">
        <f t="shared" si="13"/>
        <v>0.35071066245124149</v>
      </c>
      <c r="J177" s="7">
        <f>'Ejercicio 1.e (3)'!K177</f>
        <v>4.2570376475018141E-4</v>
      </c>
      <c r="K177" s="7">
        <f t="shared" si="14"/>
        <v>4.2563733648606582E-4</v>
      </c>
    </row>
    <row r="178" spans="1:11" ht="15" customHeight="1" x14ac:dyDescent="0.25">
      <c r="A178" s="2">
        <v>176</v>
      </c>
      <c r="B178" s="7">
        <f>'Ejercicio 1.e (3)'!F178</f>
        <v>0.37037037037037035</v>
      </c>
      <c r="C178" s="7">
        <f t="shared" si="10"/>
        <v>0.37037037037037035</v>
      </c>
      <c r="D178" s="7">
        <f>'Ejercicio 1.e (3)'!G178</f>
        <v>0.3548488335367419</v>
      </c>
      <c r="E178" s="7">
        <f t="shared" si="11"/>
        <v>0.35469778040507688</v>
      </c>
      <c r="F178" s="7">
        <f t="shared" si="12"/>
        <v>0.36465001891249188</v>
      </c>
      <c r="G178" s="7">
        <f>'Ejercicio 1.e (3)'!I178</f>
        <v>0.3647068379435211</v>
      </c>
      <c r="H178" s="7">
        <f>'Ejercicio 1.e (3)'!J178</f>
        <v>0.35076530947984036</v>
      </c>
      <c r="I178" s="7">
        <f t="shared" si="13"/>
        <v>0.35071066245124149</v>
      </c>
      <c r="J178" s="7">
        <f>'Ejercicio 1.e (3)'!K178</f>
        <v>4.2570365843800517E-4</v>
      </c>
      <c r="K178" s="7">
        <f t="shared" si="14"/>
        <v>4.2563733648606582E-4</v>
      </c>
    </row>
    <row r="179" spans="1:11" ht="15" customHeight="1" x14ac:dyDescent="0.25">
      <c r="A179" s="2">
        <v>177</v>
      </c>
      <c r="B179" s="7">
        <f>'Ejercicio 1.e (3)'!F179</f>
        <v>0.37037037037037035</v>
      </c>
      <c r="C179" s="7">
        <f t="shared" si="10"/>
        <v>0.37037037037037035</v>
      </c>
      <c r="D179" s="7">
        <f>'Ejercicio 1.e (3)'!G179</f>
        <v>0.35484871852562944</v>
      </c>
      <c r="E179" s="7">
        <f t="shared" si="11"/>
        <v>0.35469778040507688</v>
      </c>
      <c r="F179" s="7">
        <f t="shared" si="12"/>
        <v>0.36465001891249188</v>
      </c>
      <c r="G179" s="7">
        <f>'Ejercicio 1.e (3)'!I179</f>
        <v>0.36470674930266878</v>
      </c>
      <c r="H179" s="7">
        <f>'Ejercicio 1.e (3)'!J179</f>
        <v>0.35076522422743278</v>
      </c>
      <c r="I179" s="7">
        <f t="shared" si="13"/>
        <v>0.35071066245124149</v>
      </c>
      <c r="J179" s="7">
        <f>'Ejercicio 1.e (3)'!K179</f>
        <v>4.2570355497206704E-4</v>
      </c>
      <c r="K179" s="7">
        <f t="shared" si="14"/>
        <v>4.2563733648606582E-4</v>
      </c>
    </row>
    <row r="180" spans="1:11" ht="15" customHeight="1" x14ac:dyDescent="0.25">
      <c r="A180" s="2">
        <v>178</v>
      </c>
      <c r="B180" s="7">
        <f>'Ejercicio 1.e (3)'!F180</f>
        <v>0.37037037037037035</v>
      </c>
      <c r="C180" s="7">
        <f t="shared" si="10"/>
        <v>0.37037037037037035</v>
      </c>
      <c r="D180" s="7">
        <f>'Ejercicio 1.e (3)'!G180</f>
        <v>0.35484860355176417</v>
      </c>
      <c r="E180" s="7">
        <f t="shared" si="11"/>
        <v>0.35469778040507688</v>
      </c>
      <c r="F180" s="7">
        <f t="shared" si="12"/>
        <v>0.36465001891249188</v>
      </c>
      <c r="G180" s="7">
        <f>'Ejercicio 1.e (3)'!I180</f>
        <v>0.36470666297993537</v>
      </c>
      <c r="H180" s="7">
        <f>'Ejercicio 1.e (3)'!J180</f>
        <v>0.35076514120453017</v>
      </c>
      <c r="I180" s="7">
        <f t="shared" si="13"/>
        <v>0.35071066245124149</v>
      </c>
      <c r="J180" s="7">
        <f>'Ejercicio 1.e (3)'!K180</f>
        <v>4.2570345421195075E-4</v>
      </c>
      <c r="K180" s="7">
        <f t="shared" si="14"/>
        <v>4.2563733648606582E-4</v>
      </c>
    </row>
    <row r="181" spans="1:11" ht="15" customHeight="1" x14ac:dyDescent="0.25">
      <c r="A181" s="2">
        <v>179</v>
      </c>
      <c r="B181" s="7">
        <f>'Ejercicio 1.e (3)'!F181</f>
        <v>0.37037037037037035</v>
      </c>
      <c r="C181" s="7">
        <f t="shared" si="10"/>
        <v>0.37037037037037035</v>
      </c>
      <c r="D181" s="7">
        <f>'Ejercicio 1.e (3)'!G181</f>
        <v>0.35484848861767332</v>
      </c>
      <c r="E181" s="7">
        <f t="shared" si="11"/>
        <v>0.35469778040507688</v>
      </c>
      <c r="F181" s="7">
        <f t="shared" si="12"/>
        <v>0.36465001891249188</v>
      </c>
      <c r="G181" s="7">
        <f>'Ejercicio 1.e (3)'!I181</f>
        <v>0.36470657886103797</v>
      </c>
      <c r="H181" s="7">
        <f>'Ejercicio 1.e (3)'!J181</f>
        <v>0.35076506030121823</v>
      </c>
      <c r="I181" s="7">
        <f t="shared" si="13"/>
        <v>0.35071066245124149</v>
      </c>
      <c r="J181" s="7">
        <f>'Ejercicio 1.e (3)'!K181</f>
        <v>4.2570335602425959E-4</v>
      </c>
      <c r="K181" s="7">
        <f t="shared" si="14"/>
        <v>4.2563733648606582E-4</v>
      </c>
    </row>
    <row r="182" spans="1:11" ht="15" customHeight="1" x14ac:dyDescent="0.25">
      <c r="A182" s="2">
        <v>180</v>
      </c>
      <c r="B182" s="7">
        <f>'Ejercicio 1.e (3)'!F182</f>
        <v>0.37037037037037035</v>
      </c>
      <c r="C182" s="7">
        <f t="shared" si="10"/>
        <v>0.37037037037037035</v>
      </c>
      <c r="D182" s="7">
        <f>'Ejercicio 1.e (3)'!G182</f>
        <v>0.35484837372575456</v>
      </c>
      <c r="E182" s="7">
        <f t="shared" si="11"/>
        <v>0.35469778040507688</v>
      </c>
      <c r="F182" s="7">
        <f t="shared" si="12"/>
        <v>0.36465001891249188</v>
      </c>
      <c r="G182" s="7">
        <f>'Ejercicio 1.e (3)'!I182</f>
        <v>0.36470649683740658</v>
      </c>
      <c r="H182" s="7">
        <f>'Ejercicio 1.e (3)'!J182</f>
        <v>0.35076498141307721</v>
      </c>
      <c r="I182" s="7">
        <f t="shared" si="13"/>
        <v>0.35071066245124149</v>
      </c>
      <c r="J182" s="7">
        <f>'Ejercicio 1.e (3)'!K182</f>
        <v>4.257032602822654E-4</v>
      </c>
      <c r="K182" s="7">
        <f t="shared" si="14"/>
        <v>4.2563733648606582E-4</v>
      </c>
    </row>
    <row r="183" spans="1:11" ht="15" customHeight="1" x14ac:dyDescent="0.25">
      <c r="A183" s="2">
        <v>181</v>
      </c>
      <c r="B183" s="7">
        <f>'Ejercicio 1.e (3)'!F183</f>
        <v>0.37037037037037035</v>
      </c>
      <c r="C183" s="7">
        <f t="shared" si="10"/>
        <v>0.37037037037037035</v>
      </c>
      <c r="D183" s="7">
        <f>'Ejercicio 1.e (3)'!G183</f>
        <v>0.3548482588782822</v>
      </c>
      <c r="E183" s="7">
        <f t="shared" si="11"/>
        <v>0.35469778040507688</v>
      </c>
      <c r="F183" s="7">
        <f t="shared" si="12"/>
        <v>0.36465001891249188</v>
      </c>
      <c r="G183" s="7">
        <f>'Ejercicio 1.e (3)'!I183</f>
        <v>0.36470641680589844</v>
      </c>
      <c r="H183" s="7">
        <f>'Ejercicio 1.e (3)'!J183</f>
        <v>0.35076490444090724</v>
      </c>
      <c r="I183" s="7">
        <f t="shared" si="13"/>
        <v>0.35071066245124149</v>
      </c>
      <c r="J183" s="7">
        <f>'Ejercicio 1.e (3)'!K183</f>
        <v>4.2570316686557489E-4</v>
      </c>
      <c r="K183" s="7">
        <f t="shared" si="14"/>
        <v>4.2563733648606582E-4</v>
      </c>
    </row>
    <row r="184" spans="1:11" ht="15" customHeight="1" x14ac:dyDescent="0.25">
      <c r="A184" s="2">
        <v>182</v>
      </c>
      <c r="B184" s="7">
        <f>'Ejercicio 1.e (3)'!F184</f>
        <v>0.37037037037037035</v>
      </c>
      <c r="C184" s="7">
        <f t="shared" si="10"/>
        <v>0.37037037037037035</v>
      </c>
      <c r="D184" s="7">
        <f>'Ejercicio 1.e (3)'!G184</f>
        <v>0.35484814407741344</v>
      </c>
      <c r="E184" s="7">
        <f t="shared" si="11"/>
        <v>0.35469778040507688</v>
      </c>
      <c r="F184" s="7">
        <f t="shared" si="12"/>
        <v>0.36465001891249188</v>
      </c>
      <c r="G184" s="7">
        <f>'Ejercicio 1.e (3)'!I184</f>
        <v>0.36470633866852686</v>
      </c>
      <c r="H184" s="7">
        <f>'Ejercicio 1.e (3)'!J184</f>
        <v>0.35076482929046732</v>
      </c>
      <c r="I184" s="7">
        <f t="shared" si="13"/>
        <v>0.35071066245124149</v>
      </c>
      <c r="J184" s="7">
        <f>'Ejercicio 1.e (3)'!K184</f>
        <v>4.257030756598132E-4</v>
      </c>
      <c r="K184" s="7">
        <f t="shared" si="14"/>
        <v>4.2563733648606582E-4</v>
      </c>
    </row>
    <row r="185" spans="1:11" ht="15" customHeight="1" x14ac:dyDescent="0.25">
      <c r="A185" s="2">
        <v>183</v>
      </c>
      <c r="B185" s="7">
        <f>'Ejercicio 1.e (3)'!F185</f>
        <v>0.37037037037037035</v>
      </c>
      <c r="C185" s="7">
        <f t="shared" si="10"/>
        <v>0.37037037037037035</v>
      </c>
      <c r="D185" s="7">
        <f>'Ejercicio 1.e (3)'!G185</f>
        <v>0.35484802932519427</v>
      </c>
      <c r="E185" s="7">
        <f t="shared" si="11"/>
        <v>0.35469778040507688</v>
      </c>
      <c r="F185" s="7">
        <f t="shared" si="12"/>
        <v>0.36465001891249188</v>
      </c>
      <c r="G185" s="7">
        <f>'Ejercicio 1.e (3)'!I185</f>
        <v>0.36470626233220327</v>
      </c>
      <c r="H185" s="7">
        <f>'Ejercicio 1.e (3)'!J185</f>
        <v>0.35076475587222727</v>
      </c>
      <c r="I185" s="7">
        <f t="shared" si="13"/>
        <v>0.35071066245124149</v>
      </c>
      <c r="J185" s="7">
        <f>'Ejercicio 1.e (3)'!K185</f>
        <v>4.2570298655632283E-4</v>
      </c>
      <c r="K185" s="7">
        <f t="shared" si="14"/>
        <v>4.2563733648606582E-4</v>
      </c>
    </row>
    <row r="186" spans="1:11" ht="15" customHeight="1" x14ac:dyDescent="0.25">
      <c r="A186" s="2">
        <v>184</v>
      </c>
      <c r="B186" s="7">
        <f>'Ejercicio 1.e (3)'!F186</f>
        <v>0.37037037037037035</v>
      </c>
      <c r="C186" s="7">
        <f t="shared" si="10"/>
        <v>0.37037037037037035</v>
      </c>
      <c r="D186" s="7">
        <f>'Ejercicio 1.e (3)'!G186</f>
        <v>0.35484791462356513</v>
      </c>
      <c r="E186" s="7">
        <f t="shared" si="11"/>
        <v>0.35469778040507688</v>
      </c>
      <c r="F186" s="7">
        <f t="shared" si="12"/>
        <v>0.36465001891249188</v>
      </c>
      <c r="G186" s="7">
        <f>'Ejercicio 1.e (3)'!I186</f>
        <v>0.36470618770849211</v>
      </c>
      <c r="H186" s="7">
        <f>'Ejercicio 1.e (3)'!J186</f>
        <v>0.35076468410113221</v>
      </c>
      <c r="I186" s="7">
        <f t="shared" si="13"/>
        <v>0.35071066245124149</v>
      </c>
      <c r="J186" s="7">
        <f>'Ejercicio 1.e (3)'!K186</f>
        <v>4.2570289945187742E-4</v>
      </c>
      <c r="K186" s="7">
        <f t="shared" si="14"/>
        <v>4.2563733648606582E-4</v>
      </c>
    </row>
    <row r="187" spans="1:11" ht="15" customHeight="1" x14ac:dyDescent="0.25">
      <c r="A187" s="2">
        <v>185</v>
      </c>
      <c r="B187" s="7">
        <f>'Ejercicio 1.e (3)'!F187</f>
        <v>0.37037037037037035</v>
      </c>
      <c r="C187" s="7">
        <f t="shared" si="10"/>
        <v>0.37037037037037035</v>
      </c>
      <c r="D187" s="7">
        <f>'Ejercicio 1.e (3)'!G187</f>
        <v>0.35484779997436594</v>
      </c>
      <c r="E187" s="7">
        <f t="shared" si="11"/>
        <v>0.35469778040507688</v>
      </c>
      <c r="F187" s="7">
        <f t="shared" si="12"/>
        <v>0.36465001891249188</v>
      </c>
      <c r="G187" s="7">
        <f>'Ejercicio 1.e (3)'!I187</f>
        <v>0.3647061147133786</v>
      </c>
      <c r="H187" s="7">
        <f>'Ejercicio 1.e (3)'!J187</f>
        <v>0.35076461389637892</v>
      </c>
      <c r="I187" s="7">
        <f t="shared" si="13"/>
        <v>0.35071066245124149</v>
      </c>
      <c r="J187" s="7">
        <f>'Ejercicio 1.e (3)'!K187</f>
        <v>4.2570281424841091E-4</v>
      </c>
      <c r="K187" s="7">
        <f t="shared" si="14"/>
        <v>4.2563733648606582E-4</v>
      </c>
    </row>
    <row r="188" spans="1:11" ht="15" customHeight="1" x14ac:dyDescent="0.25">
      <c r="A188" s="2">
        <v>186</v>
      </c>
      <c r="B188" s="7">
        <f>'Ejercicio 1.e (3)'!F188</f>
        <v>0.37037037037037035</v>
      </c>
      <c r="C188" s="7">
        <f t="shared" si="10"/>
        <v>0.37037037037037035</v>
      </c>
      <c r="D188" s="7">
        <f>'Ejercicio 1.e (3)'!G188</f>
        <v>0.35484768537934125</v>
      </c>
      <c r="E188" s="7">
        <f t="shared" si="11"/>
        <v>0.35469778040507688</v>
      </c>
      <c r="F188" s="7">
        <f t="shared" si="12"/>
        <v>0.36465001891249188</v>
      </c>
      <c r="G188" s="7">
        <f>'Ejercicio 1.e (3)'!I188</f>
        <v>0.36470604326704747</v>
      </c>
      <c r="H188" s="7">
        <f>'Ejercicio 1.e (3)'!J188</f>
        <v>0.3507645451812032</v>
      </c>
      <c r="I188" s="7">
        <f t="shared" si="13"/>
        <v>0.35071066245124149</v>
      </c>
      <c r="J188" s="7">
        <f>'Ejercicio 1.e (3)'!K188</f>
        <v>4.2570273085275887E-4</v>
      </c>
      <c r="K188" s="7">
        <f t="shared" si="14"/>
        <v>4.2563733648606582E-4</v>
      </c>
    </row>
    <row r="189" spans="1:11" ht="15" customHeight="1" x14ac:dyDescent="0.25">
      <c r="A189" s="2">
        <v>187</v>
      </c>
      <c r="B189" s="7">
        <f>'Ejercicio 1.e (3)'!F189</f>
        <v>0.37037037037037035</v>
      </c>
      <c r="C189" s="7">
        <f t="shared" si="10"/>
        <v>0.37037037037037035</v>
      </c>
      <c r="D189" s="7">
        <f>'Ejercicio 1.e (3)'!G189</f>
        <v>0.35484757084014529</v>
      </c>
      <c r="E189" s="7">
        <f t="shared" si="11"/>
        <v>0.35469778040507688</v>
      </c>
      <c r="F189" s="7">
        <f t="shared" si="12"/>
        <v>0.36465001891249188</v>
      </c>
      <c r="G189" s="7">
        <f>'Ejercicio 1.e (3)'!I189</f>
        <v>0.36470597329367305</v>
      </c>
      <c r="H189" s="7">
        <f>'Ejercicio 1.e (3)'!J189</f>
        <v>0.35076447788267795</v>
      </c>
      <c r="I189" s="7">
        <f t="shared" si="13"/>
        <v>0.35071066245124149</v>
      </c>
      <c r="J189" s="7">
        <f>'Ejercicio 1.e (3)'!K189</f>
        <v>4.2570264917641398E-4</v>
      </c>
      <c r="K189" s="7">
        <f t="shared" si="14"/>
        <v>4.2563733648606582E-4</v>
      </c>
    </row>
    <row r="190" spans="1:11" ht="15" customHeight="1" x14ac:dyDescent="0.25">
      <c r="A190" s="2">
        <v>188</v>
      </c>
      <c r="B190" s="7">
        <f>'Ejercicio 1.e (3)'!F190</f>
        <v>0.37037037037037035</v>
      </c>
      <c r="C190" s="7">
        <f t="shared" si="10"/>
        <v>0.37037037037037035</v>
      </c>
      <c r="D190" s="7">
        <f>'Ejercicio 1.e (3)'!G190</f>
        <v>0.35484745635834569</v>
      </c>
      <c r="E190" s="7">
        <f t="shared" si="11"/>
        <v>0.35469778040507688</v>
      </c>
      <c r="F190" s="7">
        <f t="shared" si="12"/>
        <v>0.36465001891249188</v>
      </c>
      <c r="G190" s="7">
        <f>'Ejercicio 1.e (3)'!I190</f>
        <v>0.36470590472121978</v>
      </c>
      <c r="H190" s="7">
        <f>'Ejercicio 1.e (3)'!J190</f>
        <v>0.35076441193152136</v>
      </c>
      <c r="I190" s="7">
        <f t="shared" si="13"/>
        <v>0.35071066245124149</v>
      </c>
      <c r="J190" s="7">
        <f>'Ejercicio 1.e (3)'!K190</f>
        <v>4.2570256913529274E-4</v>
      </c>
      <c r="K190" s="7">
        <f t="shared" si="14"/>
        <v>4.2563733648606582E-4</v>
      </c>
    </row>
    <row r="191" spans="1:11" ht="15" customHeight="1" x14ac:dyDescent="0.25">
      <c r="A191" s="2">
        <v>189</v>
      </c>
      <c r="B191" s="7">
        <f>'Ejercicio 1.e (3)'!F191</f>
        <v>0.37037037037037035</v>
      </c>
      <c r="C191" s="7">
        <f t="shared" si="10"/>
        <v>0.37037037037037035</v>
      </c>
      <c r="D191" s="7">
        <f>'Ejercicio 1.e (3)'!G191</f>
        <v>0.35484734193542899</v>
      </c>
      <c r="E191" s="7">
        <f t="shared" si="11"/>
        <v>0.35469778040507688</v>
      </c>
      <c r="F191" s="7">
        <f t="shared" si="12"/>
        <v>0.36465001891249188</v>
      </c>
      <c r="G191" s="7">
        <f>'Ejercicio 1.e (3)'!I191</f>
        <v>0.36470583748125246</v>
      </c>
      <c r="H191" s="7">
        <f>'Ejercicio 1.e (3)'!J191</f>
        <v>0.35076434726191419</v>
      </c>
      <c r="I191" s="7">
        <f t="shared" si="13"/>
        <v>0.35071066245124149</v>
      </c>
      <c r="J191" s="7">
        <f>'Ejercicio 1.e (3)'!K191</f>
        <v>4.2570249064951431E-4</v>
      </c>
      <c r="K191" s="7">
        <f t="shared" si="14"/>
        <v>4.2563733648606582E-4</v>
      </c>
    </row>
    <row r="192" spans="1:11" ht="15" customHeight="1" x14ac:dyDescent="0.25">
      <c r="A192" s="2">
        <v>190</v>
      </c>
      <c r="B192" s="7">
        <f>'Ejercicio 1.e (3)'!F192</f>
        <v>0.37037037037037035</v>
      </c>
      <c r="C192" s="7">
        <f t="shared" si="10"/>
        <v>0.37037037037037035</v>
      </c>
      <c r="D192" s="7">
        <f>'Ejercicio 1.e (3)'!G192</f>
        <v>0.35484722757280368</v>
      </c>
      <c r="E192" s="7">
        <f t="shared" si="11"/>
        <v>0.35469778040507688</v>
      </c>
      <c r="F192" s="7">
        <f t="shared" si="12"/>
        <v>0.36465001891249188</v>
      </c>
      <c r="G192" s="7">
        <f>'Ejercicio 1.e (3)'!I192</f>
        <v>0.36470577150875649</v>
      </c>
      <c r="H192" s="7">
        <f>'Ejercicio 1.e (3)'!J192</f>
        <v>0.35076428381132713</v>
      </c>
      <c r="I192" s="7">
        <f t="shared" si="13"/>
        <v>0.35071066245124149</v>
      </c>
      <c r="J192" s="7">
        <f>'Ejercicio 1.e (3)'!K192</f>
        <v>4.2570241364319042E-4</v>
      </c>
      <c r="K192" s="7">
        <f t="shared" si="14"/>
        <v>4.2563733648606582E-4</v>
      </c>
    </row>
    <row r="193" spans="1:11" ht="15" customHeight="1" x14ac:dyDescent="0.25">
      <c r="A193" s="2">
        <v>191</v>
      </c>
      <c r="B193" s="7">
        <f>'Ejercicio 1.e (3)'!F193</f>
        <v>0.37037037037037035</v>
      </c>
      <c r="C193" s="7">
        <f t="shared" si="10"/>
        <v>0.37037037037037035</v>
      </c>
      <c r="D193" s="7">
        <f>'Ejercicio 1.e (3)'!G193</f>
        <v>0.3548471132718044</v>
      </c>
      <c r="E193" s="7">
        <f t="shared" si="11"/>
        <v>0.35469778040507688</v>
      </c>
      <c r="F193" s="7">
        <f t="shared" si="12"/>
        <v>0.36465001891249188</v>
      </c>
      <c r="G193" s="7">
        <f>'Ejercicio 1.e (3)'!I193</f>
        <v>0.36470570674196695</v>
      </c>
      <c r="H193" s="7">
        <f>'Ejercicio 1.e (3)'!J193</f>
        <v>0.35076422152035636</v>
      </c>
      <c r="I193" s="7">
        <f t="shared" si="13"/>
        <v>0.35071066245124149</v>
      </c>
      <c r="J193" s="7">
        <f>'Ejercicio 1.e (3)'!K193</f>
        <v>4.2570233804422605E-4</v>
      </c>
      <c r="K193" s="7">
        <f t="shared" si="14"/>
        <v>4.2563733648606582E-4</v>
      </c>
    </row>
    <row r="194" spans="1:11" ht="15" customHeight="1" x14ac:dyDescent="0.25">
      <c r="A194" s="2">
        <v>192</v>
      </c>
      <c r="B194" s="7">
        <f>'Ejercicio 1.e (3)'!F194</f>
        <v>0.37037037037037035</v>
      </c>
      <c r="C194" s="7">
        <f t="shared" ref="C194:C202" si="15">$B$2</f>
        <v>0.37037037037037035</v>
      </c>
      <c r="D194" s="7">
        <f>'Ejercicio 1.e (3)'!G194</f>
        <v>0.35484699903369588</v>
      </c>
      <c r="E194" s="7">
        <f t="shared" ref="E194:E202" si="16">$D$2</f>
        <v>0.35469778040507688</v>
      </c>
      <c r="F194" s="7">
        <f t="shared" si="12"/>
        <v>0.36465001891249188</v>
      </c>
      <c r="G194" s="7">
        <f>'Ejercicio 1.e (3)'!I194</f>
        <v>0.36470564312220577</v>
      </c>
      <c r="H194" s="7">
        <f>'Ejercicio 1.e (3)'!J194</f>
        <v>0.35076416033256691</v>
      </c>
      <c r="I194" s="7">
        <f t="shared" si="13"/>
        <v>0.35071066245124149</v>
      </c>
      <c r="J194" s="7">
        <f>'Ejercicio 1.e (3)'!K194</f>
        <v>4.2570226378412922E-4</v>
      </c>
      <c r="K194" s="7">
        <f t="shared" si="14"/>
        <v>4.2563733648606582E-4</v>
      </c>
    </row>
    <row r="195" spans="1:11" ht="15" customHeight="1" x14ac:dyDescent="0.25">
      <c r="A195" s="2">
        <v>193</v>
      </c>
      <c r="B195" s="7">
        <f>'Ejercicio 1.e (3)'!F195</f>
        <v>0.37037037037037035</v>
      </c>
      <c r="C195" s="7">
        <f t="shared" si="15"/>
        <v>0.37037037037037035</v>
      </c>
      <c r="D195" s="7">
        <f>'Ejercicio 1.e (3)'!G195</f>
        <v>0.35484688485967625</v>
      </c>
      <c r="E195" s="7">
        <f t="shared" si="16"/>
        <v>0.35469778040507688</v>
      </c>
      <c r="F195" s="7">
        <f t="shared" ref="F195:F202" si="17">$G$2</f>
        <v>0.36465001891249188</v>
      </c>
      <c r="G195" s="7">
        <f>'Ejercicio 1.e (3)'!I195</f>
        <v>0.36470558059372765</v>
      </c>
      <c r="H195" s="7">
        <f>'Ejercicio 1.e (3)'!J195</f>
        <v>0.35076410019434434</v>
      </c>
      <c r="I195" s="7">
        <f t="shared" ref="I195:I202" si="18">$H$2</f>
        <v>0.35071066245124149</v>
      </c>
      <c r="J195" s="7">
        <f>'Ejercicio 1.e (3)'!K195</f>
        <v>4.2570219079783144E-4</v>
      </c>
      <c r="K195" s="7">
        <f t="shared" ref="K195:K202" si="19">$J$2</f>
        <v>4.2563733648606582E-4</v>
      </c>
    </row>
    <row r="196" spans="1:11" ht="15" customHeight="1" x14ac:dyDescent="0.25">
      <c r="A196" s="2">
        <v>194</v>
      </c>
      <c r="B196" s="7">
        <f>'Ejercicio 1.e (3)'!F196</f>
        <v>0.37037037037037035</v>
      </c>
      <c r="C196" s="7">
        <f t="shared" si="15"/>
        <v>0.37037037037037035</v>
      </c>
      <c r="D196" s="7">
        <f>'Ejercicio 1.e (3)'!G196</f>
        <v>0.35484677075088039</v>
      </c>
      <c r="E196" s="7">
        <f t="shared" si="16"/>
        <v>0.35469778040507688</v>
      </c>
      <c r="F196" s="7">
        <f t="shared" si="17"/>
        <v>0.36465001891249188</v>
      </c>
      <c r="G196" s="7">
        <f>'Ejercicio 1.e (3)'!I196</f>
        <v>0.36470551910357346</v>
      </c>
      <c r="H196" s="7">
        <f>'Ejercicio 1.e (3)'!J196</f>
        <v>0.35076404105475412</v>
      </c>
      <c r="I196" s="7">
        <f t="shared" si="18"/>
        <v>0.35071066245124149</v>
      </c>
      <c r="J196" s="7">
        <f>'Ejercicio 1.e (3)'!K196</f>
        <v>4.2570211902351606E-4</v>
      </c>
      <c r="K196" s="7">
        <f t="shared" si="19"/>
        <v>4.2563733648606582E-4</v>
      </c>
    </row>
    <row r="197" spans="1:11" ht="15" customHeight="1" x14ac:dyDescent="0.25">
      <c r="A197" s="2">
        <v>195</v>
      </c>
      <c r="B197" s="7">
        <f>'Ejercicio 1.e (3)'!F197</f>
        <v>0.37037037037037035</v>
      </c>
      <c r="C197" s="7">
        <f t="shared" si="15"/>
        <v>0.37037037037037035</v>
      </c>
      <c r="D197" s="7">
        <f>'Ejercicio 1.e (3)'!G197</f>
        <v>0.35484665670838317</v>
      </c>
      <c r="E197" s="7">
        <f t="shared" si="16"/>
        <v>0.35469778040507688</v>
      </c>
      <c r="F197" s="7">
        <f t="shared" si="17"/>
        <v>0.36465001891249188</v>
      </c>
      <c r="G197" s="7">
        <f>'Ejercicio 1.e (3)'!I197</f>
        <v>0.36470545860143061</v>
      </c>
      <c r="H197" s="7">
        <f>'Ejercicio 1.e (3)'!J197</f>
        <v>0.35076398286540678</v>
      </c>
      <c r="I197" s="7">
        <f t="shared" si="18"/>
        <v>0.35071066245124149</v>
      </c>
      <c r="J197" s="7">
        <f>'Ejercicio 1.e (3)'!K197</f>
        <v>4.257020484024559E-4</v>
      </c>
      <c r="K197" s="7">
        <f t="shared" si="19"/>
        <v>4.2563733648606582E-4</v>
      </c>
    </row>
    <row r="198" spans="1:11" ht="15" customHeight="1" x14ac:dyDescent="0.25">
      <c r="A198" s="2">
        <v>196</v>
      </c>
      <c r="B198" s="7">
        <f>'Ejercicio 1.e (3)'!F198</f>
        <v>0.37037037037037035</v>
      </c>
      <c r="C198" s="7">
        <f t="shared" si="15"/>
        <v>0.37037037037037035</v>
      </c>
      <c r="D198" s="7">
        <f>'Ejercicio 1.e (3)'!G198</f>
        <v>0.35484654273320226</v>
      </c>
      <c r="E198" s="7">
        <f t="shared" si="16"/>
        <v>0.35469778040507688</v>
      </c>
      <c r="F198" s="7">
        <f t="shared" si="17"/>
        <v>0.36465001891249188</v>
      </c>
      <c r="G198" s="7">
        <f>'Ejercicio 1.e (3)'!I198</f>
        <v>0.36470539903950094</v>
      </c>
      <c r="H198" s="7">
        <f>'Ejercicio 1.e (3)'!J198</f>
        <v>0.35076392558033143</v>
      </c>
      <c r="I198" s="7">
        <f t="shared" si="18"/>
        <v>0.35071066245124149</v>
      </c>
      <c r="J198" s="7">
        <f>'Ejercicio 1.e (3)'!K198</f>
        <v>4.2570197887885851E-4</v>
      </c>
      <c r="K198" s="7">
        <f t="shared" si="19"/>
        <v>4.2563733648606582E-4</v>
      </c>
    </row>
    <row r="199" spans="1:11" ht="15" customHeight="1" x14ac:dyDescent="0.25">
      <c r="A199" s="2">
        <v>197</v>
      </c>
      <c r="B199" s="7">
        <f>'Ejercicio 1.e (3)'!F199</f>
        <v>0.37037037037037035</v>
      </c>
      <c r="C199" s="7">
        <f t="shared" si="15"/>
        <v>0.37037037037037035</v>
      </c>
      <c r="D199" s="7">
        <f>'Ejercicio 1.e (3)'!G199</f>
        <v>0.3548464288263013</v>
      </c>
      <c r="E199" s="7">
        <f t="shared" si="16"/>
        <v>0.35469778040507688</v>
      </c>
      <c r="F199" s="7">
        <f t="shared" si="17"/>
        <v>0.36465001891249188</v>
      </c>
      <c r="G199" s="7">
        <f>'Ejercicio 1.e (3)'!I199</f>
        <v>0.36470534037237523</v>
      </c>
      <c r="H199" s="7">
        <f>'Ejercicio 1.e (3)'!J199</f>
        <v>0.35076386915585467</v>
      </c>
      <c r="I199" s="7">
        <f t="shared" si="18"/>
        <v>0.35071066245124149</v>
      </c>
      <c r="J199" s="7">
        <f>'Ejercicio 1.e (3)'!K199</f>
        <v>4.2570191039972003E-4</v>
      </c>
      <c r="K199" s="7">
        <f t="shared" si="19"/>
        <v>4.2563733648606582E-4</v>
      </c>
    </row>
    <row r="200" spans="1:11" ht="15" customHeight="1" x14ac:dyDescent="0.25">
      <c r="A200" s="2">
        <v>198</v>
      </c>
      <c r="B200" s="7">
        <f>'Ejercicio 1.e (3)'!F200</f>
        <v>0.37037037037037035</v>
      </c>
      <c r="C200" s="7">
        <f t="shared" si="15"/>
        <v>0.37037037037037035</v>
      </c>
      <c r="D200" s="7">
        <f>'Ejercicio 1.e (3)'!G200</f>
        <v>0.35484631498859209</v>
      </c>
      <c r="E200" s="7">
        <f t="shared" si="16"/>
        <v>0.35469778040507688</v>
      </c>
      <c r="F200" s="7">
        <f t="shared" si="17"/>
        <v>0.36465001891249188</v>
      </c>
      <c r="G200" s="7">
        <f>'Ejercicio 1.e (3)'!I200</f>
        <v>0.3647052825569132</v>
      </c>
      <c r="H200" s="7">
        <f>'Ejercicio 1.e (3)'!J200</f>
        <v>0.3507638135504853</v>
      </c>
      <c r="I200" s="7">
        <f t="shared" si="18"/>
        <v>0.35071066245124149</v>
      </c>
      <c r="J200" s="7">
        <f>'Ejercicio 1.e (3)'!K200</f>
        <v>4.2570184291468511E-4</v>
      </c>
      <c r="K200" s="7">
        <f t="shared" si="19"/>
        <v>4.2563733648606582E-4</v>
      </c>
    </row>
    <row r="201" spans="1:11" ht="15" customHeight="1" x14ac:dyDescent="0.25">
      <c r="A201" s="2">
        <v>199</v>
      </c>
      <c r="B201" s="7">
        <f>'Ejercicio 1.e (3)'!F201</f>
        <v>0.37037037037037035</v>
      </c>
      <c r="C201" s="7">
        <f t="shared" si="15"/>
        <v>0.37037037037037035</v>
      </c>
      <c r="D201" s="7">
        <f>'Ejercicio 1.e (3)'!G201</f>
        <v>0.3548462012209378</v>
      </c>
      <c r="E201" s="7">
        <f t="shared" si="16"/>
        <v>0.35469778040507688</v>
      </c>
      <c r="F201" s="7">
        <f t="shared" si="17"/>
        <v>0.36465001891249188</v>
      </c>
      <c r="G201" s="7">
        <f>'Ejercicio 1.e (3)'!I201</f>
        <v>0.36470522555213042</v>
      </c>
      <c r="H201" s="7">
        <f>'Ejercicio 1.e (3)'!J201</f>
        <v>0.35076375872480564</v>
      </c>
      <c r="I201" s="7">
        <f t="shared" si="18"/>
        <v>0.35071066245124149</v>
      </c>
      <c r="J201" s="7">
        <f>'Ejercicio 1.e (3)'!K201</f>
        <v>4.2570177637591463E-4</v>
      </c>
      <c r="K201" s="7">
        <f t="shared" si="19"/>
        <v>4.2563733648606582E-4</v>
      </c>
    </row>
    <row r="202" spans="1:11" ht="15" customHeight="1" thickBot="1" x14ac:dyDescent="0.3">
      <c r="A202" s="3">
        <v>200</v>
      </c>
      <c r="B202" s="9">
        <f>'Ejercicio 1.e (3)'!F202</f>
        <v>0.37037037037037035</v>
      </c>
      <c r="C202" s="9">
        <f t="shared" si="15"/>
        <v>0.37037037037037035</v>
      </c>
      <c r="D202" s="9">
        <f>'Ejercicio 1.e (3)'!G202</f>
        <v>0.35484608752415508</v>
      </c>
      <c r="E202" s="9">
        <f t="shared" si="16"/>
        <v>0.35469778040507688</v>
      </c>
      <c r="F202" s="9">
        <f t="shared" si="17"/>
        <v>0.36465001891249188</v>
      </c>
      <c r="G202" s="9">
        <f>'Ejercicio 1.e (3)'!I202</f>
        <v>0.36470516931909064</v>
      </c>
      <c r="H202" s="9">
        <f>'Ejercicio 1.e (3)'!J202</f>
        <v>0.35076370464136775</v>
      </c>
      <c r="I202" s="9">
        <f t="shared" si="18"/>
        <v>0.35071066245124149</v>
      </c>
      <c r="J202" s="9">
        <f>'Ejercicio 1.e (3)'!K202</f>
        <v>4.2570171073796036E-4</v>
      </c>
      <c r="K202" s="9">
        <f t="shared" si="19"/>
        <v>4.2563733648606582E-4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Ejercicio 1.e (1)</vt:lpstr>
      <vt:lpstr>Ejercicio 1.e (2)</vt:lpstr>
      <vt:lpstr>Ejercicio 1.e (3)</vt:lpstr>
      <vt:lpstr>Ejercicio 1.e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2020-04-02T03:42:49Z</dcterms:created>
  <dcterms:modified xsi:type="dcterms:W3CDTF">2021-09-28T10:47:06Z</dcterms:modified>
</cp:coreProperties>
</file>