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4. Macroeconomía Dinámica\Trabajos Prácticos\Trabajo Práctico N° 2\Datos\"/>
    </mc:Choice>
  </mc:AlternateContent>
  <xr:revisionPtr revIDLastSave="0" documentId="13_ncr:1_{CF3AC43F-9B2E-4158-93F8-512C0AD53340}" xr6:coauthVersionLast="47" xr6:coauthVersionMax="47" xr10:uidLastSave="{00000000-0000-0000-0000-000000000000}"/>
  <bookViews>
    <workbookView xWindow="-120" yWindow="-120" windowWidth="20730" windowHeight="11760" tabRatio="788" xr2:uid="{B03B75A7-C831-4F43-9E0A-C808F2E03295}"/>
  </bookViews>
  <sheets>
    <sheet name="Ejercicio 3.c" sheetId="1" r:id="rId1"/>
    <sheet name="Ejercicio 3.d" sheetId="2" r:id="rId2"/>
    <sheet name="Ejercicio 3.e" sheetId="8" r:id="rId3"/>
    <sheet name="Ejercicio 3.f (1)" sheetId="5" r:id="rId4"/>
    <sheet name="Ejercicio 3.f (2)" sheetId="9" r:id="rId5"/>
    <sheet name="Ejercicio 3.f (3)" sheetId="6" r:id="rId6"/>
    <sheet name="Ejercicio 3.f (4)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" i="2"/>
  <c r="J2" i="8"/>
  <c r="J2" i="5"/>
  <c r="J2" i="9"/>
  <c r="J2" i="6"/>
  <c r="J2" i="10"/>
  <c r="J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" i="2"/>
  <c r="H2" i="8"/>
  <c r="H2" i="5"/>
  <c r="H2" i="9"/>
  <c r="H2" i="6"/>
  <c r="H2" i="10"/>
  <c r="H2" i="1"/>
  <c r="F4" i="1"/>
  <c r="F5" i="1" s="1"/>
  <c r="F6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4" i="2"/>
  <c r="F5" i="2" s="1"/>
  <c r="F6" i="2" s="1"/>
  <c r="F7" i="2" s="1"/>
  <c r="F8" i="2" s="1"/>
  <c r="F9" i="2" s="1"/>
  <c r="F10" i="2" s="1"/>
  <c r="F11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4" i="5"/>
  <c r="F5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4" i="9"/>
  <c r="F5" i="9" s="1"/>
  <c r="F6" i="9"/>
  <c r="F7" i="9" s="1"/>
  <c r="F8" i="9" s="1"/>
  <c r="F9" i="9" s="1"/>
  <c r="F10" i="9" s="1"/>
  <c r="F11" i="9" s="1"/>
  <c r="F12" i="9" s="1"/>
  <c r="F13" i="9" s="1"/>
  <c r="F14" i="9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4" i="6"/>
  <c r="F5" i="6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4" i="10"/>
  <c r="F5" i="10" s="1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4" i="8"/>
  <c r="F5" i="8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3" i="5"/>
  <c r="F3" i="9"/>
  <c r="F3" i="6"/>
  <c r="F3" i="10"/>
  <c r="F3" i="8"/>
  <c r="F3" i="2"/>
  <c r="F3" i="1"/>
  <c r="F2" i="8" l="1"/>
  <c r="F2" i="5"/>
  <c r="F2" i="9"/>
  <c r="F2" i="6"/>
  <c r="F2" i="10"/>
  <c r="F2" i="1"/>
  <c r="D2" i="10" l="1"/>
  <c r="D2" i="6"/>
  <c r="D2" i="9"/>
  <c r="D2" i="5"/>
  <c r="D2" i="8"/>
  <c r="D2" i="2"/>
  <c r="G2" i="10" l="1"/>
  <c r="B2" i="10"/>
  <c r="E2" i="10" s="1"/>
  <c r="B2" i="9"/>
  <c r="E2" i="9" s="1"/>
  <c r="D3" i="9" s="1"/>
  <c r="C3" i="9" s="1"/>
  <c r="B2" i="8"/>
  <c r="E2" i="8" s="1"/>
  <c r="D3" i="8" s="1"/>
  <c r="C3" i="8" s="1"/>
  <c r="G2" i="8"/>
  <c r="G2" i="9" l="1"/>
  <c r="D3" i="10"/>
  <c r="E3" i="9"/>
  <c r="D4" i="9" s="1"/>
  <c r="C4" i="9" s="1"/>
  <c r="G3" i="8"/>
  <c r="E3" i="8"/>
  <c r="D4" i="8" s="1"/>
  <c r="C4" i="8" s="1"/>
  <c r="G3" i="9"/>
  <c r="G2" i="6"/>
  <c r="E2" i="6"/>
  <c r="G2" i="5"/>
  <c r="E2" i="5"/>
  <c r="G2" i="2"/>
  <c r="E2" i="2"/>
  <c r="E3" i="10" l="1"/>
  <c r="C3" i="10"/>
  <c r="D4" i="10"/>
  <c r="C4" i="10" s="1"/>
  <c r="D3" i="6"/>
  <c r="C3" i="6" s="1"/>
  <c r="D3" i="5"/>
  <c r="C3" i="5" s="1"/>
  <c r="D3" i="2"/>
  <c r="C3" i="2" s="1"/>
  <c r="E4" i="8"/>
  <c r="D5" i="8" s="1"/>
  <c r="C5" i="8" s="1"/>
  <c r="G2" i="1"/>
  <c r="D2" i="1"/>
  <c r="E2" i="1" s="1"/>
  <c r="D3" i="1" s="1"/>
  <c r="C3" i="1" s="1"/>
  <c r="G4" i="8" l="1"/>
  <c r="E3" i="5"/>
  <c r="D4" i="5" s="1"/>
  <c r="C4" i="5" s="1"/>
  <c r="G3" i="5"/>
  <c r="G3" i="10"/>
  <c r="G3" i="6"/>
  <c r="E3" i="6"/>
  <c r="D4" i="6" s="1"/>
  <c r="C4" i="6" s="1"/>
  <c r="E3" i="1"/>
  <c r="D4" i="1" s="1"/>
  <c r="C4" i="1" s="1"/>
  <c r="E4" i="10"/>
  <c r="D5" i="10" s="1"/>
  <c r="G3" i="1"/>
  <c r="G4" i="9"/>
  <c r="E4" i="9"/>
  <c r="E5" i="8"/>
  <c r="D6" i="8" s="1"/>
  <c r="C6" i="8" s="1"/>
  <c r="E3" i="2"/>
  <c r="G3" i="2"/>
  <c r="G4" i="6" l="1"/>
  <c r="C5" i="10"/>
  <c r="E5" i="10"/>
  <c r="D6" i="10" s="1"/>
  <c r="G4" i="5"/>
  <c r="G5" i="8"/>
  <c r="E4" i="1"/>
  <c r="D5" i="1" s="1"/>
  <c r="E4" i="6"/>
  <c r="G4" i="10"/>
  <c r="G4" i="1"/>
  <c r="D5" i="6"/>
  <c r="C5" i="6" s="1"/>
  <c r="D5" i="9"/>
  <c r="C5" i="9" s="1"/>
  <c r="E4" i="5"/>
  <c r="E6" i="8"/>
  <c r="D7" i="8" s="1"/>
  <c r="C7" i="8" s="1"/>
  <c r="D4" i="2"/>
  <c r="G5" i="6" l="1"/>
  <c r="G5" i="9"/>
  <c r="E5" i="6"/>
  <c r="D6" i="6" s="1"/>
  <c r="C6" i="6" s="1"/>
  <c r="E5" i="9"/>
  <c r="D6" i="9" s="1"/>
  <c r="C6" i="9" s="1"/>
  <c r="E5" i="1"/>
  <c r="D6" i="1" s="1"/>
  <c r="C5" i="1"/>
  <c r="G5" i="10"/>
  <c r="E6" i="10"/>
  <c r="D7" i="10" s="1"/>
  <c r="C6" i="10"/>
  <c r="E4" i="2"/>
  <c r="C4" i="2"/>
  <c r="D5" i="5"/>
  <c r="E7" i="8"/>
  <c r="D8" i="8" s="1"/>
  <c r="C8" i="8" s="1"/>
  <c r="D5" i="2"/>
  <c r="G6" i="6" l="1"/>
  <c r="G6" i="8"/>
  <c r="E6" i="6"/>
  <c r="D7" i="6" s="1"/>
  <c r="C7" i="6" s="1"/>
  <c r="C7" i="10"/>
  <c r="E7" i="10"/>
  <c r="D8" i="10" s="1"/>
  <c r="E6" i="1"/>
  <c r="D7" i="1" s="1"/>
  <c r="C7" i="1" s="1"/>
  <c r="C6" i="1"/>
  <c r="E5" i="5"/>
  <c r="D6" i="5" s="1"/>
  <c r="C5" i="5"/>
  <c r="E5" i="2"/>
  <c r="D6" i="2" s="1"/>
  <c r="C6" i="2" s="1"/>
  <c r="C5" i="2"/>
  <c r="G4" i="2"/>
  <c r="E6" i="9"/>
  <c r="G6" i="9"/>
  <c r="E8" i="8"/>
  <c r="D9" i="8" s="1"/>
  <c r="C9" i="8" s="1"/>
  <c r="G5" i="5" l="1"/>
  <c r="G7" i="6"/>
  <c r="G7" i="8"/>
  <c r="G6" i="10"/>
  <c r="G5" i="1"/>
  <c r="C8" i="10"/>
  <c r="E8" i="10"/>
  <c r="E7" i="6"/>
  <c r="D8" i="6" s="1"/>
  <c r="E6" i="5"/>
  <c r="C6" i="5"/>
  <c r="G6" i="1"/>
  <c r="D9" i="10"/>
  <c r="C9" i="10" s="1"/>
  <c r="D7" i="9"/>
  <c r="C7" i="9" s="1"/>
  <c r="D7" i="5"/>
  <c r="E9" i="8"/>
  <c r="D10" i="8" s="1"/>
  <c r="C10" i="8" s="1"/>
  <c r="E6" i="2"/>
  <c r="E7" i="1"/>
  <c r="G6" i="2" l="1"/>
  <c r="G5" i="2"/>
  <c r="G7" i="10"/>
  <c r="G8" i="8"/>
  <c r="G6" i="5"/>
  <c r="G7" i="1"/>
  <c r="E7" i="5"/>
  <c r="D8" i="5" s="1"/>
  <c r="C7" i="5"/>
  <c r="E8" i="6"/>
  <c r="D9" i="6" s="1"/>
  <c r="C8" i="6"/>
  <c r="E9" i="10"/>
  <c r="D10" i="10" s="1"/>
  <c r="C10" i="10" s="1"/>
  <c r="G8" i="10"/>
  <c r="E7" i="9"/>
  <c r="G7" i="9"/>
  <c r="E10" i="8"/>
  <c r="D11" i="8" s="1"/>
  <c r="C11" i="8" s="1"/>
  <c r="D7" i="2"/>
  <c r="C7" i="2" s="1"/>
  <c r="D8" i="1"/>
  <c r="C8" i="1" s="1"/>
  <c r="G7" i="5" l="1"/>
  <c r="G9" i="8"/>
  <c r="G8" i="1"/>
  <c r="E8" i="1"/>
  <c r="D9" i="1" s="1"/>
  <c r="C9" i="1" s="1"/>
  <c r="E10" i="10"/>
  <c r="D11" i="10" s="1"/>
  <c r="G9" i="10"/>
  <c r="G8" i="6"/>
  <c r="E8" i="5"/>
  <c r="D9" i="5" s="1"/>
  <c r="C8" i="5"/>
  <c r="E9" i="6"/>
  <c r="D10" i="6" s="1"/>
  <c r="C9" i="6"/>
  <c r="D8" i="9"/>
  <c r="E11" i="8"/>
  <c r="D12" i="8" s="1"/>
  <c r="C12" i="8" s="1"/>
  <c r="E7" i="2"/>
  <c r="G7" i="2"/>
  <c r="G10" i="8" l="1"/>
  <c r="C10" i="6"/>
  <c r="E10" i="6"/>
  <c r="D11" i="6" s="1"/>
  <c r="C11" i="6" s="1"/>
  <c r="C11" i="10"/>
  <c r="E11" i="10"/>
  <c r="E9" i="5"/>
  <c r="C9" i="5"/>
  <c r="G9" i="5" s="1"/>
  <c r="E8" i="9"/>
  <c r="D9" i="9" s="1"/>
  <c r="C8" i="9"/>
  <c r="G8" i="5"/>
  <c r="D12" i="10"/>
  <c r="C12" i="10" s="1"/>
  <c r="D10" i="5"/>
  <c r="E12" i="8"/>
  <c r="D13" i="8" s="1"/>
  <c r="C13" i="8" s="1"/>
  <c r="D8" i="2"/>
  <c r="C8" i="2" s="1"/>
  <c r="G9" i="1"/>
  <c r="E9" i="1"/>
  <c r="E11" i="6" l="1"/>
  <c r="G11" i="8"/>
  <c r="G10" i="10"/>
  <c r="G9" i="6"/>
  <c r="G8" i="9"/>
  <c r="E9" i="9"/>
  <c r="C9" i="9"/>
  <c r="G11" i="10"/>
  <c r="E12" i="10"/>
  <c r="D13" i="10" s="1"/>
  <c r="C13" i="10" s="1"/>
  <c r="E10" i="5"/>
  <c r="D11" i="5" s="1"/>
  <c r="C10" i="5"/>
  <c r="G10" i="6"/>
  <c r="D12" i="6"/>
  <c r="C12" i="6" s="1"/>
  <c r="D10" i="9"/>
  <c r="G10" i="5"/>
  <c r="E13" i="8"/>
  <c r="D14" i="8" s="1"/>
  <c r="C14" i="8" s="1"/>
  <c r="E8" i="2"/>
  <c r="G8" i="2"/>
  <c r="D10" i="1"/>
  <c r="C10" i="1" s="1"/>
  <c r="E12" i="6"/>
  <c r="G12" i="8" l="1"/>
  <c r="E10" i="1"/>
  <c r="D11" i="1" s="1"/>
  <c r="C11" i="1" s="1"/>
  <c r="G10" i="1"/>
  <c r="E11" i="5"/>
  <c r="D12" i="5" s="1"/>
  <c r="C11" i="5"/>
  <c r="E10" i="9"/>
  <c r="C10" i="9"/>
  <c r="E13" i="10"/>
  <c r="G11" i="6"/>
  <c r="G12" i="10"/>
  <c r="D14" i="10"/>
  <c r="C14" i="10" s="1"/>
  <c r="D13" i="6"/>
  <c r="D11" i="9"/>
  <c r="E14" i="8"/>
  <c r="D15" i="8" s="1"/>
  <c r="C15" i="8" s="1"/>
  <c r="D9" i="2"/>
  <c r="G10" i="9" l="1"/>
  <c r="G13" i="8"/>
  <c r="G9" i="9"/>
  <c r="E12" i="5"/>
  <c r="D13" i="5" s="1"/>
  <c r="C12" i="5"/>
  <c r="E14" i="10"/>
  <c r="D15" i="10" s="1"/>
  <c r="E11" i="9"/>
  <c r="D12" i="9" s="1"/>
  <c r="C12" i="9" s="1"/>
  <c r="C11" i="9"/>
  <c r="G13" i="10"/>
  <c r="E9" i="2"/>
  <c r="D10" i="2" s="1"/>
  <c r="C10" i="2" s="1"/>
  <c r="C9" i="2"/>
  <c r="E13" i="6"/>
  <c r="D14" i="6" s="1"/>
  <c r="C13" i="6"/>
  <c r="E15" i="8"/>
  <c r="D16" i="8" s="1"/>
  <c r="C16" i="8" s="1"/>
  <c r="E11" i="1"/>
  <c r="G11" i="1"/>
  <c r="G11" i="5" l="1"/>
  <c r="G11" i="9"/>
  <c r="G12" i="6"/>
  <c r="G14" i="8"/>
  <c r="E13" i="5"/>
  <c r="C13" i="5"/>
  <c r="E14" i="6"/>
  <c r="D15" i="6" s="1"/>
  <c r="C15" i="6" s="1"/>
  <c r="C14" i="6"/>
  <c r="E15" i="10"/>
  <c r="C15" i="10"/>
  <c r="G13" i="6"/>
  <c r="D16" i="10"/>
  <c r="C16" i="10" s="1"/>
  <c r="E12" i="9"/>
  <c r="G12" i="9"/>
  <c r="D14" i="5"/>
  <c r="E16" i="8"/>
  <c r="D17" i="8" s="1"/>
  <c r="C17" i="8" s="1"/>
  <c r="E10" i="2"/>
  <c r="D12" i="1"/>
  <c r="C12" i="1" s="1"/>
  <c r="G15" i="8" l="1"/>
  <c r="G12" i="5"/>
  <c r="G14" i="10"/>
  <c r="G9" i="2"/>
  <c r="G12" i="1"/>
  <c r="E12" i="1"/>
  <c r="D13" i="1" s="1"/>
  <c r="C13" i="1" s="1"/>
  <c r="E14" i="5"/>
  <c r="D15" i="5" s="1"/>
  <c r="C14" i="5"/>
  <c r="E16" i="10"/>
  <c r="G10" i="2"/>
  <c r="G13" i="5"/>
  <c r="G15" i="10"/>
  <c r="E15" i="6"/>
  <c r="D16" i="6" s="1"/>
  <c r="D17" i="10"/>
  <c r="C17" i="10" s="1"/>
  <c r="D13" i="9"/>
  <c r="C13" i="9" s="1"/>
  <c r="G16" i="8"/>
  <c r="E17" i="8"/>
  <c r="D18" i="8" s="1"/>
  <c r="C18" i="8" s="1"/>
  <c r="D11" i="2"/>
  <c r="G14" i="5" l="1"/>
  <c r="G14" i="6"/>
  <c r="E16" i="6"/>
  <c r="C16" i="6"/>
  <c r="E15" i="5"/>
  <c r="D16" i="5" s="1"/>
  <c r="C15" i="5"/>
  <c r="E11" i="2"/>
  <c r="D12" i="2" s="1"/>
  <c r="C12" i="2" s="1"/>
  <c r="C11" i="2"/>
  <c r="E17" i="10"/>
  <c r="G16" i="10"/>
  <c r="G15" i="6"/>
  <c r="D18" i="10"/>
  <c r="D17" i="6"/>
  <c r="C17" i="6" s="1"/>
  <c r="E13" i="9"/>
  <c r="G13" i="9"/>
  <c r="G17" i="8"/>
  <c r="E18" i="8"/>
  <c r="D19" i="8" s="1"/>
  <c r="C19" i="8" s="1"/>
  <c r="G13" i="1"/>
  <c r="E13" i="1"/>
  <c r="G15" i="5" l="1"/>
  <c r="E17" i="6"/>
  <c r="E16" i="5"/>
  <c r="D17" i="5" s="1"/>
  <c r="C16" i="5"/>
  <c r="E18" i="10"/>
  <c r="D19" i="10" s="1"/>
  <c r="C18" i="10"/>
  <c r="D18" i="6"/>
  <c r="C18" i="6" s="1"/>
  <c r="D14" i="9"/>
  <c r="C14" i="9" s="1"/>
  <c r="E19" i="8"/>
  <c r="D20" i="8" s="1"/>
  <c r="C20" i="8" s="1"/>
  <c r="E12" i="2"/>
  <c r="D14" i="1"/>
  <c r="C14" i="1" s="1"/>
  <c r="E18" i="6" l="1"/>
  <c r="G18" i="8"/>
  <c r="G16" i="6"/>
  <c r="G11" i="2"/>
  <c r="G17" i="10"/>
  <c r="C19" i="10"/>
  <c r="E19" i="10"/>
  <c r="D20" i="10" s="1"/>
  <c r="C20" i="10" s="1"/>
  <c r="G14" i="1"/>
  <c r="G12" i="2"/>
  <c r="E17" i="5"/>
  <c r="D18" i="5" s="1"/>
  <c r="C17" i="5"/>
  <c r="G17" i="5" s="1"/>
  <c r="E14" i="1"/>
  <c r="D15" i="1" s="1"/>
  <c r="C15" i="1" s="1"/>
  <c r="G17" i="6"/>
  <c r="D19" i="6"/>
  <c r="E14" i="9"/>
  <c r="G14" i="9"/>
  <c r="E20" i="8"/>
  <c r="D21" i="8" s="1"/>
  <c r="C21" i="8" s="1"/>
  <c r="D13" i="2"/>
  <c r="C13" i="2" s="1"/>
  <c r="G18" i="10" l="1"/>
  <c r="G19" i="8"/>
  <c r="G16" i="5"/>
  <c r="E18" i="5"/>
  <c r="D19" i="5" s="1"/>
  <c r="C18" i="5"/>
  <c r="G18" i="6"/>
  <c r="E20" i="10"/>
  <c r="D21" i="10" s="1"/>
  <c r="C21" i="10" s="1"/>
  <c r="E19" i="6"/>
  <c r="D20" i="6" s="1"/>
  <c r="C19" i="6"/>
  <c r="G19" i="10"/>
  <c r="D15" i="9"/>
  <c r="C15" i="9" s="1"/>
  <c r="E21" i="8"/>
  <c r="D22" i="8" s="1"/>
  <c r="C22" i="8" s="1"/>
  <c r="E13" i="2"/>
  <c r="G13" i="2"/>
  <c r="G15" i="1"/>
  <c r="E15" i="1"/>
  <c r="G20" i="8" l="1"/>
  <c r="C20" i="6"/>
  <c r="E20" i="6"/>
  <c r="D21" i="6" s="1"/>
  <c r="G19" i="6"/>
  <c r="E19" i="5"/>
  <c r="D20" i="5" s="1"/>
  <c r="C19" i="5"/>
  <c r="E21" i="10"/>
  <c r="D22" i="10" s="1"/>
  <c r="G18" i="5"/>
  <c r="E15" i="9"/>
  <c r="G15" i="9"/>
  <c r="E22" i="8"/>
  <c r="D23" i="8" s="1"/>
  <c r="C23" i="8" s="1"/>
  <c r="D14" i="2"/>
  <c r="C14" i="2" s="1"/>
  <c r="D16" i="1"/>
  <c r="C16" i="1" s="1"/>
  <c r="G21" i="8" l="1"/>
  <c r="G19" i="5"/>
  <c r="G20" i="10"/>
  <c r="G16" i="1"/>
  <c r="C21" i="6"/>
  <c r="E21" i="6"/>
  <c r="D22" i="6" s="1"/>
  <c r="C22" i="6" s="1"/>
  <c r="E20" i="5"/>
  <c r="D21" i="5" s="1"/>
  <c r="C20" i="5"/>
  <c r="E16" i="1"/>
  <c r="D17" i="1" s="1"/>
  <c r="C17" i="1" s="1"/>
  <c r="E22" i="10"/>
  <c r="C22" i="10"/>
  <c r="G21" i="10"/>
  <c r="D23" i="10"/>
  <c r="D16" i="9"/>
  <c r="E23" i="8"/>
  <c r="D24" i="8" s="1"/>
  <c r="C24" i="8" s="1"/>
  <c r="E14" i="2"/>
  <c r="G14" i="2"/>
  <c r="G22" i="8" l="1"/>
  <c r="G20" i="5"/>
  <c r="G20" i="6"/>
  <c r="E21" i="5"/>
  <c r="D22" i="5" s="1"/>
  <c r="C21" i="5"/>
  <c r="E22" i="6"/>
  <c r="E16" i="9"/>
  <c r="D17" i="9" s="1"/>
  <c r="C16" i="9"/>
  <c r="E23" i="10"/>
  <c r="D24" i="10" s="1"/>
  <c r="C23" i="10"/>
  <c r="G21" i="6"/>
  <c r="D23" i="6"/>
  <c r="G24" i="8"/>
  <c r="D15" i="2"/>
  <c r="C15" i="2" s="1"/>
  <c r="G17" i="1"/>
  <c r="E24" i="8"/>
  <c r="D25" i="8" s="1"/>
  <c r="C25" i="8" s="1"/>
  <c r="E17" i="1"/>
  <c r="G21" i="5" l="1"/>
  <c r="G22" i="10"/>
  <c r="G16" i="9"/>
  <c r="G23" i="8"/>
  <c r="E17" i="9"/>
  <c r="D18" i="9" s="1"/>
  <c r="C17" i="9"/>
  <c r="G17" i="9" s="1"/>
  <c r="E24" i="10"/>
  <c r="D25" i="10" s="1"/>
  <c r="C25" i="10" s="1"/>
  <c r="C24" i="10"/>
  <c r="E22" i="5"/>
  <c r="D23" i="5" s="1"/>
  <c r="C22" i="5"/>
  <c r="E23" i="6"/>
  <c r="D24" i="6" s="1"/>
  <c r="C24" i="6" s="1"/>
  <c r="C23" i="6"/>
  <c r="E25" i="8"/>
  <c r="D26" i="8" s="1"/>
  <c r="C26" i="8" s="1"/>
  <c r="E15" i="2"/>
  <c r="G15" i="2"/>
  <c r="D18" i="1"/>
  <c r="C18" i="1" s="1"/>
  <c r="G23" i="10" l="1"/>
  <c r="G22" i="5"/>
  <c r="G22" i="6"/>
  <c r="E24" i="6"/>
  <c r="D25" i="6" s="1"/>
  <c r="E18" i="1"/>
  <c r="D19" i="1" s="1"/>
  <c r="C19" i="1" s="1"/>
  <c r="G18" i="1"/>
  <c r="E23" i="5"/>
  <c r="D24" i="5" s="1"/>
  <c r="C23" i="5"/>
  <c r="G24" i="10"/>
  <c r="E25" i="10"/>
  <c r="D26" i="10" s="1"/>
  <c r="E18" i="9"/>
  <c r="D19" i="9" s="1"/>
  <c r="C18" i="9"/>
  <c r="E26" i="8"/>
  <c r="D27" i="8" s="1"/>
  <c r="C27" i="8" s="1"/>
  <c r="D16" i="2"/>
  <c r="C16" i="2" s="1"/>
  <c r="G25" i="8" l="1"/>
  <c r="G23" i="5"/>
  <c r="G23" i="6"/>
  <c r="G18" i="9"/>
  <c r="E19" i="9"/>
  <c r="C19" i="9"/>
  <c r="C26" i="10"/>
  <c r="E26" i="10"/>
  <c r="D27" i="10" s="1"/>
  <c r="E24" i="5"/>
  <c r="D25" i="5" s="1"/>
  <c r="C24" i="5"/>
  <c r="G25" i="10"/>
  <c r="E25" i="6"/>
  <c r="D26" i="6" s="1"/>
  <c r="C25" i="6"/>
  <c r="D20" i="9"/>
  <c r="E27" i="8"/>
  <c r="D28" i="8" s="1"/>
  <c r="C28" i="8" s="1"/>
  <c r="E16" i="2"/>
  <c r="G16" i="2"/>
  <c r="E19" i="1"/>
  <c r="G19" i="1"/>
  <c r="C26" i="6" l="1"/>
  <c r="E26" i="6"/>
  <c r="G24" i="5"/>
  <c r="G19" i="9"/>
  <c r="G24" i="6"/>
  <c r="G26" i="8"/>
  <c r="C27" i="10"/>
  <c r="E27" i="10"/>
  <c r="D28" i="10" s="1"/>
  <c r="C28" i="10" s="1"/>
  <c r="E20" i="9"/>
  <c r="D21" i="9" s="1"/>
  <c r="C20" i="9"/>
  <c r="E25" i="5"/>
  <c r="D26" i="5" s="1"/>
  <c r="C25" i="5"/>
  <c r="G25" i="6"/>
  <c r="D27" i="6"/>
  <c r="C27" i="6" s="1"/>
  <c r="E28" i="8"/>
  <c r="D29" i="8" s="1"/>
  <c r="C29" i="8" s="1"/>
  <c r="D17" i="2"/>
  <c r="C17" i="2" s="1"/>
  <c r="D20" i="1"/>
  <c r="C20" i="1" s="1"/>
  <c r="G20" i="9" l="1"/>
  <c r="G25" i="5"/>
  <c r="G26" i="10"/>
  <c r="G27" i="8"/>
  <c r="E20" i="1"/>
  <c r="D21" i="1" s="1"/>
  <c r="C21" i="1" s="1"/>
  <c r="E27" i="6"/>
  <c r="D28" i="6" s="1"/>
  <c r="C28" i="6" s="1"/>
  <c r="E21" i="9"/>
  <c r="D22" i="9" s="1"/>
  <c r="C22" i="9" s="1"/>
  <c r="C21" i="9"/>
  <c r="E28" i="10"/>
  <c r="D29" i="10" s="1"/>
  <c r="E26" i="5"/>
  <c r="D27" i="5" s="1"/>
  <c r="C26" i="5"/>
  <c r="G26" i="5" s="1"/>
  <c r="G26" i="6"/>
  <c r="G28" i="10"/>
  <c r="E29" i="8"/>
  <c r="D30" i="8" s="1"/>
  <c r="C30" i="8" s="1"/>
  <c r="E17" i="2"/>
  <c r="G17" i="2"/>
  <c r="G21" i="9" l="1"/>
  <c r="G27" i="10"/>
  <c r="G28" i="8"/>
  <c r="G20" i="1"/>
  <c r="E27" i="5"/>
  <c r="D28" i="5" s="1"/>
  <c r="C27" i="5"/>
  <c r="G27" i="6"/>
  <c r="E28" i="6"/>
  <c r="D29" i="6" s="1"/>
  <c r="E29" i="10"/>
  <c r="D30" i="10" s="1"/>
  <c r="C29" i="10"/>
  <c r="E22" i="9"/>
  <c r="G22" i="9"/>
  <c r="E30" i="8"/>
  <c r="D31" i="8" s="1"/>
  <c r="C31" i="8" s="1"/>
  <c r="D18" i="2"/>
  <c r="C18" i="2" s="1"/>
  <c r="G21" i="1"/>
  <c r="E21" i="1"/>
  <c r="G27" i="5" l="1"/>
  <c r="G29" i="8"/>
  <c r="C29" i="6"/>
  <c r="E29" i="6"/>
  <c r="D30" i="6" s="1"/>
  <c r="C30" i="6" s="1"/>
  <c r="G29" i="10"/>
  <c r="E30" i="10"/>
  <c r="D31" i="10" s="1"/>
  <c r="C30" i="10"/>
  <c r="E28" i="5"/>
  <c r="D29" i="5" s="1"/>
  <c r="C28" i="5"/>
  <c r="D23" i="9"/>
  <c r="G30" i="8"/>
  <c r="E31" i="8"/>
  <c r="D32" i="8" s="1"/>
  <c r="C32" i="8" s="1"/>
  <c r="E18" i="2"/>
  <c r="G18" i="2"/>
  <c r="D22" i="1"/>
  <c r="C22" i="1" s="1"/>
  <c r="G28" i="5" l="1"/>
  <c r="C31" i="10"/>
  <c r="E31" i="10"/>
  <c r="D32" i="10" s="1"/>
  <c r="C32" i="10" s="1"/>
  <c r="G28" i="6"/>
  <c r="E22" i="1"/>
  <c r="D23" i="1" s="1"/>
  <c r="C23" i="1" s="1"/>
  <c r="G22" i="1"/>
  <c r="E29" i="5"/>
  <c r="D30" i="5" s="1"/>
  <c r="C29" i="5"/>
  <c r="E30" i="6"/>
  <c r="D31" i="6" s="1"/>
  <c r="C31" i="6" s="1"/>
  <c r="E23" i="9"/>
  <c r="D24" i="9" s="1"/>
  <c r="C24" i="9" s="1"/>
  <c r="C23" i="9"/>
  <c r="G29" i="6"/>
  <c r="D19" i="2"/>
  <c r="C19" i="2" s="1"/>
  <c r="E32" i="8"/>
  <c r="D33" i="8" s="1"/>
  <c r="C33" i="8" s="1"/>
  <c r="G30" i="10" l="1"/>
  <c r="G31" i="8"/>
  <c r="G32" i="8"/>
  <c r="E32" i="10"/>
  <c r="D33" i="10" s="1"/>
  <c r="C33" i="10" s="1"/>
  <c r="E31" i="6"/>
  <c r="D32" i="6" s="1"/>
  <c r="G24" i="9"/>
  <c r="G30" i="6"/>
  <c r="E30" i="5"/>
  <c r="D31" i="5" s="1"/>
  <c r="C30" i="5"/>
  <c r="E24" i="9"/>
  <c r="E33" i="8"/>
  <c r="D34" i="8" s="1"/>
  <c r="C34" i="8" s="1"/>
  <c r="E19" i="2"/>
  <c r="G19" i="2"/>
  <c r="G23" i="1"/>
  <c r="E23" i="1"/>
  <c r="G33" i="8" l="1"/>
  <c r="G31" i="10"/>
  <c r="G23" i="9"/>
  <c r="G29" i="5"/>
  <c r="G32" i="10"/>
  <c r="E31" i="5"/>
  <c r="C31" i="5"/>
  <c r="C32" i="6"/>
  <c r="E32" i="6"/>
  <c r="D33" i="6" s="1"/>
  <c r="E33" i="10"/>
  <c r="D34" i="10" s="1"/>
  <c r="G31" i="6"/>
  <c r="D25" i="9"/>
  <c r="C25" i="9" s="1"/>
  <c r="D32" i="5"/>
  <c r="E34" i="8"/>
  <c r="D35" i="8" s="1"/>
  <c r="C35" i="8" s="1"/>
  <c r="D20" i="2"/>
  <c r="C20" i="2" s="1"/>
  <c r="D24" i="1"/>
  <c r="C24" i="1" s="1"/>
  <c r="G34" i="8"/>
  <c r="C34" i="10" l="1"/>
  <c r="E34" i="10"/>
  <c r="G30" i="5"/>
  <c r="G24" i="1"/>
  <c r="E24" i="1"/>
  <c r="D25" i="1" s="1"/>
  <c r="C25" i="1" s="1"/>
  <c r="E33" i="6"/>
  <c r="D34" i="6" s="1"/>
  <c r="C34" i="6" s="1"/>
  <c r="C33" i="6"/>
  <c r="G32" i="6"/>
  <c r="E32" i="5"/>
  <c r="D33" i="5" s="1"/>
  <c r="C32" i="5"/>
  <c r="D35" i="10"/>
  <c r="C35" i="10" s="1"/>
  <c r="E25" i="9"/>
  <c r="G25" i="9"/>
  <c r="E20" i="2"/>
  <c r="G20" i="2"/>
  <c r="G35" i="8"/>
  <c r="E35" i="8"/>
  <c r="D36" i="8" s="1"/>
  <c r="C36" i="8" s="1"/>
  <c r="G32" i="5" l="1"/>
  <c r="G31" i="5"/>
  <c r="G33" i="10"/>
  <c r="G34" i="10"/>
  <c r="G33" i="6"/>
  <c r="E33" i="5"/>
  <c r="D34" i="5" s="1"/>
  <c r="C33" i="5"/>
  <c r="E34" i="6"/>
  <c r="D35" i="6" s="1"/>
  <c r="C35" i="6" s="1"/>
  <c r="E35" i="10"/>
  <c r="D36" i="10" s="1"/>
  <c r="D26" i="9"/>
  <c r="E36" i="8"/>
  <c r="D37" i="8" s="1"/>
  <c r="C37" i="8" s="1"/>
  <c r="D21" i="2"/>
  <c r="C21" i="2" s="1"/>
  <c r="E25" i="1"/>
  <c r="G25" i="1"/>
  <c r="G34" i="6" l="1"/>
  <c r="C36" i="10"/>
  <c r="E36" i="10"/>
  <c r="D37" i="10" s="1"/>
  <c r="C37" i="10" s="1"/>
  <c r="G35" i="10"/>
  <c r="G36" i="8"/>
  <c r="G35" i="6"/>
  <c r="E35" i="6"/>
  <c r="D36" i="6" s="1"/>
  <c r="E34" i="5"/>
  <c r="D35" i="5" s="1"/>
  <c r="C34" i="5"/>
  <c r="G33" i="5"/>
  <c r="E26" i="9"/>
  <c r="D27" i="9" s="1"/>
  <c r="C27" i="9" s="1"/>
  <c r="C26" i="9"/>
  <c r="E37" i="8"/>
  <c r="D38" i="8" s="1"/>
  <c r="C38" i="8" s="1"/>
  <c r="E21" i="2"/>
  <c r="G21" i="2"/>
  <c r="D26" i="1"/>
  <c r="C26" i="1" s="1"/>
  <c r="G34" i="5" l="1"/>
  <c r="E26" i="1"/>
  <c r="D27" i="1" s="1"/>
  <c r="C27" i="1" s="1"/>
  <c r="G37" i="8"/>
  <c r="G36" i="10"/>
  <c r="G26" i="1"/>
  <c r="C36" i="6"/>
  <c r="E36" i="6"/>
  <c r="D37" i="6" s="1"/>
  <c r="E35" i="5"/>
  <c r="D36" i="5" s="1"/>
  <c r="C35" i="5"/>
  <c r="E37" i="10"/>
  <c r="D38" i="10" s="1"/>
  <c r="E27" i="9"/>
  <c r="E38" i="8"/>
  <c r="D39" i="8" s="1"/>
  <c r="C39" i="8" s="1"/>
  <c r="D22" i="2"/>
  <c r="C22" i="2" s="1"/>
  <c r="G37" i="10" l="1"/>
  <c r="C37" i="6"/>
  <c r="E37" i="6"/>
  <c r="G35" i="5"/>
  <c r="G26" i="9"/>
  <c r="G38" i="8"/>
  <c r="C38" i="10"/>
  <c r="E38" i="10"/>
  <c r="D39" i="10" s="1"/>
  <c r="C39" i="10" s="1"/>
  <c r="E36" i="5"/>
  <c r="D37" i="5" s="1"/>
  <c r="C36" i="5"/>
  <c r="G36" i="5" s="1"/>
  <c r="D38" i="6"/>
  <c r="D28" i="9"/>
  <c r="C28" i="9" s="1"/>
  <c r="E39" i="8"/>
  <c r="D40" i="8" s="1"/>
  <c r="C40" i="8" s="1"/>
  <c r="E22" i="2"/>
  <c r="G22" i="2"/>
  <c r="G27" i="1"/>
  <c r="E27" i="1"/>
  <c r="G27" i="9" l="1"/>
  <c r="G36" i="6"/>
  <c r="G39" i="8"/>
  <c r="E38" i="6"/>
  <c r="C38" i="6"/>
  <c r="G37" i="6"/>
  <c r="E39" i="10"/>
  <c r="D40" i="10" s="1"/>
  <c r="E37" i="5"/>
  <c r="D38" i="5" s="1"/>
  <c r="C37" i="5"/>
  <c r="G38" i="10"/>
  <c r="D39" i="6"/>
  <c r="C39" i="6" s="1"/>
  <c r="E28" i="9"/>
  <c r="G28" i="9"/>
  <c r="D23" i="2"/>
  <c r="C23" i="2" s="1"/>
  <c r="D28" i="1"/>
  <c r="G40" i="8"/>
  <c r="E40" i="8"/>
  <c r="D41" i="8" s="1"/>
  <c r="C41" i="8" s="1"/>
  <c r="G37" i="5" l="1"/>
  <c r="E39" i="6"/>
  <c r="D40" i="6" s="1"/>
  <c r="E38" i="5"/>
  <c r="D39" i="5" s="1"/>
  <c r="C38" i="5"/>
  <c r="E40" i="10"/>
  <c r="D41" i="10" s="1"/>
  <c r="C40" i="10"/>
  <c r="E28" i="1"/>
  <c r="D29" i="1" s="1"/>
  <c r="C29" i="1" s="1"/>
  <c r="C28" i="1"/>
  <c r="G38" i="6"/>
  <c r="D29" i="9"/>
  <c r="C29" i="9" s="1"/>
  <c r="E23" i="2"/>
  <c r="G23" i="2"/>
  <c r="E41" i="8"/>
  <c r="D42" i="8" s="1"/>
  <c r="C42" i="8" s="1"/>
  <c r="G39" i="10" l="1"/>
  <c r="G41" i="8"/>
  <c r="E41" i="10"/>
  <c r="C41" i="10"/>
  <c r="E39" i="5"/>
  <c r="D40" i="5" s="1"/>
  <c r="C39" i="5"/>
  <c r="G29" i="9"/>
  <c r="E40" i="6"/>
  <c r="C40" i="6"/>
  <c r="G29" i="1"/>
  <c r="G39" i="6"/>
  <c r="D42" i="10"/>
  <c r="D41" i="6"/>
  <c r="E29" i="9"/>
  <c r="G39" i="5"/>
  <c r="D24" i="2"/>
  <c r="C24" i="2" s="1"/>
  <c r="E42" i="8"/>
  <c r="D43" i="8" s="1"/>
  <c r="C43" i="8" s="1"/>
  <c r="G42" i="8"/>
  <c r="E29" i="1"/>
  <c r="G40" i="10" l="1"/>
  <c r="G38" i="5"/>
  <c r="G28" i="1"/>
  <c r="E40" i="5"/>
  <c r="D41" i="5" s="1"/>
  <c r="C40" i="5"/>
  <c r="G40" i="5" s="1"/>
  <c r="E41" i="6"/>
  <c r="C41" i="6"/>
  <c r="E42" i="10"/>
  <c r="D43" i="10" s="1"/>
  <c r="C42" i="10"/>
  <c r="G40" i="6"/>
  <c r="D42" i="6"/>
  <c r="D30" i="9"/>
  <c r="C30" i="9" s="1"/>
  <c r="E24" i="2"/>
  <c r="G24" i="2"/>
  <c r="D30" i="1"/>
  <c r="G43" i="8"/>
  <c r="E43" i="8"/>
  <c r="D44" i="8" s="1"/>
  <c r="C44" i="8" s="1"/>
  <c r="G41" i="10" l="1"/>
  <c r="C43" i="10"/>
  <c r="E43" i="10"/>
  <c r="E30" i="1"/>
  <c r="D31" i="1" s="1"/>
  <c r="C31" i="1" s="1"/>
  <c r="C30" i="1"/>
  <c r="G41" i="6"/>
  <c r="E42" i="6"/>
  <c r="D43" i="6" s="1"/>
  <c r="C42" i="6"/>
  <c r="E41" i="5"/>
  <c r="D42" i="5" s="1"/>
  <c r="C41" i="5"/>
  <c r="G41" i="5" s="1"/>
  <c r="D44" i="10"/>
  <c r="E30" i="9"/>
  <c r="G30" i="9"/>
  <c r="E44" i="8"/>
  <c r="D45" i="8" s="1"/>
  <c r="C45" i="8" s="1"/>
  <c r="D25" i="2"/>
  <c r="C25" i="2" s="1"/>
  <c r="G43" i="10" l="1"/>
  <c r="C43" i="6"/>
  <c r="E43" i="6"/>
  <c r="G42" i="10"/>
  <c r="G44" i="8"/>
  <c r="E42" i="5"/>
  <c r="C42" i="5"/>
  <c r="E44" i="10"/>
  <c r="D45" i="10" s="1"/>
  <c r="C44" i="10"/>
  <c r="G30" i="1"/>
  <c r="G42" i="6"/>
  <c r="D44" i="6"/>
  <c r="C44" i="6" s="1"/>
  <c r="D31" i="9"/>
  <c r="C31" i="9" s="1"/>
  <c r="D43" i="5"/>
  <c r="G42" i="5"/>
  <c r="E25" i="2"/>
  <c r="G25" i="2"/>
  <c r="E45" i="8"/>
  <c r="D46" i="8" s="1"/>
  <c r="C46" i="8" s="1"/>
  <c r="G45" i="8"/>
  <c r="E31" i="1"/>
  <c r="C45" i="10" l="1"/>
  <c r="E45" i="10"/>
  <c r="D46" i="10" s="1"/>
  <c r="G31" i="1"/>
  <c r="E44" i="6"/>
  <c r="D45" i="6" s="1"/>
  <c r="E43" i="5"/>
  <c r="D44" i="5" s="1"/>
  <c r="C43" i="5"/>
  <c r="G43" i="5" s="1"/>
  <c r="G45" i="10"/>
  <c r="G43" i="6"/>
  <c r="E31" i="9"/>
  <c r="G31" i="9"/>
  <c r="E46" i="8"/>
  <c r="D47" i="8" s="1"/>
  <c r="C47" i="8" s="1"/>
  <c r="D26" i="2"/>
  <c r="C26" i="2" s="1"/>
  <c r="D32" i="1"/>
  <c r="C32" i="1" s="1"/>
  <c r="C46" i="10" l="1"/>
  <c r="E46" i="10"/>
  <c r="D47" i="10" s="1"/>
  <c r="G46" i="8"/>
  <c r="G44" i="10"/>
  <c r="E32" i="1"/>
  <c r="D33" i="1" s="1"/>
  <c r="C33" i="1" s="1"/>
  <c r="E44" i="5"/>
  <c r="D45" i="5" s="1"/>
  <c r="C44" i="5"/>
  <c r="E45" i="6"/>
  <c r="D46" i="6" s="1"/>
  <c r="C46" i="6" s="1"/>
  <c r="C45" i="6"/>
  <c r="G44" i="6"/>
  <c r="G46" i="10"/>
  <c r="D32" i="9"/>
  <c r="C32" i="9" s="1"/>
  <c r="E47" i="8"/>
  <c r="D48" i="8" s="1"/>
  <c r="C48" i="8" s="1"/>
  <c r="E26" i="2"/>
  <c r="G26" i="2"/>
  <c r="G44" i="5" l="1"/>
  <c r="G47" i="8"/>
  <c r="G32" i="1"/>
  <c r="E45" i="5"/>
  <c r="D46" i="5" s="1"/>
  <c r="C45" i="5"/>
  <c r="E46" i="6"/>
  <c r="D47" i="6" s="1"/>
  <c r="G45" i="6"/>
  <c r="E47" i="10"/>
  <c r="D48" i="10" s="1"/>
  <c r="C47" i="10"/>
  <c r="E32" i="9"/>
  <c r="G32" i="9"/>
  <c r="D27" i="2"/>
  <c r="C27" i="2" s="1"/>
  <c r="G48" i="8"/>
  <c r="E48" i="8"/>
  <c r="D49" i="8" s="1"/>
  <c r="C49" i="8" s="1"/>
  <c r="G33" i="1"/>
  <c r="E33" i="1"/>
  <c r="G45" i="5" l="1"/>
  <c r="C48" i="10"/>
  <c r="E48" i="10"/>
  <c r="C47" i="6"/>
  <c r="E47" i="6"/>
  <c r="D48" i="6" s="1"/>
  <c r="E46" i="5"/>
  <c r="C46" i="5"/>
  <c r="G46" i="5" s="1"/>
  <c r="D49" i="10"/>
  <c r="D33" i="9"/>
  <c r="C33" i="9" s="1"/>
  <c r="D47" i="5"/>
  <c r="E49" i="8"/>
  <c r="D50" i="8" s="1"/>
  <c r="C50" i="8" s="1"/>
  <c r="E27" i="2"/>
  <c r="G27" i="2"/>
  <c r="D34" i="1"/>
  <c r="C34" i="1" s="1"/>
  <c r="G49" i="8"/>
  <c r="G47" i="10" l="1"/>
  <c r="G46" i="6"/>
  <c r="G48" i="10"/>
  <c r="E34" i="1"/>
  <c r="D35" i="1" s="1"/>
  <c r="C35" i="1" s="1"/>
  <c r="E48" i="6"/>
  <c r="D49" i="6" s="1"/>
  <c r="C48" i="6"/>
  <c r="E49" i="10"/>
  <c r="C49" i="10"/>
  <c r="E47" i="5"/>
  <c r="D48" i="5" s="1"/>
  <c r="C47" i="5"/>
  <c r="G47" i="6"/>
  <c r="D50" i="10"/>
  <c r="C50" i="10" s="1"/>
  <c r="E33" i="9"/>
  <c r="G33" i="9"/>
  <c r="E50" i="8"/>
  <c r="D51" i="8" s="1"/>
  <c r="C51" i="8" s="1"/>
  <c r="D28" i="2"/>
  <c r="C28" i="2" s="1"/>
  <c r="G50" i="8"/>
  <c r="G34" i="1" l="1"/>
  <c r="E48" i="5"/>
  <c r="D49" i="5" s="1"/>
  <c r="C48" i="5"/>
  <c r="C49" i="6"/>
  <c r="E49" i="6"/>
  <c r="D50" i="6" s="1"/>
  <c r="C50" i="6" s="1"/>
  <c r="G48" i="6"/>
  <c r="E50" i="10"/>
  <c r="D51" i="10" s="1"/>
  <c r="G49" i="10"/>
  <c r="D34" i="9"/>
  <c r="C34" i="9" s="1"/>
  <c r="E51" i="8"/>
  <c r="D52" i="8" s="1"/>
  <c r="C52" i="8" s="1"/>
  <c r="E28" i="2"/>
  <c r="G28" i="2"/>
  <c r="G35" i="1"/>
  <c r="G51" i="8"/>
  <c r="E35" i="1"/>
  <c r="G47" i="5" l="1"/>
  <c r="C51" i="10"/>
  <c r="E51" i="10"/>
  <c r="E49" i="5"/>
  <c r="D50" i="5" s="1"/>
  <c r="C49" i="5"/>
  <c r="G49" i="6"/>
  <c r="E50" i="6"/>
  <c r="D51" i="6" s="1"/>
  <c r="D52" i="10"/>
  <c r="C52" i="10" s="1"/>
  <c r="E34" i="9"/>
  <c r="G34" i="9"/>
  <c r="D29" i="2"/>
  <c r="C29" i="2" s="1"/>
  <c r="D36" i="1"/>
  <c r="C36" i="1" s="1"/>
  <c r="G52" i="8"/>
  <c r="E52" i="8"/>
  <c r="D53" i="8" s="1"/>
  <c r="C53" i="8" s="1"/>
  <c r="G49" i="5" l="1"/>
  <c r="E36" i="1"/>
  <c r="D37" i="1" s="1"/>
  <c r="C37" i="1" s="1"/>
  <c r="G48" i="5"/>
  <c r="G50" i="10"/>
  <c r="E50" i="5"/>
  <c r="D51" i="5" s="1"/>
  <c r="C50" i="5"/>
  <c r="E52" i="10"/>
  <c r="D53" i="10" s="1"/>
  <c r="G51" i="10"/>
  <c r="E51" i="6"/>
  <c r="D52" i="6" s="1"/>
  <c r="C51" i="6"/>
  <c r="D35" i="9"/>
  <c r="E29" i="2"/>
  <c r="G29" i="2"/>
  <c r="E53" i="8"/>
  <c r="D54" i="8" s="1"/>
  <c r="C54" i="8" s="1"/>
  <c r="G53" i="8"/>
  <c r="G36" i="1" l="1"/>
  <c r="G50" i="5"/>
  <c r="G50" i="6"/>
  <c r="C53" i="10"/>
  <c r="E53" i="10"/>
  <c r="D54" i="10" s="1"/>
  <c r="C54" i="10" s="1"/>
  <c r="E52" i="6"/>
  <c r="D53" i="6" s="1"/>
  <c r="C52" i="6"/>
  <c r="E51" i="5"/>
  <c r="D52" i="5" s="1"/>
  <c r="C51" i="5"/>
  <c r="E35" i="9"/>
  <c r="D36" i="9" s="1"/>
  <c r="C36" i="9" s="1"/>
  <c r="C35" i="9"/>
  <c r="G51" i="6"/>
  <c r="D30" i="2"/>
  <c r="C30" i="2" s="1"/>
  <c r="E37" i="1"/>
  <c r="G37" i="1"/>
  <c r="G52" i="10" l="1"/>
  <c r="C53" i="6"/>
  <c r="E53" i="6"/>
  <c r="D54" i="6" s="1"/>
  <c r="E52" i="5"/>
  <c r="D53" i="5" s="1"/>
  <c r="C52" i="5"/>
  <c r="E54" i="10"/>
  <c r="D55" i="10" s="1"/>
  <c r="E36" i="9"/>
  <c r="G36" i="9"/>
  <c r="G52" i="5"/>
  <c r="G54" i="8"/>
  <c r="E54" i="8"/>
  <c r="D55" i="8" s="1"/>
  <c r="C55" i="8" s="1"/>
  <c r="E30" i="2"/>
  <c r="G30" i="2"/>
  <c r="D38" i="1"/>
  <c r="C38" i="1" s="1"/>
  <c r="G35" i="9" l="1"/>
  <c r="G53" i="10"/>
  <c r="G52" i="6"/>
  <c r="G51" i="5"/>
  <c r="E38" i="1"/>
  <c r="D39" i="1" s="1"/>
  <c r="C39" i="1" s="1"/>
  <c r="C55" i="10"/>
  <c r="E55" i="10"/>
  <c r="D56" i="10" s="1"/>
  <c r="E53" i="5"/>
  <c r="C53" i="5"/>
  <c r="C54" i="6"/>
  <c r="E54" i="6"/>
  <c r="D55" i="6" s="1"/>
  <c r="D37" i="9"/>
  <c r="C37" i="9" s="1"/>
  <c r="D54" i="5"/>
  <c r="G53" i="5"/>
  <c r="E55" i="8"/>
  <c r="D56" i="8" s="1"/>
  <c r="C56" i="8" s="1"/>
  <c r="D31" i="2"/>
  <c r="C31" i="2" s="1"/>
  <c r="G54" i="10" l="1"/>
  <c r="G53" i="6"/>
  <c r="G55" i="8"/>
  <c r="G38" i="1"/>
  <c r="C55" i="6"/>
  <c r="E55" i="6"/>
  <c r="D56" i="6" s="1"/>
  <c r="C56" i="6" s="1"/>
  <c r="E56" i="10"/>
  <c r="D57" i="10" s="1"/>
  <c r="C56" i="10"/>
  <c r="E54" i="5"/>
  <c r="D55" i="5" s="1"/>
  <c r="C54" i="5"/>
  <c r="E37" i="9"/>
  <c r="G37" i="9"/>
  <c r="G54" i="5"/>
  <c r="G56" i="8"/>
  <c r="E56" i="8"/>
  <c r="E31" i="2"/>
  <c r="G31" i="2"/>
  <c r="G39" i="1"/>
  <c r="E39" i="1"/>
  <c r="G55" i="10" l="1"/>
  <c r="G54" i="6"/>
  <c r="C57" i="10"/>
  <c r="E57" i="10"/>
  <c r="D58" i="10" s="1"/>
  <c r="E55" i="5"/>
  <c r="D56" i="5" s="1"/>
  <c r="C55" i="5"/>
  <c r="E56" i="6"/>
  <c r="D57" i="6" s="1"/>
  <c r="G55" i="6"/>
  <c r="D38" i="9"/>
  <c r="D57" i="8"/>
  <c r="C57" i="8" s="1"/>
  <c r="G57" i="8"/>
  <c r="D32" i="2"/>
  <c r="C32" i="2" s="1"/>
  <c r="D40" i="1"/>
  <c r="C40" i="1" s="1"/>
  <c r="C57" i="6" l="1"/>
  <c r="E57" i="6"/>
  <c r="D58" i="6" s="1"/>
  <c r="C58" i="6" s="1"/>
  <c r="C58" i="10"/>
  <c r="E58" i="10"/>
  <c r="D59" i="10" s="1"/>
  <c r="G55" i="5"/>
  <c r="G56" i="10"/>
  <c r="E57" i="8"/>
  <c r="D58" i="8" s="1"/>
  <c r="C58" i="8" s="1"/>
  <c r="E40" i="1"/>
  <c r="D41" i="1" s="1"/>
  <c r="C41" i="1" s="1"/>
  <c r="G40" i="1"/>
  <c r="E56" i="5"/>
  <c r="D57" i="5" s="1"/>
  <c r="C56" i="5"/>
  <c r="E38" i="9"/>
  <c r="D39" i="9" s="1"/>
  <c r="C39" i="9" s="1"/>
  <c r="C38" i="9"/>
  <c r="G56" i="6"/>
  <c r="G57" i="10"/>
  <c r="E58" i="8"/>
  <c r="D59" i="8" s="1"/>
  <c r="C59" i="8" s="1"/>
  <c r="G58" i="8"/>
  <c r="E32" i="2"/>
  <c r="G32" i="2"/>
  <c r="G56" i="5" l="1"/>
  <c r="C59" i="10"/>
  <c r="E59" i="10"/>
  <c r="D60" i="10" s="1"/>
  <c r="G39" i="9"/>
  <c r="G57" i="6"/>
  <c r="E58" i="6"/>
  <c r="D59" i="6" s="1"/>
  <c r="E57" i="5"/>
  <c r="C57" i="5"/>
  <c r="G58" i="10"/>
  <c r="E39" i="9"/>
  <c r="D58" i="5"/>
  <c r="G59" i="8"/>
  <c r="E59" i="8"/>
  <c r="D60" i="8" s="1"/>
  <c r="C60" i="8" s="1"/>
  <c r="D33" i="2"/>
  <c r="C33" i="2" s="1"/>
  <c r="E41" i="1"/>
  <c r="G41" i="1"/>
  <c r="C60" i="10" l="1"/>
  <c r="E60" i="10"/>
  <c r="G38" i="9"/>
  <c r="G60" i="8"/>
  <c r="E58" i="5"/>
  <c r="D59" i="5" s="1"/>
  <c r="C58" i="5"/>
  <c r="E59" i="6"/>
  <c r="D60" i="6" s="1"/>
  <c r="C59" i="6"/>
  <c r="G57" i="5"/>
  <c r="G60" i="10"/>
  <c r="D61" i="10"/>
  <c r="C61" i="10" s="1"/>
  <c r="D40" i="9"/>
  <c r="C40" i="9" s="1"/>
  <c r="E60" i="8"/>
  <c r="E33" i="2"/>
  <c r="G33" i="2"/>
  <c r="D42" i="1"/>
  <c r="C42" i="1" s="1"/>
  <c r="G58" i="6" l="1"/>
  <c r="G59" i="10"/>
  <c r="G58" i="5"/>
  <c r="E42" i="1"/>
  <c r="D43" i="1" s="1"/>
  <c r="C43" i="1" s="1"/>
  <c r="G61" i="10"/>
  <c r="G59" i="6"/>
  <c r="E59" i="5"/>
  <c r="D60" i="5" s="1"/>
  <c r="C59" i="5"/>
  <c r="E61" i="10"/>
  <c r="D62" i="10" s="1"/>
  <c r="E60" i="6"/>
  <c r="D61" i="6" s="1"/>
  <c r="C60" i="6"/>
  <c r="E40" i="9"/>
  <c r="G40" i="9"/>
  <c r="D61" i="8"/>
  <c r="C61" i="8" s="1"/>
  <c r="E61" i="8"/>
  <c r="D62" i="8" s="1"/>
  <c r="D34" i="2"/>
  <c r="C34" i="2" s="1"/>
  <c r="G59" i="5" l="1"/>
  <c r="G42" i="1"/>
  <c r="C61" i="6"/>
  <c r="E61" i="6"/>
  <c r="D62" i="6" s="1"/>
  <c r="E60" i="5"/>
  <c r="D61" i="5" s="1"/>
  <c r="C60" i="5"/>
  <c r="C62" i="10"/>
  <c r="E62" i="10"/>
  <c r="D63" i="10" s="1"/>
  <c r="C63" i="10" s="1"/>
  <c r="E62" i="8"/>
  <c r="D63" i="8" s="1"/>
  <c r="C63" i="8" s="1"/>
  <c r="C62" i="8"/>
  <c r="D41" i="9"/>
  <c r="E34" i="2"/>
  <c r="G34" i="2"/>
  <c r="G43" i="1"/>
  <c r="E43" i="1"/>
  <c r="C62" i="6" l="1"/>
  <c r="E62" i="6"/>
  <c r="D63" i="6" s="1"/>
  <c r="C63" i="6" s="1"/>
  <c r="G61" i="8"/>
  <c r="G60" i="6"/>
  <c r="E61" i="5"/>
  <c r="C61" i="5"/>
  <c r="G60" i="5"/>
  <c r="E41" i="9"/>
  <c r="D42" i="9" s="1"/>
  <c r="C42" i="9" s="1"/>
  <c r="C41" i="9"/>
  <c r="E63" i="8"/>
  <c r="D64" i="8" s="1"/>
  <c r="C64" i="8" s="1"/>
  <c r="E63" i="10"/>
  <c r="D64" i="10" s="1"/>
  <c r="G61" i="6"/>
  <c r="D62" i="5"/>
  <c r="D35" i="2"/>
  <c r="C35" i="2" s="1"/>
  <c r="D44" i="1"/>
  <c r="G61" i="5" l="1"/>
  <c r="G63" i="10"/>
  <c r="G62" i="10"/>
  <c r="G62" i="8"/>
  <c r="E64" i="8"/>
  <c r="D65" i="8" s="1"/>
  <c r="C65" i="8" s="1"/>
  <c r="E63" i="6"/>
  <c r="E64" i="10"/>
  <c r="D65" i="10" s="1"/>
  <c r="C64" i="10"/>
  <c r="E62" i="5"/>
  <c r="D63" i="5" s="1"/>
  <c r="C62" i="5"/>
  <c r="E44" i="1"/>
  <c r="D45" i="1" s="1"/>
  <c r="C45" i="1" s="1"/>
  <c r="C44" i="1"/>
  <c r="G62" i="6"/>
  <c r="D64" i="6"/>
  <c r="C64" i="6" s="1"/>
  <c r="E42" i="9"/>
  <c r="G42" i="9"/>
  <c r="G62" i="5"/>
  <c r="E35" i="2"/>
  <c r="G35" i="2"/>
  <c r="E64" i="6"/>
  <c r="G64" i="8" l="1"/>
  <c r="C65" i="10"/>
  <c r="E65" i="10"/>
  <c r="D66" i="10" s="1"/>
  <c r="E65" i="8"/>
  <c r="D66" i="8" s="1"/>
  <c r="C66" i="8" s="1"/>
  <c r="G63" i="8"/>
  <c r="G41" i="9"/>
  <c r="E63" i="5"/>
  <c r="D64" i="5" s="1"/>
  <c r="C63" i="5"/>
  <c r="G63" i="5" s="1"/>
  <c r="G64" i="10"/>
  <c r="G44" i="1"/>
  <c r="G63" i="6"/>
  <c r="D65" i="6"/>
  <c r="C65" i="6" s="1"/>
  <c r="D43" i="9"/>
  <c r="C43" i="9" s="1"/>
  <c r="D36" i="2"/>
  <c r="C36" i="2" s="1"/>
  <c r="E45" i="1"/>
  <c r="G45" i="1"/>
  <c r="G66" i="8" l="1"/>
  <c r="G65" i="8"/>
  <c r="E65" i="6"/>
  <c r="D66" i="6" s="1"/>
  <c r="G64" i="6"/>
  <c r="E64" i="5"/>
  <c r="D65" i="5" s="1"/>
  <c r="C64" i="5"/>
  <c r="G64" i="5" s="1"/>
  <c r="E66" i="10"/>
  <c r="D67" i="10" s="1"/>
  <c r="C66" i="10"/>
  <c r="E43" i="9"/>
  <c r="G43" i="9"/>
  <c r="E66" i="8"/>
  <c r="E36" i="2"/>
  <c r="G36" i="2"/>
  <c r="D46" i="1"/>
  <c r="C46" i="1" s="1"/>
  <c r="E46" i="1" l="1"/>
  <c r="D47" i="1" s="1"/>
  <c r="C47" i="1" s="1"/>
  <c r="C67" i="10"/>
  <c r="E67" i="10"/>
  <c r="C66" i="6"/>
  <c r="E66" i="6"/>
  <c r="D67" i="6" s="1"/>
  <c r="G65" i="10"/>
  <c r="G46" i="1"/>
  <c r="E65" i="5"/>
  <c r="D66" i="5" s="1"/>
  <c r="C65" i="5"/>
  <c r="G66" i="10"/>
  <c r="D68" i="10"/>
  <c r="C68" i="10" s="1"/>
  <c r="D44" i="9"/>
  <c r="D67" i="8"/>
  <c r="C67" i="8" s="1"/>
  <c r="D37" i="2"/>
  <c r="C37" i="2" s="1"/>
  <c r="E68" i="10"/>
  <c r="E67" i="8" l="1"/>
  <c r="D68" i="8" s="1"/>
  <c r="C68" i="8" s="1"/>
  <c r="G65" i="5"/>
  <c r="G65" i="6"/>
  <c r="G68" i="8"/>
  <c r="E66" i="5"/>
  <c r="D67" i="5" s="1"/>
  <c r="C66" i="5"/>
  <c r="E44" i="9"/>
  <c r="D45" i="9" s="1"/>
  <c r="C44" i="9"/>
  <c r="G67" i="10"/>
  <c r="E67" i="6"/>
  <c r="D68" i="6" s="1"/>
  <c r="C67" i="6"/>
  <c r="D69" i="10"/>
  <c r="C69" i="10" s="1"/>
  <c r="E68" i="8"/>
  <c r="E37" i="2"/>
  <c r="G37" i="2"/>
  <c r="G47" i="1"/>
  <c r="E47" i="1"/>
  <c r="G66" i="5" l="1"/>
  <c r="G66" i="6"/>
  <c r="G67" i="8"/>
  <c r="E69" i="10"/>
  <c r="D70" i="10" s="1"/>
  <c r="E45" i="9"/>
  <c r="D46" i="9" s="1"/>
  <c r="C45" i="9"/>
  <c r="E68" i="6"/>
  <c r="D69" i="6" s="1"/>
  <c r="C68" i="6"/>
  <c r="E67" i="5"/>
  <c r="D68" i="5" s="1"/>
  <c r="C67" i="5"/>
  <c r="G68" i="10"/>
  <c r="G44" i="9"/>
  <c r="G67" i="5"/>
  <c r="D69" i="8"/>
  <c r="C69" i="8" s="1"/>
  <c r="D38" i="2"/>
  <c r="C38" i="2" s="1"/>
  <c r="D48" i="1"/>
  <c r="C48" i="1" s="1"/>
  <c r="G69" i="8" l="1"/>
  <c r="C70" i="10"/>
  <c r="E70" i="10"/>
  <c r="G67" i="6"/>
  <c r="E48" i="1"/>
  <c r="D49" i="1" s="1"/>
  <c r="C49" i="1" s="1"/>
  <c r="G48" i="1"/>
  <c r="E69" i="6"/>
  <c r="D70" i="6" s="1"/>
  <c r="C69" i="6"/>
  <c r="E46" i="9"/>
  <c r="D47" i="9" s="1"/>
  <c r="C47" i="9" s="1"/>
  <c r="C46" i="9"/>
  <c r="E68" i="5"/>
  <c r="D69" i="5" s="1"/>
  <c r="C68" i="5"/>
  <c r="G45" i="9"/>
  <c r="G69" i="10"/>
  <c r="D71" i="10"/>
  <c r="E69" i="8"/>
  <c r="E38" i="2"/>
  <c r="G38" i="2"/>
  <c r="G46" i="9" l="1"/>
  <c r="G68" i="6"/>
  <c r="E69" i="5"/>
  <c r="D70" i="5" s="1"/>
  <c r="C69" i="5"/>
  <c r="E71" i="10"/>
  <c r="D72" i="10" s="1"/>
  <c r="C72" i="10" s="1"/>
  <c r="C71" i="10"/>
  <c r="E70" i="6"/>
  <c r="D71" i="6" s="1"/>
  <c r="C71" i="6" s="1"/>
  <c r="C70" i="6"/>
  <c r="G70" i="10"/>
  <c r="E47" i="9"/>
  <c r="G47" i="9"/>
  <c r="D70" i="8"/>
  <c r="D39" i="2"/>
  <c r="C39" i="2" s="1"/>
  <c r="E49" i="1"/>
  <c r="G49" i="1"/>
  <c r="G69" i="5" l="1"/>
  <c r="G68" i="5"/>
  <c r="G69" i="6"/>
  <c r="E70" i="8"/>
  <c r="D71" i="8" s="1"/>
  <c r="C70" i="8"/>
  <c r="E70" i="5"/>
  <c r="D71" i="5" s="1"/>
  <c r="C70" i="5"/>
  <c r="G70" i="6"/>
  <c r="G71" i="10"/>
  <c r="E71" i="6"/>
  <c r="D72" i="6" s="1"/>
  <c r="C72" i="6" s="1"/>
  <c r="E72" i="10"/>
  <c r="D73" i="10" s="1"/>
  <c r="D48" i="9"/>
  <c r="E39" i="2"/>
  <c r="G39" i="2"/>
  <c r="D50" i="1"/>
  <c r="C50" i="1" s="1"/>
  <c r="E72" i="6" l="1"/>
  <c r="D73" i="6" s="1"/>
  <c r="C73" i="6" s="1"/>
  <c r="E50" i="1"/>
  <c r="D51" i="1" s="1"/>
  <c r="C51" i="1" s="1"/>
  <c r="G50" i="1"/>
  <c r="E73" i="10"/>
  <c r="D74" i="10" s="1"/>
  <c r="C73" i="10"/>
  <c r="E71" i="8"/>
  <c r="D72" i="8" s="1"/>
  <c r="C72" i="8" s="1"/>
  <c r="C71" i="8"/>
  <c r="E71" i="5"/>
  <c r="D72" i="5" s="1"/>
  <c r="C71" i="5"/>
  <c r="E48" i="9"/>
  <c r="D49" i="9" s="1"/>
  <c r="C49" i="9" s="1"/>
  <c r="C48" i="9"/>
  <c r="G71" i="8"/>
  <c r="G71" i="6"/>
  <c r="D40" i="2"/>
  <c r="C40" i="2" s="1"/>
  <c r="G48" i="9" l="1"/>
  <c r="G72" i="6"/>
  <c r="G70" i="5"/>
  <c r="G72" i="10"/>
  <c r="G71" i="5"/>
  <c r="G70" i="8"/>
  <c r="E72" i="5"/>
  <c r="D73" i="5" s="1"/>
  <c r="C72" i="5"/>
  <c r="E74" i="10"/>
  <c r="D75" i="10" s="1"/>
  <c r="C75" i="10" s="1"/>
  <c r="C74" i="10"/>
  <c r="E73" i="6"/>
  <c r="D74" i="6" s="1"/>
  <c r="C74" i="6" s="1"/>
  <c r="E49" i="9"/>
  <c r="G49" i="9"/>
  <c r="E72" i="8"/>
  <c r="G72" i="8"/>
  <c r="E40" i="2"/>
  <c r="G40" i="2"/>
  <c r="G51" i="1"/>
  <c r="E51" i="1"/>
  <c r="G73" i="6" l="1"/>
  <c r="G74" i="6"/>
  <c r="G73" i="10"/>
  <c r="E74" i="6"/>
  <c r="D75" i="6" s="1"/>
  <c r="E73" i="5"/>
  <c r="D74" i="5" s="1"/>
  <c r="C73" i="5"/>
  <c r="E75" i="10"/>
  <c r="D76" i="10" s="1"/>
  <c r="G74" i="10"/>
  <c r="D50" i="9"/>
  <c r="D73" i="8"/>
  <c r="C73" i="8" s="1"/>
  <c r="D41" i="2"/>
  <c r="C41" i="2" s="1"/>
  <c r="D52" i="1"/>
  <c r="C52" i="1" s="1"/>
  <c r="E52" i="1" l="1"/>
  <c r="D53" i="1" s="1"/>
  <c r="C53" i="1" s="1"/>
  <c r="C75" i="6"/>
  <c r="E75" i="6"/>
  <c r="C76" i="10"/>
  <c r="E76" i="10"/>
  <c r="D77" i="10" s="1"/>
  <c r="C77" i="10" s="1"/>
  <c r="G72" i="5"/>
  <c r="G52" i="1"/>
  <c r="G73" i="5"/>
  <c r="E74" i="5"/>
  <c r="D75" i="5" s="1"/>
  <c r="C74" i="5"/>
  <c r="G75" i="10"/>
  <c r="E50" i="9"/>
  <c r="D51" i="9" s="1"/>
  <c r="C50" i="9"/>
  <c r="D76" i="6"/>
  <c r="C76" i="6" s="1"/>
  <c r="G50" i="9"/>
  <c r="E73" i="8"/>
  <c r="G73" i="8"/>
  <c r="E41" i="2"/>
  <c r="G41" i="2"/>
  <c r="G75" i="6" l="1"/>
  <c r="E51" i="9"/>
  <c r="D52" i="9" s="1"/>
  <c r="C51" i="9"/>
  <c r="E75" i="5"/>
  <c r="D76" i="5" s="1"/>
  <c r="C75" i="5"/>
  <c r="G76" i="10"/>
  <c r="E76" i="6"/>
  <c r="D77" i="6" s="1"/>
  <c r="E77" i="10"/>
  <c r="D78" i="10" s="1"/>
  <c r="D74" i="8"/>
  <c r="D42" i="2"/>
  <c r="C42" i="2" s="1"/>
  <c r="E53" i="1"/>
  <c r="G53" i="1"/>
  <c r="G51" i="9" l="1"/>
  <c r="G74" i="5"/>
  <c r="G75" i="5"/>
  <c r="G76" i="6"/>
  <c r="E76" i="5"/>
  <c r="D77" i="5" s="1"/>
  <c r="C76" i="5"/>
  <c r="E78" i="10"/>
  <c r="D79" i="10" s="1"/>
  <c r="C78" i="10"/>
  <c r="G77" i="10"/>
  <c r="E74" i="8"/>
  <c r="D75" i="8" s="1"/>
  <c r="C74" i="8"/>
  <c r="E52" i="9"/>
  <c r="C52" i="9"/>
  <c r="E77" i="6"/>
  <c r="D78" i="6" s="1"/>
  <c r="C77" i="6"/>
  <c r="D53" i="9"/>
  <c r="E42" i="2"/>
  <c r="G42" i="2"/>
  <c r="D54" i="1"/>
  <c r="C54" i="1" s="1"/>
  <c r="G54" i="1" s="1"/>
  <c r="G74" i="8" l="1"/>
  <c r="G76" i="5"/>
  <c r="C79" i="10"/>
  <c r="E79" i="10"/>
  <c r="D80" i="10" s="1"/>
  <c r="C78" i="6"/>
  <c r="E78" i="6"/>
  <c r="E75" i="8"/>
  <c r="D76" i="8" s="1"/>
  <c r="C76" i="8" s="1"/>
  <c r="C75" i="8"/>
  <c r="E77" i="5"/>
  <c r="D78" i="5" s="1"/>
  <c r="C77" i="5"/>
  <c r="E53" i="9"/>
  <c r="D54" i="9" s="1"/>
  <c r="C53" i="9"/>
  <c r="E54" i="1"/>
  <c r="D55" i="1" s="1"/>
  <c r="D79" i="6"/>
  <c r="C79" i="6" s="1"/>
  <c r="G75" i="8"/>
  <c r="D43" i="2"/>
  <c r="C43" i="2" s="1"/>
  <c r="E79" i="6" l="1"/>
  <c r="G77" i="6"/>
  <c r="G52" i="9"/>
  <c r="G78" i="10"/>
  <c r="C55" i="1"/>
  <c r="E55" i="1"/>
  <c r="C80" i="10"/>
  <c r="E80" i="10"/>
  <c r="D81" i="10" s="1"/>
  <c r="E78" i="5"/>
  <c r="C78" i="5"/>
  <c r="E54" i="9"/>
  <c r="C54" i="9"/>
  <c r="G78" i="6"/>
  <c r="G53" i="9"/>
  <c r="D80" i="6"/>
  <c r="C80" i="6" s="1"/>
  <c r="D55" i="9"/>
  <c r="D79" i="5"/>
  <c r="E76" i="8"/>
  <c r="G76" i="8"/>
  <c r="E43" i="2"/>
  <c r="G43" i="2"/>
  <c r="D56" i="1"/>
  <c r="C56" i="1" s="1"/>
  <c r="G54" i="9" l="1"/>
  <c r="G79" i="10"/>
  <c r="G77" i="5"/>
  <c r="G78" i="5"/>
  <c r="E56" i="1"/>
  <c r="D57" i="1" s="1"/>
  <c r="C57" i="1" s="1"/>
  <c r="E81" i="10"/>
  <c r="D82" i="10" s="1"/>
  <c r="C81" i="10"/>
  <c r="E79" i="5"/>
  <c r="D80" i="5" s="1"/>
  <c r="C79" i="5"/>
  <c r="E55" i="9"/>
  <c r="C55" i="9"/>
  <c r="G80" i="10"/>
  <c r="E80" i="6"/>
  <c r="D81" i="6" s="1"/>
  <c r="G79" i="6"/>
  <c r="D56" i="9"/>
  <c r="D77" i="8"/>
  <c r="C77" i="8" s="1"/>
  <c r="D44" i="2"/>
  <c r="C44" i="2" s="1"/>
  <c r="G79" i="5" l="1"/>
  <c r="G55" i="9"/>
  <c r="G55" i="1"/>
  <c r="E81" i="6"/>
  <c r="D82" i="6" s="1"/>
  <c r="C82" i="6" s="1"/>
  <c r="C81" i="6"/>
  <c r="E80" i="5"/>
  <c r="D81" i="5" s="1"/>
  <c r="C80" i="5"/>
  <c r="G80" i="5" s="1"/>
  <c r="E82" i="10"/>
  <c r="D83" i="10" s="1"/>
  <c r="C82" i="10"/>
  <c r="E56" i="9"/>
  <c r="D57" i="9" s="1"/>
  <c r="C56" i="9"/>
  <c r="E77" i="8"/>
  <c r="G77" i="8"/>
  <c r="E44" i="2"/>
  <c r="G44" i="2"/>
  <c r="E57" i="1"/>
  <c r="G56" i="9" l="1"/>
  <c r="G81" i="10"/>
  <c r="G80" i="6"/>
  <c r="G56" i="1"/>
  <c r="G57" i="1"/>
  <c r="E57" i="9"/>
  <c r="D58" i="9" s="1"/>
  <c r="C57" i="9"/>
  <c r="E82" i="6"/>
  <c r="D83" i="6" s="1"/>
  <c r="E83" i="10"/>
  <c r="D84" i="10" s="1"/>
  <c r="C83" i="10"/>
  <c r="G82" i="10"/>
  <c r="G81" i="6"/>
  <c r="E81" i="5"/>
  <c r="C81" i="5"/>
  <c r="D82" i="5"/>
  <c r="D78" i="8"/>
  <c r="D45" i="2"/>
  <c r="C45" i="2" s="1"/>
  <c r="D58" i="1"/>
  <c r="C58" i="1" s="1"/>
  <c r="G57" i="9" l="1"/>
  <c r="G81" i="5"/>
  <c r="G58" i="1"/>
  <c r="C84" i="10"/>
  <c r="E84" i="10"/>
  <c r="D85" i="10" s="1"/>
  <c r="E58" i="9"/>
  <c r="D59" i="9" s="1"/>
  <c r="C59" i="9" s="1"/>
  <c r="C58" i="9"/>
  <c r="E83" i="6"/>
  <c r="D84" i="6" s="1"/>
  <c r="C83" i="6"/>
  <c r="G82" i="6"/>
  <c r="E58" i="1"/>
  <c r="D59" i="1" s="1"/>
  <c r="C59" i="1" s="1"/>
  <c r="E82" i="5"/>
  <c r="D83" i="5" s="1"/>
  <c r="C82" i="5"/>
  <c r="E78" i="8"/>
  <c r="D79" i="8" s="1"/>
  <c r="C78" i="8"/>
  <c r="G82" i="5"/>
  <c r="E45" i="2"/>
  <c r="G45" i="2"/>
  <c r="G83" i="10" l="1"/>
  <c r="G58" i="9"/>
  <c r="G59" i="1"/>
  <c r="E83" i="5"/>
  <c r="D84" i="5" s="1"/>
  <c r="C83" i="5"/>
  <c r="C84" i="6"/>
  <c r="E84" i="6"/>
  <c r="D85" i="6" s="1"/>
  <c r="E85" i="10"/>
  <c r="D86" i="10" s="1"/>
  <c r="C86" i="10" s="1"/>
  <c r="C85" i="10"/>
  <c r="E79" i="8"/>
  <c r="D80" i="8" s="1"/>
  <c r="C79" i="8"/>
  <c r="E59" i="1"/>
  <c r="D60" i="1" s="1"/>
  <c r="C60" i="1" s="1"/>
  <c r="E59" i="9"/>
  <c r="D46" i="2"/>
  <c r="C46" i="2" s="1"/>
  <c r="G83" i="5" l="1"/>
  <c r="E86" i="10"/>
  <c r="G84" i="10"/>
  <c r="G83" i="6"/>
  <c r="G78" i="8"/>
  <c r="G59" i="9"/>
  <c r="E85" i="6"/>
  <c r="D86" i="6" s="1"/>
  <c r="C86" i="6" s="1"/>
  <c r="C85" i="6"/>
  <c r="G60" i="1"/>
  <c r="G79" i="8"/>
  <c r="G84" i="6"/>
  <c r="E60" i="1"/>
  <c r="D61" i="1" s="1"/>
  <c r="C61" i="1" s="1"/>
  <c r="E84" i="5"/>
  <c r="D85" i="5" s="1"/>
  <c r="C84" i="5"/>
  <c r="E80" i="8"/>
  <c r="D81" i="8" s="1"/>
  <c r="C80" i="8"/>
  <c r="D87" i="10"/>
  <c r="C87" i="10" s="1"/>
  <c r="D60" i="9"/>
  <c r="C60" i="9" s="1"/>
  <c r="E46" i="2"/>
  <c r="G46" i="2"/>
  <c r="E61" i="1"/>
  <c r="G80" i="8" l="1"/>
  <c r="E87" i="10"/>
  <c r="D88" i="10" s="1"/>
  <c r="C88" i="10" s="1"/>
  <c r="G85" i="10"/>
  <c r="G84" i="5"/>
  <c r="E85" i="5"/>
  <c r="D86" i="5" s="1"/>
  <c r="C85" i="5"/>
  <c r="E81" i="8"/>
  <c r="D82" i="8" s="1"/>
  <c r="C81" i="8"/>
  <c r="G85" i="6"/>
  <c r="E86" i="6"/>
  <c r="D87" i="6" s="1"/>
  <c r="E60" i="9"/>
  <c r="G60" i="9"/>
  <c r="D47" i="2"/>
  <c r="C47" i="2" s="1"/>
  <c r="D62" i="1"/>
  <c r="C62" i="1" s="1"/>
  <c r="G61" i="1"/>
  <c r="G81" i="8" l="1"/>
  <c r="G85" i="5"/>
  <c r="E88" i="10"/>
  <c r="G86" i="10"/>
  <c r="E62" i="1"/>
  <c r="D63" i="1" s="1"/>
  <c r="C63" i="1" s="1"/>
  <c r="E82" i="8"/>
  <c r="D83" i="8" s="1"/>
  <c r="C82" i="8"/>
  <c r="E86" i="5"/>
  <c r="D87" i="5" s="1"/>
  <c r="C86" i="5"/>
  <c r="G87" i="10"/>
  <c r="E87" i="6"/>
  <c r="D88" i="6" s="1"/>
  <c r="C88" i="6" s="1"/>
  <c r="C87" i="6"/>
  <c r="D89" i="10"/>
  <c r="D61" i="9"/>
  <c r="C61" i="9" s="1"/>
  <c r="G82" i="8"/>
  <c r="E47" i="2"/>
  <c r="G47" i="2"/>
  <c r="G86" i="6" l="1"/>
  <c r="G62" i="1"/>
  <c r="E87" i="5"/>
  <c r="C87" i="5"/>
  <c r="G87" i="6"/>
  <c r="G88" i="10"/>
  <c r="E83" i="8"/>
  <c r="D84" i="8" s="1"/>
  <c r="C83" i="8"/>
  <c r="E89" i="10"/>
  <c r="C89" i="10"/>
  <c r="E88" i="6"/>
  <c r="D89" i="6" s="1"/>
  <c r="D90" i="10"/>
  <c r="C90" i="10" s="1"/>
  <c r="E61" i="9"/>
  <c r="G61" i="9"/>
  <c r="D88" i="5"/>
  <c r="G83" i="8"/>
  <c r="D48" i="2"/>
  <c r="C48" i="2" s="1"/>
  <c r="E90" i="10"/>
  <c r="E63" i="1"/>
  <c r="G63" i="1"/>
  <c r="G86" i="5" l="1"/>
  <c r="G87" i="5"/>
  <c r="C89" i="6"/>
  <c r="E89" i="6"/>
  <c r="D90" i="6" s="1"/>
  <c r="C90" i="6" s="1"/>
  <c r="E84" i="8"/>
  <c r="D85" i="8" s="1"/>
  <c r="C84" i="8"/>
  <c r="E88" i="5"/>
  <c r="D89" i="5" s="1"/>
  <c r="C88" i="5"/>
  <c r="G89" i="10"/>
  <c r="D91" i="10"/>
  <c r="C91" i="10" s="1"/>
  <c r="D62" i="9"/>
  <c r="E48" i="2"/>
  <c r="G48" i="2"/>
  <c r="D64" i="1"/>
  <c r="C64" i="1" s="1"/>
  <c r="G64" i="1" l="1"/>
  <c r="G88" i="5"/>
  <c r="E91" i="10"/>
  <c r="D92" i="10" s="1"/>
  <c r="G88" i="6"/>
  <c r="E85" i="8"/>
  <c r="D86" i="8" s="1"/>
  <c r="C85" i="8"/>
  <c r="E62" i="9"/>
  <c r="C62" i="9"/>
  <c r="G90" i="10"/>
  <c r="E90" i="6"/>
  <c r="D91" i="6" s="1"/>
  <c r="E64" i="1"/>
  <c r="D65" i="1" s="1"/>
  <c r="C65" i="1" s="1"/>
  <c r="G84" i="8"/>
  <c r="E89" i="5"/>
  <c r="D90" i="5" s="1"/>
  <c r="C89" i="5"/>
  <c r="G89" i="6"/>
  <c r="D63" i="9"/>
  <c r="G62" i="9"/>
  <c r="D49" i="2"/>
  <c r="C49" i="2" s="1"/>
  <c r="C91" i="6" l="1"/>
  <c r="E91" i="6"/>
  <c r="C92" i="10"/>
  <c r="E92" i="10"/>
  <c r="D93" i="10" s="1"/>
  <c r="C93" i="10" s="1"/>
  <c r="G85" i="8"/>
  <c r="G89" i="5"/>
  <c r="G65" i="1"/>
  <c r="E86" i="8"/>
  <c r="D87" i="8" s="1"/>
  <c r="C86" i="8"/>
  <c r="E63" i="9"/>
  <c r="D64" i="9" s="1"/>
  <c r="C63" i="9"/>
  <c r="G91" i="10"/>
  <c r="E90" i="5"/>
  <c r="D91" i="5" s="1"/>
  <c r="C90" i="5"/>
  <c r="D92" i="6"/>
  <c r="C92" i="6" s="1"/>
  <c r="E49" i="2"/>
  <c r="G49" i="2"/>
  <c r="E65" i="1"/>
  <c r="G90" i="6" l="1"/>
  <c r="E87" i="8"/>
  <c r="C87" i="8"/>
  <c r="G86" i="8"/>
  <c r="E91" i="5"/>
  <c r="D92" i="5" s="1"/>
  <c r="C91" i="5"/>
  <c r="E64" i="9"/>
  <c r="D65" i="9" s="1"/>
  <c r="C64" i="9"/>
  <c r="E92" i="6"/>
  <c r="D93" i="6" s="1"/>
  <c r="E93" i="10"/>
  <c r="D94" i="10" s="1"/>
  <c r="C94" i="10" s="1"/>
  <c r="G92" i="10"/>
  <c r="G91" i="6"/>
  <c r="D88" i="8"/>
  <c r="D50" i="2"/>
  <c r="C50" i="2" s="1"/>
  <c r="D66" i="1"/>
  <c r="C66" i="1" s="1"/>
  <c r="G91" i="5" l="1"/>
  <c r="G63" i="9"/>
  <c r="G64" i="9"/>
  <c r="G90" i="5"/>
  <c r="G87" i="8"/>
  <c r="G66" i="1"/>
  <c r="E93" i="6"/>
  <c r="D94" i="6" s="1"/>
  <c r="C93" i="6"/>
  <c r="E92" i="5"/>
  <c r="D93" i="5" s="1"/>
  <c r="C92" i="5"/>
  <c r="G92" i="6"/>
  <c r="E88" i="8"/>
  <c r="D89" i="8" s="1"/>
  <c r="C88" i="8"/>
  <c r="G88" i="8" s="1"/>
  <c r="E65" i="9"/>
  <c r="D66" i="9" s="1"/>
  <c r="C65" i="9"/>
  <c r="E66" i="1"/>
  <c r="D67" i="1" s="1"/>
  <c r="C67" i="1" s="1"/>
  <c r="E94" i="10"/>
  <c r="D95" i="10"/>
  <c r="C95" i="10" s="1"/>
  <c r="E50" i="2"/>
  <c r="G50" i="2"/>
  <c r="G65" i="9" l="1"/>
  <c r="G92" i="5"/>
  <c r="G93" i="10"/>
  <c r="E93" i="5"/>
  <c r="C93" i="5"/>
  <c r="E89" i="8"/>
  <c r="D90" i="8" s="1"/>
  <c r="C89" i="8"/>
  <c r="G89" i="8" s="1"/>
  <c r="E66" i="9"/>
  <c r="D67" i="9" s="1"/>
  <c r="C66" i="9"/>
  <c r="E95" i="10"/>
  <c r="D96" i="10" s="1"/>
  <c r="C96" i="10" s="1"/>
  <c r="G93" i="6"/>
  <c r="E94" i="6"/>
  <c r="D95" i="6" s="1"/>
  <c r="C94" i="6"/>
  <c r="G94" i="10"/>
  <c r="D94" i="5"/>
  <c r="D51" i="2"/>
  <c r="C51" i="2" s="1"/>
  <c r="E67" i="1"/>
  <c r="G67" i="1"/>
  <c r="G93" i="5" l="1"/>
  <c r="C95" i="6"/>
  <c r="E95" i="6"/>
  <c r="D96" i="6" s="1"/>
  <c r="G66" i="9"/>
  <c r="E67" i="9"/>
  <c r="C67" i="9"/>
  <c r="E90" i="8"/>
  <c r="D91" i="8" s="1"/>
  <c r="C90" i="8"/>
  <c r="E94" i="5"/>
  <c r="D95" i="5" s="1"/>
  <c r="C94" i="5"/>
  <c r="E96" i="10"/>
  <c r="D97" i="10" s="1"/>
  <c r="D68" i="9"/>
  <c r="C68" i="9" s="1"/>
  <c r="E51" i="2"/>
  <c r="G51" i="2"/>
  <c r="D68" i="1"/>
  <c r="C68" i="1" s="1"/>
  <c r="G68" i="1" s="1"/>
  <c r="G94" i="5" l="1"/>
  <c r="G90" i="8"/>
  <c r="G95" i="10"/>
  <c r="G68" i="9"/>
  <c r="G96" i="10"/>
  <c r="G94" i="6"/>
  <c r="G95" i="6"/>
  <c r="C97" i="10"/>
  <c r="E97" i="10"/>
  <c r="E95" i="5"/>
  <c r="D96" i="5" s="1"/>
  <c r="C95" i="5"/>
  <c r="E68" i="1"/>
  <c r="D69" i="1" s="1"/>
  <c r="C69" i="1" s="1"/>
  <c r="E91" i="8"/>
  <c r="D92" i="8" s="1"/>
  <c r="C91" i="8"/>
  <c r="E96" i="6"/>
  <c r="D97" i="6" s="1"/>
  <c r="C96" i="6"/>
  <c r="D98" i="10"/>
  <c r="C98" i="10" s="1"/>
  <c r="E68" i="9"/>
  <c r="D52" i="2"/>
  <c r="C52" i="2" s="1"/>
  <c r="E98" i="10" l="1"/>
  <c r="D99" i="10" s="1"/>
  <c r="C99" i="10" s="1"/>
  <c r="G95" i="5"/>
  <c r="G67" i="9"/>
  <c r="G91" i="8"/>
  <c r="G96" i="6"/>
  <c r="E96" i="5"/>
  <c r="D97" i="5" s="1"/>
  <c r="C96" i="5"/>
  <c r="G96" i="5" s="1"/>
  <c r="E97" i="6"/>
  <c r="D98" i="6" s="1"/>
  <c r="C98" i="6" s="1"/>
  <c r="C97" i="6"/>
  <c r="E92" i="8"/>
  <c r="D93" i="8" s="1"/>
  <c r="C92" i="8"/>
  <c r="G97" i="10"/>
  <c r="D69" i="9"/>
  <c r="E52" i="2"/>
  <c r="G52" i="2"/>
  <c r="G69" i="1"/>
  <c r="E69" i="1"/>
  <c r="E99" i="10" l="1"/>
  <c r="D100" i="10" s="1"/>
  <c r="G92" i="8"/>
  <c r="G98" i="10"/>
  <c r="E93" i="8"/>
  <c r="D94" i="8" s="1"/>
  <c r="C93" i="8"/>
  <c r="E98" i="6"/>
  <c r="D99" i="6" s="1"/>
  <c r="E97" i="5"/>
  <c r="D98" i="5" s="1"/>
  <c r="C97" i="5"/>
  <c r="E69" i="9"/>
  <c r="D70" i="9" s="1"/>
  <c r="C69" i="9"/>
  <c r="G97" i="5"/>
  <c r="D53" i="2"/>
  <c r="C53" i="2" s="1"/>
  <c r="D70" i="1"/>
  <c r="C70" i="1" s="1"/>
  <c r="C99" i="6" l="1"/>
  <c r="E99" i="6"/>
  <c r="E70" i="1"/>
  <c r="D71" i="1" s="1"/>
  <c r="C71" i="1" s="1"/>
  <c r="G93" i="8"/>
  <c r="G98" i="6"/>
  <c r="G97" i="6"/>
  <c r="C100" i="10"/>
  <c r="E100" i="10"/>
  <c r="E98" i="5"/>
  <c r="D99" i="5" s="1"/>
  <c r="C98" i="5"/>
  <c r="E94" i="8"/>
  <c r="D95" i="8" s="1"/>
  <c r="C94" i="8"/>
  <c r="G69" i="9"/>
  <c r="E70" i="9"/>
  <c r="C70" i="9"/>
  <c r="G70" i="1"/>
  <c r="D101" i="10"/>
  <c r="C101" i="10" s="1"/>
  <c r="D100" i="6"/>
  <c r="D71" i="9"/>
  <c r="E53" i="2"/>
  <c r="G53" i="2"/>
  <c r="G99" i="6" l="1"/>
  <c r="E101" i="10"/>
  <c r="G94" i="8"/>
  <c r="G99" i="10"/>
  <c r="G71" i="1"/>
  <c r="E71" i="1"/>
  <c r="D72" i="1" s="1"/>
  <c r="C72" i="1" s="1"/>
  <c r="E95" i="8"/>
  <c r="C95" i="8"/>
  <c r="E99" i="5"/>
  <c r="D100" i="5" s="1"/>
  <c r="C99" i="5"/>
  <c r="E100" i="6"/>
  <c r="D101" i="6" s="1"/>
  <c r="C100" i="6"/>
  <c r="E71" i="9"/>
  <c r="D72" i="9" s="1"/>
  <c r="C71" i="9"/>
  <c r="G100" i="10"/>
  <c r="D102" i="10"/>
  <c r="C102" i="10" s="1"/>
  <c r="D96" i="8"/>
  <c r="D54" i="2"/>
  <c r="C54" i="2" s="1"/>
  <c r="G95" i="8" l="1"/>
  <c r="G71" i="9"/>
  <c r="G70" i="9"/>
  <c r="G98" i="5"/>
  <c r="E100" i="5"/>
  <c r="D101" i="5" s="1"/>
  <c r="C100" i="5"/>
  <c r="E101" i="6"/>
  <c r="D102" i="6" s="1"/>
  <c r="C102" i="6" s="1"/>
  <c r="C101" i="6"/>
  <c r="E72" i="9"/>
  <c r="D73" i="9" s="1"/>
  <c r="C72" i="9"/>
  <c r="G72" i="9" s="1"/>
  <c r="G72" i="1"/>
  <c r="E96" i="8"/>
  <c r="D97" i="8" s="1"/>
  <c r="C97" i="8" s="1"/>
  <c r="C96" i="8"/>
  <c r="G96" i="8" s="1"/>
  <c r="E72" i="1"/>
  <c r="D73" i="1" s="1"/>
  <c r="C73" i="1" s="1"/>
  <c r="E102" i="10"/>
  <c r="E54" i="2"/>
  <c r="G54" i="2"/>
  <c r="G101" i="10" l="1"/>
  <c r="G100" i="5"/>
  <c r="G100" i="6"/>
  <c r="G99" i="5"/>
  <c r="E101" i="5"/>
  <c r="C101" i="5"/>
  <c r="E73" i="9"/>
  <c r="D74" i="9" s="1"/>
  <c r="C73" i="9"/>
  <c r="E102" i="6"/>
  <c r="D102" i="5"/>
  <c r="E97" i="8"/>
  <c r="G97" i="8"/>
  <c r="D55" i="2"/>
  <c r="C55" i="2" s="1"/>
  <c r="E73" i="1"/>
  <c r="G73" i="1"/>
  <c r="G101" i="5" l="1"/>
  <c r="G101" i="6"/>
  <c r="G73" i="9"/>
  <c r="E102" i="5"/>
  <c r="C102" i="5"/>
  <c r="E74" i="9"/>
  <c r="D75" i="9" s="1"/>
  <c r="C74" i="9"/>
  <c r="D98" i="8"/>
  <c r="C98" i="8" s="1"/>
  <c r="E55" i="2"/>
  <c r="G55" i="2"/>
  <c r="D74" i="1"/>
  <c r="C74" i="1" s="1"/>
  <c r="E75" i="9" l="1"/>
  <c r="D76" i="9" s="1"/>
  <c r="C75" i="9"/>
  <c r="G74" i="9"/>
  <c r="E98" i="8"/>
  <c r="G98" i="8"/>
  <c r="D56" i="2"/>
  <c r="C56" i="2" s="1"/>
  <c r="E74" i="1"/>
  <c r="G74" i="1"/>
  <c r="G75" i="9" l="1"/>
  <c r="E76" i="9"/>
  <c r="C76" i="9"/>
  <c r="D77" i="9"/>
  <c r="D99" i="8"/>
  <c r="E56" i="2"/>
  <c r="G56" i="2"/>
  <c r="D75" i="1"/>
  <c r="G76" i="9" l="1"/>
  <c r="E75" i="1"/>
  <c r="D76" i="1" s="1"/>
  <c r="C75" i="1"/>
  <c r="E99" i="8"/>
  <c r="D100" i="8" s="1"/>
  <c r="C99" i="8"/>
  <c r="E77" i="9"/>
  <c r="D78" i="9" s="1"/>
  <c r="C77" i="9"/>
  <c r="D57" i="2"/>
  <c r="C57" i="2" s="1"/>
  <c r="G99" i="8" l="1"/>
  <c r="G75" i="1"/>
  <c r="E100" i="8"/>
  <c r="D101" i="8" s="1"/>
  <c r="C100" i="8"/>
  <c r="E76" i="1"/>
  <c r="D77" i="1" s="1"/>
  <c r="C76" i="1"/>
  <c r="E78" i="9"/>
  <c r="D79" i="9" s="1"/>
  <c r="C78" i="9"/>
  <c r="G77" i="9"/>
  <c r="E57" i="2"/>
  <c r="G57" i="2"/>
  <c r="G100" i="8" l="1"/>
  <c r="G76" i="1"/>
  <c r="G78" i="9"/>
  <c r="E79" i="9"/>
  <c r="D80" i="9" s="1"/>
  <c r="C79" i="9"/>
  <c r="E77" i="1"/>
  <c r="D78" i="1" s="1"/>
  <c r="C77" i="1"/>
  <c r="E101" i="8"/>
  <c r="D102" i="8" s="1"/>
  <c r="C102" i="8" s="1"/>
  <c r="C101" i="8"/>
  <c r="D58" i="2"/>
  <c r="C58" i="2" s="1"/>
  <c r="G101" i="8" l="1"/>
  <c r="G77" i="1"/>
  <c r="E78" i="1"/>
  <c r="C78" i="1"/>
  <c r="E80" i="9"/>
  <c r="D81" i="9" s="1"/>
  <c r="C80" i="9"/>
  <c r="E102" i="8"/>
  <c r="E58" i="2"/>
  <c r="G58" i="2"/>
  <c r="D79" i="1"/>
  <c r="G79" i="9" l="1"/>
  <c r="G78" i="1"/>
  <c r="G80" i="9"/>
  <c r="E81" i="9"/>
  <c r="D82" i="9" s="1"/>
  <c r="C81" i="9"/>
  <c r="E79" i="1"/>
  <c r="D80" i="1" s="1"/>
  <c r="C79" i="1"/>
  <c r="G81" i="9"/>
  <c r="D59" i="2"/>
  <c r="C59" i="2" s="1"/>
  <c r="E82" i="9" l="1"/>
  <c r="D83" i="9" s="1"/>
  <c r="C82" i="9"/>
  <c r="G82" i="9" s="1"/>
  <c r="E80" i="1"/>
  <c r="D81" i="1" s="1"/>
  <c r="C81" i="1" s="1"/>
  <c r="C80" i="1"/>
  <c r="E59" i="2"/>
  <c r="G59" i="2"/>
  <c r="E81" i="1"/>
  <c r="G79" i="1" l="1"/>
  <c r="G80" i="1"/>
  <c r="E83" i="9"/>
  <c r="D84" i="9" s="1"/>
  <c r="C83" i="9"/>
  <c r="G81" i="1"/>
  <c r="D60" i="2"/>
  <c r="C60" i="2" s="1"/>
  <c r="D82" i="1"/>
  <c r="E84" i="9" l="1"/>
  <c r="C84" i="9"/>
  <c r="E82" i="1"/>
  <c r="D83" i="1" s="1"/>
  <c r="C83" i="1" s="1"/>
  <c r="C82" i="1"/>
  <c r="D85" i="9"/>
  <c r="E60" i="2"/>
  <c r="G60" i="2"/>
  <c r="G83" i="9" l="1"/>
  <c r="G84" i="9"/>
  <c r="G82" i="1"/>
  <c r="E85" i="9"/>
  <c r="D86" i="9" s="1"/>
  <c r="C85" i="9"/>
  <c r="D61" i="2"/>
  <c r="C61" i="2" s="1"/>
  <c r="G83" i="1"/>
  <c r="E83" i="1"/>
  <c r="G85" i="9" l="1"/>
  <c r="E86" i="9"/>
  <c r="D87" i="9" s="1"/>
  <c r="C86" i="9"/>
  <c r="E61" i="2"/>
  <c r="G61" i="2"/>
  <c r="D84" i="1"/>
  <c r="C84" i="1" s="1"/>
  <c r="G84" i="1" l="1"/>
  <c r="G86" i="9"/>
  <c r="E87" i="9"/>
  <c r="D88" i="9" s="1"/>
  <c r="C87" i="9"/>
  <c r="E84" i="1"/>
  <c r="D85" i="1" s="1"/>
  <c r="D62" i="2"/>
  <c r="C62" i="2" s="1"/>
  <c r="G87" i="9" l="1"/>
  <c r="C85" i="1"/>
  <c r="E85" i="1"/>
  <c r="D86" i="1" s="1"/>
  <c r="E88" i="9"/>
  <c r="D89" i="9" s="1"/>
  <c r="C88" i="9"/>
  <c r="E62" i="2"/>
  <c r="G62" i="2"/>
  <c r="G88" i="9" l="1"/>
  <c r="G85" i="1"/>
  <c r="C86" i="1"/>
  <c r="E86" i="1"/>
  <c r="D87" i="1" s="1"/>
  <c r="C87" i="1" s="1"/>
  <c r="E89" i="9"/>
  <c r="D90" i="9" s="1"/>
  <c r="C89" i="9"/>
  <c r="D63" i="2"/>
  <c r="C63" i="2" s="1"/>
  <c r="E87" i="1" l="1"/>
  <c r="D88" i="1" s="1"/>
  <c r="C88" i="1" s="1"/>
  <c r="G89" i="9"/>
  <c r="G86" i="1"/>
  <c r="E90" i="9"/>
  <c r="D91" i="9" s="1"/>
  <c r="C90" i="9"/>
  <c r="E63" i="2"/>
  <c r="G63" i="2"/>
  <c r="G90" i="9" l="1"/>
  <c r="E88" i="1"/>
  <c r="D89" i="1" s="1"/>
  <c r="C89" i="1" s="1"/>
  <c r="E91" i="9"/>
  <c r="D92" i="9" s="1"/>
  <c r="C91" i="9"/>
  <c r="G91" i="9" s="1"/>
  <c r="D64" i="2"/>
  <c r="C64" i="2" s="1"/>
  <c r="G88" i="1" l="1"/>
  <c r="G87" i="1"/>
  <c r="E92" i="9"/>
  <c r="D93" i="9" s="1"/>
  <c r="C92" i="9"/>
  <c r="E64" i="2"/>
  <c r="G64" i="2"/>
  <c r="E89" i="1"/>
  <c r="G89" i="1"/>
  <c r="E93" i="9" l="1"/>
  <c r="C93" i="9"/>
  <c r="G92" i="9"/>
  <c r="D94" i="9"/>
  <c r="D65" i="2"/>
  <c r="C65" i="2" s="1"/>
  <c r="D90" i="1"/>
  <c r="C90" i="1" s="1"/>
  <c r="G93" i="9" l="1"/>
  <c r="E90" i="1"/>
  <c r="D91" i="1" s="1"/>
  <c r="C91" i="1" s="1"/>
  <c r="E94" i="9"/>
  <c r="D95" i="9" s="1"/>
  <c r="C94" i="9"/>
  <c r="E65" i="2"/>
  <c r="G65" i="2"/>
  <c r="G94" i="9" l="1"/>
  <c r="G90" i="1"/>
  <c r="E95" i="9"/>
  <c r="C95" i="9"/>
  <c r="G95" i="9" s="1"/>
  <c r="D96" i="9"/>
  <c r="D66" i="2"/>
  <c r="C66" i="2" s="1"/>
  <c r="G91" i="1"/>
  <c r="E91" i="1"/>
  <c r="E96" i="9" l="1"/>
  <c r="D97" i="9" s="1"/>
  <c r="C96" i="9"/>
  <c r="E66" i="2"/>
  <c r="G66" i="2"/>
  <c r="D92" i="1"/>
  <c r="C92" i="1" s="1"/>
  <c r="E97" i="9" l="1"/>
  <c r="C97" i="9"/>
  <c r="G92" i="1"/>
  <c r="E92" i="1"/>
  <c r="G97" i="9"/>
  <c r="D98" i="9"/>
  <c r="D67" i="2"/>
  <c r="C67" i="2" s="1"/>
  <c r="D93" i="1"/>
  <c r="G96" i="9" l="1"/>
  <c r="E93" i="1"/>
  <c r="D94" i="1" s="1"/>
  <c r="C94" i="1" s="1"/>
  <c r="C93" i="1"/>
  <c r="E98" i="9"/>
  <c r="D99" i="9" s="1"/>
  <c r="C98" i="9"/>
  <c r="E67" i="2"/>
  <c r="G67" i="2"/>
  <c r="E94" i="1" l="1"/>
  <c r="G98" i="9"/>
  <c r="G93" i="1"/>
  <c r="E99" i="9"/>
  <c r="D100" i="9" s="1"/>
  <c r="C99" i="9"/>
  <c r="D68" i="2"/>
  <c r="C68" i="2" s="1"/>
  <c r="D95" i="1"/>
  <c r="G99" i="9" l="1"/>
  <c r="E100" i="9"/>
  <c r="D101" i="9" s="1"/>
  <c r="C100" i="9"/>
  <c r="G100" i="9" s="1"/>
  <c r="E95" i="1"/>
  <c r="D96" i="1" s="1"/>
  <c r="C95" i="1"/>
  <c r="G94" i="1"/>
  <c r="E68" i="2"/>
  <c r="G68" i="2"/>
  <c r="G95" i="1" l="1"/>
  <c r="E96" i="1"/>
  <c r="D97" i="1" s="1"/>
  <c r="C97" i="1" s="1"/>
  <c r="C96" i="1"/>
  <c r="E101" i="9"/>
  <c r="C101" i="9"/>
  <c r="D102" i="9"/>
  <c r="D69" i="2"/>
  <c r="C69" i="2" s="1"/>
  <c r="G97" i="1" l="1"/>
  <c r="E102" i="9"/>
  <c r="C102" i="9"/>
  <c r="E69" i="2"/>
  <c r="G69" i="2"/>
  <c r="E97" i="1"/>
  <c r="G101" i="9" l="1"/>
  <c r="G96" i="1"/>
  <c r="D70" i="2"/>
  <c r="C70" i="2" s="1"/>
  <c r="D98" i="1"/>
  <c r="C98" i="1" s="1"/>
  <c r="E98" i="1" l="1"/>
  <c r="D99" i="1" s="1"/>
  <c r="C99" i="1" s="1"/>
  <c r="E70" i="2"/>
  <c r="G70" i="2"/>
  <c r="G98" i="1" l="1"/>
  <c r="D71" i="2"/>
  <c r="C71" i="2" s="1"/>
  <c r="E99" i="1"/>
  <c r="G99" i="1"/>
  <c r="E71" i="2" l="1"/>
  <c r="G71" i="2"/>
  <c r="D100" i="1"/>
  <c r="C100" i="1" s="1"/>
  <c r="E100" i="1" l="1"/>
  <c r="G100" i="1"/>
  <c r="D72" i="2"/>
  <c r="C72" i="2" s="1"/>
  <c r="D101" i="1"/>
  <c r="E101" i="1" l="1"/>
  <c r="C101" i="1"/>
  <c r="E72" i="2"/>
  <c r="G72" i="2"/>
  <c r="D102" i="1"/>
  <c r="E102" i="1" l="1"/>
  <c r="C102" i="1"/>
  <c r="D73" i="2"/>
  <c r="C73" i="2" s="1"/>
  <c r="G101" i="1" l="1"/>
  <c r="E73" i="2"/>
  <c r="G73" i="2"/>
  <c r="D74" i="2" l="1"/>
  <c r="C74" i="2" s="1"/>
  <c r="E74" i="2" l="1"/>
  <c r="G74" i="2"/>
  <c r="D75" i="2" l="1"/>
  <c r="C75" i="2" s="1"/>
  <c r="E75" i="2" l="1"/>
  <c r="G75" i="2"/>
  <c r="D76" i="2" l="1"/>
  <c r="C76" i="2" s="1"/>
  <c r="E76" i="2" l="1"/>
  <c r="G76" i="2"/>
  <c r="D77" i="2" l="1"/>
  <c r="C77" i="2" s="1"/>
  <c r="E77" i="2" l="1"/>
  <c r="G77" i="2"/>
  <c r="D78" i="2" l="1"/>
  <c r="C78" i="2" s="1"/>
  <c r="E78" i="2" l="1"/>
  <c r="G78" i="2"/>
  <c r="D79" i="2" l="1"/>
  <c r="C79" i="2" s="1"/>
  <c r="E79" i="2" l="1"/>
  <c r="G79" i="2"/>
  <c r="D80" i="2" l="1"/>
  <c r="C80" i="2" s="1"/>
  <c r="E80" i="2" l="1"/>
  <c r="G80" i="2"/>
  <c r="D81" i="2" l="1"/>
  <c r="C81" i="2" s="1"/>
  <c r="E81" i="2" l="1"/>
  <c r="G81" i="2"/>
  <c r="D82" i="2" l="1"/>
  <c r="C82" i="2" s="1"/>
  <c r="E82" i="2" l="1"/>
  <c r="G82" i="2"/>
  <c r="D83" i="2" l="1"/>
  <c r="C83" i="2" s="1"/>
  <c r="E83" i="2" l="1"/>
  <c r="G83" i="2"/>
  <c r="D84" i="2" l="1"/>
  <c r="C84" i="2" s="1"/>
  <c r="E84" i="2" l="1"/>
  <c r="G84" i="2"/>
  <c r="D85" i="2" l="1"/>
  <c r="C85" i="2" s="1"/>
  <c r="E85" i="2" l="1"/>
  <c r="G85" i="2"/>
  <c r="D86" i="2" l="1"/>
  <c r="C86" i="2" s="1"/>
  <c r="E86" i="2" l="1"/>
  <c r="G86" i="2"/>
  <c r="D87" i="2" l="1"/>
  <c r="C87" i="2" s="1"/>
  <c r="E87" i="2" l="1"/>
  <c r="G87" i="2"/>
  <c r="D88" i="2" l="1"/>
  <c r="C88" i="2" s="1"/>
  <c r="E88" i="2" l="1"/>
  <c r="G88" i="2"/>
  <c r="D89" i="2" l="1"/>
  <c r="C89" i="2" s="1"/>
  <c r="E89" i="2" l="1"/>
  <c r="G89" i="2"/>
  <c r="D90" i="2" l="1"/>
  <c r="C90" i="2" s="1"/>
  <c r="E90" i="2" l="1"/>
  <c r="G90" i="2"/>
  <c r="D91" i="2" l="1"/>
  <c r="C91" i="2" s="1"/>
  <c r="E91" i="2" l="1"/>
  <c r="G91" i="2"/>
  <c r="D92" i="2" l="1"/>
  <c r="C92" i="2" s="1"/>
  <c r="E92" i="2" l="1"/>
  <c r="G92" i="2"/>
  <c r="D93" i="2" l="1"/>
  <c r="C93" i="2" s="1"/>
  <c r="E93" i="2" l="1"/>
  <c r="G93" i="2"/>
  <c r="D94" i="2" l="1"/>
  <c r="C94" i="2" s="1"/>
  <c r="E94" i="2" l="1"/>
  <c r="G94" i="2"/>
  <c r="D95" i="2" l="1"/>
  <c r="C95" i="2" s="1"/>
  <c r="E95" i="2" l="1"/>
  <c r="G95" i="2"/>
  <c r="D96" i="2" l="1"/>
  <c r="C96" i="2" s="1"/>
  <c r="E96" i="2" l="1"/>
  <c r="G96" i="2"/>
  <c r="D97" i="2" l="1"/>
  <c r="C97" i="2" s="1"/>
  <c r="E97" i="2" l="1"/>
  <c r="G97" i="2"/>
  <c r="D98" i="2" l="1"/>
  <c r="C98" i="2" s="1"/>
  <c r="E98" i="2" l="1"/>
  <c r="G98" i="2"/>
  <c r="D99" i="2" l="1"/>
  <c r="C99" i="2" s="1"/>
  <c r="E99" i="2" l="1"/>
  <c r="G99" i="2"/>
  <c r="D100" i="2" l="1"/>
  <c r="C100" i="2" s="1"/>
  <c r="E100" i="2" l="1"/>
  <c r="G100" i="2"/>
  <c r="D101" i="2" l="1"/>
  <c r="C101" i="2" s="1"/>
  <c r="E101" i="2" l="1"/>
  <c r="G101" i="2"/>
  <c r="D102" i="2" l="1"/>
  <c r="C102" i="2" s="1"/>
  <c r="E102" i="2" l="1"/>
</calcChain>
</file>

<file path=xl/sharedStrings.xml><?xml version="1.0" encoding="utf-8"?>
<sst xmlns="http://schemas.openxmlformats.org/spreadsheetml/2006/main" count="91" uniqueCount="13">
  <si>
    <t>t</t>
  </si>
  <si>
    <t>y_t</t>
  </si>
  <si>
    <t>theta_t</t>
  </si>
  <si>
    <t>k_t</t>
  </si>
  <si>
    <t>ln theta_t+1</t>
  </si>
  <si>
    <t>ln theta_t</t>
  </si>
  <si>
    <t>e_t+1</t>
  </si>
  <si>
    <t>Rho</t>
  </si>
  <si>
    <t>Alpha</t>
  </si>
  <si>
    <t>Beta</t>
  </si>
  <si>
    <t>c_t</t>
  </si>
  <si>
    <t>k_t+1</t>
  </si>
  <si>
    <t>y_nss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</si>
</sst>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3.c'!$I$1</c:f>
              <c:strCache>
                <c:ptCount val="1"/>
                <c:pt idx="0">
                  <c:v>y_nss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3.c'!$A$2:$A$102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'Ejercicio 3.c'!$I$2:$I$102</c:f>
              <c:numCache>
                <c:formatCode>#,##0.000</c:formatCode>
                <c:ptCount val="101"/>
                <c:pt idx="0">
                  <c:v>0.47599999999999998</c:v>
                </c:pt>
                <c:pt idx="1">
                  <c:v>0.47599999999999998</c:v>
                </c:pt>
                <c:pt idx="2">
                  <c:v>0.47599999999999998</c:v>
                </c:pt>
                <c:pt idx="3">
                  <c:v>0.47599999999999998</c:v>
                </c:pt>
                <c:pt idx="4">
                  <c:v>0.47599999999999998</c:v>
                </c:pt>
                <c:pt idx="5">
                  <c:v>0.47599999999999998</c:v>
                </c:pt>
                <c:pt idx="6">
                  <c:v>0.47599999999999998</c:v>
                </c:pt>
                <c:pt idx="7">
                  <c:v>0.47599999999999998</c:v>
                </c:pt>
                <c:pt idx="8">
                  <c:v>0.47599999999999998</c:v>
                </c:pt>
                <c:pt idx="9">
                  <c:v>0.47599999999999998</c:v>
                </c:pt>
                <c:pt idx="10">
                  <c:v>0.47599999999999998</c:v>
                </c:pt>
                <c:pt idx="11">
                  <c:v>0.47599999999999998</c:v>
                </c:pt>
                <c:pt idx="12">
                  <c:v>0.47599999999999998</c:v>
                </c:pt>
                <c:pt idx="13">
                  <c:v>0.47599999999999998</c:v>
                </c:pt>
                <c:pt idx="14">
                  <c:v>0.47599999999999998</c:v>
                </c:pt>
                <c:pt idx="15">
                  <c:v>0.47599999999999998</c:v>
                </c:pt>
                <c:pt idx="16">
                  <c:v>0.47599999999999998</c:v>
                </c:pt>
                <c:pt idx="17">
                  <c:v>0.47599999999999998</c:v>
                </c:pt>
                <c:pt idx="18">
                  <c:v>0.47599999999999998</c:v>
                </c:pt>
                <c:pt idx="19">
                  <c:v>0.47599999999999998</c:v>
                </c:pt>
                <c:pt idx="20">
                  <c:v>0.47599999999999998</c:v>
                </c:pt>
                <c:pt idx="21">
                  <c:v>0.47599999999999998</c:v>
                </c:pt>
                <c:pt idx="22">
                  <c:v>0.47599999999999998</c:v>
                </c:pt>
                <c:pt idx="23">
                  <c:v>0.47599999999999998</c:v>
                </c:pt>
                <c:pt idx="24">
                  <c:v>0.47599999999999998</c:v>
                </c:pt>
                <c:pt idx="25">
                  <c:v>0.47599999999999998</c:v>
                </c:pt>
                <c:pt idx="26">
                  <c:v>0.47599999999999998</c:v>
                </c:pt>
                <c:pt idx="27">
                  <c:v>0.47599999999999998</c:v>
                </c:pt>
                <c:pt idx="28">
                  <c:v>0.47599999999999998</c:v>
                </c:pt>
                <c:pt idx="29">
                  <c:v>0.47599999999999998</c:v>
                </c:pt>
                <c:pt idx="30">
                  <c:v>0.47599999999999998</c:v>
                </c:pt>
                <c:pt idx="31">
                  <c:v>0.47599999999999998</c:v>
                </c:pt>
                <c:pt idx="32">
                  <c:v>0.47599999999999998</c:v>
                </c:pt>
                <c:pt idx="33">
                  <c:v>0.47599999999999998</c:v>
                </c:pt>
                <c:pt idx="34">
                  <c:v>0.47599999999999998</c:v>
                </c:pt>
                <c:pt idx="35">
                  <c:v>0.47599999999999998</c:v>
                </c:pt>
                <c:pt idx="36">
                  <c:v>0.47599999999999998</c:v>
                </c:pt>
                <c:pt idx="37">
                  <c:v>0.47599999999999998</c:v>
                </c:pt>
                <c:pt idx="38">
                  <c:v>0.47599999999999998</c:v>
                </c:pt>
                <c:pt idx="39">
                  <c:v>0.47599999999999998</c:v>
                </c:pt>
                <c:pt idx="40">
                  <c:v>0.47599999999999998</c:v>
                </c:pt>
                <c:pt idx="41">
                  <c:v>0.47599999999999998</c:v>
                </c:pt>
                <c:pt idx="42">
                  <c:v>0.47599999999999998</c:v>
                </c:pt>
                <c:pt idx="43">
                  <c:v>0.47599999999999998</c:v>
                </c:pt>
                <c:pt idx="44">
                  <c:v>0.47599999999999998</c:v>
                </c:pt>
                <c:pt idx="45">
                  <c:v>0.47599999999999998</c:v>
                </c:pt>
                <c:pt idx="46">
                  <c:v>0.47599999999999998</c:v>
                </c:pt>
                <c:pt idx="47">
                  <c:v>0.47599999999999998</c:v>
                </c:pt>
                <c:pt idx="48">
                  <c:v>0.47599999999999998</c:v>
                </c:pt>
                <c:pt idx="49">
                  <c:v>0.47599999999999998</c:v>
                </c:pt>
                <c:pt idx="50">
                  <c:v>0.47599999999999998</c:v>
                </c:pt>
                <c:pt idx="51">
                  <c:v>0.47599999999999998</c:v>
                </c:pt>
                <c:pt idx="52">
                  <c:v>0.47599999999999998</c:v>
                </c:pt>
                <c:pt idx="53">
                  <c:v>0.47599999999999998</c:v>
                </c:pt>
                <c:pt idx="54">
                  <c:v>0.47599999999999998</c:v>
                </c:pt>
                <c:pt idx="55">
                  <c:v>0.47599999999999998</c:v>
                </c:pt>
                <c:pt idx="56">
                  <c:v>0.47599999999999998</c:v>
                </c:pt>
                <c:pt idx="57">
                  <c:v>0.47599999999999998</c:v>
                </c:pt>
                <c:pt idx="58">
                  <c:v>0.47599999999999998</c:v>
                </c:pt>
                <c:pt idx="59">
                  <c:v>0.47599999999999998</c:v>
                </c:pt>
                <c:pt idx="60">
                  <c:v>0.47599999999999998</c:v>
                </c:pt>
                <c:pt idx="61">
                  <c:v>0.47599999999999998</c:v>
                </c:pt>
                <c:pt idx="62">
                  <c:v>0.47599999999999998</c:v>
                </c:pt>
                <c:pt idx="63">
                  <c:v>0.47599999999999998</c:v>
                </c:pt>
                <c:pt idx="64">
                  <c:v>0.47599999999999998</c:v>
                </c:pt>
                <c:pt idx="65">
                  <c:v>0.47599999999999998</c:v>
                </c:pt>
                <c:pt idx="66">
                  <c:v>0.47599999999999998</c:v>
                </c:pt>
                <c:pt idx="67">
                  <c:v>0.47599999999999998</c:v>
                </c:pt>
                <c:pt idx="68">
                  <c:v>0.47599999999999998</c:v>
                </c:pt>
                <c:pt idx="69">
                  <c:v>0.47599999999999998</c:v>
                </c:pt>
                <c:pt idx="70">
                  <c:v>0.47599999999999998</c:v>
                </c:pt>
                <c:pt idx="71">
                  <c:v>0.47599999999999998</c:v>
                </c:pt>
                <c:pt idx="72">
                  <c:v>0.47599999999999998</c:v>
                </c:pt>
                <c:pt idx="73">
                  <c:v>0.47599999999999998</c:v>
                </c:pt>
                <c:pt idx="74">
                  <c:v>0.47599999999999998</c:v>
                </c:pt>
                <c:pt idx="75">
                  <c:v>0.47599999999999998</c:v>
                </c:pt>
                <c:pt idx="76">
                  <c:v>0.47599999999999998</c:v>
                </c:pt>
                <c:pt idx="77">
                  <c:v>0.47599999999999998</c:v>
                </c:pt>
                <c:pt idx="78">
                  <c:v>0.47599999999999998</c:v>
                </c:pt>
                <c:pt idx="79">
                  <c:v>0.47599999999999998</c:v>
                </c:pt>
                <c:pt idx="80">
                  <c:v>0.47599999999999998</c:v>
                </c:pt>
                <c:pt idx="81">
                  <c:v>0.47599999999999998</c:v>
                </c:pt>
                <c:pt idx="82">
                  <c:v>0.47599999999999998</c:v>
                </c:pt>
                <c:pt idx="83">
                  <c:v>0.47599999999999998</c:v>
                </c:pt>
                <c:pt idx="84">
                  <c:v>0.47599999999999998</c:v>
                </c:pt>
                <c:pt idx="85">
                  <c:v>0.47599999999999998</c:v>
                </c:pt>
                <c:pt idx="86">
                  <c:v>0.47599999999999998</c:v>
                </c:pt>
                <c:pt idx="87">
                  <c:v>0.47599999999999998</c:v>
                </c:pt>
                <c:pt idx="88">
                  <c:v>0.47599999999999998</c:v>
                </c:pt>
                <c:pt idx="89">
                  <c:v>0.47599999999999998</c:v>
                </c:pt>
                <c:pt idx="90">
                  <c:v>0.47599999999999998</c:v>
                </c:pt>
                <c:pt idx="91">
                  <c:v>0.47599999999999998</c:v>
                </c:pt>
                <c:pt idx="92">
                  <c:v>0.47599999999999998</c:v>
                </c:pt>
                <c:pt idx="93">
                  <c:v>0.47599999999999998</c:v>
                </c:pt>
                <c:pt idx="94">
                  <c:v>0.47599999999999998</c:v>
                </c:pt>
                <c:pt idx="95">
                  <c:v>0.47599999999999998</c:v>
                </c:pt>
                <c:pt idx="96">
                  <c:v>0.47599999999999998</c:v>
                </c:pt>
                <c:pt idx="97">
                  <c:v>0.47599999999999998</c:v>
                </c:pt>
                <c:pt idx="98">
                  <c:v>0.47599999999999998</c:v>
                </c:pt>
                <c:pt idx="99">
                  <c:v>0.47599999999999998</c:v>
                </c:pt>
                <c:pt idx="100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F-4812-8A0A-6942F82F08FD}"/>
            </c:ext>
          </c:extLst>
        </c:ser>
        <c:ser>
          <c:idx val="1"/>
          <c:order val="1"/>
          <c:tx>
            <c:strRef>
              <c:f>'Ejercicio 3.c'!$H$1</c:f>
              <c:strCache>
                <c:ptCount val="1"/>
                <c:pt idx="0">
                  <c:v>y_t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3.c'!$A$2:$A$102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'Ejercicio 3.c'!$H$2:$H$102</c:f>
              <c:numCache>
                <c:formatCode>#,##0.000</c:formatCode>
                <c:ptCount val="101"/>
                <c:pt idx="0">
                  <c:v>0.47599999999999998</c:v>
                </c:pt>
                <c:pt idx="1">
                  <c:v>0.48253409866178881</c:v>
                </c:pt>
                <c:pt idx="2">
                  <c:v>0.48100822258653969</c:v>
                </c:pt>
                <c:pt idx="3">
                  <c:v>0.44844300449576135</c:v>
                </c:pt>
                <c:pt idx="4">
                  <c:v>0.43926189498067519</c:v>
                </c:pt>
                <c:pt idx="5">
                  <c:v>0.44215740678621868</c:v>
                </c:pt>
                <c:pt idx="6">
                  <c:v>0.44635317243113226</c:v>
                </c:pt>
                <c:pt idx="7">
                  <c:v>0.43922662716305327</c:v>
                </c:pt>
                <c:pt idx="8">
                  <c:v>0.45253423634242107</c:v>
                </c:pt>
                <c:pt idx="9">
                  <c:v>0.47108519736004162</c:v>
                </c:pt>
                <c:pt idx="10">
                  <c:v>0.46953609736712792</c:v>
                </c:pt>
                <c:pt idx="11">
                  <c:v>0.47791412313879733</c:v>
                </c:pt>
                <c:pt idx="12">
                  <c:v>0.48922039309056842</c:v>
                </c:pt>
                <c:pt idx="13">
                  <c:v>0.49040793273765404</c:v>
                </c:pt>
                <c:pt idx="14">
                  <c:v>0.48868759194895195</c:v>
                </c:pt>
                <c:pt idx="15">
                  <c:v>0.4891655393851474</c:v>
                </c:pt>
                <c:pt idx="16">
                  <c:v>0.49124997065813308</c:v>
                </c:pt>
                <c:pt idx="17">
                  <c:v>0.48136218233790212</c:v>
                </c:pt>
                <c:pt idx="18">
                  <c:v>0.46460012927302102</c:v>
                </c:pt>
                <c:pt idx="19">
                  <c:v>0.45690400192022346</c:v>
                </c:pt>
                <c:pt idx="20">
                  <c:v>0.44789025335851279</c:v>
                </c:pt>
                <c:pt idx="21">
                  <c:v>0.44010539024209494</c:v>
                </c:pt>
                <c:pt idx="22">
                  <c:v>0.44381251447516129</c:v>
                </c:pt>
                <c:pt idx="23">
                  <c:v>0.45629090972597192</c:v>
                </c:pt>
                <c:pt idx="24">
                  <c:v>0.45842507671652188</c:v>
                </c:pt>
                <c:pt idx="25">
                  <c:v>0.47130677543511973</c:v>
                </c:pt>
                <c:pt idx="26">
                  <c:v>0.46993017425353445</c:v>
                </c:pt>
                <c:pt idx="27">
                  <c:v>0.4742863608843233</c:v>
                </c:pt>
                <c:pt idx="28">
                  <c:v>0.47919263293042663</c:v>
                </c:pt>
                <c:pt idx="29">
                  <c:v>0.48555927359051826</c:v>
                </c:pt>
                <c:pt idx="30">
                  <c:v>0.48281909020341574</c:v>
                </c:pt>
                <c:pt idx="31">
                  <c:v>0.46466638990535725</c:v>
                </c:pt>
                <c:pt idx="32">
                  <c:v>0.47013027697335275</c:v>
                </c:pt>
                <c:pt idx="33">
                  <c:v>0.46336205271585884</c:v>
                </c:pt>
                <c:pt idx="34">
                  <c:v>0.46865315580975853</c:v>
                </c:pt>
                <c:pt idx="35">
                  <c:v>0.47867716727091592</c:v>
                </c:pt>
                <c:pt idx="36">
                  <c:v>0.48008608344611181</c:v>
                </c:pt>
                <c:pt idx="37">
                  <c:v>0.44395765222570061</c:v>
                </c:pt>
                <c:pt idx="38">
                  <c:v>0.44671964972717959</c:v>
                </c:pt>
                <c:pt idx="39">
                  <c:v>0.46428084205845971</c:v>
                </c:pt>
                <c:pt idx="40">
                  <c:v>0.47787431660505297</c:v>
                </c:pt>
                <c:pt idx="41">
                  <c:v>0.47222926233068047</c:v>
                </c:pt>
                <c:pt idx="42">
                  <c:v>0.4729352935986646</c:v>
                </c:pt>
                <c:pt idx="43">
                  <c:v>0.48598374949506751</c:v>
                </c:pt>
                <c:pt idx="44">
                  <c:v>0.4861223082952022</c:v>
                </c:pt>
                <c:pt idx="45">
                  <c:v>0.48373901900661115</c:v>
                </c:pt>
                <c:pt idx="46">
                  <c:v>0.48816608592002142</c:v>
                </c:pt>
                <c:pt idx="47">
                  <c:v>0.48605043775660561</c:v>
                </c:pt>
                <c:pt idx="48">
                  <c:v>0.48508269453307584</c:v>
                </c:pt>
                <c:pt idx="49">
                  <c:v>0.4844187655512126</c:v>
                </c:pt>
                <c:pt idx="50">
                  <c:v>0.50116025252935159</c:v>
                </c:pt>
                <c:pt idx="51">
                  <c:v>0.50337037294585396</c:v>
                </c:pt>
                <c:pt idx="52">
                  <c:v>0.49507097625712881</c:v>
                </c:pt>
                <c:pt idx="53">
                  <c:v>0.49072890147808207</c:v>
                </c:pt>
                <c:pt idx="54">
                  <c:v>0.48104970548433629</c:v>
                </c:pt>
                <c:pt idx="55">
                  <c:v>0.47223871008927754</c:v>
                </c:pt>
                <c:pt idx="56">
                  <c:v>0.46020403283454453</c:v>
                </c:pt>
                <c:pt idx="57">
                  <c:v>0.46075897159209106</c:v>
                </c:pt>
                <c:pt idx="58">
                  <c:v>0.46924498777008322</c:v>
                </c:pt>
                <c:pt idx="59">
                  <c:v>0.4650938129151963</c:v>
                </c:pt>
                <c:pt idx="60">
                  <c:v>0.47708700932534465</c:v>
                </c:pt>
                <c:pt idx="61">
                  <c:v>0.46886042951100543</c:v>
                </c:pt>
                <c:pt idx="62">
                  <c:v>0.46998721370499991</c:v>
                </c:pt>
                <c:pt idx="63">
                  <c:v>0.46166928056828177</c:v>
                </c:pt>
                <c:pt idx="64">
                  <c:v>0.46605074792651413</c:v>
                </c:pt>
                <c:pt idx="65">
                  <c:v>0.46543362386304193</c:v>
                </c:pt>
                <c:pt idx="66">
                  <c:v>0.47469975382687279</c:v>
                </c:pt>
                <c:pt idx="67">
                  <c:v>0.47152129181119445</c:v>
                </c:pt>
                <c:pt idx="68">
                  <c:v>0.4695954756248264</c:v>
                </c:pt>
                <c:pt idx="69">
                  <c:v>0.46424458301222121</c:v>
                </c:pt>
                <c:pt idx="70">
                  <c:v>0.47730029941443219</c:v>
                </c:pt>
                <c:pt idx="71">
                  <c:v>0.4737357140670781</c:v>
                </c:pt>
                <c:pt idx="72">
                  <c:v>0.47329939301036544</c:v>
                </c:pt>
                <c:pt idx="73">
                  <c:v>0.4794058896145787</c:v>
                </c:pt>
                <c:pt idx="74">
                  <c:v>0.48871446035314348</c:v>
                </c:pt>
                <c:pt idx="75">
                  <c:v>0.49249486349113891</c:v>
                </c:pt>
                <c:pt idx="76">
                  <c:v>0.4965877706553356</c:v>
                </c:pt>
                <c:pt idx="77">
                  <c:v>0.49169807674208121</c:v>
                </c:pt>
                <c:pt idx="78">
                  <c:v>0.49465735485748907</c:v>
                </c:pt>
                <c:pt idx="79">
                  <c:v>0.4745286465203527</c:v>
                </c:pt>
                <c:pt idx="80">
                  <c:v>0.47262838689099368</c:v>
                </c:pt>
                <c:pt idx="81">
                  <c:v>0.47356199647621844</c:v>
                </c:pt>
                <c:pt idx="82">
                  <c:v>0.48356825946302107</c:v>
                </c:pt>
                <c:pt idx="83">
                  <c:v>0.48936500352409734</c:v>
                </c:pt>
                <c:pt idx="84">
                  <c:v>0.48511471225944375</c:v>
                </c:pt>
                <c:pt idx="85">
                  <c:v>0.48848916564519951</c:v>
                </c:pt>
                <c:pt idx="86">
                  <c:v>0.48815692312882381</c:v>
                </c:pt>
                <c:pt idx="87">
                  <c:v>0.47758463669546164</c:v>
                </c:pt>
                <c:pt idx="88">
                  <c:v>0.46790589688928425</c:v>
                </c:pt>
                <c:pt idx="89">
                  <c:v>0.4493870638615019</c:v>
                </c:pt>
                <c:pt idx="90">
                  <c:v>0.45535715029338236</c:v>
                </c:pt>
                <c:pt idx="91">
                  <c:v>0.4653127992069499</c:v>
                </c:pt>
                <c:pt idx="92">
                  <c:v>0.47643625100820652</c:v>
                </c:pt>
                <c:pt idx="93">
                  <c:v>0.48492727415305759</c:v>
                </c:pt>
                <c:pt idx="94">
                  <c:v>0.48769557081281362</c:v>
                </c:pt>
                <c:pt idx="95">
                  <c:v>0.49468753092370432</c:v>
                </c:pt>
                <c:pt idx="96">
                  <c:v>0.49473923739606457</c:v>
                </c:pt>
                <c:pt idx="97">
                  <c:v>0.48269729175082277</c:v>
                </c:pt>
                <c:pt idx="98">
                  <c:v>0.46824269010281966</c:v>
                </c:pt>
                <c:pt idx="99">
                  <c:v>0.46817438197898853</c:v>
                </c:pt>
                <c:pt idx="100">
                  <c:v>0.45442117500197882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F-4812-8A0A-6942F82F0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85616"/>
        <c:axId val="412984632"/>
      </c:lineChart>
      <c:catAx>
        <c:axId val="412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4632"/>
        <c:crosses val="autoZero"/>
        <c:auto val="1"/>
        <c:lblAlgn val="ctr"/>
        <c:lblOffset val="100"/>
        <c:noMultiLvlLbl val="0"/>
      </c:catAx>
      <c:valAx>
        <c:axId val="412984632"/>
        <c:scaling>
          <c:orientation val="minMax"/>
          <c:max val="0.51"/>
          <c:min val="0.43000000000000005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3.d'!$I$1</c:f>
              <c:strCache>
                <c:ptCount val="1"/>
                <c:pt idx="0">
                  <c:v>y_nss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3.d'!$A$2:$A$52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3.d'!$I$2:$I$52</c:f>
              <c:numCache>
                <c:formatCode>#,##0.000</c:formatCode>
                <c:ptCount val="51"/>
                <c:pt idx="0">
                  <c:v>0.47599999999999998</c:v>
                </c:pt>
                <c:pt idx="1">
                  <c:v>0.47599999999999998</c:v>
                </c:pt>
                <c:pt idx="2">
                  <c:v>0.47599999999999998</c:v>
                </c:pt>
                <c:pt idx="3">
                  <c:v>0.47599999999999998</c:v>
                </c:pt>
                <c:pt idx="4">
                  <c:v>0.47599999999999998</c:v>
                </c:pt>
                <c:pt idx="5">
                  <c:v>0.47599999999999998</c:v>
                </c:pt>
                <c:pt idx="6">
                  <c:v>0.47599999999999998</c:v>
                </c:pt>
                <c:pt idx="7">
                  <c:v>0.47599999999999998</c:v>
                </c:pt>
                <c:pt idx="8">
                  <c:v>0.47599999999999998</c:v>
                </c:pt>
                <c:pt idx="9">
                  <c:v>0.47599999999999998</c:v>
                </c:pt>
                <c:pt idx="10">
                  <c:v>0.47599999999999998</c:v>
                </c:pt>
                <c:pt idx="11">
                  <c:v>0.47599999999999998</c:v>
                </c:pt>
                <c:pt idx="12">
                  <c:v>0.47599999999999998</c:v>
                </c:pt>
                <c:pt idx="13">
                  <c:v>0.47599999999999998</c:v>
                </c:pt>
                <c:pt idx="14">
                  <c:v>0.47599999999999998</c:v>
                </c:pt>
                <c:pt idx="15">
                  <c:v>0.47599999999999998</c:v>
                </c:pt>
                <c:pt idx="16">
                  <c:v>0.47599999999999998</c:v>
                </c:pt>
                <c:pt idx="17">
                  <c:v>0.47599999999999998</c:v>
                </c:pt>
                <c:pt idx="18">
                  <c:v>0.47599999999999998</c:v>
                </c:pt>
                <c:pt idx="19">
                  <c:v>0.47599999999999998</c:v>
                </c:pt>
                <c:pt idx="20">
                  <c:v>0.47599999999999998</c:v>
                </c:pt>
                <c:pt idx="21">
                  <c:v>0.47599999999999998</c:v>
                </c:pt>
                <c:pt idx="22">
                  <c:v>0.47599999999999998</c:v>
                </c:pt>
                <c:pt idx="23">
                  <c:v>0.47599999999999998</c:v>
                </c:pt>
                <c:pt idx="24">
                  <c:v>0.47599999999999998</c:v>
                </c:pt>
                <c:pt idx="25">
                  <c:v>0.47599999999999998</c:v>
                </c:pt>
                <c:pt idx="26">
                  <c:v>0.47599999999999998</c:v>
                </c:pt>
                <c:pt idx="27">
                  <c:v>0.47599999999999998</c:v>
                </c:pt>
                <c:pt idx="28">
                  <c:v>0.47599999999999998</c:v>
                </c:pt>
                <c:pt idx="29">
                  <c:v>0.47599999999999998</c:v>
                </c:pt>
                <c:pt idx="30">
                  <c:v>0.47599999999999998</c:v>
                </c:pt>
                <c:pt idx="31">
                  <c:v>0.47599999999999998</c:v>
                </c:pt>
                <c:pt idx="32">
                  <c:v>0.47599999999999998</c:v>
                </c:pt>
                <c:pt idx="33">
                  <c:v>0.47599999999999998</c:v>
                </c:pt>
                <c:pt idx="34">
                  <c:v>0.47599999999999998</c:v>
                </c:pt>
                <c:pt idx="35">
                  <c:v>0.47599999999999998</c:v>
                </c:pt>
                <c:pt idx="36">
                  <c:v>0.47599999999999998</c:v>
                </c:pt>
                <c:pt idx="37">
                  <c:v>0.47599999999999998</c:v>
                </c:pt>
                <c:pt idx="38">
                  <c:v>0.47599999999999998</c:v>
                </c:pt>
                <c:pt idx="39">
                  <c:v>0.47599999999999998</c:v>
                </c:pt>
                <c:pt idx="40">
                  <c:v>0.47599999999999998</c:v>
                </c:pt>
                <c:pt idx="41">
                  <c:v>0.47599999999999998</c:v>
                </c:pt>
                <c:pt idx="42">
                  <c:v>0.47599999999999998</c:v>
                </c:pt>
                <c:pt idx="43">
                  <c:v>0.47599999999999998</c:v>
                </c:pt>
                <c:pt idx="44">
                  <c:v>0.47599999999999998</c:v>
                </c:pt>
                <c:pt idx="45">
                  <c:v>0.47599999999999998</c:v>
                </c:pt>
                <c:pt idx="46">
                  <c:v>0.47599999999999998</c:v>
                </c:pt>
                <c:pt idx="47">
                  <c:v>0.47599999999999998</c:v>
                </c:pt>
                <c:pt idx="48">
                  <c:v>0.47599999999999998</c:v>
                </c:pt>
                <c:pt idx="49">
                  <c:v>0.47599999999999998</c:v>
                </c:pt>
                <c:pt idx="50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B-4065-8561-FFEB941495B2}"/>
            </c:ext>
          </c:extLst>
        </c:ser>
        <c:ser>
          <c:idx val="1"/>
          <c:order val="1"/>
          <c:tx>
            <c:strRef>
              <c:f>'Ejercicio 3.d'!$H$1</c:f>
              <c:strCache>
                <c:ptCount val="1"/>
                <c:pt idx="0">
                  <c:v>y_t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3.d'!$A$2:$A$52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3.d'!$H$2:$H$52</c:f>
              <c:numCache>
                <c:formatCode>#,##0.000</c:formatCode>
                <c:ptCount val="51"/>
                <c:pt idx="0">
                  <c:v>2.2360679774997897E-2</c:v>
                </c:pt>
                <c:pt idx="1">
                  <c:v>0.10458442987395143</c:v>
                </c:pt>
                <c:pt idx="2">
                  <c:v>0.22393501843106361</c:v>
                </c:pt>
                <c:pt idx="3">
                  <c:v>0.30597927396530156</c:v>
                </c:pt>
                <c:pt idx="4">
                  <c:v>0.36284062711377246</c:v>
                </c:pt>
                <c:pt idx="5">
                  <c:v>0.4018584395678077</c:v>
                </c:pt>
                <c:pt idx="6">
                  <c:v>0.42552660687023647</c:v>
                </c:pt>
                <c:pt idx="7">
                  <c:v>0.42885720187967358</c:v>
                </c:pt>
                <c:pt idx="8">
                  <c:v>0.44716053267972516</c:v>
                </c:pt>
                <c:pt idx="9">
                  <c:v>0.4682798490435664</c:v>
                </c:pt>
                <c:pt idx="10">
                  <c:v>0.4681359481016984</c:v>
                </c:pt>
                <c:pt idx="11">
                  <c:v>0.47720102492664801</c:v>
                </c:pt>
                <c:pt idx="12">
                  <c:v>0.48885527266126561</c:v>
                </c:pt>
                <c:pt idx="13">
                  <c:v>0.49022489521604795</c:v>
                </c:pt>
                <c:pt idx="14">
                  <c:v>0.48859638572291231</c:v>
                </c:pt>
                <c:pt idx="15">
                  <c:v>0.48911988954119479</c:v>
                </c:pt>
                <c:pt idx="16">
                  <c:v>0.49122704793983213</c:v>
                </c:pt>
                <c:pt idx="17">
                  <c:v>0.48135095153984891</c:v>
                </c:pt>
                <c:pt idx="18">
                  <c:v>0.46459470938249597</c:v>
                </c:pt>
                <c:pt idx="19">
                  <c:v>0.45690133685758455</c:v>
                </c:pt>
                <c:pt idx="20">
                  <c:v>0.44788894711331018</c:v>
                </c:pt>
                <c:pt idx="21">
                  <c:v>0.44010474847107006</c:v>
                </c:pt>
                <c:pt idx="22">
                  <c:v>0.44381219088662727</c:v>
                </c:pt>
                <c:pt idx="23">
                  <c:v>0.45629074338260772</c:v>
                </c:pt>
                <c:pt idx="24">
                  <c:v>0.45842499315582103</c:v>
                </c:pt>
                <c:pt idx="25">
                  <c:v>0.47130673248074362</c:v>
                </c:pt>
                <c:pt idx="26">
                  <c:v>0.46993015283907691</c:v>
                </c:pt>
                <c:pt idx="27">
                  <c:v>0.47428635007783992</c:v>
                </c:pt>
                <c:pt idx="28">
                  <c:v>0.47919262747129093</c:v>
                </c:pt>
                <c:pt idx="29">
                  <c:v>0.48555927082468481</c:v>
                </c:pt>
                <c:pt idx="30">
                  <c:v>0.48281908882830332</c:v>
                </c:pt>
                <c:pt idx="31">
                  <c:v>0.46466638924365133</c:v>
                </c:pt>
                <c:pt idx="32">
                  <c:v>0.4701302766386094</c:v>
                </c:pt>
                <c:pt idx="33">
                  <c:v>0.46336205255089674</c:v>
                </c:pt>
                <c:pt idx="34">
                  <c:v>0.46865315572633554</c:v>
                </c:pt>
                <c:pt idx="35">
                  <c:v>0.47867716722831227</c:v>
                </c:pt>
                <c:pt idx="36">
                  <c:v>0.48008608342474729</c:v>
                </c:pt>
                <c:pt idx="37">
                  <c:v>0.44395765221582228</c:v>
                </c:pt>
                <c:pt idx="38">
                  <c:v>0.44671964972220968</c:v>
                </c:pt>
                <c:pt idx="39">
                  <c:v>0.46428084205587705</c:v>
                </c:pt>
                <c:pt idx="40">
                  <c:v>0.47787431660372381</c:v>
                </c:pt>
                <c:pt idx="41">
                  <c:v>0.47222926233002371</c:v>
                </c:pt>
                <c:pt idx="42">
                  <c:v>0.47293529359833569</c:v>
                </c:pt>
                <c:pt idx="43">
                  <c:v>0.48598374949489859</c:v>
                </c:pt>
                <c:pt idx="44">
                  <c:v>0.48612230829511766</c:v>
                </c:pt>
                <c:pt idx="45">
                  <c:v>0.48373901900656913</c:v>
                </c:pt>
                <c:pt idx="46">
                  <c:v>0.48816608592000027</c:v>
                </c:pt>
                <c:pt idx="47">
                  <c:v>0.48605043775659507</c:v>
                </c:pt>
                <c:pt idx="48">
                  <c:v>0.48508269453307057</c:v>
                </c:pt>
                <c:pt idx="49">
                  <c:v>0.48441876555121005</c:v>
                </c:pt>
                <c:pt idx="50">
                  <c:v>0.50116025252935026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AB-4065-8561-FFEB94149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85616"/>
        <c:axId val="412984632"/>
      </c:lineChart>
      <c:catAx>
        <c:axId val="412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4632"/>
        <c:crosses val="autoZero"/>
        <c:auto val="1"/>
        <c:lblAlgn val="ctr"/>
        <c:lblOffset val="100"/>
        <c:noMultiLvlLbl val="0"/>
      </c:catAx>
      <c:valAx>
        <c:axId val="412984632"/>
        <c:scaling>
          <c:orientation val="minMax"/>
          <c:max val="0.51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y (𝜌= 0,5)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3.e'!$I$1</c:f>
              <c:strCache>
                <c:ptCount val="1"/>
                <c:pt idx="0">
                  <c:v>y_nss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3.e'!$A$2:$A$27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'Ejercicio 3.e'!$I$2:$I$27</c:f>
              <c:numCache>
                <c:formatCode>#,##0.000</c:formatCode>
                <c:ptCount val="26"/>
                <c:pt idx="0">
                  <c:v>0.47599999999999998</c:v>
                </c:pt>
                <c:pt idx="1">
                  <c:v>0.47599999999999998</c:v>
                </c:pt>
                <c:pt idx="2">
                  <c:v>0.47599999999999998</c:v>
                </c:pt>
                <c:pt idx="3">
                  <c:v>0.47599999999999998</c:v>
                </c:pt>
                <c:pt idx="4">
                  <c:v>0.47599999999999998</c:v>
                </c:pt>
                <c:pt idx="5">
                  <c:v>0.47599999999999998</c:v>
                </c:pt>
                <c:pt idx="6">
                  <c:v>0.47599999999999998</c:v>
                </c:pt>
                <c:pt idx="7">
                  <c:v>0.47599999999999998</c:v>
                </c:pt>
                <c:pt idx="8">
                  <c:v>0.47599999999999998</c:v>
                </c:pt>
                <c:pt idx="9">
                  <c:v>0.47599999999999998</c:v>
                </c:pt>
                <c:pt idx="10">
                  <c:v>0.47599999999999998</c:v>
                </c:pt>
                <c:pt idx="11">
                  <c:v>0.47599999999999998</c:v>
                </c:pt>
                <c:pt idx="12">
                  <c:v>0.47599999999999998</c:v>
                </c:pt>
                <c:pt idx="13">
                  <c:v>0.47599999999999998</c:v>
                </c:pt>
                <c:pt idx="14">
                  <c:v>0.47599999999999998</c:v>
                </c:pt>
                <c:pt idx="15">
                  <c:v>0.47599999999999998</c:v>
                </c:pt>
                <c:pt idx="16">
                  <c:v>0.47599999999999998</c:v>
                </c:pt>
                <c:pt idx="17">
                  <c:v>0.47599999999999998</c:v>
                </c:pt>
                <c:pt idx="18">
                  <c:v>0.47599999999999998</c:v>
                </c:pt>
                <c:pt idx="19">
                  <c:v>0.47599999999999998</c:v>
                </c:pt>
                <c:pt idx="20">
                  <c:v>0.47599999999999998</c:v>
                </c:pt>
                <c:pt idx="21">
                  <c:v>0.47599999999999998</c:v>
                </c:pt>
                <c:pt idx="22">
                  <c:v>0.47599999999999998</c:v>
                </c:pt>
                <c:pt idx="23">
                  <c:v>0.47599999999999998</c:v>
                </c:pt>
                <c:pt idx="24">
                  <c:v>0.47599999999999998</c:v>
                </c:pt>
                <c:pt idx="25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8-48C4-BDC5-C6974962093E}"/>
            </c:ext>
          </c:extLst>
        </c:ser>
        <c:ser>
          <c:idx val="1"/>
          <c:order val="1"/>
          <c:tx>
            <c:strRef>
              <c:f>'Ejercicio 3.e'!$H$1</c:f>
              <c:strCache>
                <c:ptCount val="1"/>
                <c:pt idx="0">
                  <c:v>y_t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3.e'!$A$2:$A$27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'Ejercicio 3.e'!$H$2:$H$27</c:f>
              <c:numCache>
                <c:formatCode>#,##0.000</c:formatCode>
                <c:ptCount val="26"/>
                <c:pt idx="0">
                  <c:v>0.47599999999999998</c:v>
                </c:pt>
                <c:pt idx="1">
                  <c:v>0.49542592851557676</c:v>
                </c:pt>
                <c:pt idx="2">
                  <c:v>0.49542592851557671</c:v>
                </c:pt>
                <c:pt idx="3">
                  <c:v>0.49049635816187392</c:v>
                </c:pt>
                <c:pt idx="4">
                  <c:v>0.48561583785273565</c:v>
                </c:pt>
                <c:pt idx="5">
                  <c:v>0.48198734293334194</c:v>
                </c:pt>
                <c:pt idx="6">
                  <c:v>0.47958342103159812</c:v>
                </c:pt>
                <c:pt idx="7">
                  <c:v>0.47808706211941443</c:v>
                </c:pt>
                <c:pt idx="8">
                  <c:v>0.47719148874035838</c:v>
                </c:pt>
                <c:pt idx="9">
                  <c:v>0.47666984587499356</c:v>
                </c:pt>
                <c:pt idx="10">
                  <c:v>0.47637202030150833</c:v>
                </c:pt>
                <c:pt idx="11">
                  <c:v>0.47620457519855525</c:v>
                </c:pt>
                <c:pt idx="12">
                  <c:v>0.47611157557475192</c:v>
                </c:pt>
                <c:pt idx="13">
                  <c:v>0.47606043352353117</c:v>
                </c:pt>
                <c:pt idx="14">
                  <c:v>0.47603254017470031</c:v>
                </c:pt>
                <c:pt idx="15">
                  <c:v>0.47601743195981178</c:v>
                </c:pt>
                <c:pt idx="16">
                  <c:v>0.47600929696579036</c:v>
                </c:pt>
                <c:pt idx="17">
                  <c:v>0.47600493899046709</c:v>
                </c:pt>
                <c:pt idx="18">
                  <c:v>0.47600261475327532</c:v>
                </c:pt>
                <c:pt idx="19">
                  <c:v>0.47600138000688325</c:v>
                </c:pt>
                <c:pt idx="20">
                  <c:v>0.47600072631891349</c:v>
                </c:pt>
                <c:pt idx="21">
                  <c:v>0.47600038131729139</c:v>
                </c:pt>
                <c:pt idx="22">
                  <c:v>0.47600019973759072</c:v>
                </c:pt>
                <c:pt idx="23">
                  <c:v>0.47600010440827561</c:v>
                </c:pt>
                <c:pt idx="24">
                  <c:v>0.47600005447388011</c:v>
                </c:pt>
                <c:pt idx="25">
                  <c:v>0.47600002837181177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F8-48C4-BDC5-C69749620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85616"/>
        <c:axId val="412984632"/>
      </c:lineChart>
      <c:catAx>
        <c:axId val="412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4632"/>
        <c:crosses val="autoZero"/>
        <c:auto val="1"/>
        <c:lblAlgn val="ctr"/>
        <c:lblOffset val="100"/>
        <c:noMultiLvlLbl val="0"/>
      </c:catAx>
      <c:valAx>
        <c:axId val="412984632"/>
        <c:scaling>
          <c:orientation val="minMax"/>
          <c:max val="0.5"/>
          <c:min val="0.47000000000000003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y (𝜌= 0,1)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3.f (1)'!$I$1</c:f>
              <c:strCache>
                <c:ptCount val="1"/>
                <c:pt idx="0">
                  <c:v>y_nss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(1)'!$A$2:$A$102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'Ejercicio 3.f (1)'!$I$2:$I$102</c:f>
              <c:numCache>
                <c:formatCode>#,##0.000</c:formatCode>
                <c:ptCount val="101"/>
                <c:pt idx="0">
                  <c:v>0.47599999999999998</c:v>
                </c:pt>
                <c:pt idx="1">
                  <c:v>0.47599999999999998</c:v>
                </c:pt>
                <c:pt idx="2">
                  <c:v>0.47599999999999998</c:v>
                </c:pt>
                <c:pt idx="3">
                  <c:v>0.47599999999999998</c:v>
                </c:pt>
                <c:pt idx="4">
                  <c:v>0.47599999999999998</c:v>
                </c:pt>
                <c:pt idx="5">
                  <c:v>0.47599999999999998</c:v>
                </c:pt>
                <c:pt idx="6">
                  <c:v>0.47599999999999998</c:v>
                </c:pt>
                <c:pt idx="7">
                  <c:v>0.47599999999999998</c:v>
                </c:pt>
                <c:pt idx="8">
                  <c:v>0.47599999999999998</c:v>
                </c:pt>
                <c:pt idx="9">
                  <c:v>0.47599999999999998</c:v>
                </c:pt>
                <c:pt idx="10">
                  <c:v>0.47599999999999998</c:v>
                </c:pt>
                <c:pt idx="11">
                  <c:v>0.47599999999999998</c:v>
                </c:pt>
                <c:pt idx="12">
                  <c:v>0.47599999999999998</c:v>
                </c:pt>
                <c:pt idx="13">
                  <c:v>0.47599999999999998</c:v>
                </c:pt>
                <c:pt idx="14">
                  <c:v>0.47599999999999998</c:v>
                </c:pt>
                <c:pt idx="15">
                  <c:v>0.47599999999999998</c:v>
                </c:pt>
                <c:pt idx="16">
                  <c:v>0.47599999999999998</c:v>
                </c:pt>
                <c:pt idx="17">
                  <c:v>0.47599999999999998</c:v>
                </c:pt>
                <c:pt idx="18">
                  <c:v>0.47599999999999998</c:v>
                </c:pt>
                <c:pt idx="19">
                  <c:v>0.47599999999999998</c:v>
                </c:pt>
                <c:pt idx="20">
                  <c:v>0.47599999999999998</c:v>
                </c:pt>
                <c:pt idx="21">
                  <c:v>0.47599999999999998</c:v>
                </c:pt>
                <c:pt idx="22">
                  <c:v>0.47599999999999998</c:v>
                </c:pt>
                <c:pt idx="23">
                  <c:v>0.47599999999999998</c:v>
                </c:pt>
                <c:pt idx="24">
                  <c:v>0.47599999999999998</c:v>
                </c:pt>
                <c:pt idx="25">
                  <c:v>0.47599999999999998</c:v>
                </c:pt>
                <c:pt idx="26">
                  <c:v>0.47599999999999998</c:v>
                </c:pt>
                <c:pt idx="27">
                  <c:v>0.47599999999999998</c:v>
                </c:pt>
                <c:pt idx="28">
                  <c:v>0.47599999999999998</c:v>
                </c:pt>
                <c:pt idx="29">
                  <c:v>0.47599999999999998</c:v>
                </c:pt>
                <c:pt idx="30">
                  <c:v>0.47599999999999998</c:v>
                </c:pt>
                <c:pt idx="31">
                  <c:v>0.47599999999999998</c:v>
                </c:pt>
                <c:pt idx="32">
                  <c:v>0.47599999999999998</c:v>
                </c:pt>
                <c:pt idx="33">
                  <c:v>0.47599999999999998</c:v>
                </c:pt>
                <c:pt idx="34">
                  <c:v>0.47599999999999998</c:v>
                </c:pt>
                <c:pt idx="35">
                  <c:v>0.47599999999999998</c:v>
                </c:pt>
                <c:pt idx="36">
                  <c:v>0.47599999999999998</c:v>
                </c:pt>
                <c:pt idx="37">
                  <c:v>0.47599999999999998</c:v>
                </c:pt>
                <c:pt idx="38">
                  <c:v>0.47599999999999998</c:v>
                </c:pt>
                <c:pt idx="39">
                  <c:v>0.47599999999999998</c:v>
                </c:pt>
                <c:pt idx="40">
                  <c:v>0.47599999999999998</c:v>
                </c:pt>
                <c:pt idx="41">
                  <c:v>0.47599999999999998</c:v>
                </c:pt>
                <c:pt idx="42">
                  <c:v>0.47599999999999998</c:v>
                </c:pt>
                <c:pt idx="43">
                  <c:v>0.47599999999999998</c:v>
                </c:pt>
                <c:pt idx="44">
                  <c:v>0.47599999999999998</c:v>
                </c:pt>
                <c:pt idx="45">
                  <c:v>0.47599999999999998</c:v>
                </c:pt>
                <c:pt idx="46">
                  <c:v>0.47599999999999998</c:v>
                </c:pt>
                <c:pt idx="47">
                  <c:v>0.47599999999999998</c:v>
                </c:pt>
                <c:pt idx="48">
                  <c:v>0.47599999999999998</c:v>
                </c:pt>
                <c:pt idx="49">
                  <c:v>0.47599999999999998</c:v>
                </c:pt>
                <c:pt idx="50">
                  <c:v>0.47599999999999998</c:v>
                </c:pt>
                <c:pt idx="51">
                  <c:v>0.47599999999999998</c:v>
                </c:pt>
                <c:pt idx="52">
                  <c:v>0.47599999999999998</c:v>
                </c:pt>
                <c:pt idx="53">
                  <c:v>0.47599999999999998</c:v>
                </c:pt>
                <c:pt idx="54">
                  <c:v>0.47599999999999998</c:v>
                </c:pt>
                <c:pt idx="55">
                  <c:v>0.47599999999999998</c:v>
                </c:pt>
                <c:pt idx="56">
                  <c:v>0.47599999999999998</c:v>
                </c:pt>
                <c:pt idx="57">
                  <c:v>0.47599999999999998</c:v>
                </c:pt>
                <c:pt idx="58">
                  <c:v>0.47599999999999998</c:v>
                </c:pt>
                <c:pt idx="59">
                  <c:v>0.47599999999999998</c:v>
                </c:pt>
                <c:pt idx="60">
                  <c:v>0.47599999999999998</c:v>
                </c:pt>
                <c:pt idx="61">
                  <c:v>0.47599999999999998</c:v>
                </c:pt>
                <c:pt idx="62">
                  <c:v>0.47599999999999998</c:v>
                </c:pt>
                <c:pt idx="63">
                  <c:v>0.47599999999999998</c:v>
                </c:pt>
                <c:pt idx="64">
                  <c:v>0.47599999999999998</c:v>
                </c:pt>
                <c:pt idx="65">
                  <c:v>0.47599999999999998</c:v>
                </c:pt>
                <c:pt idx="66">
                  <c:v>0.47599999999999998</c:v>
                </c:pt>
                <c:pt idx="67">
                  <c:v>0.47599999999999998</c:v>
                </c:pt>
                <c:pt idx="68">
                  <c:v>0.47599999999999998</c:v>
                </c:pt>
                <c:pt idx="69">
                  <c:v>0.47599999999999998</c:v>
                </c:pt>
                <c:pt idx="70">
                  <c:v>0.47599999999999998</c:v>
                </c:pt>
                <c:pt idx="71">
                  <c:v>0.47599999999999998</c:v>
                </c:pt>
                <c:pt idx="72">
                  <c:v>0.47599999999999998</c:v>
                </c:pt>
                <c:pt idx="73">
                  <c:v>0.47599999999999998</c:v>
                </c:pt>
                <c:pt idx="74">
                  <c:v>0.47599999999999998</c:v>
                </c:pt>
                <c:pt idx="75">
                  <c:v>0.47599999999999998</c:v>
                </c:pt>
                <c:pt idx="76">
                  <c:v>0.47599999999999998</c:v>
                </c:pt>
                <c:pt idx="77">
                  <c:v>0.47599999999999998</c:v>
                </c:pt>
                <c:pt idx="78">
                  <c:v>0.47599999999999998</c:v>
                </c:pt>
                <c:pt idx="79">
                  <c:v>0.47599999999999998</c:v>
                </c:pt>
                <c:pt idx="80">
                  <c:v>0.47599999999999998</c:v>
                </c:pt>
                <c:pt idx="81">
                  <c:v>0.47599999999999998</c:v>
                </c:pt>
                <c:pt idx="82">
                  <c:v>0.47599999999999998</c:v>
                </c:pt>
                <c:pt idx="83">
                  <c:v>0.47599999999999998</c:v>
                </c:pt>
                <c:pt idx="84">
                  <c:v>0.47599999999999998</c:v>
                </c:pt>
                <c:pt idx="85">
                  <c:v>0.47599999999999998</c:v>
                </c:pt>
                <c:pt idx="86">
                  <c:v>0.47599999999999998</c:v>
                </c:pt>
                <c:pt idx="87">
                  <c:v>0.47599999999999998</c:v>
                </c:pt>
                <c:pt idx="88">
                  <c:v>0.47599999999999998</c:v>
                </c:pt>
                <c:pt idx="89">
                  <c:v>0.47599999999999998</c:v>
                </c:pt>
                <c:pt idx="90">
                  <c:v>0.47599999999999998</c:v>
                </c:pt>
                <c:pt idx="91">
                  <c:v>0.47599999999999998</c:v>
                </c:pt>
                <c:pt idx="92">
                  <c:v>0.47599999999999998</c:v>
                </c:pt>
                <c:pt idx="93">
                  <c:v>0.47599999999999998</c:v>
                </c:pt>
                <c:pt idx="94">
                  <c:v>0.47599999999999998</c:v>
                </c:pt>
                <c:pt idx="95">
                  <c:v>0.47599999999999998</c:v>
                </c:pt>
                <c:pt idx="96">
                  <c:v>0.47599999999999998</c:v>
                </c:pt>
                <c:pt idx="97">
                  <c:v>0.47599999999999998</c:v>
                </c:pt>
                <c:pt idx="98">
                  <c:v>0.47599999999999998</c:v>
                </c:pt>
                <c:pt idx="99">
                  <c:v>0.47599999999999998</c:v>
                </c:pt>
                <c:pt idx="100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3-4705-B04E-FF70A1473160}"/>
            </c:ext>
          </c:extLst>
        </c:ser>
        <c:ser>
          <c:idx val="1"/>
          <c:order val="1"/>
          <c:tx>
            <c:strRef>
              <c:f>'Ejercicio 3.f (1)'!$H$1</c:f>
              <c:strCache>
                <c:ptCount val="1"/>
                <c:pt idx="0">
                  <c:v>y_t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(1)'!$A$2:$A$102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'Ejercicio 3.f (1)'!$H$2:$H$102</c:f>
              <c:numCache>
                <c:formatCode>#,##0.000</c:formatCode>
                <c:ptCount val="101"/>
                <c:pt idx="0">
                  <c:v>0.47599999999999998</c:v>
                </c:pt>
                <c:pt idx="1">
                  <c:v>0.48253409866178881</c:v>
                </c:pt>
                <c:pt idx="2">
                  <c:v>0.4783921869100427</c:v>
                </c:pt>
                <c:pt idx="3">
                  <c:v>0.44632600572857645</c:v>
                </c:pt>
                <c:pt idx="4">
                  <c:v>0.44965342347767828</c:v>
                </c:pt>
                <c:pt idx="5">
                  <c:v>0.45766290254255371</c:v>
                </c:pt>
                <c:pt idx="6">
                  <c:v>0.46130432431877705</c:v>
                </c:pt>
                <c:pt idx="7">
                  <c:v>0.45215868918434748</c:v>
                </c:pt>
                <c:pt idx="8">
                  <c:v>0.46868276156932248</c:v>
                </c:pt>
                <c:pt idx="9">
                  <c:v>0.48239679793702112</c:v>
                </c:pt>
                <c:pt idx="10">
                  <c:v>0.47260953537234474</c:v>
                </c:pt>
                <c:pt idx="11">
                  <c:v>0.48084864981295505</c:v>
                </c:pt>
                <c:pt idx="12">
                  <c:v>0.48873477442839447</c:v>
                </c:pt>
                <c:pt idx="13">
                  <c:v>0.48501516250039733</c:v>
                </c:pt>
                <c:pt idx="14">
                  <c:v>0.4823595502270282</c:v>
                </c:pt>
                <c:pt idx="15">
                  <c:v>0.4834149392342858</c:v>
                </c:pt>
                <c:pt idx="16">
                  <c:v>0.48534370162912094</c:v>
                </c:pt>
                <c:pt idx="17">
                  <c:v>0.4747537672403716</c:v>
                </c:pt>
                <c:pt idx="18">
                  <c:v>0.46188405041953612</c:v>
                </c:pt>
                <c:pt idx="19">
                  <c:v>0.46108540605621912</c:v>
                </c:pt>
                <c:pt idx="20">
                  <c:v>0.45570107125932868</c:v>
                </c:pt>
                <c:pt idx="21">
                  <c:v>0.4517328440010181</c:v>
                </c:pt>
                <c:pt idx="22">
                  <c:v>0.45914741987633267</c:v>
                </c:pt>
                <c:pt idx="23">
                  <c:v>0.47084725257801902</c:v>
                </c:pt>
                <c:pt idx="24">
                  <c:v>0.46771170968038744</c:v>
                </c:pt>
                <c:pt idx="25">
                  <c:v>0.47941333004521991</c:v>
                </c:pt>
                <c:pt idx="26">
                  <c:v>0.47260170277030789</c:v>
                </c:pt>
                <c:pt idx="27">
                  <c:v>0.47699769352803134</c:v>
                </c:pt>
                <c:pt idx="28">
                  <c:v>0.48015806038195125</c:v>
                </c:pt>
                <c:pt idx="29">
                  <c:v>0.48436013345445544</c:v>
                </c:pt>
                <c:pt idx="30">
                  <c:v>0.47887584016594953</c:v>
                </c:pt>
                <c:pt idx="31">
                  <c:v>0.46165135805562635</c:v>
                </c:pt>
                <c:pt idx="32">
                  <c:v>0.4743749897362835</c:v>
                </c:pt>
                <c:pt idx="33">
                  <c:v>0.46608627360708282</c:v>
                </c:pt>
                <c:pt idx="34">
                  <c:v>0.47400260247539522</c:v>
                </c:pt>
                <c:pt idx="35">
                  <c:v>0.48221175499963753</c:v>
                </c:pt>
                <c:pt idx="36">
                  <c:v>0.47936279205073112</c:v>
                </c:pt>
                <c:pt idx="37">
                  <c:v>0.44237563676115876</c:v>
                </c:pt>
                <c:pt idx="38">
                  <c:v>0.45918340505195415</c:v>
                </c:pt>
                <c:pt idx="39">
                  <c:v>0.47753437001225302</c:v>
                </c:pt>
                <c:pt idx="40">
                  <c:v>0.4840236170994765</c:v>
                </c:pt>
                <c:pt idx="41">
                  <c:v>0.47209074514736421</c:v>
                </c:pt>
                <c:pt idx="42">
                  <c:v>0.47442832207453273</c:v>
                </c:pt>
                <c:pt idx="43">
                  <c:v>0.48739461508721432</c:v>
                </c:pt>
                <c:pt idx="44">
                  <c:v>0.48224255486440015</c:v>
                </c:pt>
                <c:pt idx="45">
                  <c:v>0.47930027488827293</c:v>
                </c:pt>
                <c:pt idx="46">
                  <c:v>0.48458012068627271</c:v>
                </c:pt>
                <c:pt idx="47">
                  <c:v>0.48081374768558766</c:v>
                </c:pt>
                <c:pt idx="48">
                  <c:v>0.48052455011229223</c:v>
                </c:pt>
                <c:pt idx="49">
                  <c:v>0.48031639072442078</c:v>
                </c:pt>
                <c:pt idx="50">
                  <c:v>0.49723496700697434</c:v>
                </c:pt>
                <c:pt idx="51">
                  <c:v>0.49271784102846722</c:v>
                </c:pt>
                <c:pt idx="52">
                  <c:v>0.48308800150500009</c:v>
                </c:pt>
                <c:pt idx="53">
                  <c:v>0.48189598676332396</c:v>
                </c:pt>
                <c:pt idx="54">
                  <c:v>0.47435911143923981</c:v>
                </c:pt>
                <c:pt idx="55">
                  <c:v>0.46959137669238288</c:v>
                </c:pt>
                <c:pt idx="56">
                  <c:v>0.46140725674160915</c:v>
                </c:pt>
                <c:pt idx="57">
                  <c:v>0.46714296545736822</c:v>
                </c:pt>
                <c:pt idx="58">
                  <c:v>0.47604773669225098</c:v>
                </c:pt>
                <c:pt idx="59">
                  <c:v>0.46843417572330481</c:v>
                </c:pt>
                <c:pt idx="60">
                  <c:v>0.48187561370147364</c:v>
                </c:pt>
                <c:pt idx="61">
                  <c:v>0.46890089466739493</c:v>
                </c:pt>
                <c:pt idx="62">
                  <c:v>0.47284101349773217</c:v>
                </c:pt>
                <c:pt idx="63">
                  <c:v>0.46430381404972859</c:v>
                </c:pt>
                <c:pt idx="64">
                  <c:v>0.4720529616003834</c:v>
                </c:pt>
                <c:pt idx="65">
                  <c:v>0.46998392459500093</c:v>
                </c:pt>
                <c:pt idx="66">
                  <c:v>0.47944766816686463</c:v>
                </c:pt>
                <c:pt idx="67">
                  <c:v>0.4725075009669743</c:v>
                </c:pt>
                <c:pt idx="68">
                  <c:v>0.47147308114258846</c:v>
                </c:pt>
                <c:pt idx="69">
                  <c:v>0.46695320885668856</c:v>
                </c:pt>
                <c:pt idx="70">
                  <c:v>0.48237900997534788</c:v>
                </c:pt>
                <c:pt idx="71">
                  <c:v>0.47372018967667429</c:v>
                </c:pt>
                <c:pt idx="72">
                  <c:v>0.47420142500434009</c:v>
                </c:pt>
                <c:pt idx="73">
                  <c:v>0.48058969909701882</c:v>
                </c:pt>
                <c:pt idx="74">
                  <c:v>0.4874428828881035</c:v>
                </c:pt>
                <c:pt idx="75">
                  <c:v>0.4872022273806445</c:v>
                </c:pt>
                <c:pt idx="76">
                  <c:v>0.48933792382967611</c:v>
                </c:pt>
                <c:pt idx="77">
                  <c:v>0.48272986501158227</c:v>
                </c:pt>
                <c:pt idx="78">
                  <c:v>0.48738079713002347</c:v>
                </c:pt>
                <c:pt idx="79">
                  <c:v>0.46659472245460681</c:v>
                </c:pt>
                <c:pt idx="80">
                  <c:v>0.47241681606222319</c:v>
                </c:pt>
                <c:pt idx="81">
                  <c:v>0.4748891612347706</c:v>
                </c:pt>
                <c:pt idx="82">
                  <c:v>0.48469816132080806</c:v>
                </c:pt>
                <c:pt idx="83">
                  <c:v>0.48640041058531142</c:v>
                </c:pt>
                <c:pt idx="84">
                  <c:v>0.47947963519753301</c:v>
                </c:pt>
                <c:pt idx="85">
                  <c:v>0.48423091246342365</c:v>
                </c:pt>
                <c:pt idx="86">
                  <c:v>0.48270302135001553</c:v>
                </c:pt>
                <c:pt idx="87">
                  <c:v>0.47226026227640144</c:v>
                </c:pt>
                <c:pt idx="88">
                  <c:v>0.46676068249081976</c:v>
                </c:pt>
                <c:pt idx="89">
                  <c:v>0.4523697074085391</c:v>
                </c:pt>
                <c:pt idx="90">
                  <c:v>0.4662662811329587</c:v>
                </c:pt>
                <c:pt idx="91">
                  <c:v>0.47476107058591993</c:v>
                </c:pt>
                <c:pt idx="92">
                  <c:v>0.48175096180925919</c:v>
                </c:pt>
                <c:pt idx="93">
                  <c:v>0.48528766433672132</c:v>
                </c:pt>
                <c:pt idx="94">
                  <c:v>0.48412020899901242</c:v>
                </c:pt>
                <c:pt idx="95">
                  <c:v>0.48954730072328712</c:v>
                </c:pt>
                <c:pt idx="96">
                  <c:v>0.48666836941378411</c:v>
                </c:pt>
                <c:pt idx="97">
                  <c:v>0.4745180943761742</c:v>
                </c:pt>
                <c:pt idx="98">
                  <c:v>0.46483801072958264</c:v>
                </c:pt>
                <c:pt idx="99">
                  <c:v>0.47091777919350858</c:v>
                </c:pt>
                <c:pt idx="100">
                  <c:v>0.45771171393357191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3-4705-B04E-FF70A1473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85616"/>
        <c:axId val="412984632"/>
      </c:lineChart>
      <c:catAx>
        <c:axId val="412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4632"/>
        <c:crosses val="autoZero"/>
        <c:auto val="1"/>
        <c:lblAlgn val="ctr"/>
        <c:lblOffset val="100"/>
        <c:noMultiLvlLbl val="0"/>
      </c:catAx>
      <c:valAx>
        <c:axId val="412984632"/>
        <c:scaling>
          <c:orientation val="minMax"/>
          <c:max val="0.51"/>
          <c:min val="0.43000000000000005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y (𝜌= 0,1)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3.f (2)'!$I$1</c:f>
              <c:strCache>
                <c:ptCount val="1"/>
                <c:pt idx="0">
                  <c:v>y_nss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(2)'!$A$2:$A$27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'Ejercicio 3.f (2)'!$I$2:$I$27</c:f>
              <c:numCache>
                <c:formatCode>#,##0.000</c:formatCode>
                <c:ptCount val="26"/>
                <c:pt idx="0">
                  <c:v>0.47599999999999998</c:v>
                </c:pt>
                <c:pt idx="1">
                  <c:v>0.47599999999999998</c:v>
                </c:pt>
                <c:pt idx="2">
                  <c:v>0.47599999999999998</c:v>
                </c:pt>
                <c:pt idx="3">
                  <c:v>0.47599999999999998</c:v>
                </c:pt>
                <c:pt idx="4">
                  <c:v>0.47599999999999998</c:v>
                </c:pt>
                <c:pt idx="5">
                  <c:v>0.47599999999999998</c:v>
                </c:pt>
                <c:pt idx="6">
                  <c:v>0.47599999999999998</c:v>
                </c:pt>
                <c:pt idx="7">
                  <c:v>0.47599999999999998</c:v>
                </c:pt>
                <c:pt idx="8">
                  <c:v>0.47599999999999998</c:v>
                </c:pt>
                <c:pt idx="9">
                  <c:v>0.47599999999999998</c:v>
                </c:pt>
                <c:pt idx="10">
                  <c:v>0.47599999999999998</c:v>
                </c:pt>
                <c:pt idx="11">
                  <c:v>0.47599999999999998</c:v>
                </c:pt>
                <c:pt idx="12">
                  <c:v>0.47599999999999998</c:v>
                </c:pt>
                <c:pt idx="13">
                  <c:v>0.47599999999999998</c:v>
                </c:pt>
                <c:pt idx="14">
                  <c:v>0.47599999999999998</c:v>
                </c:pt>
                <c:pt idx="15">
                  <c:v>0.47599999999999998</c:v>
                </c:pt>
                <c:pt idx="16">
                  <c:v>0.47599999999999998</c:v>
                </c:pt>
                <c:pt idx="17">
                  <c:v>0.47599999999999998</c:v>
                </c:pt>
                <c:pt idx="18">
                  <c:v>0.47599999999999998</c:v>
                </c:pt>
                <c:pt idx="19">
                  <c:v>0.47599999999999998</c:v>
                </c:pt>
                <c:pt idx="20">
                  <c:v>0.47599999999999998</c:v>
                </c:pt>
                <c:pt idx="21">
                  <c:v>0.47599999999999998</c:v>
                </c:pt>
                <c:pt idx="22">
                  <c:v>0.47599999999999998</c:v>
                </c:pt>
                <c:pt idx="23">
                  <c:v>0.47599999999999998</c:v>
                </c:pt>
                <c:pt idx="24">
                  <c:v>0.47599999999999998</c:v>
                </c:pt>
                <c:pt idx="25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9BF-B35C-E98A9B99A1A4}"/>
            </c:ext>
          </c:extLst>
        </c:ser>
        <c:ser>
          <c:idx val="1"/>
          <c:order val="1"/>
          <c:tx>
            <c:strRef>
              <c:f>'Ejercicio 3.f (2)'!$H$1</c:f>
              <c:strCache>
                <c:ptCount val="1"/>
                <c:pt idx="0">
                  <c:v>y_t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(2)'!$A$2:$A$27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'Ejercicio 3.f (2)'!$H$2:$H$27</c:f>
              <c:numCache>
                <c:formatCode>#,##0.000</c:formatCode>
                <c:ptCount val="26"/>
                <c:pt idx="0">
                  <c:v>0.47599999999999998</c:v>
                </c:pt>
                <c:pt idx="1">
                  <c:v>0.49542592851557676</c:v>
                </c:pt>
                <c:pt idx="2">
                  <c:v>0.48756219131593581</c:v>
                </c:pt>
                <c:pt idx="3">
                  <c:v>0.48193914660890502</c:v>
                </c:pt>
                <c:pt idx="4">
                  <c:v>0.4789795264545772</c:v>
                </c:pt>
                <c:pt idx="5">
                  <c:v>0.47748934915211594</c:v>
                </c:pt>
                <c:pt idx="6">
                  <c:v>0.47674428368300759</c:v>
                </c:pt>
                <c:pt idx="7">
                  <c:v>0.47637201553778818</c:v>
                </c:pt>
                <c:pt idx="8">
                  <c:v>0.47618597334446111</c:v>
                </c:pt>
                <c:pt idx="9">
                  <c:v>0.47609297778196136</c:v>
                </c:pt>
                <c:pt idx="10">
                  <c:v>0.47604648664005833</c:v>
                </c:pt>
                <c:pt idx="11">
                  <c:v>0.47602324275446939</c:v>
                </c:pt>
                <c:pt idx="12">
                  <c:v>0.47601162123556251</c:v>
                </c:pt>
                <c:pt idx="13">
                  <c:v>0.4760058105823351</c:v>
                </c:pt>
                <c:pt idx="14">
                  <c:v>0.47600290528230316</c:v>
                </c:pt>
                <c:pt idx="15">
                  <c:v>0.47600145263893523</c:v>
                </c:pt>
                <c:pt idx="16">
                  <c:v>0.47600072631891344</c:v>
                </c:pt>
                <c:pt idx="17">
                  <c:v>0.47600036315931815</c:v>
                </c:pt>
                <c:pt idx="18">
                  <c:v>0.47600018157962443</c:v>
                </c:pt>
                <c:pt idx="19">
                  <c:v>0.47600009078980354</c:v>
                </c:pt>
                <c:pt idx="20">
                  <c:v>0.4760000453948996</c:v>
                </c:pt>
                <c:pt idx="21">
                  <c:v>0.47600002269744923</c:v>
                </c:pt>
                <c:pt idx="22">
                  <c:v>0.47600001134872444</c:v>
                </c:pt>
                <c:pt idx="23">
                  <c:v>0.47600000567436218</c:v>
                </c:pt>
                <c:pt idx="24">
                  <c:v>0.47600000283718108</c:v>
                </c:pt>
                <c:pt idx="25">
                  <c:v>0.4760000014185905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F-49BF-B35C-E98A9B99A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85616"/>
        <c:axId val="412984632"/>
      </c:lineChart>
      <c:catAx>
        <c:axId val="412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4632"/>
        <c:crosses val="autoZero"/>
        <c:auto val="1"/>
        <c:lblAlgn val="ctr"/>
        <c:lblOffset val="100"/>
        <c:noMultiLvlLbl val="0"/>
      </c:catAx>
      <c:valAx>
        <c:axId val="412984632"/>
        <c:scaling>
          <c:orientation val="minMax"/>
          <c:max val="0.5"/>
          <c:min val="0.47000000000000003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y (𝜌= 0,9)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3.f (3)'!$I$1</c:f>
              <c:strCache>
                <c:ptCount val="1"/>
                <c:pt idx="0">
                  <c:v>y_nss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(3)'!$A$2:$A$102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'Ejercicio 3.f (3)'!$I$2:$I$102</c:f>
              <c:numCache>
                <c:formatCode>#,##0.000</c:formatCode>
                <c:ptCount val="101"/>
                <c:pt idx="0">
                  <c:v>0.47599999999999998</c:v>
                </c:pt>
                <c:pt idx="1">
                  <c:v>0.47599999999999998</c:v>
                </c:pt>
                <c:pt idx="2">
                  <c:v>0.47599999999999998</c:v>
                </c:pt>
                <c:pt idx="3">
                  <c:v>0.47599999999999998</c:v>
                </c:pt>
                <c:pt idx="4">
                  <c:v>0.47599999999999998</c:v>
                </c:pt>
                <c:pt idx="5">
                  <c:v>0.47599999999999998</c:v>
                </c:pt>
                <c:pt idx="6">
                  <c:v>0.47599999999999998</c:v>
                </c:pt>
                <c:pt idx="7">
                  <c:v>0.47599999999999998</c:v>
                </c:pt>
                <c:pt idx="8">
                  <c:v>0.47599999999999998</c:v>
                </c:pt>
                <c:pt idx="9">
                  <c:v>0.47599999999999998</c:v>
                </c:pt>
                <c:pt idx="10">
                  <c:v>0.47599999999999998</c:v>
                </c:pt>
                <c:pt idx="11">
                  <c:v>0.47599999999999998</c:v>
                </c:pt>
                <c:pt idx="12">
                  <c:v>0.47599999999999998</c:v>
                </c:pt>
                <c:pt idx="13">
                  <c:v>0.47599999999999998</c:v>
                </c:pt>
                <c:pt idx="14">
                  <c:v>0.47599999999999998</c:v>
                </c:pt>
                <c:pt idx="15">
                  <c:v>0.47599999999999998</c:v>
                </c:pt>
                <c:pt idx="16">
                  <c:v>0.47599999999999998</c:v>
                </c:pt>
                <c:pt idx="17">
                  <c:v>0.47599999999999998</c:v>
                </c:pt>
                <c:pt idx="18">
                  <c:v>0.47599999999999998</c:v>
                </c:pt>
                <c:pt idx="19">
                  <c:v>0.47599999999999998</c:v>
                </c:pt>
                <c:pt idx="20">
                  <c:v>0.47599999999999998</c:v>
                </c:pt>
                <c:pt idx="21">
                  <c:v>0.47599999999999998</c:v>
                </c:pt>
                <c:pt idx="22">
                  <c:v>0.47599999999999998</c:v>
                </c:pt>
                <c:pt idx="23">
                  <c:v>0.47599999999999998</c:v>
                </c:pt>
                <c:pt idx="24">
                  <c:v>0.47599999999999998</c:v>
                </c:pt>
                <c:pt idx="25">
                  <c:v>0.47599999999999998</c:v>
                </c:pt>
                <c:pt idx="26">
                  <c:v>0.47599999999999998</c:v>
                </c:pt>
                <c:pt idx="27">
                  <c:v>0.47599999999999998</c:v>
                </c:pt>
                <c:pt idx="28">
                  <c:v>0.47599999999999998</c:v>
                </c:pt>
                <c:pt idx="29">
                  <c:v>0.47599999999999998</c:v>
                </c:pt>
                <c:pt idx="30">
                  <c:v>0.47599999999999998</c:v>
                </c:pt>
                <c:pt idx="31">
                  <c:v>0.47599999999999998</c:v>
                </c:pt>
                <c:pt idx="32">
                  <c:v>0.47599999999999998</c:v>
                </c:pt>
                <c:pt idx="33">
                  <c:v>0.47599999999999998</c:v>
                </c:pt>
                <c:pt idx="34">
                  <c:v>0.47599999999999998</c:v>
                </c:pt>
                <c:pt idx="35">
                  <c:v>0.47599999999999998</c:v>
                </c:pt>
                <c:pt idx="36">
                  <c:v>0.47599999999999998</c:v>
                </c:pt>
                <c:pt idx="37">
                  <c:v>0.47599999999999998</c:v>
                </c:pt>
                <c:pt idx="38">
                  <c:v>0.47599999999999998</c:v>
                </c:pt>
                <c:pt idx="39">
                  <c:v>0.47599999999999998</c:v>
                </c:pt>
                <c:pt idx="40">
                  <c:v>0.47599999999999998</c:v>
                </c:pt>
                <c:pt idx="41">
                  <c:v>0.47599999999999998</c:v>
                </c:pt>
                <c:pt idx="42">
                  <c:v>0.47599999999999998</c:v>
                </c:pt>
                <c:pt idx="43">
                  <c:v>0.47599999999999998</c:v>
                </c:pt>
                <c:pt idx="44">
                  <c:v>0.47599999999999998</c:v>
                </c:pt>
                <c:pt idx="45">
                  <c:v>0.47599999999999998</c:v>
                </c:pt>
                <c:pt idx="46">
                  <c:v>0.47599999999999998</c:v>
                </c:pt>
                <c:pt idx="47">
                  <c:v>0.47599999999999998</c:v>
                </c:pt>
                <c:pt idx="48">
                  <c:v>0.47599999999999998</c:v>
                </c:pt>
                <c:pt idx="49">
                  <c:v>0.47599999999999998</c:v>
                </c:pt>
                <c:pt idx="50">
                  <c:v>0.47599999999999998</c:v>
                </c:pt>
                <c:pt idx="51">
                  <c:v>0.47599999999999998</c:v>
                </c:pt>
                <c:pt idx="52">
                  <c:v>0.47599999999999998</c:v>
                </c:pt>
                <c:pt idx="53">
                  <c:v>0.47599999999999998</c:v>
                </c:pt>
                <c:pt idx="54">
                  <c:v>0.47599999999999998</c:v>
                </c:pt>
                <c:pt idx="55">
                  <c:v>0.47599999999999998</c:v>
                </c:pt>
                <c:pt idx="56">
                  <c:v>0.47599999999999998</c:v>
                </c:pt>
                <c:pt idx="57">
                  <c:v>0.47599999999999998</c:v>
                </c:pt>
                <c:pt idx="58">
                  <c:v>0.47599999999999998</c:v>
                </c:pt>
                <c:pt idx="59">
                  <c:v>0.47599999999999998</c:v>
                </c:pt>
                <c:pt idx="60">
                  <c:v>0.47599999999999998</c:v>
                </c:pt>
                <c:pt idx="61">
                  <c:v>0.47599999999999998</c:v>
                </c:pt>
                <c:pt idx="62">
                  <c:v>0.47599999999999998</c:v>
                </c:pt>
                <c:pt idx="63">
                  <c:v>0.47599999999999998</c:v>
                </c:pt>
                <c:pt idx="64">
                  <c:v>0.47599999999999998</c:v>
                </c:pt>
                <c:pt idx="65">
                  <c:v>0.47599999999999998</c:v>
                </c:pt>
                <c:pt idx="66">
                  <c:v>0.47599999999999998</c:v>
                </c:pt>
                <c:pt idx="67">
                  <c:v>0.47599999999999998</c:v>
                </c:pt>
                <c:pt idx="68">
                  <c:v>0.47599999999999998</c:v>
                </c:pt>
                <c:pt idx="69">
                  <c:v>0.47599999999999998</c:v>
                </c:pt>
                <c:pt idx="70">
                  <c:v>0.47599999999999998</c:v>
                </c:pt>
                <c:pt idx="71">
                  <c:v>0.47599999999999998</c:v>
                </c:pt>
                <c:pt idx="72">
                  <c:v>0.47599999999999998</c:v>
                </c:pt>
                <c:pt idx="73">
                  <c:v>0.47599999999999998</c:v>
                </c:pt>
                <c:pt idx="74">
                  <c:v>0.47599999999999998</c:v>
                </c:pt>
                <c:pt idx="75">
                  <c:v>0.47599999999999998</c:v>
                </c:pt>
                <c:pt idx="76">
                  <c:v>0.47599999999999998</c:v>
                </c:pt>
                <c:pt idx="77">
                  <c:v>0.47599999999999998</c:v>
                </c:pt>
                <c:pt idx="78">
                  <c:v>0.47599999999999998</c:v>
                </c:pt>
                <c:pt idx="79">
                  <c:v>0.47599999999999998</c:v>
                </c:pt>
                <c:pt idx="80">
                  <c:v>0.47599999999999998</c:v>
                </c:pt>
                <c:pt idx="81">
                  <c:v>0.47599999999999998</c:v>
                </c:pt>
                <c:pt idx="82">
                  <c:v>0.47599999999999998</c:v>
                </c:pt>
                <c:pt idx="83">
                  <c:v>0.47599999999999998</c:v>
                </c:pt>
                <c:pt idx="84">
                  <c:v>0.47599999999999998</c:v>
                </c:pt>
                <c:pt idx="85">
                  <c:v>0.47599999999999998</c:v>
                </c:pt>
                <c:pt idx="86">
                  <c:v>0.47599999999999998</c:v>
                </c:pt>
                <c:pt idx="87">
                  <c:v>0.47599999999999998</c:v>
                </c:pt>
                <c:pt idx="88">
                  <c:v>0.47599999999999998</c:v>
                </c:pt>
                <c:pt idx="89">
                  <c:v>0.47599999999999998</c:v>
                </c:pt>
                <c:pt idx="90">
                  <c:v>0.47599999999999998</c:v>
                </c:pt>
                <c:pt idx="91">
                  <c:v>0.47599999999999998</c:v>
                </c:pt>
                <c:pt idx="92">
                  <c:v>0.47599999999999998</c:v>
                </c:pt>
                <c:pt idx="93">
                  <c:v>0.47599999999999998</c:v>
                </c:pt>
                <c:pt idx="94">
                  <c:v>0.47599999999999998</c:v>
                </c:pt>
                <c:pt idx="95">
                  <c:v>0.47599999999999998</c:v>
                </c:pt>
                <c:pt idx="96">
                  <c:v>0.47599999999999998</c:v>
                </c:pt>
                <c:pt idx="97">
                  <c:v>0.47599999999999998</c:v>
                </c:pt>
                <c:pt idx="98">
                  <c:v>0.47599999999999998</c:v>
                </c:pt>
                <c:pt idx="99">
                  <c:v>0.47599999999999998</c:v>
                </c:pt>
                <c:pt idx="100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2-41DF-83B5-118353947C6C}"/>
            </c:ext>
          </c:extLst>
        </c:ser>
        <c:ser>
          <c:idx val="1"/>
          <c:order val="1"/>
          <c:tx>
            <c:strRef>
              <c:f>'Ejercicio 3.f (3)'!$H$1</c:f>
              <c:strCache>
                <c:ptCount val="1"/>
                <c:pt idx="0">
                  <c:v>y_t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(3)'!$A$2:$A$102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'Ejercicio 3.f (3)'!$H$2:$H$102</c:f>
              <c:numCache>
                <c:formatCode>#,##0.000</c:formatCode>
                <c:ptCount val="101"/>
                <c:pt idx="0">
                  <c:v>0.47599999999999998</c:v>
                </c:pt>
                <c:pt idx="1">
                  <c:v>0.48253409866178881</c:v>
                </c:pt>
                <c:pt idx="2">
                  <c:v>0.4836385637697902</c:v>
                </c:pt>
                <c:pt idx="3">
                  <c:v>0.4525400836616032</c:v>
                </c:pt>
                <c:pt idx="4">
                  <c:v>0.43243264335935688</c:v>
                </c:pt>
                <c:pt idx="5">
                  <c:v>0.42218128884102279</c:v>
                </c:pt>
                <c:pt idx="6">
                  <c:v>0.41571574718345278</c:v>
                </c:pt>
                <c:pt idx="7">
                  <c:v>0.40153498873174764</c:v>
                </c:pt>
                <c:pt idx="8">
                  <c:v>0.40421775437784579</c:v>
                </c:pt>
                <c:pt idx="9">
                  <c:v>0.4170468091239834</c:v>
                </c:pt>
                <c:pt idx="10">
                  <c:v>0.41902776290774868</c:v>
                </c:pt>
                <c:pt idx="11">
                  <c:v>0.42903340612047464</c:v>
                </c:pt>
                <c:pt idx="12">
                  <c:v>0.44466079190744379</c:v>
                </c:pt>
                <c:pt idx="13">
                  <c:v>0.45497588956599422</c:v>
                </c:pt>
                <c:pt idx="14">
                  <c:v>0.46227385578042068</c:v>
                </c:pt>
                <c:pt idx="15">
                  <c:v>0.47022619224585721</c:v>
                </c:pt>
                <c:pt idx="16">
                  <c:v>0.47930059023785004</c:v>
                </c:pt>
                <c:pt idx="17">
                  <c:v>0.47678774605575053</c:v>
                </c:pt>
                <c:pt idx="18">
                  <c:v>0.46269322251756279</c:v>
                </c:pt>
                <c:pt idx="19">
                  <c:v>0.45082328782349967</c:v>
                </c:pt>
                <c:pt idx="20">
                  <c:v>0.43533346890090707</c:v>
                </c:pt>
                <c:pt idx="21">
                  <c:v>0.41866624995363871</c:v>
                </c:pt>
                <c:pt idx="22">
                  <c:v>0.41120612638829168</c:v>
                </c:pt>
                <c:pt idx="23">
                  <c:v>0.41424081009098179</c:v>
                </c:pt>
                <c:pt idx="24">
                  <c:v>0.41317332106559584</c:v>
                </c:pt>
                <c:pt idx="25">
                  <c:v>0.42281049887734762</c:v>
                </c:pt>
                <c:pt idx="26">
                  <c:v>0.42449237723140315</c:v>
                </c:pt>
                <c:pt idx="27">
                  <c:v>0.43059015405667844</c:v>
                </c:pt>
                <c:pt idx="28">
                  <c:v>0.43863645109065952</c:v>
                </c:pt>
                <c:pt idx="29">
                  <c:v>0.44961278570432117</c:v>
                </c:pt>
                <c:pt idx="30">
                  <c:v>0.45412489796983146</c:v>
                </c:pt>
                <c:pt idx="31">
                  <c:v>0.44224613345387481</c:v>
                </c:pt>
                <c:pt idx="32">
                  <c:v>0.4453510186721395</c:v>
                </c:pt>
                <c:pt idx="33">
                  <c:v>0.43913775517149867</c:v>
                </c:pt>
                <c:pt idx="34">
                  <c:v>0.44176289198125807</c:v>
                </c:pt>
                <c:pt idx="35">
                  <c:v>0.45107054389762008</c:v>
                </c:pt>
                <c:pt idx="36">
                  <c:v>0.45611567801512282</c:v>
                </c:pt>
                <c:pt idx="37">
                  <c:v>0.42540903255790319</c:v>
                </c:pt>
                <c:pt idx="38">
                  <c:v>0.41806858850889406</c:v>
                </c:pt>
                <c:pt idx="39">
                  <c:v>0.42642557000862841</c:v>
                </c:pt>
                <c:pt idx="40">
                  <c:v>0.4382676770717257</c:v>
                </c:pt>
                <c:pt idx="41">
                  <c:v>0.43754101194373335</c:v>
                </c:pt>
                <c:pt idx="42">
                  <c:v>0.44014866271827502</c:v>
                </c:pt>
                <c:pt idx="43">
                  <c:v>0.45437826798483133</c:v>
                </c:pt>
                <c:pt idx="44">
                  <c:v>0.46138948545704045</c:v>
                </c:pt>
                <c:pt idx="45">
                  <c:v>0.46543226521506242</c:v>
                </c:pt>
                <c:pt idx="46">
                  <c:v>0.47455887713449818</c:v>
                </c:pt>
                <c:pt idx="47">
                  <c:v>0.47864755716443913</c:v>
                </c:pt>
                <c:pt idx="48">
                  <c:v>0.48244364834084275</c:v>
                </c:pt>
                <c:pt idx="49">
                  <c:v>0.48570460447233937</c:v>
                </c:pt>
                <c:pt idx="50">
                  <c:v>0.50589263585131794</c:v>
                </c:pt>
                <c:pt idx="51">
                  <c:v>0.51821392826777246</c:v>
                </c:pt>
                <c:pt idx="52">
                  <c:v>0.51968362595074236</c:v>
                </c:pt>
                <c:pt idx="53">
                  <c:v>0.52075116750605244</c:v>
                </c:pt>
                <c:pt idx="54">
                  <c:v>0.51368109279226537</c:v>
                </c:pt>
                <c:pt idx="55">
                  <c:v>0.50309273868769067</c:v>
                </c:pt>
                <c:pt idx="56">
                  <c:v>0.48563512542105841</c:v>
                </c:pt>
                <c:pt idx="57">
                  <c:v>0.47712798633334158</c:v>
                </c:pt>
                <c:pt idx="58">
                  <c:v>0.47795979179635234</c:v>
                </c:pt>
                <c:pt idx="59">
                  <c:v>0.47016488153630542</c:v>
                </c:pt>
                <c:pt idx="60">
                  <c:v>0.47732007173741819</c:v>
                </c:pt>
                <c:pt idx="61">
                  <c:v>0.46949474092473104</c:v>
                </c:pt>
                <c:pt idx="62">
                  <c:v>0.46772343432663971</c:v>
                </c:pt>
                <c:pt idx="63">
                  <c:v>0.45733600317581208</c:v>
                </c:pt>
                <c:pt idx="64">
                  <c:v>0.4564958063333443</c:v>
                </c:pt>
                <c:pt idx="65">
                  <c:v>0.45299299021449058</c:v>
                </c:pt>
                <c:pt idx="66">
                  <c:v>0.45912366830628232</c:v>
                </c:pt>
                <c:pt idx="67">
                  <c:v>0.457073178804905</c:v>
                </c:pt>
                <c:pt idx="68">
                  <c:v>0.45490177612188953</c:v>
                </c:pt>
                <c:pt idx="69">
                  <c:v>0.44871230682406521</c:v>
                </c:pt>
                <c:pt idx="70">
                  <c:v>0.45829665371813161</c:v>
                </c:pt>
                <c:pt idx="71">
                  <c:v>0.45722451693105343</c:v>
                </c:pt>
                <c:pt idx="72">
                  <c:v>0.45755326830750614</c:v>
                </c:pt>
                <c:pt idx="73">
                  <c:v>0.46397021977732095</c:v>
                </c:pt>
                <c:pt idx="74">
                  <c:v>0.47588478647068405</c:v>
                </c:pt>
                <c:pt idx="75">
                  <c:v>0.48594035717451178</c:v>
                </c:pt>
                <c:pt idx="76">
                  <c:v>0.49736710457810041</c:v>
                </c:pt>
                <c:pt idx="77">
                  <c:v>0.50080317166065103</c:v>
                </c:pt>
                <c:pt idx="78">
                  <c:v>0.50946317583807965</c:v>
                </c:pt>
                <c:pt idx="79">
                  <c:v>0.49484471623231879</c:v>
                </c:pt>
                <c:pt idx="80">
                  <c:v>0.49019383788184906</c:v>
                </c:pt>
                <c:pt idx="81">
                  <c:v>0.4879835961928457</c:v>
                </c:pt>
                <c:pt idx="82">
                  <c:v>0.49578260518842665</c:v>
                </c:pt>
                <c:pt idx="83">
                  <c:v>0.5036436818797092</c:v>
                </c:pt>
                <c:pt idx="84">
                  <c:v>0.50338035410374893</c:v>
                </c:pt>
                <c:pt idx="85">
                  <c:v>0.50885795415662316</c:v>
                </c:pt>
                <c:pt idx="86">
                  <c:v>0.5117126045924747</c:v>
                </c:pt>
                <c:pt idx="87">
                  <c:v>0.50332829271984314</c:v>
                </c:pt>
                <c:pt idx="88">
                  <c:v>0.49119820672841547</c:v>
                </c:pt>
                <c:pt idx="89">
                  <c:v>0.46626156986657075</c:v>
                </c:pt>
                <c:pt idx="90">
                  <c:v>0.46000839296740065</c:v>
                </c:pt>
                <c:pt idx="91">
                  <c:v>0.46133384529226196</c:v>
                </c:pt>
                <c:pt idx="92">
                  <c:v>0.46849321308740055</c:v>
                </c:pt>
                <c:pt idx="93">
                  <c:v>0.47782008827577016</c:v>
                </c:pt>
                <c:pt idx="94">
                  <c:v>0.48484808933163531</c:v>
                </c:pt>
                <c:pt idx="95">
                  <c:v>0.49688844395135229</c:v>
                </c:pt>
                <c:pt idx="96">
                  <c:v>0.5044302227349432</c:v>
                </c:pt>
                <c:pt idx="97">
                  <c:v>0.49884416054447894</c:v>
                </c:pt>
                <c:pt idx="98">
                  <c:v>0.4850194976691688</c:v>
                </c:pt>
                <c:pt idx="99">
                  <c:v>0.48007892294865195</c:v>
                </c:pt>
                <c:pt idx="100">
                  <c:v>0.46173556986887038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C2-41DF-83B5-118353947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85616"/>
        <c:axId val="412984632"/>
      </c:lineChart>
      <c:catAx>
        <c:axId val="412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4632"/>
        <c:crosses val="autoZero"/>
        <c:auto val="1"/>
        <c:lblAlgn val="ctr"/>
        <c:lblOffset val="100"/>
        <c:noMultiLvlLbl val="0"/>
      </c:catAx>
      <c:valAx>
        <c:axId val="412984632"/>
        <c:scaling>
          <c:orientation val="minMax"/>
          <c:max val="0.52500000000000002"/>
          <c:min val="0.4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y (𝜌= 0,9)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3.f (4)'!$I$1</c:f>
              <c:strCache>
                <c:ptCount val="1"/>
                <c:pt idx="0">
                  <c:v>y_nss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(4)'!$A$2:$A$27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'Ejercicio 3.f (4)'!$I$2:$I$27</c:f>
              <c:numCache>
                <c:formatCode>#,##0.000</c:formatCode>
                <c:ptCount val="26"/>
                <c:pt idx="0">
                  <c:v>0.47599999999999998</c:v>
                </c:pt>
                <c:pt idx="1">
                  <c:v>0.47599999999999998</c:v>
                </c:pt>
                <c:pt idx="2">
                  <c:v>0.47599999999999998</c:v>
                </c:pt>
                <c:pt idx="3">
                  <c:v>0.47599999999999998</c:v>
                </c:pt>
                <c:pt idx="4">
                  <c:v>0.47599999999999998</c:v>
                </c:pt>
                <c:pt idx="5">
                  <c:v>0.47599999999999998</c:v>
                </c:pt>
                <c:pt idx="6">
                  <c:v>0.47599999999999998</c:v>
                </c:pt>
                <c:pt idx="7">
                  <c:v>0.47599999999999998</c:v>
                </c:pt>
                <c:pt idx="8">
                  <c:v>0.47599999999999998</c:v>
                </c:pt>
                <c:pt idx="9">
                  <c:v>0.47599999999999998</c:v>
                </c:pt>
                <c:pt idx="10">
                  <c:v>0.47599999999999998</c:v>
                </c:pt>
                <c:pt idx="11">
                  <c:v>0.47599999999999998</c:v>
                </c:pt>
                <c:pt idx="12">
                  <c:v>0.47599999999999998</c:v>
                </c:pt>
                <c:pt idx="13">
                  <c:v>0.47599999999999998</c:v>
                </c:pt>
                <c:pt idx="14">
                  <c:v>0.47599999999999998</c:v>
                </c:pt>
                <c:pt idx="15">
                  <c:v>0.47599999999999998</c:v>
                </c:pt>
                <c:pt idx="16">
                  <c:v>0.47599999999999998</c:v>
                </c:pt>
                <c:pt idx="17">
                  <c:v>0.47599999999999998</c:v>
                </c:pt>
                <c:pt idx="18">
                  <c:v>0.47599999999999998</c:v>
                </c:pt>
                <c:pt idx="19">
                  <c:v>0.47599999999999998</c:v>
                </c:pt>
                <c:pt idx="20">
                  <c:v>0.47599999999999998</c:v>
                </c:pt>
                <c:pt idx="21">
                  <c:v>0.47599999999999998</c:v>
                </c:pt>
                <c:pt idx="22">
                  <c:v>0.47599999999999998</c:v>
                </c:pt>
                <c:pt idx="23">
                  <c:v>0.47599999999999998</c:v>
                </c:pt>
                <c:pt idx="24">
                  <c:v>0.47599999999999998</c:v>
                </c:pt>
                <c:pt idx="25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2-4C10-875C-F8DC7C852C85}"/>
            </c:ext>
          </c:extLst>
        </c:ser>
        <c:ser>
          <c:idx val="1"/>
          <c:order val="1"/>
          <c:tx>
            <c:strRef>
              <c:f>'Ejercicio 3.f (4)'!$H$1</c:f>
              <c:strCache>
                <c:ptCount val="1"/>
                <c:pt idx="0">
                  <c:v>y_t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3.f (4)'!$A$2:$A$27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'Ejercicio 3.f (4)'!$H$2:$H$27</c:f>
              <c:numCache>
                <c:formatCode>#,##0.000</c:formatCode>
                <c:ptCount val="26"/>
                <c:pt idx="0">
                  <c:v>0.47599999999999998</c:v>
                </c:pt>
                <c:pt idx="1">
                  <c:v>0.49542592851557676</c:v>
                </c:pt>
                <c:pt idx="2">
                  <c:v>0.50341649745862682</c:v>
                </c:pt>
                <c:pt idx="3">
                  <c:v>0.50563641027418083</c:v>
                </c:pt>
                <c:pt idx="4">
                  <c:v>0.50511082176089561</c:v>
                </c:pt>
                <c:pt idx="5">
                  <c:v>0.50337823925865</c:v>
                </c:pt>
                <c:pt idx="6">
                  <c:v>0.50119710869054446</c:v>
                </c:pt>
                <c:pt idx="7">
                  <c:v>0.4989302439175875</c:v>
                </c:pt>
                <c:pt idx="8">
                  <c:v>0.49674357646768053</c:v>
                </c:pt>
                <c:pt idx="9">
                  <c:v>0.49470646695743958</c:v>
                </c:pt>
                <c:pt idx="10">
                  <c:v>0.49284170731651122</c:v>
                </c:pt>
                <c:pt idx="11">
                  <c:v>0.49115024832282178</c:v>
                </c:pt>
                <c:pt idx="12">
                  <c:v>0.48962333617434239</c:v>
                </c:pt>
                <c:pt idx="13">
                  <c:v>0.48824840622114879</c:v>
                </c:pt>
                <c:pt idx="14">
                  <c:v>0.4870118927281471</c:v>
                </c:pt>
                <c:pt idx="15">
                  <c:v>0.48590052198866374</c:v>
                </c:pt>
                <c:pt idx="16">
                  <c:v>0.48490186499189042</c:v>
                </c:pt>
                <c:pt idx="17">
                  <c:v>0.48400453329833082</c:v>
                </c:pt>
                <c:pt idx="18">
                  <c:v>0.48319820717225076</c:v>
                </c:pt>
                <c:pt idx="19">
                  <c:v>0.48247358862186102</c:v>
                </c:pt>
                <c:pt idx="20">
                  <c:v>0.48182232430693256</c:v>
                </c:pt>
                <c:pt idx="21">
                  <c:v>0.48123691973483962</c:v>
                </c:pt>
                <c:pt idx="22">
                  <c:v>0.48071065459874651</c:v>
                </c:pt>
                <c:pt idx="23">
                  <c:v>0.48023750347239264</c:v>
                </c:pt>
                <c:pt idx="24">
                  <c:v>0.47981206336627763</c:v>
                </c:pt>
                <c:pt idx="25">
                  <c:v>0.479429488382771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32-4C10-875C-F8DC7C852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985616"/>
        <c:axId val="412984632"/>
      </c:lineChart>
      <c:catAx>
        <c:axId val="412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4632"/>
        <c:crosses val="autoZero"/>
        <c:auto val="1"/>
        <c:lblAlgn val="ctr"/>
        <c:lblOffset val="100"/>
        <c:noMultiLvlLbl val="0"/>
      </c:catAx>
      <c:valAx>
        <c:axId val="412984632"/>
        <c:scaling>
          <c:orientation val="minMax"/>
          <c:max val="0.51"/>
          <c:min val="0.47000000000000003"/>
        </c:scaling>
        <c:delete val="0"/>
        <c:axPos val="l"/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29856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19050</xdr:rowOff>
    </xdr:from>
    <xdr:to>
      <xdr:col>20</xdr:col>
      <xdr:colOff>0</xdr:colOff>
      <xdr:row>14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E9808E-254D-48B2-9CF3-078A2EE17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19050</xdr:rowOff>
    </xdr:from>
    <xdr:to>
      <xdr:col>20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CC6FA3-756D-4E64-B295-97C25CBEF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19050</xdr:rowOff>
    </xdr:from>
    <xdr:to>
      <xdr:col>20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81AEDC-22CD-4623-A5D9-4C00ED63D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19050</xdr:rowOff>
    </xdr:from>
    <xdr:to>
      <xdr:col>20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64C01B-3905-42DC-B669-92F2F82A8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19050</xdr:rowOff>
    </xdr:from>
    <xdr:to>
      <xdr:col>20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FDDD88-8DD4-48CD-8978-A9512F534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19050</xdr:rowOff>
    </xdr:from>
    <xdr:to>
      <xdr:col>20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0525C0-808E-46C0-BFB0-1A08D1F66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7144</xdr:rowOff>
    </xdr:from>
    <xdr:to>
      <xdr:col>20</xdr:col>
      <xdr:colOff>0</xdr:colOff>
      <xdr:row>14</xdr:row>
      <xdr:rowOff>54769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BE4D7E-82FB-4979-BE0A-32D0A865E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557-82E1-48C8-9681-48412CAAB6B3}">
  <dimension ref="A1:M102"/>
  <sheetViews>
    <sheetView tabSelected="1" zoomScale="80" zoomScaleNormal="80" workbookViewId="0"/>
  </sheetViews>
  <sheetFormatPr baseColWidth="10" defaultRowHeight="15" x14ac:dyDescent="0.25"/>
  <cols>
    <col min="1" max="16384" width="11.42578125" style="1"/>
  </cols>
  <sheetData>
    <row r="1" spans="1:13" ht="15" customHeight="1" thickBot="1" x14ac:dyDescent="0.3">
      <c r="A1" s="4" t="s">
        <v>0</v>
      </c>
      <c r="B1" s="4" t="s">
        <v>6</v>
      </c>
      <c r="C1" s="4" t="s">
        <v>2</v>
      </c>
      <c r="D1" s="4" t="s">
        <v>5</v>
      </c>
      <c r="E1" s="4" t="s">
        <v>4</v>
      </c>
      <c r="F1" s="4" t="s">
        <v>3</v>
      </c>
      <c r="G1" s="4" t="s">
        <v>11</v>
      </c>
      <c r="H1" s="4" t="s">
        <v>1</v>
      </c>
      <c r="I1" s="4" t="s">
        <v>12</v>
      </c>
      <c r="J1" s="4" t="s">
        <v>10</v>
      </c>
      <c r="K1" s="2"/>
      <c r="L1" s="8" t="s">
        <v>8</v>
      </c>
      <c r="M1" s="9">
        <v>0.5</v>
      </c>
    </row>
    <row r="2" spans="1:13" ht="15.75" thickBot="1" x14ac:dyDescent="0.3">
      <c r="A2" s="2">
        <v>0</v>
      </c>
      <c r="B2" s="7">
        <v>1.3633734852191992E-2</v>
      </c>
      <c r="C2" s="5">
        <v>1</v>
      </c>
      <c r="D2" s="5">
        <f>LN(C2)</f>
        <v>0</v>
      </c>
      <c r="E2" s="5">
        <f t="shared" ref="E2:E33" si="0">$M$3*D2+B2</f>
        <v>1.3633734852191992E-2</v>
      </c>
      <c r="F2" s="5">
        <f>($M$1*$M$2)^(1/(1-$M$1))</f>
        <v>0.22657599999999997</v>
      </c>
      <c r="G2" s="5">
        <f t="shared" ref="G2:G33" si="1">F3</f>
        <v>0.22657599999999997</v>
      </c>
      <c r="H2" s="5">
        <f>$C2*$F2^$M$1</f>
        <v>0.47599999999999998</v>
      </c>
      <c r="I2" s="5">
        <v>0.47599999999999998</v>
      </c>
      <c r="J2" s="5">
        <f>(1-$M$1*$M$2)*$C2*$F2^$M$1</f>
        <v>0.24942400000000001</v>
      </c>
      <c r="K2" s="2"/>
      <c r="L2" s="8" t="s">
        <v>9</v>
      </c>
      <c r="M2" s="10">
        <v>0.95199999999999996</v>
      </c>
    </row>
    <row r="3" spans="1:13" ht="15.75" thickBot="1" x14ac:dyDescent="0.3">
      <c r="A3" s="2">
        <v>1</v>
      </c>
      <c r="B3" s="5">
        <v>-3.1672243494540453E-3</v>
      </c>
      <c r="C3" s="5">
        <f t="shared" ref="C3:C34" si="2">EXP(D3)</f>
        <v>1.0137270980289681</v>
      </c>
      <c r="D3" s="5">
        <f t="shared" ref="D3:D34" si="3">E2</f>
        <v>1.3633734852191992E-2</v>
      </c>
      <c r="E3" s="5">
        <f t="shared" si="0"/>
        <v>3.6496430766419508E-3</v>
      </c>
      <c r="F3" s="5">
        <f>$M$1*$M$2*$C2*$F2^$M$1</f>
        <v>0.22657599999999997</v>
      </c>
      <c r="G3" s="5">
        <f t="shared" si="1"/>
        <v>0.22968623096301147</v>
      </c>
      <c r="H3" s="5">
        <f t="shared" ref="H3:H66" si="4">$C3*$F3^$M$1</f>
        <v>0.48253409866178881</v>
      </c>
      <c r="I3" s="5">
        <v>0.47599999999999998</v>
      </c>
      <c r="J3" s="5">
        <f t="shared" ref="J3:J66" si="5">(1-$M$1*$M$2)*$C3*$F3^$M$1</f>
        <v>0.25284786769877737</v>
      </c>
      <c r="L3" s="8" t="s">
        <v>7</v>
      </c>
      <c r="M3" s="9">
        <v>0.5</v>
      </c>
    </row>
    <row r="4" spans="1:13" x14ac:dyDescent="0.25">
      <c r="A4" s="2">
        <v>2</v>
      </c>
      <c r="B4" s="5">
        <v>-6.6694337874650955E-2</v>
      </c>
      <c r="C4" s="5">
        <f t="shared" si="2"/>
        <v>1.0036563111334769</v>
      </c>
      <c r="D4" s="5">
        <f t="shared" si="3"/>
        <v>3.6496430766419508E-3</v>
      </c>
      <c r="E4" s="5">
        <f t="shared" si="0"/>
        <v>-6.486951633632998E-2</v>
      </c>
      <c r="F4" s="5">
        <f t="shared" ref="F4:F67" si="6">$M$1*$M$2*$C3*$F3^$M$1</f>
        <v>0.22968623096301147</v>
      </c>
      <c r="G4" s="5">
        <f t="shared" si="1"/>
        <v>0.22895991395119289</v>
      </c>
      <c r="H4" s="5">
        <f t="shared" si="4"/>
        <v>0.48100822258653969</v>
      </c>
      <c r="I4" s="5">
        <v>0.47599999999999998</v>
      </c>
      <c r="J4" s="5">
        <f t="shared" si="5"/>
        <v>0.25204830863534677</v>
      </c>
    </row>
    <row r="5" spans="1:13" x14ac:dyDescent="0.25">
      <c r="A5" s="2">
        <v>3</v>
      </c>
      <c r="B5" s="5">
        <v>-1.8069158613798209E-2</v>
      </c>
      <c r="C5" s="5">
        <f t="shared" si="2"/>
        <v>0.9371897433507268</v>
      </c>
      <c r="D5" s="5">
        <f t="shared" si="3"/>
        <v>-6.486951633632998E-2</v>
      </c>
      <c r="E5" s="5">
        <f t="shared" si="0"/>
        <v>-5.0503916781963198E-2</v>
      </c>
      <c r="F5" s="5">
        <f t="shared" si="6"/>
        <v>0.22895991395119289</v>
      </c>
      <c r="G5" s="5">
        <f t="shared" si="1"/>
        <v>0.21345887013998238</v>
      </c>
      <c r="H5" s="5">
        <f t="shared" si="4"/>
        <v>0.44844300449576135</v>
      </c>
      <c r="I5" s="5">
        <v>0.47599999999999998</v>
      </c>
      <c r="J5" s="5">
        <f t="shared" si="5"/>
        <v>0.23498413435577897</v>
      </c>
    </row>
    <row r="6" spans="1:13" x14ac:dyDescent="0.25">
      <c r="A6" s="2">
        <v>4</v>
      </c>
      <c r="B6" s="5">
        <v>-8.3389295468805358E-3</v>
      </c>
      <c r="C6" s="5">
        <f t="shared" si="2"/>
        <v>0.95075020478378047</v>
      </c>
      <c r="D6" s="5">
        <f t="shared" si="3"/>
        <v>-5.0503916781963198E-2</v>
      </c>
      <c r="E6" s="5">
        <f t="shared" si="0"/>
        <v>-3.3590887937862135E-2</v>
      </c>
      <c r="F6" s="5">
        <f t="shared" si="6"/>
        <v>0.21345887013998238</v>
      </c>
      <c r="G6" s="5">
        <f t="shared" si="1"/>
        <v>0.2090886620108014</v>
      </c>
      <c r="H6" s="5">
        <f t="shared" si="4"/>
        <v>0.43926189498067519</v>
      </c>
      <c r="I6" s="5">
        <v>0.47599999999999998</v>
      </c>
      <c r="J6" s="5">
        <f t="shared" si="5"/>
        <v>0.2301732329698738</v>
      </c>
    </row>
    <row r="7" spans="1:13" x14ac:dyDescent="0.25">
      <c r="A7" s="2">
        <v>5</v>
      </c>
      <c r="B7" s="5">
        <v>-1.0635949365678243E-2</v>
      </c>
      <c r="C7" s="5">
        <f t="shared" si="2"/>
        <v>0.96696702159883585</v>
      </c>
      <c r="D7" s="5">
        <f t="shared" si="3"/>
        <v>-3.3590887937862135E-2</v>
      </c>
      <c r="E7" s="5">
        <f t="shared" si="0"/>
        <v>-2.7431393334609311E-2</v>
      </c>
      <c r="F7" s="5">
        <f t="shared" si="6"/>
        <v>0.2090886620108014</v>
      </c>
      <c r="G7" s="5">
        <f t="shared" si="1"/>
        <v>0.21046692563024005</v>
      </c>
      <c r="H7" s="5">
        <f t="shared" si="4"/>
        <v>0.44215740678621868</v>
      </c>
      <c r="I7" s="5">
        <v>0.47599999999999998</v>
      </c>
      <c r="J7" s="5">
        <f t="shared" si="5"/>
        <v>0.23169048115597857</v>
      </c>
    </row>
    <row r="8" spans="1:13" x14ac:dyDescent="0.25">
      <c r="A8" s="2">
        <v>6</v>
      </c>
      <c r="B8" s="5">
        <v>-3.4532968129497021E-2</v>
      </c>
      <c r="C8" s="5">
        <f t="shared" si="2"/>
        <v>0.97294143053091886</v>
      </c>
      <c r="D8" s="5">
        <f t="shared" si="3"/>
        <v>-2.7431393334609311E-2</v>
      </c>
      <c r="E8" s="5">
        <f t="shared" si="0"/>
        <v>-4.8248664796801677E-2</v>
      </c>
      <c r="F8" s="5">
        <f t="shared" si="6"/>
        <v>0.21046692563024005</v>
      </c>
      <c r="G8" s="5">
        <f t="shared" si="1"/>
        <v>0.21246411007721894</v>
      </c>
      <c r="H8" s="5">
        <f t="shared" si="4"/>
        <v>0.44635317243113226</v>
      </c>
      <c r="I8" s="5">
        <v>0.47599999999999998</v>
      </c>
      <c r="J8" s="5">
        <f t="shared" si="5"/>
        <v>0.2338890623539133</v>
      </c>
    </row>
    <row r="9" spans="1:13" x14ac:dyDescent="0.25">
      <c r="A9" s="2">
        <v>7</v>
      </c>
      <c r="B9" s="5">
        <v>1.3771068552159704E-2</v>
      </c>
      <c r="C9" s="5">
        <f t="shared" si="2"/>
        <v>0.9528968057236975</v>
      </c>
      <c r="D9" s="5">
        <f t="shared" si="3"/>
        <v>-4.8248664796801677E-2</v>
      </c>
      <c r="E9" s="5">
        <f t="shared" si="0"/>
        <v>-1.0353263846241134E-2</v>
      </c>
      <c r="F9" s="5">
        <f t="shared" si="6"/>
        <v>0.21246411007721894</v>
      </c>
      <c r="G9" s="5">
        <f t="shared" si="1"/>
        <v>0.20907187452961337</v>
      </c>
      <c r="H9" s="5">
        <f t="shared" si="4"/>
        <v>0.43922662716305327</v>
      </c>
      <c r="I9" s="5">
        <v>0.47599999999999998</v>
      </c>
      <c r="J9" s="5">
        <f t="shared" si="5"/>
        <v>0.23015475263343993</v>
      </c>
    </row>
    <row r="10" spans="1:13" x14ac:dyDescent="0.25">
      <c r="A10" s="2">
        <v>8</v>
      </c>
      <c r="B10" s="5">
        <v>2.0074958229088224E-2</v>
      </c>
      <c r="C10" s="5">
        <f t="shared" si="2"/>
        <v>0.98970014670645889</v>
      </c>
      <c r="D10" s="5">
        <f t="shared" si="3"/>
        <v>-1.0353263846241134E-2</v>
      </c>
      <c r="E10" s="5">
        <f t="shared" si="0"/>
        <v>1.4898326305967657E-2</v>
      </c>
      <c r="F10" s="5">
        <f t="shared" si="6"/>
        <v>0.20907187452961337</v>
      </c>
      <c r="G10" s="5">
        <f t="shared" si="1"/>
        <v>0.21540629649899243</v>
      </c>
      <c r="H10" s="5">
        <f t="shared" si="4"/>
        <v>0.45253423634242107</v>
      </c>
      <c r="I10" s="5">
        <v>0.47599999999999998</v>
      </c>
      <c r="J10" s="5">
        <f t="shared" si="5"/>
        <v>0.23712793984342864</v>
      </c>
    </row>
    <row r="11" spans="1:13" x14ac:dyDescent="0.25">
      <c r="A11" s="2">
        <v>9</v>
      </c>
      <c r="B11" s="5">
        <v>-1.5932391761452891E-2</v>
      </c>
      <c r="C11" s="5">
        <f t="shared" si="2"/>
        <v>1.0150098595672872</v>
      </c>
      <c r="D11" s="5">
        <f t="shared" si="3"/>
        <v>1.4898326305967657E-2</v>
      </c>
      <c r="E11" s="5">
        <f t="shared" si="0"/>
        <v>-8.4832286084690622E-3</v>
      </c>
      <c r="F11" s="5">
        <f t="shared" si="6"/>
        <v>0.21540629649899243</v>
      </c>
      <c r="G11" s="5">
        <f t="shared" si="1"/>
        <v>0.22423655394337982</v>
      </c>
      <c r="H11" s="5">
        <f t="shared" si="4"/>
        <v>0.47108519736004162</v>
      </c>
      <c r="I11" s="5">
        <v>0.47599999999999998</v>
      </c>
      <c r="J11" s="5">
        <f t="shared" si="5"/>
        <v>0.24684864341666185</v>
      </c>
    </row>
    <row r="12" spans="1:13" x14ac:dyDescent="0.25">
      <c r="A12" s="2">
        <v>10</v>
      </c>
      <c r="B12" s="5">
        <v>1.5091154637048021E-2</v>
      </c>
      <c r="C12" s="5">
        <f t="shared" si="2"/>
        <v>0.99155265244127333</v>
      </c>
      <c r="D12" s="5">
        <f t="shared" si="3"/>
        <v>-8.4832286084690622E-3</v>
      </c>
      <c r="E12" s="5">
        <f t="shared" si="0"/>
        <v>1.084954033281349E-2</v>
      </c>
      <c r="F12" s="5">
        <f t="shared" si="6"/>
        <v>0.22423655394337982</v>
      </c>
      <c r="G12" s="5">
        <f t="shared" si="1"/>
        <v>0.22349918234675289</v>
      </c>
      <c r="H12" s="5">
        <f t="shared" si="4"/>
        <v>0.46953609736712792</v>
      </c>
      <c r="I12" s="5">
        <v>0.47599999999999998</v>
      </c>
      <c r="J12" s="5">
        <f t="shared" si="5"/>
        <v>0.24603691502037503</v>
      </c>
    </row>
    <row r="13" spans="1:13" x14ac:dyDescent="0.25">
      <c r="A13" s="2">
        <v>11</v>
      </c>
      <c r="B13" s="5">
        <v>1.9963863451266661E-2</v>
      </c>
      <c r="C13" s="5">
        <f t="shared" si="2"/>
        <v>1.0109086100285938</v>
      </c>
      <c r="D13" s="5">
        <f t="shared" si="3"/>
        <v>1.084954033281349E-2</v>
      </c>
      <c r="E13" s="5">
        <f t="shared" si="0"/>
        <v>2.5388633617673406E-2</v>
      </c>
      <c r="F13" s="5">
        <f t="shared" si="6"/>
        <v>0.22349918234675289</v>
      </c>
      <c r="G13" s="5">
        <f t="shared" si="1"/>
        <v>0.22748712261406751</v>
      </c>
      <c r="H13" s="5">
        <f t="shared" si="4"/>
        <v>0.47791412313879733</v>
      </c>
      <c r="I13" s="5">
        <v>0.47599999999999998</v>
      </c>
      <c r="J13" s="5">
        <f t="shared" si="5"/>
        <v>0.25042700052472977</v>
      </c>
    </row>
    <row r="14" spans="1:13" x14ac:dyDescent="0.25">
      <c r="A14" s="2">
        <v>12</v>
      </c>
      <c r="B14" s="5">
        <v>3.4277718441444449E-3</v>
      </c>
      <c r="C14" s="5">
        <f t="shared" si="2"/>
        <v>1.0257136698887979</v>
      </c>
      <c r="D14" s="5">
        <f t="shared" si="3"/>
        <v>2.5388633617673406E-2</v>
      </c>
      <c r="E14" s="5">
        <f t="shared" si="0"/>
        <v>1.6122088652981148E-2</v>
      </c>
      <c r="F14" s="5">
        <f t="shared" si="6"/>
        <v>0.22748712261406751</v>
      </c>
      <c r="G14" s="5">
        <f t="shared" si="1"/>
        <v>0.23286890711111052</v>
      </c>
      <c r="H14" s="5">
        <f t="shared" si="4"/>
        <v>0.48922039309056842</v>
      </c>
      <c r="I14" s="5">
        <v>0.47599999999999998</v>
      </c>
      <c r="J14" s="5">
        <f t="shared" si="5"/>
        <v>0.25635148597945784</v>
      </c>
    </row>
    <row r="15" spans="1:13" x14ac:dyDescent="0.25">
      <c r="A15" s="2">
        <v>13</v>
      </c>
      <c r="B15" s="5">
        <v>3.3346623240504414E-3</v>
      </c>
      <c r="C15" s="5">
        <f t="shared" si="2"/>
        <v>1.0162527507618835</v>
      </c>
      <c r="D15" s="5">
        <f t="shared" si="3"/>
        <v>1.6122088652981148E-2</v>
      </c>
      <c r="E15" s="5">
        <f t="shared" si="0"/>
        <v>1.1395706650541015E-2</v>
      </c>
      <c r="F15" s="5">
        <f t="shared" si="6"/>
        <v>0.23286890711111052</v>
      </c>
      <c r="G15" s="5">
        <f t="shared" si="1"/>
        <v>0.2334341759831233</v>
      </c>
      <c r="H15" s="5">
        <f t="shared" si="4"/>
        <v>0.49040793273765404</v>
      </c>
      <c r="I15" s="5">
        <v>0.47599999999999998</v>
      </c>
      <c r="J15" s="5">
        <f t="shared" si="5"/>
        <v>0.25697375675453071</v>
      </c>
    </row>
    <row r="16" spans="1:13" x14ac:dyDescent="0.25">
      <c r="A16" s="2">
        <v>14</v>
      </c>
      <c r="B16" s="5">
        <v>8.4324710769578815E-3</v>
      </c>
      <c r="C16" s="5">
        <f t="shared" si="2"/>
        <v>1.0114608850649751</v>
      </c>
      <c r="D16" s="5">
        <f t="shared" si="3"/>
        <v>1.1395706650541015E-2</v>
      </c>
      <c r="E16" s="5">
        <f t="shared" si="0"/>
        <v>1.4130324402228389E-2</v>
      </c>
      <c r="F16" s="5">
        <f t="shared" si="6"/>
        <v>0.2334341759831233</v>
      </c>
      <c r="G16" s="5">
        <f t="shared" si="1"/>
        <v>0.23261529376770113</v>
      </c>
      <c r="H16" s="5">
        <f t="shared" si="4"/>
        <v>0.48868759194895195</v>
      </c>
      <c r="I16" s="5">
        <v>0.47599999999999998</v>
      </c>
      <c r="J16" s="5">
        <f t="shared" si="5"/>
        <v>0.25607229818125082</v>
      </c>
    </row>
    <row r="17" spans="1:10" x14ac:dyDescent="0.25">
      <c r="A17" s="2">
        <v>15</v>
      </c>
      <c r="B17" s="5">
        <v>1.0828534868778661E-2</v>
      </c>
      <c r="C17" s="5">
        <f t="shared" si="2"/>
        <v>1.0142306293262806</v>
      </c>
      <c r="D17" s="5">
        <f t="shared" si="3"/>
        <v>1.4130324402228389E-2</v>
      </c>
      <c r="E17" s="5">
        <f t="shared" si="0"/>
        <v>1.7893697069892855E-2</v>
      </c>
      <c r="F17" s="5">
        <f t="shared" si="6"/>
        <v>0.23261529376770113</v>
      </c>
      <c r="G17" s="5">
        <f t="shared" si="1"/>
        <v>0.23284279674733016</v>
      </c>
      <c r="H17" s="5">
        <f t="shared" si="4"/>
        <v>0.4891655393851474</v>
      </c>
      <c r="I17" s="5">
        <v>0.47599999999999998</v>
      </c>
      <c r="J17" s="5">
        <f t="shared" si="5"/>
        <v>0.25632274263781724</v>
      </c>
    </row>
    <row r="18" spans="1:10" x14ac:dyDescent="0.25">
      <c r="A18" s="2">
        <v>16</v>
      </c>
      <c r="B18" s="5">
        <v>-1.3512362784240395E-2</v>
      </c>
      <c r="C18" s="5">
        <f t="shared" si="2"/>
        <v>1.0180547484346532</v>
      </c>
      <c r="D18" s="5">
        <f t="shared" si="3"/>
        <v>1.7893697069892855E-2</v>
      </c>
      <c r="E18" s="5">
        <f t="shared" si="0"/>
        <v>-4.5655142492939671E-3</v>
      </c>
      <c r="F18" s="5">
        <f t="shared" si="6"/>
        <v>0.23284279674733016</v>
      </c>
      <c r="G18" s="5">
        <f t="shared" si="1"/>
        <v>0.23383498603327132</v>
      </c>
      <c r="H18" s="5">
        <f t="shared" si="4"/>
        <v>0.49124997065813308</v>
      </c>
      <c r="I18" s="5">
        <v>0.47599999999999998</v>
      </c>
      <c r="J18" s="5">
        <f t="shared" si="5"/>
        <v>0.25741498462486173</v>
      </c>
    </row>
    <row r="19" spans="1:10" x14ac:dyDescent="0.25">
      <c r="A19" s="2">
        <v>17</v>
      </c>
      <c r="B19" s="5">
        <v>-2.7559053705772385E-2</v>
      </c>
      <c r="C19" s="5">
        <f t="shared" si="2"/>
        <v>0.99544489186843677</v>
      </c>
      <c r="D19" s="5">
        <f t="shared" si="3"/>
        <v>-4.5655142492939671E-3</v>
      </c>
      <c r="E19" s="5">
        <f t="shared" si="0"/>
        <v>-2.9841810830419369E-2</v>
      </c>
      <c r="F19" s="5">
        <f t="shared" si="6"/>
        <v>0.23383498603327132</v>
      </c>
      <c r="G19" s="5">
        <f t="shared" si="1"/>
        <v>0.22912839879284139</v>
      </c>
      <c r="H19" s="5">
        <f t="shared" si="4"/>
        <v>0.48136218233790212</v>
      </c>
      <c r="I19" s="5">
        <v>0.47599999999999998</v>
      </c>
      <c r="J19" s="5">
        <f t="shared" si="5"/>
        <v>0.25223378354506071</v>
      </c>
    </row>
    <row r="20" spans="1:10" x14ac:dyDescent="0.25">
      <c r="A20" s="2">
        <v>18</v>
      </c>
      <c r="B20" s="5">
        <v>-1.3903263607062399E-2</v>
      </c>
      <c r="C20" s="5">
        <f t="shared" si="2"/>
        <v>0.97059905966434767</v>
      </c>
      <c r="D20" s="5">
        <f t="shared" si="3"/>
        <v>-2.9841810830419369E-2</v>
      </c>
      <c r="E20" s="5">
        <f t="shared" si="0"/>
        <v>-2.8824169022272084E-2</v>
      </c>
      <c r="F20" s="5">
        <f t="shared" si="6"/>
        <v>0.22912839879284139</v>
      </c>
      <c r="G20" s="5">
        <f t="shared" si="1"/>
        <v>0.22114966153395801</v>
      </c>
      <c r="H20" s="5">
        <f t="shared" si="4"/>
        <v>0.46460012927302102</v>
      </c>
      <c r="I20" s="5">
        <v>0.47599999999999998</v>
      </c>
      <c r="J20" s="5">
        <f t="shared" si="5"/>
        <v>0.24345046773906304</v>
      </c>
    </row>
    <row r="21" spans="1:10" x14ac:dyDescent="0.25">
      <c r="A21" s="2">
        <v>19</v>
      </c>
      <c r="B21" s="5">
        <v>-2.598526407382451E-2</v>
      </c>
      <c r="C21" s="5">
        <f t="shared" si="2"/>
        <v>0.9715872845906276</v>
      </c>
      <c r="D21" s="5">
        <f t="shared" si="3"/>
        <v>-2.8824169022272084E-2</v>
      </c>
      <c r="E21" s="5">
        <f t="shared" si="0"/>
        <v>-4.0397348584960552E-2</v>
      </c>
      <c r="F21" s="5">
        <f t="shared" si="6"/>
        <v>0.22114966153395801</v>
      </c>
      <c r="G21" s="5">
        <f t="shared" si="1"/>
        <v>0.21748630491402635</v>
      </c>
      <c r="H21" s="5">
        <f t="shared" si="4"/>
        <v>0.45690400192022346</v>
      </c>
      <c r="I21" s="5">
        <v>0.47599999999999998</v>
      </c>
      <c r="J21" s="5">
        <f t="shared" si="5"/>
        <v>0.23941769700619708</v>
      </c>
    </row>
    <row r="22" spans="1:10" x14ac:dyDescent="0.25">
      <c r="A22" s="2">
        <v>20</v>
      </c>
      <c r="B22" s="5">
        <v>-2.7770147426053882E-2</v>
      </c>
      <c r="C22" s="5">
        <f t="shared" si="2"/>
        <v>0.96040774666573769</v>
      </c>
      <c r="D22" s="5">
        <f t="shared" si="3"/>
        <v>-4.0397348584960552E-2</v>
      </c>
      <c r="E22" s="5">
        <f t="shared" si="0"/>
        <v>-4.7968821718534158E-2</v>
      </c>
      <c r="F22" s="5">
        <f t="shared" si="6"/>
        <v>0.21748630491402635</v>
      </c>
      <c r="G22" s="5">
        <f t="shared" si="1"/>
        <v>0.21319576059865208</v>
      </c>
      <c r="H22" s="5">
        <f t="shared" si="4"/>
        <v>0.44789025335851279</v>
      </c>
      <c r="I22" s="5">
        <v>0.47599999999999998</v>
      </c>
      <c r="J22" s="5">
        <f t="shared" si="5"/>
        <v>0.23469449275986073</v>
      </c>
    </row>
    <row r="23" spans="1:10" x14ac:dyDescent="0.25">
      <c r="A23" s="2">
        <v>21</v>
      </c>
      <c r="B23" s="5">
        <v>-6.8294184529804625E-3</v>
      </c>
      <c r="C23" s="5">
        <f t="shared" si="2"/>
        <v>0.95316350461426136</v>
      </c>
      <c r="D23" s="5">
        <f t="shared" si="3"/>
        <v>-4.7968821718534158E-2</v>
      </c>
      <c r="E23" s="5">
        <f t="shared" si="0"/>
        <v>-3.0813829312247541E-2</v>
      </c>
      <c r="F23" s="5">
        <f t="shared" si="6"/>
        <v>0.21319576059865208</v>
      </c>
      <c r="G23" s="5">
        <f t="shared" si="1"/>
        <v>0.20949016575523718</v>
      </c>
      <c r="H23" s="5">
        <f t="shared" si="4"/>
        <v>0.44010539024209494</v>
      </c>
      <c r="I23" s="5">
        <v>0.47599999999999998</v>
      </c>
      <c r="J23" s="5">
        <f t="shared" si="5"/>
        <v>0.23061522448685776</v>
      </c>
    </row>
    <row r="24" spans="1:10" x14ac:dyDescent="0.25">
      <c r="A24" s="2">
        <v>22</v>
      </c>
      <c r="B24" s="5">
        <v>8.1274492913507856E-3</v>
      </c>
      <c r="C24" s="5">
        <f t="shared" si="2"/>
        <v>0.96965607781204877</v>
      </c>
      <c r="D24" s="5">
        <f t="shared" si="3"/>
        <v>-3.0813829312247541E-2</v>
      </c>
      <c r="E24" s="5">
        <f t="shared" si="0"/>
        <v>-7.279465364772985E-3</v>
      </c>
      <c r="F24" s="5">
        <f t="shared" si="6"/>
        <v>0.20949016575523718</v>
      </c>
      <c r="G24" s="5">
        <f t="shared" si="1"/>
        <v>0.21125475689017675</v>
      </c>
      <c r="H24" s="5">
        <f t="shared" si="4"/>
        <v>0.44381251447516129</v>
      </c>
      <c r="I24" s="5">
        <v>0.47599999999999998</v>
      </c>
      <c r="J24" s="5">
        <f t="shared" si="5"/>
        <v>0.23255775758498454</v>
      </c>
    </row>
    <row r="25" spans="1:10" x14ac:dyDescent="0.25">
      <c r="A25" s="2">
        <v>23</v>
      </c>
      <c r="B25" s="5">
        <v>-1.2837608664995059E-2</v>
      </c>
      <c r="C25" s="5">
        <f t="shared" si="2"/>
        <v>0.99274696576949661</v>
      </c>
      <c r="D25" s="5">
        <f t="shared" si="3"/>
        <v>-7.279465364772985E-3</v>
      </c>
      <c r="E25" s="5">
        <f t="shared" si="0"/>
        <v>-1.6477341347381554E-2</v>
      </c>
      <c r="F25" s="5">
        <f t="shared" si="6"/>
        <v>0.21125475689017675</v>
      </c>
      <c r="G25" s="5">
        <f t="shared" si="1"/>
        <v>0.21719447302956263</v>
      </c>
      <c r="H25" s="5">
        <f t="shared" si="4"/>
        <v>0.45629090972597192</v>
      </c>
      <c r="I25" s="5">
        <v>0.47599999999999998</v>
      </c>
      <c r="J25" s="5">
        <f t="shared" si="5"/>
        <v>0.23909643669640929</v>
      </c>
    </row>
    <row r="26" spans="1:10" x14ac:dyDescent="0.25">
      <c r="A26" s="2">
        <v>24</v>
      </c>
      <c r="B26" s="5">
        <v>1.714051904855296E-2</v>
      </c>
      <c r="C26" s="5">
        <f t="shared" si="2"/>
        <v>0.98365766749554551</v>
      </c>
      <c r="D26" s="5">
        <f t="shared" si="3"/>
        <v>-1.6477341347381554E-2</v>
      </c>
      <c r="E26" s="5">
        <f t="shared" si="0"/>
        <v>8.9018483748621834E-3</v>
      </c>
      <c r="F26" s="5">
        <f t="shared" si="6"/>
        <v>0.21719447302956263</v>
      </c>
      <c r="G26" s="5">
        <f t="shared" si="1"/>
        <v>0.21821033651706442</v>
      </c>
      <c r="H26" s="5">
        <f t="shared" si="4"/>
        <v>0.45842507671652188</v>
      </c>
      <c r="I26" s="5">
        <v>0.47599999999999998</v>
      </c>
      <c r="J26" s="5">
        <f t="shared" si="5"/>
        <v>0.24021474019945752</v>
      </c>
    </row>
    <row r="27" spans="1:10" x14ac:dyDescent="0.25">
      <c r="A27" s="2">
        <v>25</v>
      </c>
      <c r="B27" s="5">
        <v>-1.2330337995081209E-2</v>
      </c>
      <c r="C27" s="5">
        <f t="shared" si="2"/>
        <v>1.0089415876572698</v>
      </c>
      <c r="D27" s="5">
        <f t="shared" si="3"/>
        <v>8.9018483748621834E-3</v>
      </c>
      <c r="E27" s="5">
        <f t="shared" si="0"/>
        <v>-7.879413807650117E-3</v>
      </c>
      <c r="F27" s="5">
        <f t="shared" si="6"/>
        <v>0.21821033651706442</v>
      </c>
      <c r="G27" s="5">
        <f t="shared" si="1"/>
        <v>0.22434202510711698</v>
      </c>
      <c r="H27" s="5">
        <f t="shared" si="4"/>
        <v>0.47130677543511973</v>
      </c>
      <c r="I27" s="5">
        <v>0.47599999999999998</v>
      </c>
      <c r="J27" s="5">
        <f t="shared" si="5"/>
        <v>0.24696475032800275</v>
      </c>
    </row>
    <row r="28" spans="1:10" x14ac:dyDescent="0.25">
      <c r="A28" s="2">
        <v>26</v>
      </c>
      <c r="B28" s="5">
        <v>6.7499968281481415E-3</v>
      </c>
      <c r="C28" s="5">
        <f t="shared" si="2"/>
        <v>0.99215154740123312</v>
      </c>
      <c r="D28" s="5">
        <f t="shared" si="3"/>
        <v>-7.879413807650117E-3</v>
      </c>
      <c r="E28" s="5">
        <f t="shared" si="0"/>
        <v>2.810289924323083E-3</v>
      </c>
      <c r="F28" s="5">
        <f t="shared" si="6"/>
        <v>0.22434202510711698</v>
      </c>
      <c r="G28" s="5">
        <f t="shared" si="1"/>
        <v>0.2236867629446824</v>
      </c>
      <c r="H28" s="5">
        <f t="shared" si="4"/>
        <v>0.46993017425353445</v>
      </c>
      <c r="I28" s="5">
        <v>0.47599999999999998</v>
      </c>
      <c r="J28" s="5">
        <f t="shared" si="5"/>
        <v>0.24624341130885208</v>
      </c>
    </row>
    <row r="29" spans="1:10" x14ac:dyDescent="0.25">
      <c r="A29" s="2">
        <v>27</v>
      </c>
      <c r="B29" s="5">
        <v>7.0829628384672105E-3</v>
      </c>
      <c r="C29" s="5">
        <f t="shared" si="2"/>
        <v>1.0028142424908044</v>
      </c>
      <c r="D29" s="5">
        <f t="shared" si="3"/>
        <v>2.810289924323083E-3</v>
      </c>
      <c r="E29" s="5">
        <f t="shared" si="0"/>
        <v>8.4881078006287525E-3</v>
      </c>
      <c r="F29" s="5">
        <f t="shared" si="6"/>
        <v>0.2236867629446824</v>
      </c>
      <c r="G29" s="5">
        <f t="shared" si="1"/>
        <v>0.22576030778093789</v>
      </c>
      <c r="H29" s="5">
        <f t="shared" si="4"/>
        <v>0.4742863608843233</v>
      </c>
      <c r="I29" s="5">
        <v>0.47599999999999998</v>
      </c>
      <c r="J29" s="5">
        <f t="shared" si="5"/>
        <v>0.24852605310338544</v>
      </c>
    </row>
    <row r="30" spans="1:10" x14ac:dyDescent="0.25">
      <c r="A30" s="2">
        <v>28</v>
      </c>
      <c r="B30" s="5">
        <v>1.2297050488996319E-2</v>
      </c>
      <c r="C30" s="5">
        <f t="shared" si="2"/>
        <v>1.0085242339294638</v>
      </c>
      <c r="D30" s="5">
        <f t="shared" si="3"/>
        <v>8.4881078006287525E-3</v>
      </c>
      <c r="E30" s="5">
        <f t="shared" si="0"/>
        <v>1.6541104389310696E-2</v>
      </c>
      <c r="F30" s="5">
        <f t="shared" si="6"/>
        <v>0.22576030778093789</v>
      </c>
      <c r="G30" s="5">
        <f t="shared" si="1"/>
        <v>0.22809569327488308</v>
      </c>
      <c r="H30" s="5">
        <f t="shared" si="4"/>
        <v>0.47919263293042663</v>
      </c>
      <c r="I30" s="5">
        <v>0.47599999999999998</v>
      </c>
      <c r="J30" s="5">
        <f t="shared" si="5"/>
        <v>0.25109693965554358</v>
      </c>
    </row>
    <row r="31" spans="1:10" x14ac:dyDescent="0.25">
      <c r="A31" s="2">
        <v>29</v>
      </c>
      <c r="B31" s="5">
        <v>-3.9881342672742903E-3</v>
      </c>
      <c r="C31" s="5">
        <f t="shared" si="2"/>
        <v>1.0166786658828784</v>
      </c>
      <c r="D31" s="5">
        <f t="shared" si="3"/>
        <v>1.6541104389310696E-2</v>
      </c>
      <c r="E31" s="5">
        <f t="shared" si="0"/>
        <v>4.2824179273810575E-3</v>
      </c>
      <c r="F31" s="5">
        <f t="shared" si="6"/>
        <v>0.22809569327488308</v>
      </c>
      <c r="G31" s="5">
        <f t="shared" si="1"/>
        <v>0.23112621422908666</v>
      </c>
      <c r="H31" s="5">
        <f t="shared" si="4"/>
        <v>0.48555927359051826</v>
      </c>
      <c r="I31" s="5">
        <v>0.47599999999999998</v>
      </c>
      <c r="J31" s="5">
        <f t="shared" si="5"/>
        <v>0.25443305936143157</v>
      </c>
    </row>
    <row r="32" spans="1:10" x14ac:dyDescent="0.25">
      <c r="A32" s="2">
        <v>30</v>
      </c>
      <c r="B32" s="5">
        <v>-3.335144356242381E-2</v>
      </c>
      <c r="C32" s="5">
        <f t="shared" si="2"/>
        <v>1.004291600582343</v>
      </c>
      <c r="D32" s="5">
        <f t="shared" si="3"/>
        <v>4.2824179273810575E-3</v>
      </c>
      <c r="E32" s="5">
        <f t="shared" si="0"/>
        <v>-3.1210234598733282E-2</v>
      </c>
      <c r="F32" s="5">
        <f t="shared" si="6"/>
        <v>0.23112621422908666</v>
      </c>
      <c r="G32" s="5">
        <f t="shared" si="1"/>
        <v>0.2298218869368259</v>
      </c>
      <c r="H32" s="5">
        <f t="shared" si="4"/>
        <v>0.48281909020341574</v>
      </c>
      <c r="I32" s="5">
        <v>0.47599999999999998</v>
      </c>
      <c r="J32" s="5">
        <f t="shared" si="5"/>
        <v>0.25299720326658987</v>
      </c>
    </row>
    <row r="33" spans="1:10" x14ac:dyDescent="0.25">
      <c r="A33" s="2">
        <v>31</v>
      </c>
      <c r="B33" s="5">
        <v>1.5246178008965217E-2</v>
      </c>
      <c r="C33" s="5">
        <f t="shared" si="2"/>
        <v>0.96927177719116231</v>
      </c>
      <c r="D33" s="5">
        <f t="shared" si="3"/>
        <v>-3.1210234598733282E-2</v>
      </c>
      <c r="E33" s="5">
        <f t="shared" si="0"/>
        <v>-3.5893929040142422E-4</v>
      </c>
      <c r="F33" s="5">
        <f t="shared" si="6"/>
        <v>0.2298218869368259</v>
      </c>
      <c r="G33" s="5">
        <f t="shared" si="1"/>
        <v>0.22118120159495003</v>
      </c>
      <c r="H33" s="5">
        <f t="shared" si="4"/>
        <v>0.46466638990535725</v>
      </c>
      <c r="I33" s="5">
        <v>0.47599999999999998</v>
      </c>
      <c r="J33" s="5">
        <f t="shared" si="5"/>
        <v>0.24348518831040719</v>
      </c>
    </row>
    <row r="34" spans="1:10" x14ac:dyDescent="0.25">
      <c r="A34" s="2">
        <v>32</v>
      </c>
      <c r="B34" s="5">
        <v>-2.0525658328551799E-2</v>
      </c>
      <c r="C34" s="5">
        <f t="shared" si="2"/>
        <v>0.99964112512059888</v>
      </c>
      <c r="D34" s="5">
        <f t="shared" si="3"/>
        <v>-3.5893929040142422E-4</v>
      </c>
      <c r="E34" s="5">
        <f t="shared" ref="E34:E65" si="7">$M$3*D34+B34</f>
        <v>-2.0705127973752513E-2</v>
      </c>
      <c r="F34" s="5">
        <f t="shared" si="6"/>
        <v>0.22118120159495003</v>
      </c>
      <c r="G34" s="5">
        <f t="shared" ref="G34:G65" si="8">F35</f>
        <v>0.2237820118393159</v>
      </c>
      <c r="H34" s="5">
        <f t="shared" si="4"/>
        <v>0.47013027697335275</v>
      </c>
      <c r="I34" s="5">
        <v>0.47599999999999998</v>
      </c>
      <c r="J34" s="5">
        <f t="shared" si="5"/>
        <v>0.24634826513403688</v>
      </c>
    </row>
    <row r="35" spans="1:10" x14ac:dyDescent="0.25">
      <c r="A35" s="2">
        <v>33</v>
      </c>
      <c r="B35" s="5">
        <v>8.2522319644340314E-3</v>
      </c>
      <c r="C35" s="5">
        <f t="shared" ref="C35:C66" si="9">EXP(D35)</f>
        <v>0.97950775142517232</v>
      </c>
      <c r="D35" s="5">
        <f t="shared" ref="D35:D66" si="10">E34</f>
        <v>-2.0705127973752513E-2</v>
      </c>
      <c r="E35" s="5">
        <f t="shared" si="7"/>
        <v>-2.1003320224422251E-3</v>
      </c>
      <c r="F35" s="5">
        <f t="shared" si="6"/>
        <v>0.2237820118393159</v>
      </c>
      <c r="G35" s="5">
        <f t="shared" si="8"/>
        <v>0.2205603370927488</v>
      </c>
      <c r="H35" s="5">
        <f t="shared" si="4"/>
        <v>0.46336205271585884</v>
      </c>
      <c r="I35" s="5">
        <v>0.47599999999999998</v>
      </c>
      <c r="J35" s="5">
        <f t="shared" si="5"/>
        <v>0.24280171562311006</v>
      </c>
    </row>
    <row r="36" spans="1:10" x14ac:dyDescent="0.25">
      <c r="A36" s="2">
        <v>34</v>
      </c>
      <c r="B36" s="5">
        <v>1.4436159290198702E-2</v>
      </c>
      <c r="C36" s="5">
        <f t="shared" si="9"/>
        <v>0.99790187213143833</v>
      </c>
      <c r="D36" s="5">
        <f t="shared" si="10"/>
        <v>-2.1003320224422251E-3</v>
      </c>
      <c r="E36" s="5">
        <f t="shared" si="7"/>
        <v>1.338599327897759E-2</v>
      </c>
      <c r="F36" s="5">
        <f t="shared" si="6"/>
        <v>0.2205603370927488</v>
      </c>
      <c r="G36" s="5">
        <f t="shared" si="8"/>
        <v>0.22307890216544504</v>
      </c>
      <c r="H36" s="5">
        <f t="shared" si="4"/>
        <v>0.46865315580975853</v>
      </c>
      <c r="I36" s="5">
        <v>0.47599999999999998</v>
      </c>
      <c r="J36" s="5">
        <f t="shared" si="5"/>
        <v>0.24557425364431348</v>
      </c>
    </row>
    <row r="37" spans="1:10" x14ac:dyDescent="0.25">
      <c r="A37" s="2">
        <v>35</v>
      </c>
      <c r="B37" s="5">
        <v>-9.4969436759129167E-4</v>
      </c>
      <c r="C37" s="5">
        <f t="shared" si="9"/>
        <v>1.0134759867895233</v>
      </c>
      <c r="D37" s="5">
        <f t="shared" si="10"/>
        <v>1.338599327897759E-2</v>
      </c>
      <c r="E37" s="5">
        <f t="shared" si="7"/>
        <v>5.7433022718975033E-3</v>
      </c>
      <c r="F37" s="5">
        <f t="shared" si="6"/>
        <v>0.22307890216544504</v>
      </c>
      <c r="G37" s="5">
        <f t="shared" si="8"/>
        <v>0.22785033162095597</v>
      </c>
      <c r="H37" s="5">
        <f t="shared" si="4"/>
        <v>0.47867716727091592</v>
      </c>
      <c r="I37" s="5">
        <v>0.47599999999999998</v>
      </c>
      <c r="J37" s="5">
        <f t="shared" si="5"/>
        <v>0.25082683564995994</v>
      </c>
    </row>
    <row r="38" spans="1:10" x14ac:dyDescent="0.25">
      <c r="A38" s="2">
        <v>36</v>
      </c>
      <c r="B38" s="5">
        <v>-7.6834112405776978E-2</v>
      </c>
      <c r="C38" s="5">
        <f t="shared" si="9"/>
        <v>1.0057598266520809</v>
      </c>
      <c r="D38" s="5">
        <f t="shared" si="10"/>
        <v>5.7433022718975033E-3</v>
      </c>
      <c r="E38" s="5">
        <f t="shared" si="7"/>
        <v>-7.3962461269828222E-2</v>
      </c>
      <c r="F38" s="5">
        <f t="shared" si="6"/>
        <v>0.22785033162095597</v>
      </c>
      <c r="G38" s="5">
        <f t="shared" si="8"/>
        <v>0.22852097572034921</v>
      </c>
      <c r="H38" s="5">
        <f t="shared" si="4"/>
        <v>0.48008608344611181</v>
      </c>
      <c r="I38" s="5">
        <v>0.47599999999999998</v>
      </c>
      <c r="J38" s="5">
        <f t="shared" si="5"/>
        <v>0.25156510772576257</v>
      </c>
    </row>
    <row r="39" spans="1:10" x14ac:dyDescent="0.25">
      <c r="A39" s="2">
        <v>37</v>
      </c>
      <c r="B39" s="5">
        <v>8.3389295468805358E-3</v>
      </c>
      <c r="C39" s="5">
        <f t="shared" si="9"/>
        <v>0.92870655565175042</v>
      </c>
      <c r="D39" s="5">
        <f t="shared" si="10"/>
        <v>-7.3962461269828222E-2</v>
      </c>
      <c r="E39" s="5">
        <f t="shared" si="7"/>
        <v>-2.8642301088033575E-2</v>
      </c>
      <c r="F39" s="5">
        <f t="shared" si="6"/>
        <v>0.22852097572034921</v>
      </c>
      <c r="G39" s="5">
        <f t="shared" si="8"/>
        <v>0.2113238424594335</v>
      </c>
      <c r="H39" s="5">
        <f t="shared" si="4"/>
        <v>0.44395765222570061</v>
      </c>
      <c r="I39" s="5">
        <v>0.47599999999999998</v>
      </c>
      <c r="J39" s="5">
        <f t="shared" si="5"/>
        <v>0.23263380976626713</v>
      </c>
    </row>
    <row r="40" spans="1:10" x14ac:dyDescent="0.25">
      <c r="A40" s="2">
        <v>38</v>
      </c>
      <c r="B40" s="5">
        <v>2.1136247596587054E-2</v>
      </c>
      <c r="C40" s="5">
        <f t="shared" si="9"/>
        <v>0.97176400123206663</v>
      </c>
      <c r="D40" s="5">
        <f t="shared" si="10"/>
        <v>-2.8642301088033575E-2</v>
      </c>
      <c r="E40" s="5">
        <f t="shared" si="7"/>
        <v>6.8150970525702667E-3</v>
      </c>
      <c r="F40" s="5">
        <f t="shared" si="6"/>
        <v>0.2113238424594335</v>
      </c>
      <c r="G40" s="5">
        <f t="shared" si="8"/>
        <v>0.21263855327013748</v>
      </c>
      <c r="H40" s="5">
        <f t="shared" si="4"/>
        <v>0.44671964972717959</v>
      </c>
      <c r="I40" s="5">
        <v>0.47599999999999998</v>
      </c>
      <c r="J40" s="5">
        <f t="shared" si="5"/>
        <v>0.23408109645704211</v>
      </c>
    </row>
    <row r="41" spans="1:10" x14ac:dyDescent="0.25">
      <c r="A41" s="2">
        <v>39</v>
      </c>
      <c r="B41" s="5">
        <v>1.2986470210307743E-2</v>
      </c>
      <c r="C41" s="5">
        <f t="shared" si="9"/>
        <v>1.0068383726716466</v>
      </c>
      <c r="D41" s="5">
        <f t="shared" si="10"/>
        <v>6.8150970525702667E-3</v>
      </c>
      <c r="E41" s="5">
        <f t="shared" si="7"/>
        <v>1.6394018736592877E-2</v>
      </c>
      <c r="F41" s="5">
        <f t="shared" si="6"/>
        <v>0.21263855327013748</v>
      </c>
      <c r="G41" s="5">
        <f t="shared" si="8"/>
        <v>0.22099768081982682</v>
      </c>
      <c r="H41" s="5">
        <f t="shared" si="4"/>
        <v>0.46428084205845971</v>
      </c>
      <c r="I41" s="5">
        <v>0.47599999999999998</v>
      </c>
      <c r="J41" s="5">
        <f t="shared" si="5"/>
        <v>0.24328316123863292</v>
      </c>
    </row>
    <row r="42" spans="1:10" x14ac:dyDescent="0.25">
      <c r="A42" s="2">
        <v>40</v>
      </c>
      <c r="B42" s="5">
        <v>-1.8115224520443007E-2</v>
      </c>
      <c r="C42" s="5">
        <f t="shared" si="9"/>
        <v>1.0165291380346728</v>
      </c>
      <c r="D42" s="5">
        <f t="shared" si="10"/>
        <v>1.6394018736592877E-2</v>
      </c>
      <c r="E42" s="5">
        <f t="shared" si="7"/>
        <v>-9.918215152146569E-3</v>
      </c>
      <c r="F42" s="5">
        <f t="shared" si="6"/>
        <v>0.22099768081982682</v>
      </c>
      <c r="G42" s="5">
        <f t="shared" si="8"/>
        <v>0.22746817470400521</v>
      </c>
      <c r="H42" s="5">
        <f t="shared" si="4"/>
        <v>0.47787431660505297</v>
      </c>
      <c r="I42" s="5">
        <v>0.47599999999999998</v>
      </c>
      <c r="J42" s="5">
        <f t="shared" si="5"/>
        <v>0.25040614190104776</v>
      </c>
    </row>
    <row r="43" spans="1:10" x14ac:dyDescent="0.25">
      <c r="A43" s="2">
        <v>41</v>
      </c>
      <c r="B43" s="5">
        <v>2.4764631234575063E-3</v>
      </c>
      <c r="C43" s="5">
        <f t="shared" si="9"/>
        <v>0.99013080813538235</v>
      </c>
      <c r="D43" s="5">
        <f t="shared" si="10"/>
        <v>-9.918215152146569E-3</v>
      </c>
      <c r="E43" s="5">
        <f t="shared" si="7"/>
        <v>-2.4826444526157782E-3</v>
      </c>
      <c r="F43" s="5">
        <f t="shared" si="6"/>
        <v>0.22746817470400521</v>
      </c>
      <c r="G43" s="5">
        <f t="shared" si="8"/>
        <v>0.22478112886940388</v>
      </c>
      <c r="H43" s="5">
        <f t="shared" si="4"/>
        <v>0.47222926233068047</v>
      </c>
      <c r="I43" s="5">
        <v>0.47599999999999998</v>
      </c>
      <c r="J43" s="5">
        <f t="shared" si="5"/>
        <v>0.24744813346127656</v>
      </c>
    </row>
    <row r="44" spans="1:10" x14ac:dyDescent="0.25">
      <c r="A44" s="2">
        <v>42</v>
      </c>
      <c r="B44" s="5">
        <v>2.5228291633538902E-2</v>
      </c>
      <c r="C44" s="5">
        <f t="shared" si="9"/>
        <v>0.99752043476039909</v>
      </c>
      <c r="D44" s="5">
        <f t="shared" si="10"/>
        <v>-2.4826444526157782E-3</v>
      </c>
      <c r="E44" s="5">
        <f t="shared" si="7"/>
        <v>2.3986969407231013E-2</v>
      </c>
      <c r="F44" s="5">
        <f t="shared" si="6"/>
        <v>0.22478112886940388</v>
      </c>
      <c r="G44" s="5">
        <f t="shared" si="8"/>
        <v>0.22511719975296432</v>
      </c>
      <c r="H44" s="5">
        <f t="shared" si="4"/>
        <v>0.4729352935986646</v>
      </c>
      <c r="I44" s="5">
        <v>0.47599999999999998</v>
      </c>
      <c r="J44" s="5">
        <f t="shared" si="5"/>
        <v>0.24781809384570022</v>
      </c>
    </row>
    <row r="45" spans="1:10" x14ac:dyDescent="0.25">
      <c r="A45" s="2">
        <v>43</v>
      </c>
      <c r="B45" s="5">
        <v>-1.3297494660946541E-3</v>
      </c>
      <c r="C45" s="5">
        <f t="shared" si="9"/>
        <v>1.0242769708675719</v>
      </c>
      <c r="D45" s="5">
        <f t="shared" si="10"/>
        <v>2.3986969407231013E-2</v>
      </c>
      <c r="E45" s="5">
        <f t="shared" si="7"/>
        <v>1.0663735237520853E-2</v>
      </c>
      <c r="F45" s="5">
        <f t="shared" si="6"/>
        <v>0.22511719975296432</v>
      </c>
      <c r="G45" s="5">
        <f t="shared" si="8"/>
        <v>0.2313282647596521</v>
      </c>
      <c r="H45" s="5">
        <f t="shared" si="4"/>
        <v>0.48598374949506751</v>
      </c>
      <c r="I45" s="5">
        <v>0.47599999999999998</v>
      </c>
      <c r="J45" s="5">
        <f t="shared" si="5"/>
        <v>0.25465548473541538</v>
      </c>
    </row>
    <row r="46" spans="1:10" x14ac:dyDescent="0.25">
      <c r="A46" s="2">
        <v>44</v>
      </c>
      <c r="B46" s="5">
        <v>2.7462192520033568E-4</v>
      </c>
      <c r="C46" s="5">
        <f t="shared" si="9"/>
        <v>1.0107207955069633</v>
      </c>
      <c r="D46" s="5">
        <f t="shared" si="10"/>
        <v>1.0663735237520853E-2</v>
      </c>
      <c r="E46" s="5">
        <f t="shared" si="7"/>
        <v>5.6064895439607619E-3</v>
      </c>
      <c r="F46" s="5">
        <f t="shared" si="6"/>
        <v>0.2313282647596521</v>
      </c>
      <c r="G46" s="5">
        <f t="shared" si="8"/>
        <v>0.23139421874851623</v>
      </c>
      <c r="H46" s="5">
        <f t="shared" si="4"/>
        <v>0.4861223082952022</v>
      </c>
      <c r="I46" s="5">
        <v>0.47599999999999998</v>
      </c>
      <c r="J46" s="5">
        <f t="shared" si="5"/>
        <v>0.25472808954668597</v>
      </c>
    </row>
    <row r="47" spans="1:10" x14ac:dyDescent="0.25">
      <c r="A47" s="2">
        <v>45</v>
      </c>
      <c r="B47" s="5">
        <v>1.4370743883773685E-2</v>
      </c>
      <c r="C47" s="5">
        <f t="shared" si="9"/>
        <v>1.0056222353188848</v>
      </c>
      <c r="D47" s="5">
        <f t="shared" si="10"/>
        <v>5.6064895439607619E-3</v>
      </c>
      <c r="E47" s="5">
        <f t="shared" si="7"/>
        <v>1.7173988655754067E-2</v>
      </c>
      <c r="F47" s="5">
        <f t="shared" si="6"/>
        <v>0.23139421874851623</v>
      </c>
      <c r="G47" s="5">
        <f t="shared" si="8"/>
        <v>0.2302597730471469</v>
      </c>
      <c r="H47" s="5">
        <f t="shared" si="4"/>
        <v>0.48373901900661115</v>
      </c>
      <c r="I47" s="5">
        <v>0.47599999999999998</v>
      </c>
      <c r="J47" s="5">
        <f t="shared" si="5"/>
        <v>0.25347924595946425</v>
      </c>
    </row>
    <row r="48" spans="1:10" x14ac:dyDescent="0.25">
      <c r="A48" s="2">
        <v>46</v>
      </c>
      <c r="B48" s="5">
        <v>-3.1136551115196198E-4</v>
      </c>
      <c r="C48" s="5">
        <f t="shared" si="9"/>
        <v>1.0173223094690098</v>
      </c>
      <c r="D48" s="5">
        <f t="shared" si="10"/>
        <v>1.7173988655754067E-2</v>
      </c>
      <c r="E48" s="5">
        <f t="shared" si="7"/>
        <v>8.2756288167250714E-3</v>
      </c>
      <c r="F48" s="5">
        <f t="shared" si="6"/>
        <v>0.2302597730471469</v>
      </c>
      <c r="G48" s="5">
        <f t="shared" si="8"/>
        <v>0.23236705689793019</v>
      </c>
      <c r="H48" s="5">
        <f t="shared" si="4"/>
        <v>0.48816608592002142</v>
      </c>
      <c r="I48" s="5">
        <v>0.47599999999999998</v>
      </c>
      <c r="J48" s="5">
        <f t="shared" si="5"/>
        <v>0.25579902902209128</v>
      </c>
    </row>
    <row r="49" spans="1:10" x14ac:dyDescent="0.25">
      <c r="A49" s="2">
        <v>47</v>
      </c>
      <c r="B49" s="5">
        <v>4.3164391172467731E-3</v>
      </c>
      <c r="C49" s="5">
        <f t="shared" si="9"/>
        <v>1.0083099664894661</v>
      </c>
      <c r="D49" s="5">
        <f t="shared" si="10"/>
        <v>8.2756288167250714E-3</v>
      </c>
      <c r="E49" s="5">
        <f t="shared" si="7"/>
        <v>8.4542535256093079E-3</v>
      </c>
      <c r="F49" s="5">
        <f t="shared" si="6"/>
        <v>0.23236705689793019</v>
      </c>
      <c r="G49" s="5">
        <f t="shared" si="8"/>
        <v>0.23136000837214427</v>
      </c>
      <c r="H49" s="5">
        <f t="shared" si="4"/>
        <v>0.48605043775660561</v>
      </c>
      <c r="I49" s="5">
        <v>0.47599999999999998</v>
      </c>
      <c r="J49" s="5">
        <f t="shared" si="5"/>
        <v>0.25469042938446135</v>
      </c>
    </row>
    <row r="50" spans="1:10" x14ac:dyDescent="0.25">
      <c r="A50" s="2">
        <v>48</v>
      </c>
      <c r="B50" s="5">
        <v>3.8540065361303277E-3</v>
      </c>
      <c r="C50" s="5">
        <f t="shared" si="9"/>
        <v>1.0084900916506188</v>
      </c>
      <c r="D50" s="5">
        <f t="shared" si="10"/>
        <v>8.4542535256093079E-3</v>
      </c>
      <c r="E50" s="5">
        <f t="shared" si="7"/>
        <v>8.0811332989349817E-3</v>
      </c>
      <c r="F50" s="5">
        <f t="shared" si="6"/>
        <v>0.23136000837214427</v>
      </c>
      <c r="G50" s="5">
        <f t="shared" si="8"/>
        <v>0.23089936259774407</v>
      </c>
      <c r="H50" s="5">
        <f t="shared" si="4"/>
        <v>0.48508269453307584</v>
      </c>
      <c r="I50" s="5">
        <v>0.47599999999999998</v>
      </c>
      <c r="J50" s="5">
        <f t="shared" si="5"/>
        <v>0.25418333193533171</v>
      </c>
    </row>
    <row r="51" spans="1:10" x14ac:dyDescent="0.25">
      <c r="A51" s="2">
        <v>49</v>
      </c>
      <c r="B51" s="5">
        <v>3.8701546145603061E-2</v>
      </c>
      <c r="C51" s="5">
        <f t="shared" si="9"/>
        <v>1.0081138737906346</v>
      </c>
      <c r="D51" s="5">
        <f t="shared" si="10"/>
        <v>8.0811332989349817E-3</v>
      </c>
      <c r="E51" s="5">
        <f t="shared" si="7"/>
        <v>4.274211279507055E-2</v>
      </c>
      <c r="F51" s="5">
        <f t="shared" si="6"/>
        <v>0.23089936259774407</v>
      </c>
      <c r="G51" s="5">
        <f t="shared" si="8"/>
        <v>0.23058333240237722</v>
      </c>
      <c r="H51" s="5">
        <f t="shared" si="4"/>
        <v>0.4844187655512126</v>
      </c>
      <c r="I51" s="5">
        <v>0.47599999999999998</v>
      </c>
      <c r="J51" s="5">
        <f t="shared" si="5"/>
        <v>0.25383543314883544</v>
      </c>
    </row>
    <row r="52" spans="1:10" x14ac:dyDescent="0.25">
      <c r="A52" s="2">
        <v>50</v>
      </c>
      <c r="B52" s="5">
        <v>8.7832859207992442E-3</v>
      </c>
      <c r="C52" s="5">
        <f t="shared" si="9"/>
        <v>1.0436687113357737</v>
      </c>
      <c r="D52" s="5">
        <f t="shared" si="10"/>
        <v>4.274211279507055E-2</v>
      </c>
      <c r="E52" s="5">
        <f t="shared" si="7"/>
        <v>3.0154342318334519E-2</v>
      </c>
      <c r="F52" s="5">
        <f t="shared" si="6"/>
        <v>0.23058333240237722</v>
      </c>
      <c r="G52" s="5">
        <f t="shared" si="8"/>
        <v>0.23855228020397137</v>
      </c>
      <c r="H52" s="5">
        <f t="shared" si="4"/>
        <v>0.50116025252935159</v>
      </c>
      <c r="I52" s="5">
        <v>0.47599999999999998</v>
      </c>
      <c r="J52" s="5">
        <f t="shared" si="5"/>
        <v>0.2626079723253803</v>
      </c>
    </row>
    <row r="53" spans="1:10" x14ac:dyDescent="0.25">
      <c r="A53" s="2">
        <v>51</v>
      </c>
      <c r="B53" s="5">
        <v>-3.7480731407413259E-3</v>
      </c>
      <c r="C53" s="5">
        <f t="shared" si="9"/>
        <v>1.0306135889693697</v>
      </c>
      <c r="D53" s="5">
        <f t="shared" si="10"/>
        <v>3.0154342318334519E-2</v>
      </c>
      <c r="E53" s="5">
        <f t="shared" si="7"/>
        <v>1.1329098018425934E-2</v>
      </c>
      <c r="F53" s="5">
        <f t="shared" si="6"/>
        <v>0.23855228020397137</v>
      </c>
      <c r="G53" s="5">
        <f t="shared" si="8"/>
        <v>0.23960429752222648</v>
      </c>
      <c r="H53" s="5">
        <f t="shared" si="4"/>
        <v>0.50337037294585396</v>
      </c>
      <c r="I53" s="5">
        <v>0.47599999999999998</v>
      </c>
      <c r="J53" s="5">
        <f t="shared" si="5"/>
        <v>0.26376607542362751</v>
      </c>
    </row>
    <row r="54" spans="1:10" x14ac:dyDescent="0.25">
      <c r="A54" s="2">
        <v>52</v>
      </c>
      <c r="B54" s="5">
        <v>5.1677943702088669E-3</v>
      </c>
      <c r="C54" s="5">
        <f t="shared" si="9"/>
        <v>1.0113935152827125</v>
      </c>
      <c r="D54" s="5">
        <f t="shared" si="10"/>
        <v>1.1329098018425934E-2</v>
      </c>
      <c r="E54" s="5">
        <f t="shared" si="7"/>
        <v>1.0832343379421834E-2</v>
      </c>
      <c r="F54" s="5">
        <f t="shared" si="6"/>
        <v>0.23960429752222648</v>
      </c>
      <c r="G54" s="5">
        <f t="shared" si="8"/>
        <v>0.23565378469839329</v>
      </c>
      <c r="H54" s="5">
        <f t="shared" si="4"/>
        <v>0.49507097625712881</v>
      </c>
      <c r="I54" s="5">
        <v>0.47599999999999998</v>
      </c>
      <c r="J54" s="5">
        <f t="shared" si="5"/>
        <v>0.25941719155873549</v>
      </c>
    </row>
    <row r="55" spans="1:10" x14ac:dyDescent="0.25">
      <c r="A55" s="2">
        <v>53</v>
      </c>
      <c r="B55" s="5">
        <v>-1.0100416147906799E-2</v>
      </c>
      <c r="C55" s="5">
        <f t="shared" si="9"/>
        <v>1.0108912256298237</v>
      </c>
      <c r="D55" s="5">
        <f t="shared" si="10"/>
        <v>1.0832343379421834E-2</v>
      </c>
      <c r="E55" s="5">
        <f t="shared" si="7"/>
        <v>-4.684244458195882E-3</v>
      </c>
      <c r="F55" s="5">
        <f t="shared" si="6"/>
        <v>0.23565378469839329</v>
      </c>
      <c r="G55" s="5">
        <f t="shared" si="8"/>
        <v>0.23358695710356706</v>
      </c>
      <c r="H55" s="5">
        <f t="shared" si="4"/>
        <v>0.49072890147808207</v>
      </c>
      <c r="I55" s="5">
        <v>0.47599999999999998</v>
      </c>
      <c r="J55" s="5">
        <f t="shared" si="5"/>
        <v>0.25714194437451504</v>
      </c>
    </row>
    <row r="56" spans="1:10" x14ac:dyDescent="0.25">
      <c r="A56" s="2">
        <v>54</v>
      </c>
      <c r="B56" s="5">
        <v>-1.0867506716749631E-2</v>
      </c>
      <c r="C56" s="5">
        <f t="shared" si="9"/>
        <v>0.99532670950452207</v>
      </c>
      <c r="D56" s="5">
        <f t="shared" si="10"/>
        <v>-4.684244458195882E-3</v>
      </c>
      <c r="E56" s="5">
        <f t="shared" si="7"/>
        <v>-1.3209628945847571E-2</v>
      </c>
      <c r="F56" s="5">
        <f t="shared" si="6"/>
        <v>0.23358695710356706</v>
      </c>
      <c r="G56" s="5">
        <f t="shared" si="8"/>
        <v>0.22897965981054408</v>
      </c>
      <c r="H56" s="5">
        <f t="shared" si="4"/>
        <v>0.48104970548433629</v>
      </c>
      <c r="I56" s="5">
        <v>0.47599999999999998</v>
      </c>
      <c r="J56" s="5">
        <f t="shared" si="5"/>
        <v>0.25207004567379221</v>
      </c>
    </row>
    <row r="57" spans="1:10" x14ac:dyDescent="0.25">
      <c r="A57" s="2">
        <v>55</v>
      </c>
      <c r="B57" s="5">
        <v>-2.3176471586339176E-2</v>
      </c>
      <c r="C57" s="5">
        <f t="shared" si="9"/>
        <v>0.98687723530044313</v>
      </c>
      <c r="D57" s="5">
        <f t="shared" si="10"/>
        <v>-1.3209628945847571E-2</v>
      </c>
      <c r="E57" s="5">
        <f t="shared" si="7"/>
        <v>-2.978128605926296E-2</v>
      </c>
      <c r="F57" s="5">
        <f t="shared" si="6"/>
        <v>0.22897965981054408</v>
      </c>
      <c r="G57" s="5">
        <f t="shared" si="8"/>
        <v>0.22478562600249613</v>
      </c>
      <c r="H57" s="5">
        <f t="shared" si="4"/>
        <v>0.47223871008927754</v>
      </c>
      <c r="I57" s="5">
        <v>0.47599999999999998</v>
      </c>
      <c r="J57" s="5">
        <f t="shared" si="5"/>
        <v>0.24745308408678143</v>
      </c>
    </row>
    <row r="58" spans="1:10" x14ac:dyDescent="0.25">
      <c r="A58" s="2">
        <v>56</v>
      </c>
      <c r="B58" s="5">
        <v>-7.7818640420446172E-4</v>
      </c>
      <c r="C58" s="5">
        <f t="shared" si="9"/>
        <v>0.97065780672812685</v>
      </c>
      <c r="D58" s="5">
        <f t="shared" si="10"/>
        <v>-2.978128605926296E-2</v>
      </c>
      <c r="E58" s="5">
        <f t="shared" si="7"/>
        <v>-1.5668829433835942E-2</v>
      </c>
      <c r="F58" s="5">
        <f t="shared" si="6"/>
        <v>0.22478562600249613</v>
      </c>
      <c r="G58" s="5">
        <f t="shared" si="8"/>
        <v>0.21905711962924318</v>
      </c>
      <c r="H58" s="5">
        <f t="shared" si="4"/>
        <v>0.46020403283454453</v>
      </c>
      <c r="I58" s="5">
        <v>0.47599999999999998</v>
      </c>
      <c r="J58" s="5">
        <f t="shared" si="5"/>
        <v>0.24114691320530135</v>
      </c>
    </row>
    <row r="59" spans="1:10" x14ac:dyDescent="0.25">
      <c r="A59" s="2">
        <v>57</v>
      </c>
      <c r="B59" s="5">
        <v>9.8129476100439206E-3</v>
      </c>
      <c r="C59" s="5">
        <f t="shared" si="9"/>
        <v>0.98445328802956544</v>
      </c>
      <c r="D59" s="5">
        <f t="shared" si="10"/>
        <v>-1.5668829433835942E-2</v>
      </c>
      <c r="E59" s="5">
        <f t="shared" si="7"/>
        <v>1.9785328931259498E-3</v>
      </c>
      <c r="F59" s="5">
        <f t="shared" si="6"/>
        <v>0.21905711962924318</v>
      </c>
      <c r="G59" s="5">
        <f t="shared" si="8"/>
        <v>0.21932127047783534</v>
      </c>
      <c r="H59" s="5">
        <f t="shared" si="4"/>
        <v>0.46075897159209106</v>
      </c>
      <c r="I59" s="5">
        <v>0.47599999999999998</v>
      </c>
      <c r="J59" s="5">
        <f t="shared" si="5"/>
        <v>0.24143770111425572</v>
      </c>
    </row>
    <row r="60" spans="1:10" x14ac:dyDescent="0.25">
      <c r="A60" s="2">
        <v>58</v>
      </c>
      <c r="B60" s="5">
        <v>-1.7021557141561061E-2</v>
      </c>
      <c r="C60" s="5">
        <f t="shared" si="9"/>
        <v>1.0019804914808277</v>
      </c>
      <c r="D60" s="5">
        <f t="shared" si="10"/>
        <v>1.9785328931259498E-3</v>
      </c>
      <c r="E60" s="5">
        <f t="shared" si="7"/>
        <v>-1.6032290694998085E-2</v>
      </c>
      <c r="F60" s="5">
        <f t="shared" si="6"/>
        <v>0.21932127047783534</v>
      </c>
      <c r="G60" s="5">
        <f t="shared" si="8"/>
        <v>0.2233606141785596</v>
      </c>
      <c r="H60" s="5">
        <f t="shared" si="4"/>
        <v>0.46924498777008322</v>
      </c>
      <c r="I60" s="5">
        <v>0.47599999999999998</v>
      </c>
      <c r="J60" s="5">
        <f t="shared" si="5"/>
        <v>0.2458843735915236</v>
      </c>
    </row>
    <row r="61" spans="1:10" x14ac:dyDescent="0.25">
      <c r="A61" s="2">
        <v>59</v>
      </c>
      <c r="B61" s="5">
        <v>2.1886535250814632E-2</v>
      </c>
      <c r="C61" s="5">
        <f t="shared" si="9"/>
        <v>0.98409554241321773</v>
      </c>
      <c r="D61" s="5">
        <f t="shared" si="10"/>
        <v>-1.6032290694998085E-2</v>
      </c>
      <c r="E61" s="5">
        <f t="shared" si="7"/>
        <v>1.3870389903315589E-2</v>
      </c>
      <c r="F61" s="5">
        <f t="shared" si="6"/>
        <v>0.2233606141785596</v>
      </c>
      <c r="G61" s="5">
        <f t="shared" si="8"/>
        <v>0.22138465494763343</v>
      </c>
      <c r="H61" s="5">
        <f t="shared" si="4"/>
        <v>0.4650938129151963</v>
      </c>
      <c r="I61" s="5">
        <v>0.47599999999999998</v>
      </c>
      <c r="J61" s="5">
        <f t="shared" si="5"/>
        <v>0.24370915796756287</v>
      </c>
    </row>
    <row r="62" spans="1:10" x14ac:dyDescent="0.25">
      <c r="A62" s="2">
        <v>60</v>
      </c>
      <c r="B62" s="5">
        <v>-2.318843144166749E-2</v>
      </c>
      <c r="C62" s="5">
        <f t="shared" si="9"/>
        <v>1.0139670300566208</v>
      </c>
      <c r="D62" s="5">
        <f t="shared" si="10"/>
        <v>1.3870389903315589E-2</v>
      </c>
      <c r="E62" s="5">
        <f t="shared" si="7"/>
        <v>-1.6253236490009697E-2</v>
      </c>
      <c r="F62" s="5">
        <f t="shared" si="6"/>
        <v>0.22138465494763343</v>
      </c>
      <c r="G62" s="5">
        <f t="shared" si="8"/>
        <v>0.22709341643886402</v>
      </c>
      <c r="H62" s="5">
        <f t="shared" si="4"/>
        <v>0.47708700932534465</v>
      </c>
      <c r="I62" s="5">
        <v>0.47599999999999998</v>
      </c>
      <c r="J62" s="5">
        <f t="shared" si="5"/>
        <v>0.24999359288648063</v>
      </c>
    </row>
    <row r="63" spans="1:10" x14ac:dyDescent="0.25">
      <c r="A63" s="2">
        <v>61</v>
      </c>
      <c r="B63" s="5">
        <v>2.9706143322982825E-3</v>
      </c>
      <c r="C63" s="5">
        <f t="shared" si="9"/>
        <v>0.9838781346597808</v>
      </c>
      <c r="D63" s="5">
        <f t="shared" si="10"/>
        <v>-1.6253236490009697E-2</v>
      </c>
      <c r="E63" s="5">
        <f t="shared" si="7"/>
        <v>-5.1560039127065659E-3</v>
      </c>
      <c r="F63" s="5">
        <f t="shared" si="6"/>
        <v>0.22709341643886402</v>
      </c>
      <c r="G63" s="5">
        <f t="shared" si="8"/>
        <v>0.22317756444723857</v>
      </c>
      <c r="H63" s="5">
        <f t="shared" si="4"/>
        <v>0.46886042951100543</v>
      </c>
      <c r="I63" s="5">
        <v>0.47599999999999998</v>
      </c>
      <c r="J63" s="5">
        <f t="shared" si="5"/>
        <v>0.24568286506376688</v>
      </c>
    </row>
    <row r="64" spans="1:10" x14ac:dyDescent="0.25">
      <c r="A64" s="2">
        <v>62</v>
      </c>
      <c r="B64" s="5">
        <v>-2.1634878066834062E-2</v>
      </c>
      <c r="C64" s="5">
        <f t="shared" si="9"/>
        <v>0.99485726546002595</v>
      </c>
      <c r="D64" s="5">
        <f t="shared" si="10"/>
        <v>-5.1560039127065659E-3</v>
      </c>
      <c r="E64" s="5">
        <f t="shared" si="7"/>
        <v>-2.4212880023187347E-2</v>
      </c>
      <c r="F64" s="5">
        <f t="shared" si="6"/>
        <v>0.22317756444723857</v>
      </c>
      <c r="G64" s="5">
        <f t="shared" si="8"/>
        <v>0.22371391372357993</v>
      </c>
      <c r="H64" s="5">
        <f t="shared" si="4"/>
        <v>0.46998721370499991</v>
      </c>
      <c r="I64" s="5">
        <v>0.47599999999999998</v>
      </c>
      <c r="J64" s="5">
        <f t="shared" si="5"/>
        <v>0.24627329998141997</v>
      </c>
    </row>
    <row r="65" spans="1:10" x14ac:dyDescent="0.25">
      <c r="A65" s="2">
        <v>63</v>
      </c>
      <c r="B65" s="5">
        <v>6.267646313062869E-3</v>
      </c>
      <c r="C65" s="5">
        <f t="shared" si="9"/>
        <v>0.97607790015342011</v>
      </c>
      <c r="D65" s="5">
        <f t="shared" si="10"/>
        <v>-2.4212880023187347E-2</v>
      </c>
      <c r="E65" s="5">
        <f t="shared" si="7"/>
        <v>-5.8387936985308045E-3</v>
      </c>
      <c r="F65" s="5">
        <f t="shared" si="6"/>
        <v>0.22371391372357993</v>
      </c>
      <c r="G65" s="5">
        <f t="shared" si="8"/>
        <v>0.21975457755050212</v>
      </c>
      <c r="H65" s="5">
        <f t="shared" si="4"/>
        <v>0.46166928056828177</v>
      </c>
      <c r="I65" s="5">
        <v>0.47599999999999998</v>
      </c>
      <c r="J65" s="5">
        <f t="shared" si="5"/>
        <v>0.24191470301777965</v>
      </c>
    </row>
    <row r="66" spans="1:10" x14ac:dyDescent="0.25">
      <c r="A66" s="2">
        <v>64</v>
      </c>
      <c r="B66" s="5">
        <v>-8.9672994363354519E-3</v>
      </c>
      <c r="C66" s="5">
        <f t="shared" si="9"/>
        <v>0.99417821893021519</v>
      </c>
      <c r="D66" s="5">
        <f t="shared" si="10"/>
        <v>-5.8387936985308045E-3</v>
      </c>
      <c r="E66" s="5">
        <f t="shared" ref="E66:E97" si="11">$M$3*D66+B66</f>
        <v>-1.1886696285600854E-2</v>
      </c>
      <c r="F66" s="5">
        <f t="shared" si="6"/>
        <v>0.21975457755050212</v>
      </c>
      <c r="G66" s="5">
        <f t="shared" ref="G66:G101" si="12">F67</f>
        <v>0.22184015601302071</v>
      </c>
      <c r="H66" s="5">
        <f t="shared" si="4"/>
        <v>0.46605074792651413</v>
      </c>
      <c r="I66" s="5">
        <v>0.47599999999999998</v>
      </c>
      <c r="J66" s="5">
        <f t="shared" si="5"/>
        <v>0.24421059191349342</v>
      </c>
    </row>
    <row r="67" spans="1:10" x14ac:dyDescent="0.25">
      <c r="A67" s="2">
        <v>65</v>
      </c>
      <c r="B67" s="5">
        <v>1.4432180250878446E-2</v>
      </c>
      <c r="C67" s="5">
        <f t="shared" ref="C67:C98" si="13">EXP(D67)</f>
        <v>0.98818367139962981</v>
      </c>
      <c r="D67" s="5">
        <f t="shared" ref="D67:D102" si="14">E66</f>
        <v>-1.1886696285600854E-2</v>
      </c>
      <c r="E67" s="5">
        <f t="shared" si="11"/>
        <v>8.4888321080780187E-3</v>
      </c>
      <c r="F67" s="5">
        <f t="shared" si="6"/>
        <v>0.22184015601302071</v>
      </c>
      <c r="G67" s="5">
        <f t="shared" si="12"/>
        <v>0.22154640495880792</v>
      </c>
      <c r="H67" s="5">
        <f t="shared" ref="H67:H102" si="15">$C67*$F67^$M$1</f>
        <v>0.46543362386304193</v>
      </c>
      <c r="I67" s="5">
        <v>0.47599999999999998</v>
      </c>
      <c r="J67" s="5">
        <f t="shared" ref="J67:J102" si="16">(1-$M$1*$M$2)*$C67*$F67^$M$1</f>
        <v>0.24388721890423398</v>
      </c>
    </row>
    <row r="68" spans="1:10" x14ac:dyDescent="0.25">
      <c r="A68" s="2">
        <v>66</v>
      </c>
      <c r="B68" s="5">
        <v>-1.2330337995081209E-2</v>
      </c>
      <c r="C68" s="5">
        <f t="shared" si="13"/>
        <v>1.0085249644113436</v>
      </c>
      <c r="D68" s="5">
        <f t="shared" si="14"/>
        <v>8.4888321080780187E-3</v>
      </c>
      <c r="E68" s="5">
        <f t="shared" si="11"/>
        <v>-8.0859219410421984E-3</v>
      </c>
      <c r="F68" s="5">
        <f t="shared" ref="F68:F102" si="17">$M$1*$M$2*$C67*$F67^$M$1</f>
        <v>0.22154640495880792</v>
      </c>
      <c r="G68" s="5">
        <f t="shared" si="12"/>
        <v>0.22595708282159147</v>
      </c>
      <c r="H68" s="5">
        <f t="shared" si="15"/>
        <v>0.47469975382687279</v>
      </c>
      <c r="I68" s="5">
        <v>0.47599999999999998</v>
      </c>
      <c r="J68" s="5">
        <f t="shared" si="16"/>
        <v>0.24874267100528136</v>
      </c>
    </row>
    <row r="69" spans="1:10" x14ac:dyDescent="0.25">
      <c r="A69" s="2">
        <v>67</v>
      </c>
      <c r="B69" s="5">
        <v>-4.7764615374035202E-3</v>
      </c>
      <c r="C69" s="5">
        <f t="shared" si="13"/>
        <v>0.9919466811911346</v>
      </c>
      <c r="D69" s="5">
        <f t="shared" si="14"/>
        <v>-8.0859219410421984E-3</v>
      </c>
      <c r="E69" s="5">
        <f t="shared" si="11"/>
        <v>-8.8194225079246194E-3</v>
      </c>
      <c r="F69" s="5">
        <f t="shared" si="17"/>
        <v>0.22595708282159147</v>
      </c>
      <c r="G69" s="5">
        <f t="shared" si="12"/>
        <v>0.22444413490212856</v>
      </c>
      <c r="H69" s="5">
        <f t="shared" si="15"/>
        <v>0.47152129181119445</v>
      </c>
      <c r="I69" s="5">
        <v>0.47599999999999998</v>
      </c>
      <c r="J69" s="5">
        <f t="shared" si="16"/>
        <v>0.2470771569090659</v>
      </c>
    </row>
    <row r="70" spans="1:10" x14ac:dyDescent="0.25">
      <c r="A70" s="2">
        <v>68</v>
      </c>
      <c r="B70" s="5">
        <v>-1.3823500921716914E-2</v>
      </c>
      <c r="C70" s="5">
        <f t="shared" si="13"/>
        <v>0.99121935451803722</v>
      </c>
      <c r="D70" s="5">
        <f t="shared" si="14"/>
        <v>-8.8194225079246194E-3</v>
      </c>
      <c r="E70" s="5">
        <f t="shared" si="11"/>
        <v>-1.8233212175679223E-2</v>
      </c>
      <c r="F70" s="5">
        <f t="shared" si="17"/>
        <v>0.22444413490212856</v>
      </c>
      <c r="G70" s="5">
        <f t="shared" si="12"/>
        <v>0.22352744639741734</v>
      </c>
      <c r="H70" s="5">
        <f t="shared" si="15"/>
        <v>0.4695954756248264</v>
      </c>
      <c r="I70" s="5">
        <v>0.47599999999999998</v>
      </c>
      <c r="J70" s="5">
        <f t="shared" si="16"/>
        <v>0.24606802922740903</v>
      </c>
    </row>
    <row r="71" spans="1:10" x14ac:dyDescent="0.25">
      <c r="A71" s="2">
        <v>69</v>
      </c>
      <c r="B71" s="5">
        <v>2.4347764338017441E-2</v>
      </c>
      <c r="C71" s="5">
        <f t="shared" si="13"/>
        <v>0.98193200715384821</v>
      </c>
      <c r="D71" s="5">
        <f t="shared" si="14"/>
        <v>-1.8233212175679223E-2</v>
      </c>
      <c r="E71" s="5">
        <f t="shared" si="11"/>
        <v>1.523115825017783E-2</v>
      </c>
      <c r="F71" s="5">
        <f t="shared" si="17"/>
        <v>0.22352744639741734</v>
      </c>
      <c r="G71" s="5">
        <f t="shared" si="12"/>
        <v>0.22098042151381728</v>
      </c>
      <c r="H71" s="5">
        <f t="shared" si="15"/>
        <v>0.46424458301222121</v>
      </c>
      <c r="I71" s="5">
        <v>0.47599999999999998</v>
      </c>
      <c r="J71" s="5">
        <f t="shared" si="16"/>
        <v>0.24326416149840391</v>
      </c>
    </row>
    <row r="72" spans="1:10" x14ac:dyDescent="0.25">
      <c r="A72" s="2">
        <v>70</v>
      </c>
      <c r="B72" s="5">
        <v>-1.3747830962529406E-2</v>
      </c>
      <c r="C72" s="5">
        <f t="shared" si="13"/>
        <v>1.0153477434984031</v>
      </c>
      <c r="D72" s="5">
        <f t="shared" si="14"/>
        <v>1.523115825017783E-2</v>
      </c>
      <c r="E72" s="5">
        <f t="shared" si="11"/>
        <v>-6.1322518374404911E-3</v>
      </c>
      <c r="F72" s="5">
        <f t="shared" si="17"/>
        <v>0.22098042151381728</v>
      </c>
      <c r="G72" s="5">
        <f t="shared" si="12"/>
        <v>0.22719494252126973</v>
      </c>
      <c r="H72" s="5">
        <f t="shared" si="15"/>
        <v>0.47730029941443219</v>
      </c>
      <c r="I72" s="5">
        <v>0.47599999999999998</v>
      </c>
      <c r="J72" s="5">
        <f t="shared" si="16"/>
        <v>0.25010535689316249</v>
      </c>
    </row>
    <row r="73" spans="1:10" x14ac:dyDescent="0.25">
      <c r="A73" s="2">
        <v>71</v>
      </c>
      <c r="B73" s="5">
        <v>-2.3944721760926768E-4</v>
      </c>
      <c r="C73" s="5">
        <f t="shared" si="13"/>
        <v>0.99388651204431677</v>
      </c>
      <c r="D73" s="5">
        <f t="shared" si="14"/>
        <v>-6.1322518374404911E-3</v>
      </c>
      <c r="E73" s="5">
        <f t="shared" si="11"/>
        <v>-3.3055731363295132E-3</v>
      </c>
      <c r="F73" s="5">
        <f t="shared" si="17"/>
        <v>0.22719494252126973</v>
      </c>
      <c r="G73" s="5">
        <f t="shared" si="12"/>
        <v>0.22549819989592915</v>
      </c>
      <c r="H73" s="5">
        <f t="shared" si="15"/>
        <v>0.4737357140670781</v>
      </c>
      <c r="I73" s="5">
        <v>0.47599999999999998</v>
      </c>
      <c r="J73" s="5">
        <f t="shared" si="16"/>
        <v>0.24823751417114895</v>
      </c>
    </row>
    <row r="74" spans="1:10" x14ac:dyDescent="0.25">
      <c r="A74" s="2">
        <v>72</v>
      </c>
      <c r="B74" s="5">
        <v>1.1627389540080912E-2</v>
      </c>
      <c r="C74" s="5">
        <f t="shared" si="13"/>
        <v>0.99669988425562484</v>
      </c>
      <c r="D74" s="5">
        <f t="shared" si="14"/>
        <v>-3.3055731363295132E-3</v>
      </c>
      <c r="E74" s="5">
        <f t="shared" si="11"/>
        <v>9.974602971916156E-3</v>
      </c>
      <c r="F74" s="5">
        <f t="shared" si="17"/>
        <v>0.22549819989592915</v>
      </c>
      <c r="G74" s="5">
        <f t="shared" si="12"/>
        <v>0.22529051107293394</v>
      </c>
      <c r="H74" s="5">
        <f t="shared" si="15"/>
        <v>0.47329939301036544</v>
      </c>
      <c r="I74" s="5">
        <v>0.47599999999999998</v>
      </c>
      <c r="J74" s="5">
        <f t="shared" si="16"/>
        <v>0.24800888193743148</v>
      </c>
    </row>
    <row r="75" spans="1:10" x14ac:dyDescent="0.25">
      <c r="A75" s="2">
        <v>73</v>
      </c>
      <c r="B75" s="5">
        <v>1.7808361008064821E-2</v>
      </c>
      <c r="C75" s="5">
        <f t="shared" si="13"/>
        <v>1.0100245151374516</v>
      </c>
      <c r="D75" s="5">
        <f t="shared" si="14"/>
        <v>9.974602971916156E-3</v>
      </c>
      <c r="E75" s="5">
        <f t="shared" si="11"/>
        <v>2.27956624940229E-2</v>
      </c>
      <c r="F75" s="5">
        <f t="shared" si="17"/>
        <v>0.22529051107293394</v>
      </c>
      <c r="G75" s="5">
        <f t="shared" si="12"/>
        <v>0.22819720345653946</v>
      </c>
      <c r="H75" s="5">
        <f t="shared" si="15"/>
        <v>0.4794058896145787</v>
      </c>
      <c r="I75" s="5">
        <v>0.47599999999999998</v>
      </c>
      <c r="J75" s="5">
        <f t="shared" si="16"/>
        <v>0.25120868615803926</v>
      </c>
    </row>
    <row r="76" spans="1:10" x14ac:dyDescent="0.25">
      <c r="A76" s="2">
        <v>74</v>
      </c>
      <c r="B76" s="5">
        <v>9.4880761025706306E-3</v>
      </c>
      <c r="C76" s="5">
        <f t="shared" si="13"/>
        <v>1.0230574691757632</v>
      </c>
      <c r="D76" s="5">
        <f t="shared" si="14"/>
        <v>2.27956624940229E-2</v>
      </c>
      <c r="E76" s="5">
        <f t="shared" si="11"/>
        <v>2.0885907349582081E-2</v>
      </c>
      <c r="F76" s="5">
        <f t="shared" si="17"/>
        <v>0.22819720345653946</v>
      </c>
      <c r="G76" s="5">
        <f t="shared" si="12"/>
        <v>0.2326280831280963</v>
      </c>
      <c r="H76" s="5">
        <f t="shared" si="15"/>
        <v>0.48871446035314348</v>
      </c>
      <c r="I76" s="5">
        <v>0.47599999999999998</v>
      </c>
      <c r="J76" s="5">
        <f t="shared" si="16"/>
        <v>0.25608637722504723</v>
      </c>
    </row>
    <row r="77" spans="1:10" x14ac:dyDescent="0.25">
      <c r="A77" s="2">
        <v>75</v>
      </c>
      <c r="B77" s="5">
        <v>1.4866350284137297E-2</v>
      </c>
      <c r="C77" s="5">
        <f t="shared" si="13"/>
        <v>1.0211055443534309</v>
      </c>
      <c r="D77" s="5">
        <f t="shared" si="14"/>
        <v>2.0885907349582081E-2</v>
      </c>
      <c r="E77" s="5">
        <f t="shared" si="11"/>
        <v>2.5309303958928338E-2</v>
      </c>
      <c r="F77" s="5">
        <f t="shared" si="17"/>
        <v>0.2326280831280963</v>
      </c>
      <c r="G77" s="5">
        <f t="shared" si="12"/>
        <v>0.23442755502178211</v>
      </c>
      <c r="H77" s="5">
        <f t="shared" si="15"/>
        <v>0.49249486349113891</v>
      </c>
      <c r="I77" s="5">
        <v>0.47599999999999998</v>
      </c>
      <c r="J77" s="5">
        <f t="shared" si="16"/>
        <v>0.25806730846935677</v>
      </c>
    </row>
    <row r="78" spans="1:10" x14ac:dyDescent="0.25">
      <c r="A78" s="2">
        <v>76</v>
      </c>
      <c r="B78" s="5">
        <v>-1.3788394426228479E-3</v>
      </c>
      <c r="C78" s="5">
        <f t="shared" si="13"/>
        <v>1.0256323036008181</v>
      </c>
      <c r="D78" s="5">
        <f t="shared" si="14"/>
        <v>2.5309303958928338E-2</v>
      </c>
      <c r="E78" s="5">
        <f t="shared" si="11"/>
        <v>1.1275812536841321E-2</v>
      </c>
      <c r="F78" s="5">
        <f t="shared" si="17"/>
        <v>0.23442755502178211</v>
      </c>
      <c r="G78" s="5">
        <f t="shared" si="12"/>
        <v>0.23637577883193975</v>
      </c>
      <c r="H78" s="5">
        <f t="shared" si="15"/>
        <v>0.4965877706553356</v>
      </c>
      <c r="I78" s="5">
        <v>0.47599999999999998</v>
      </c>
      <c r="J78" s="5">
        <f t="shared" si="16"/>
        <v>0.26021199182339588</v>
      </c>
    </row>
    <row r="79" spans="1:10" x14ac:dyDescent="0.25">
      <c r="A79" s="2">
        <v>77</v>
      </c>
      <c r="B79" s="5">
        <v>1.6586045603617094E-2</v>
      </c>
      <c r="C79" s="5">
        <f t="shared" si="13"/>
        <v>1.0113396241279999</v>
      </c>
      <c r="D79" s="5">
        <f t="shared" si="14"/>
        <v>1.1275812536841321E-2</v>
      </c>
      <c r="E79" s="5">
        <f t="shared" si="11"/>
        <v>2.2223951872037753E-2</v>
      </c>
      <c r="F79" s="5">
        <f t="shared" si="17"/>
        <v>0.23637577883193975</v>
      </c>
      <c r="G79" s="5">
        <f t="shared" si="12"/>
        <v>0.23404828452923065</v>
      </c>
      <c r="H79" s="5">
        <f t="shared" si="15"/>
        <v>0.49169807674208121</v>
      </c>
      <c r="I79" s="5">
        <v>0.47599999999999998</v>
      </c>
      <c r="J79" s="5">
        <f t="shared" si="16"/>
        <v>0.25764979221285056</v>
      </c>
    </row>
    <row r="80" spans="1:10" x14ac:dyDescent="0.25">
      <c r="A80" s="2">
        <v>78</v>
      </c>
      <c r="B80" s="5">
        <v>-3.3431570045650005E-2</v>
      </c>
      <c r="C80" s="5">
        <f t="shared" si="13"/>
        <v>1.0224727435165959</v>
      </c>
      <c r="D80" s="5">
        <f t="shared" si="14"/>
        <v>2.2223951872037753E-2</v>
      </c>
      <c r="E80" s="5">
        <f t="shared" si="11"/>
        <v>-2.2319594109631129E-2</v>
      </c>
      <c r="F80" s="5">
        <f t="shared" si="17"/>
        <v>0.23404828452923065</v>
      </c>
      <c r="G80" s="5">
        <f t="shared" si="12"/>
        <v>0.23545690091216478</v>
      </c>
      <c r="H80" s="5">
        <f t="shared" si="15"/>
        <v>0.49465735485748907</v>
      </c>
      <c r="I80" s="5">
        <v>0.47599999999999998</v>
      </c>
      <c r="J80" s="5">
        <f t="shared" si="16"/>
        <v>0.25920045394532426</v>
      </c>
    </row>
    <row r="81" spans="1:10" x14ac:dyDescent="0.25">
      <c r="A81" s="2">
        <v>79</v>
      </c>
      <c r="B81" s="5">
        <v>5.5993041314650327E-3</v>
      </c>
      <c r="C81" s="5">
        <f t="shared" si="13"/>
        <v>0.97792764518788367</v>
      </c>
      <c r="D81" s="5">
        <f t="shared" si="14"/>
        <v>-2.2319594109631129E-2</v>
      </c>
      <c r="E81" s="5">
        <f t="shared" si="11"/>
        <v>-5.5604929233505317E-3</v>
      </c>
      <c r="F81" s="5">
        <f t="shared" si="17"/>
        <v>0.23545690091216478</v>
      </c>
      <c r="G81" s="5">
        <f t="shared" si="12"/>
        <v>0.22587563574368788</v>
      </c>
      <c r="H81" s="5">
        <f t="shared" si="15"/>
        <v>0.4745286465203527</v>
      </c>
      <c r="I81" s="5">
        <v>0.47599999999999998</v>
      </c>
      <c r="J81" s="5">
        <f t="shared" si="16"/>
        <v>0.24865301077666482</v>
      </c>
    </row>
    <row r="82" spans="1:10" x14ac:dyDescent="0.25">
      <c r="A82" s="2">
        <v>80</v>
      </c>
      <c r="B82" s="5">
        <v>1.1994416126981378E-3</v>
      </c>
      <c r="C82" s="5">
        <f t="shared" si="13"/>
        <v>0.99445493800299112</v>
      </c>
      <c r="D82" s="5">
        <f t="shared" si="14"/>
        <v>-5.5604929233505317E-3</v>
      </c>
      <c r="E82" s="5">
        <f t="shared" si="11"/>
        <v>-1.5808048489771281E-3</v>
      </c>
      <c r="F82" s="5">
        <f t="shared" si="17"/>
        <v>0.22587563574368788</v>
      </c>
      <c r="G82" s="5">
        <f t="shared" si="12"/>
        <v>0.22497111216011301</v>
      </c>
      <c r="H82" s="5">
        <f t="shared" si="15"/>
        <v>0.47262838689099368</v>
      </c>
      <c r="I82" s="5">
        <v>0.47599999999999998</v>
      </c>
      <c r="J82" s="5">
        <f t="shared" si="16"/>
        <v>0.24765727473088073</v>
      </c>
    </row>
    <row r="83" spans="1:10" x14ac:dyDescent="0.25">
      <c r="A83" s="2">
        <v>81</v>
      </c>
      <c r="B83" s="5">
        <v>1.9132539819111116E-2</v>
      </c>
      <c r="C83" s="5">
        <f t="shared" si="13"/>
        <v>0.99842044396487784</v>
      </c>
      <c r="D83" s="5">
        <f t="shared" si="14"/>
        <v>-1.5808048489771281E-3</v>
      </c>
      <c r="E83" s="5">
        <f t="shared" si="11"/>
        <v>1.8342137394622551E-2</v>
      </c>
      <c r="F83" s="5">
        <f t="shared" si="17"/>
        <v>0.22497111216011301</v>
      </c>
      <c r="G83" s="5">
        <f t="shared" si="12"/>
        <v>0.22541551032267998</v>
      </c>
      <c r="H83" s="5">
        <f t="shared" si="15"/>
        <v>0.47356199647621844</v>
      </c>
      <c r="I83" s="5">
        <v>0.47599999999999998</v>
      </c>
      <c r="J83" s="5">
        <f t="shared" si="16"/>
        <v>0.24814648615353849</v>
      </c>
    </row>
    <row r="84" spans="1:10" x14ac:dyDescent="0.25">
      <c r="A84" s="2">
        <v>82</v>
      </c>
      <c r="B84" s="5">
        <v>1.0632402336341329E-2</v>
      </c>
      <c r="C84" s="5">
        <f t="shared" si="13"/>
        <v>1.0185113876166929</v>
      </c>
      <c r="D84" s="5">
        <f t="shared" si="14"/>
        <v>1.8342137394622551E-2</v>
      </c>
      <c r="E84" s="5">
        <f t="shared" si="11"/>
        <v>1.9803471033652605E-2</v>
      </c>
      <c r="F84" s="5">
        <f t="shared" si="17"/>
        <v>0.22541551032267998</v>
      </c>
      <c r="G84" s="5">
        <f t="shared" si="12"/>
        <v>0.23017849150439804</v>
      </c>
      <c r="H84" s="5">
        <f t="shared" si="15"/>
        <v>0.48356825946302107</v>
      </c>
      <c r="I84" s="5">
        <v>0.47599999999999998</v>
      </c>
      <c r="J84" s="5">
        <f t="shared" si="16"/>
        <v>0.25338976795862306</v>
      </c>
    </row>
    <row r="85" spans="1:10" x14ac:dyDescent="0.25">
      <c r="A85" s="2">
        <v>83</v>
      </c>
      <c r="B85" s="5">
        <v>-4.7795992941246368E-3</v>
      </c>
      <c r="C85" s="5">
        <f t="shared" si="13"/>
        <v>1.0200008606125854</v>
      </c>
      <c r="D85" s="5">
        <f t="shared" si="14"/>
        <v>1.9803471033652605E-2</v>
      </c>
      <c r="E85" s="5">
        <f t="shared" si="11"/>
        <v>5.1221362227016655E-3</v>
      </c>
      <c r="F85" s="5">
        <f t="shared" si="17"/>
        <v>0.23017849150439804</v>
      </c>
      <c r="G85" s="5">
        <f t="shared" si="12"/>
        <v>0.23293774167747033</v>
      </c>
      <c r="H85" s="5">
        <f t="shared" si="15"/>
        <v>0.48936500352409734</v>
      </c>
      <c r="I85" s="5">
        <v>0.47599999999999998</v>
      </c>
      <c r="J85" s="5">
        <f t="shared" si="16"/>
        <v>0.25642726184662706</v>
      </c>
    </row>
    <row r="86" spans="1:10" x14ac:dyDescent="0.25">
      <c r="A86" s="2">
        <v>84</v>
      </c>
      <c r="B86" s="5">
        <v>1.3854605640517548E-2</v>
      </c>
      <c r="C86" s="5">
        <f t="shared" si="13"/>
        <v>1.0051352767887869</v>
      </c>
      <c r="D86" s="5">
        <f t="shared" si="14"/>
        <v>5.1221362227016655E-3</v>
      </c>
      <c r="E86" s="5">
        <f t="shared" si="11"/>
        <v>1.6415673751868379E-2</v>
      </c>
      <c r="F86" s="5">
        <f t="shared" si="17"/>
        <v>0.23293774167747033</v>
      </c>
      <c r="G86" s="5">
        <f t="shared" si="12"/>
        <v>0.23091460303549521</v>
      </c>
      <c r="H86" s="5">
        <f t="shared" si="15"/>
        <v>0.48511471225944375</v>
      </c>
      <c r="I86" s="5">
        <v>0.47599999999999998</v>
      </c>
      <c r="J86" s="5">
        <f t="shared" si="16"/>
        <v>0.25420010922394853</v>
      </c>
    </row>
    <row r="87" spans="1:10" x14ac:dyDescent="0.25">
      <c r="A87" s="2">
        <v>85</v>
      </c>
      <c r="B87" s="5">
        <v>4.0615077523398213E-3</v>
      </c>
      <c r="C87" s="5">
        <f t="shared" si="13"/>
        <v>1.016551151227032</v>
      </c>
      <c r="D87" s="5">
        <f t="shared" si="14"/>
        <v>1.6415673751868379E-2</v>
      </c>
      <c r="E87" s="5">
        <f t="shared" si="11"/>
        <v>1.2269344628274011E-2</v>
      </c>
      <c r="F87" s="5">
        <f t="shared" si="17"/>
        <v>0.23091460303549521</v>
      </c>
      <c r="G87" s="5">
        <f t="shared" si="12"/>
        <v>0.23252084284711497</v>
      </c>
      <c r="H87" s="5">
        <f t="shared" si="15"/>
        <v>0.48848916564519951</v>
      </c>
      <c r="I87" s="5">
        <v>0.47599999999999998</v>
      </c>
      <c r="J87" s="5">
        <f t="shared" si="16"/>
        <v>0.25596832279808451</v>
      </c>
    </row>
    <row r="88" spans="1:10" x14ac:dyDescent="0.25">
      <c r="A88" s="2">
        <v>86</v>
      </c>
      <c r="B88" s="5">
        <v>-1.5420664567500353E-2</v>
      </c>
      <c r="C88" s="5">
        <f t="shared" si="13"/>
        <v>1.0123449218149707</v>
      </c>
      <c r="D88" s="5">
        <f t="shared" si="14"/>
        <v>1.2269344628274011E-2</v>
      </c>
      <c r="E88" s="5">
        <f t="shared" si="11"/>
        <v>-9.2859922533633475E-3</v>
      </c>
      <c r="F88" s="5">
        <f t="shared" si="17"/>
        <v>0.23252084284711497</v>
      </c>
      <c r="G88" s="5">
        <f t="shared" si="12"/>
        <v>0.23236269540932011</v>
      </c>
      <c r="H88" s="5">
        <f t="shared" si="15"/>
        <v>0.48815692312882381</v>
      </c>
      <c r="I88" s="5">
        <v>0.47599999999999998</v>
      </c>
      <c r="J88" s="5">
        <f t="shared" si="16"/>
        <v>0.25579422771950366</v>
      </c>
    </row>
    <row r="89" spans="1:10" x14ac:dyDescent="0.25">
      <c r="A89" s="2">
        <v>87</v>
      </c>
      <c r="B89" s="5">
        <v>-1.4169427231536247E-2</v>
      </c>
      <c r="C89" s="5">
        <f t="shared" si="13"/>
        <v>0.99075698942729462</v>
      </c>
      <c r="D89" s="5">
        <f t="shared" si="14"/>
        <v>-9.2859922533633475E-3</v>
      </c>
      <c r="E89" s="5">
        <f t="shared" si="11"/>
        <v>-1.8812423358217922E-2</v>
      </c>
      <c r="F89" s="5">
        <f t="shared" si="17"/>
        <v>0.23236269540932011</v>
      </c>
      <c r="G89" s="5">
        <f t="shared" si="12"/>
        <v>0.22733028706703975</v>
      </c>
      <c r="H89" s="5">
        <f t="shared" si="15"/>
        <v>0.47758463669546164</v>
      </c>
      <c r="I89" s="5">
        <v>0.47599999999999998</v>
      </c>
      <c r="J89" s="5">
        <f t="shared" si="16"/>
        <v>0.25025434962842191</v>
      </c>
    </row>
    <row r="90" spans="1:10" x14ac:dyDescent="0.25">
      <c r="A90" s="2">
        <v>88</v>
      </c>
      <c r="B90" s="5">
        <v>-3.9551741792820394E-2</v>
      </c>
      <c r="C90" s="5">
        <f t="shared" si="13"/>
        <v>0.981363425835037</v>
      </c>
      <c r="D90" s="5">
        <f t="shared" si="14"/>
        <v>-1.8812423358217922E-2</v>
      </c>
      <c r="E90" s="5">
        <f t="shared" si="11"/>
        <v>-4.8957953471929355E-2</v>
      </c>
      <c r="F90" s="5">
        <f t="shared" si="17"/>
        <v>0.22733028706703975</v>
      </c>
      <c r="G90" s="5">
        <f t="shared" si="12"/>
        <v>0.22272320691929928</v>
      </c>
      <c r="H90" s="5">
        <f t="shared" si="15"/>
        <v>0.46790589688928425</v>
      </c>
      <c r="I90" s="5">
        <v>0.47599999999999998</v>
      </c>
      <c r="J90" s="5">
        <f t="shared" si="16"/>
        <v>0.24518268996998493</v>
      </c>
    </row>
    <row r="91" spans="1:10" x14ac:dyDescent="0.25">
      <c r="A91" s="2">
        <v>89</v>
      </c>
      <c r="B91" s="5">
        <v>8.9098193711834028E-3</v>
      </c>
      <c r="C91" s="5">
        <f t="shared" si="13"/>
        <v>0.95222116645080035</v>
      </c>
      <c r="D91" s="5">
        <f t="shared" si="14"/>
        <v>-4.8957953471929355E-2</v>
      </c>
      <c r="E91" s="5">
        <f t="shared" si="11"/>
        <v>-1.5569157364781275E-2</v>
      </c>
      <c r="F91" s="5">
        <f t="shared" si="17"/>
        <v>0.22272320691929928</v>
      </c>
      <c r="G91" s="5">
        <f t="shared" si="12"/>
        <v>0.2139082423980749</v>
      </c>
      <c r="H91" s="5">
        <f t="shared" si="15"/>
        <v>0.4493870638615019</v>
      </c>
      <c r="I91" s="5">
        <v>0.47599999999999998</v>
      </c>
      <c r="J91" s="5">
        <f t="shared" si="16"/>
        <v>0.235478821463427</v>
      </c>
    </row>
    <row r="92" spans="1:10" x14ac:dyDescent="0.25">
      <c r="A92" s="2">
        <v>90</v>
      </c>
      <c r="B92" s="5">
        <v>7.2444890975020826E-3</v>
      </c>
      <c r="C92" s="5">
        <f t="shared" si="13"/>
        <v>0.98455141541586966</v>
      </c>
      <c r="D92" s="5">
        <f t="shared" si="14"/>
        <v>-1.5569157364781275E-2</v>
      </c>
      <c r="E92" s="5">
        <f t="shared" si="11"/>
        <v>-5.400895848885548E-4</v>
      </c>
      <c r="F92" s="5">
        <f t="shared" si="17"/>
        <v>0.2139082423980749</v>
      </c>
      <c r="G92" s="5">
        <f t="shared" si="12"/>
        <v>0.21675000353964999</v>
      </c>
      <c r="H92" s="5">
        <f t="shared" si="15"/>
        <v>0.45535715029338236</v>
      </c>
      <c r="I92" s="5">
        <v>0.47599999999999998</v>
      </c>
      <c r="J92" s="5">
        <f t="shared" si="16"/>
        <v>0.23860714675373235</v>
      </c>
    </row>
    <row r="93" spans="1:10" x14ac:dyDescent="0.25">
      <c r="A93" s="2">
        <v>91</v>
      </c>
      <c r="B93" s="5">
        <v>1.2540112948045135E-2</v>
      </c>
      <c r="C93" s="5">
        <f t="shared" si="13"/>
        <v>0.99946005623723777</v>
      </c>
      <c r="D93" s="5">
        <f t="shared" si="14"/>
        <v>-5.400895848885548E-4</v>
      </c>
      <c r="E93" s="5">
        <f t="shared" si="11"/>
        <v>1.2270068155600857E-2</v>
      </c>
      <c r="F93" s="5">
        <f t="shared" si="17"/>
        <v>0.21675000353964999</v>
      </c>
      <c r="G93" s="5">
        <f t="shared" si="12"/>
        <v>0.22148889242250816</v>
      </c>
      <c r="H93" s="5">
        <f t="shared" si="15"/>
        <v>0.4653127992069499</v>
      </c>
      <c r="I93" s="5">
        <v>0.47599999999999998</v>
      </c>
      <c r="J93" s="5">
        <f t="shared" si="16"/>
        <v>0.2438239067844418</v>
      </c>
    </row>
    <row r="94" spans="1:10" x14ac:dyDescent="0.25">
      <c r="A94" s="2">
        <v>92</v>
      </c>
      <c r="B94" s="5">
        <v>1.1988004189333878E-2</v>
      </c>
      <c r="C94" s="5">
        <f t="shared" si="13"/>
        <v>1.0123456542744509</v>
      </c>
      <c r="D94" s="5">
        <f t="shared" si="14"/>
        <v>1.2270068155600857E-2</v>
      </c>
      <c r="E94" s="5">
        <f t="shared" si="11"/>
        <v>1.8123038267134309E-2</v>
      </c>
      <c r="F94" s="5">
        <f t="shared" si="17"/>
        <v>0.22148889242250816</v>
      </c>
      <c r="G94" s="5">
        <f t="shared" si="12"/>
        <v>0.22678365547990628</v>
      </c>
      <c r="H94" s="5">
        <f t="shared" si="15"/>
        <v>0.47643625100820652</v>
      </c>
      <c r="I94" s="5">
        <v>0.47599999999999998</v>
      </c>
      <c r="J94" s="5">
        <f t="shared" si="16"/>
        <v>0.24965259552830021</v>
      </c>
    </row>
    <row r="95" spans="1:10" x14ac:dyDescent="0.25">
      <c r="A95" s="2">
        <v>93</v>
      </c>
      <c r="B95" s="5">
        <v>5.9214698922005482E-3</v>
      </c>
      <c r="C95" s="5">
        <f t="shared" si="13"/>
        <v>1.018288257105072</v>
      </c>
      <c r="D95" s="5">
        <f t="shared" si="14"/>
        <v>1.8123038267134309E-2</v>
      </c>
      <c r="E95" s="5">
        <f t="shared" si="11"/>
        <v>1.4982989025767703E-2</v>
      </c>
      <c r="F95" s="5">
        <f t="shared" si="17"/>
        <v>0.22678365547990628</v>
      </c>
      <c r="G95" s="5">
        <f t="shared" si="12"/>
        <v>0.23082538249685541</v>
      </c>
      <c r="H95" s="5">
        <f t="shared" si="15"/>
        <v>0.48492727415305759</v>
      </c>
      <c r="I95" s="5">
        <v>0.47599999999999998</v>
      </c>
      <c r="J95" s="5">
        <f t="shared" si="16"/>
        <v>0.25410189165620223</v>
      </c>
    </row>
    <row r="96" spans="1:10" x14ac:dyDescent="0.25">
      <c r="A96" s="2">
        <v>94</v>
      </c>
      <c r="B96" s="5">
        <v>1.8880200514104217E-2</v>
      </c>
      <c r="C96" s="5">
        <f t="shared" si="13"/>
        <v>1.0150957967004064</v>
      </c>
      <c r="D96" s="5">
        <f t="shared" si="14"/>
        <v>1.4982989025767703E-2</v>
      </c>
      <c r="E96" s="5">
        <f t="shared" si="11"/>
        <v>2.6371695026988069E-2</v>
      </c>
      <c r="F96" s="5">
        <f t="shared" si="17"/>
        <v>0.23082538249685541</v>
      </c>
      <c r="G96" s="5">
        <f t="shared" si="12"/>
        <v>0.23214309170689926</v>
      </c>
      <c r="H96" s="5">
        <f t="shared" si="15"/>
        <v>0.48769557081281362</v>
      </c>
      <c r="I96" s="5">
        <v>0.47599999999999998</v>
      </c>
      <c r="J96" s="5">
        <f t="shared" si="16"/>
        <v>0.25555247910591433</v>
      </c>
    </row>
    <row r="97" spans="1:10" x14ac:dyDescent="0.25">
      <c r="A97" s="2">
        <v>95</v>
      </c>
      <c r="B97" s="5">
        <v>6.1728997025056742E-3</v>
      </c>
      <c r="C97" s="5">
        <f t="shared" si="13"/>
        <v>1.0267225052069613</v>
      </c>
      <c r="D97" s="5">
        <f t="shared" si="14"/>
        <v>2.6371695026988069E-2</v>
      </c>
      <c r="E97" s="5">
        <f t="shared" si="11"/>
        <v>1.9358747215999707E-2</v>
      </c>
      <c r="F97" s="5">
        <f t="shared" si="17"/>
        <v>0.23214309170689926</v>
      </c>
      <c r="G97" s="5">
        <f t="shared" si="12"/>
        <v>0.23547126471968324</v>
      </c>
      <c r="H97" s="5">
        <f t="shared" si="15"/>
        <v>0.49468753092370432</v>
      </c>
      <c r="I97" s="5">
        <v>0.47599999999999998</v>
      </c>
      <c r="J97" s="5">
        <f t="shared" si="16"/>
        <v>0.25921626620402105</v>
      </c>
    </row>
    <row r="98" spans="1:10" x14ac:dyDescent="0.25">
      <c r="A98" s="2">
        <v>96</v>
      </c>
      <c r="B98" s="5">
        <v>-1.5013984011602588E-2</v>
      </c>
      <c r="C98" s="5">
        <f t="shared" si="13"/>
        <v>1.0195473427884083</v>
      </c>
      <c r="D98" s="5">
        <f t="shared" si="14"/>
        <v>1.9358747215999707E-2</v>
      </c>
      <c r="E98" s="5">
        <f t="shared" ref="E98:E102" si="18">$M$3*D98+B98</f>
        <v>-5.3346104036027346E-3</v>
      </c>
      <c r="F98" s="5">
        <f t="shared" si="17"/>
        <v>0.23547126471968324</v>
      </c>
      <c r="G98" s="5">
        <f t="shared" si="12"/>
        <v>0.23549587700052674</v>
      </c>
      <c r="H98" s="5">
        <f t="shared" si="15"/>
        <v>0.49473923739606457</v>
      </c>
      <c r="I98" s="5">
        <v>0.47599999999999998</v>
      </c>
      <c r="J98" s="5">
        <f t="shared" si="16"/>
        <v>0.25924336039553786</v>
      </c>
    </row>
    <row r="99" spans="1:10" x14ac:dyDescent="0.25">
      <c r="A99" s="2">
        <v>97</v>
      </c>
      <c r="B99" s="5">
        <v>-2.0749757823068649E-2</v>
      </c>
      <c r="C99" s="5">
        <f t="shared" ref="C99:C102" si="19">EXP(D99)</f>
        <v>0.99467959336206691</v>
      </c>
      <c r="D99" s="5">
        <f t="shared" si="14"/>
        <v>-5.3346104036027346E-3</v>
      </c>
      <c r="E99" s="5">
        <f t="shared" si="18"/>
        <v>-2.3417063024870018E-2</v>
      </c>
      <c r="F99" s="5">
        <f t="shared" si="17"/>
        <v>0.23549587700052674</v>
      </c>
      <c r="G99" s="5">
        <f t="shared" si="12"/>
        <v>0.2297639108733916</v>
      </c>
      <c r="H99" s="5">
        <f t="shared" si="15"/>
        <v>0.48269729175082277</v>
      </c>
      <c r="I99" s="5">
        <v>0.47599999999999998</v>
      </c>
      <c r="J99" s="5">
        <f t="shared" si="16"/>
        <v>0.25293338087743111</v>
      </c>
    </row>
    <row r="100" spans="1:10" x14ac:dyDescent="0.25">
      <c r="A100" s="2">
        <v>98</v>
      </c>
      <c r="B100" s="5">
        <v>3.3470769267296419E-3</v>
      </c>
      <c r="C100" s="5">
        <f t="shared" si="19"/>
        <v>0.97685498870717169</v>
      </c>
      <c r="D100" s="5">
        <f t="shared" si="14"/>
        <v>-2.3417063024870018E-2</v>
      </c>
      <c r="E100" s="5">
        <f t="shared" si="18"/>
        <v>-8.361454585705367E-3</v>
      </c>
      <c r="F100" s="5">
        <f t="shared" si="17"/>
        <v>0.2297639108733916</v>
      </c>
      <c r="G100" s="5">
        <f t="shared" si="12"/>
        <v>0.22288352048894214</v>
      </c>
      <c r="H100" s="5">
        <f t="shared" si="15"/>
        <v>0.46824269010281966</v>
      </c>
      <c r="I100" s="5">
        <v>0.47599999999999998</v>
      </c>
      <c r="J100" s="5">
        <f t="shared" si="16"/>
        <v>0.24535916961387752</v>
      </c>
    </row>
    <row r="101" spans="1:10" x14ac:dyDescent="0.25">
      <c r="A101" s="2">
        <v>99</v>
      </c>
      <c r="B101" s="5">
        <v>-3.3924152376130223E-2</v>
      </c>
      <c r="C101" s="5">
        <f t="shared" si="19"/>
        <v>0.99167340514866542</v>
      </c>
      <c r="D101" s="5">
        <f t="shared" si="14"/>
        <v>-8.361454585705367E-3</v>
      </c>
      <c r="E101" s="5">
        <f t="shared" si="18"/>
        <v>-3.8104879668982905E-2</v>
      </c>
      <c r="F101" s="5">
        <f t="shared" si="17"/>
        <v>0.22288352048894214</v>
      </c>
      <c r="G101" s="5">
        <f t="shared" si="12"/>
        <v>0.22285100582199854</v>
      </c>
      <c r="H101" s="5">
        <f t="shared" si="15"/>
        <v>0.46817438197898853</v>
      </c>
      <c r="I101" s="5">
        <v>0.47599999999999998</v>
      </c>
      <c r="J101" s="5">
        <f t="shared" si="16"/>
        <v>0.24532337615698999</v>
      </c>
    </row>
    <row r="102" spans="1:10" ht="15.75" thickBot="1" x14ac:dyDescent="0.3">
      <c r="A102" s="3">
        <v>100</v>
      </c>
      <c r="B102" s="6">
        <v>-3.1443596526514739E-2</v>
      </c>
      <c r="C102" s="6">
        <f t="shared" si="19"/>
        <v>0.96261197717124658</v>
      </c>
      <c r="D102" s="6">
        <f t="shared" si="14"/>
        <v>-3.8104879668982905E-2</v>
      </c>
      <c r="E102" s="6">
        <f t="shared" si="18"/>
        <v>-5.0496036361006191E-2</v>
      </c>
      <c r="F102" s="6">
        <f t="shared" si="17"/>
        <v>0.22285100582199854</v>
      </c>
      <c r="G102" s="6"/>
      <c r="H102" s="6">
        <f t="shared" si="15"/>
        <v>0.45442117500197882</v>
      </c>
      <c r="I102" s="6">
        <v>0.47599999999999998</v>
      </c>
      <c r="J102" s="6">
        <f t="shared" si="16"/>
        <v>0.23811669570103691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741A-8FDD-4FC7-A986-E59F166284EC}">
  <dimension ref="A1:M102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13" ht="15" customHeight="1" thickBot="1" x14ac:dyDescent="0.3">
      <c r="A1" s="4" t="s">
        <v>0</v>
      </c>
      <c r="B1" s="4" t="s">
        <v>6</v>
      </c>
      <c r="C1" s="4" t="s">
        <v>2</v>
      </c>
      <c r="D1" s="4" t="s">
        <v>5</v>
      </c>
      <c r="E1" s="4" t="s">
        <v>4</v>
      </c>
      <c r="F1" s="4" t="s">
        <v>3</v>
      </c>
      <c r="G1" s="4" t="s">
        <v>11</v>
      </c>
      <c r="H1" s="4" t="s">
        <v>1</v>
      </c>
      <c r="I1" s="4" t="s">
        <v>12</v>
      </c>
      <c r="J1" s="4" t="s">
        <v>10</v>
      </c>
      <c r="K1" s="2"/>
      <c r="L1" s="8" t="s">
        <v>8</v>
      </c>
      <c r="M1" s="9">
        <v>0.5</v>
      </c>
    </row>
    <row r="2" spans="1:13" ht="15.75" thickBot="1" x14ac:dyDescent="0.3">
      <c r="A2" s="2">
        <v>0</v>
      </c>
      <c r="B2" s="7">
        <v>1.3633734852191992E-2</v>
      </c>
      <c r="C2" s="5">
        <v>1</v>
      </c>
      <c r="D2" s="5">
        <f>LN(C2)</f>
        <v>0</v>
      </c>
      <c r="E2" s="5">
        <f t="shared" ref="E2:E33" si="0">$M$3*D2+B2</f>
        <v>1.3633734852191992E-2</v>
      </c>
      <c r="F2" s="5">
        <v>5.0000000000000001E-4</v>
      </c>
      <c r="G2" s="5">
        <f t="shared" ref="G2:G33" si="1">F3</f>
        <v>1.0643683572898998E-2</v>
      </c>
      <c r="H2" s="5">
        <f>$C2*$F2^$M$1</f>
        <v>2.2360679774997897E-2</v>
      </c>
      <c r="I2" s="5">
        <v>0.47599999999999998</v>
      </c>
      <c r="J2" s="11">
        <f>(1-$M$1*$M$2)*$C2*$F2^$M$1</f>
        <v>1.1716996202098899E-2</v>
      </c>
      <c r="K2" s="2"/>
      <c r="L2" s="8" t="s">
        <v>9</v>
      </c>
      <c r="M2" s="10">
        <v>0.95199999999999996</v>
      </c>
    </row>
    <row r="3" spans="1:13" ht="15.75" thickBot="1" x14ac:dyDescent="0.3">
      <c r="A3" s="2">
        <v>1</v>
      </c>
      <c r="B3" s="5">
        <v>-3.1672243494540453E-3</v>
      </c>
      <c r="C3" s="5">
        <f t="shared" ref="C3:C34" si="2">EXP(D3)</f>
        <v>1.0137270980289681</v>
      </c>
      <c r="D3" s="5">
        <f t="shared" ref="D3:D34" si="3">E2</f>
        <v>1.3633734852191992E-2</v>
      </c>
      <c r="E3" s="5">
        <f t="shared" si="0"/>
        <v>3.6496430766419508E-3</v>
      </c>
      <c r="F3" s="5">
        <f>$M$1*$M$2*$C2*$F2^$M$1</f>
        <v>1.0643683572898998E-2</v>
      </c>
      <c r="G3" s="5">
        <f t="shared" si="1"/>
        <v>4.9782188620000882E-2</v>
      </c>
      <c r="H3" s="5">
        <f t="shared" ref="H3:H66" si="4">$C3*$F3^$M$1</f>
        <v>0.10458442987395143</v>
      </c>
      <c r="I3" s="5">
        <v>0.47599999999999998</v>
      </c>
      <c r="J3" s="11">
        <f t="shared" ref="J3:J66" si="5">(1-$M$1*$M$2)*$C3*$F3^$M$1</f>
        <v>5.4802241253950557E-2</v>
      </c>
      <c r="L3" s="8" t="s">
        <v>7</v>
      </c>
      <c r="M3" s="9">
        <v>0.5</v>
      </c>
    </row>
    <row r="4" spans="1:13" x14ac:dyDescent="0.25">
      <c r="A4" s="2">
        <v>2</v>
      </c>
      <c r="B4" s="5">
        <v>-6.6694337874650955E-2</v>
      </c>
      <c r="C4" s="5">
        <f t="shared" si="2"/>
        <v>1.0036563111334769</v>
      </c>
      <c r="D4" s="5">
        <f t="shared" si="3"/>
        <v>3.6496430766419508E-3</v>
      </c>
      <c r="E4" s="5">
        <f t="shared" si="0"/>
        <v>-6.486951633632998E-2</v>
      </c>
      <c r="F4" s="5">
        <f t="shared" ref="F4:F67" si="6">$M$1*$M$2*$C3*$F3^$M$1</f>
        <v>4.9782188620000882E-2</v>
      </c>
      <c r="G4" s="5">
        <f t="shared" si="1"/>
        <v>0.10659306877318626</v>
      </c>
      <c r="H4" s="5">
        <f t="shared" si="4"/>
        <v>0.22393501843106361</v>
      </c>
      <c r="I4" s="5">
        <v>0.47599999999999998</v>
      </c>
      <c r="J4" s="11">
        <f t="shared" si="5"/>
        <v>0.11734194965787732</v>
      </c>
    </row>
    <row r="5" spans="1:13" x14ac:dyDescent="0.25">
      <c r="A5" s="2">
        <v>3</v>
      </c>
      <c r="B5" s="5">
        <v>-1.8069158613798209E-2</v>
      </c>
      <c r="C5" s="5">
        <f t="shared" si="2"/>
        <v>0.9371897433507268</v>
      </c>
      <c r="D5" s="5">
        <f t="shared" si="3"/>
        <v>-6.486951633632998E-2</v>
      </c>
      <c r="E5" s="5">
        <f t="shared" si="0"/>
        <v>-5.0503916781963198E-2</v>
      </c>
      <c r="F5" s="5">
        <f t="shared" si="6"/>
        <v>0.10659306877318626</v>
      </c>
      <c r="G5" s="5">
        <f t="shared" si="1"/>
        <v>0.14564613440748353</v>
      </c>
      <c r="H5" s="5">
        <f t="shared" si="4"/>
        <v>0.30597927396530156</v>
      </c>
      <c r="I5" s="5">
        <v>0.47599999999999998</v>
      </c>
      <c r="J5" s="11">
        <f t="shared" si="5"/>
        <v>0.16033313955781803</v>
      </c>
    </row>
    <row r="6" spans="1:13" x14ac:dyDescent="0.25">
      <c r="A6" s="2">
        <v>4</v>
      </c>
      <c r="B6" s="5">
        <v>-8.3389295468805358E-3</v>
      </c>
      <c r="C6" s="5">
        <f t="shared" si="2"/>
        <v>0.95075020478378047</v>
      </c>
      <c r="D6" s="5">
        <f t="shared" si="3"/>
        <v>-5.0503916781963198E-2</v>
      </c>
      <c r="E6" s="5">
        <f t="shared" si="0"/>
        <v>-3.3590887937862135E-2</v>
      </c>
      <c r="F6" s="5">
        <f t="shared" si="6"/>
        <v>0.14564613440748353</v>
      </c>
      <c r="G6" s="5">
        <f t="shared" si="1"/>
        <v>0.17271213850615569</v>
      </c>
      <c r="H6" s="5">
        <f t="shared" si="4"/>
        <v>0.36284062711377246</v>
      </c>
      <c r="I6" s="5">
        <v>0.47599999999999998</v>
      </c>
      <c r="J6" s="11">
        <f t="shared" si="5"/>
        <v>0.19012848860761675</v>
      </c>
    </row>
    <row r="7" spans="1:13" x14ac:dyDescent="0.25">
      <c r="A7" s="2">
        <v>5</v>
      </c>
      <c r="B7" s="5">
        <v>-1.0635949365678243E-2</v>
      </c>
      <c r="C7" s="5">
        <f t="shared" si="2"/>
        <v>0.96696702159883585</v>
      </c>
      <c r="D7" s="5">
        <f t="shared" si="3"/>
        <v>-3.3590887937862135E-2</v>
      </c>
      <c r="E7" s="5">
        <f t="shared" si="0"/>
        <v>-2.7431393334609311E-2</v>
      </c>
      <c r="F7" s="5">
        <f t="shared" si="6"/>
        <v>0.17271213850615569</v>
      </c>
      <c r="G7" s="5">
        <f t="shared" si="1"/>
        <v>0.19128461723427645</v>
      </c>
      <c r="H7" s="5">
        <f t="shared" si="4"/>
        <v>0.4018584395678077</v>
      </c>
      <c r="I7" s="5">
        <v>0.47599999999999998</v>
      </c>
      <c r="J7" s="11">
        <f t="shared" si="5"/>
        <v>0.21057382233353122</v>
      </c>
    </row>
    <row r="8" spans="1:13" x14ac:dyDescent="0.25">
      <c r="A8" s="2">
        <v>6</v>
      </c>
      <c r="B8" s="5">
        <v>-3.4532968129497021E-2</v>
      </c>
      <c r="C8" s="5">
        <f t="shared" si="2"/>
        <v>0.97294143053091886</v>
      </c>
      <c r="D8" s="5">
        <f t="shared" si="3"/>
        <v>-2.7431393334609311E-2</v>
      </c>
      <c r="E8" s="5">
        <f t="shared" si="0"/>
        <v>-4.8248664796801677E-2</v>
      </c>
      <c r="F8" s="5">
        <f t="shared" si="6"/>
        <v>0.19128461723427645</v>
      </c>
      <c r="G8" s="5">
        <f t="shared" si="1"/>
        <v>0.20255066487023254</v>
      </c>
      <c r="H8" s="5">
        <f t="shared" si="4"/>
        <v>0.42552660687023647</v>
      </c>
      <c r="I8" s="5">
        <v>0.47599999999999998</v>
      </c>
      <c r="J8" s="11">
        <f t="shared" si="5"/>
        <v>0.22297594200000392</v>
      </c>
    </row>
    <row r="9" spans="1:13" x14ac:dyDescent="0.25">
      <c r="A9" s="2">
        <v>7</v>
      </c>
      <c r="B9" s="5">
        <v>1.3771068552159704E-2</v>
      </c>
      <c r="C9" s="5">
        <f t="shared" si="2"/>
        <v>0.9528968057236975</v>
      </c>
      <c r="D9" s="5">
        <f t="shared" si="3"/>
        <v>-4.8248664796801677E-2</v>
      </c>
      <c r="E9" s="5">
        <f t="shared" si="0"/>
        <v>-1.0353263846241134E-2</v>
      </c>
      <c r="F9" s="5">
        <f t="shared" si="6"/>
        <v>0.20255066487023254</v>
      </c>
      <c r="G9" s="5">
        <f t="shared" si="1"/>
        <v>0.20413602809472461</v>
      </c>
      <c r="H9" s="5">
        <f t="shared" si="4"/>
        <v>0.42885720187967358</v>
      </c>
      <c r="I9" s="5">
        <v>0.47599999999999998</v>
      </c>
      <c r="J9" s="11">
        <f t="shared" si="5"/>
        <v>0.22472117378494896</v>
      </c>
    </row>
    <row r="10" spans="1:13" x14ac:dyDescent="0.25">
      <c r="A10" s="2">
        <v>8</v>
      </c>
      <c r="B10" s="5">
        <v>2.0074958229088224E-2</v>
      </c>
      <c r="C10" s="5">
        <f t="shared" si="2"/>
        <v>0.98970014670645889</v>
      </c>
      <c r="D10" s="5">
        <f t="shared" si="3"/>
        <v>-1.0353263846241134E-2</v>
      </c>
      <c r="E10" s="5">
        <f t="shared" si="0"/>
        <v>1.4898326305967657E-2</v>
      </c>
      <c r="F10" s="5">
        <f t="shared" si="6"/>
        <v>0.20413602809472461</v>
      </c>
      <c r="G10" s="5">
        <f t="shared" si="1"/>
        <v>0.21284841355554915</v>
      </c>
      <c r="H10" s="5">
        <f t="shared" si="4"/>
        <v>0.44716053267972516</v>
      </c>
      <c r="I10" s="5">
        <v>0.47599999999999998</v>
      </c>
      <c r="J10" s="11">
        <f t="shared" si="5"/>
        <v>0.23431211912417599</v>
      </c>
    </row>
    <row r="11" spans="1:13" x14ac:dyDescent="0.25">
      <c r="A11" s="2">
        <v>9</v>
      </c>
      <c r="B11" s="5">
        <v>-1.5932391761452891E-2</v>
      </c>
      <c r="C11" s="5">
        <f t="shared" si="2"/>
        <v>1.0150098595672872</v>
      </c>
      <c r="D11" s="5">
        <f t="shared" si="3"/>
        <v>1.4898326305967657E-2</v>
      </c>
      <c r="E11" s="5">
        <f t="shared" si="0"/>
        <v>-8.4832286084690622E-3</v>
      </c>
      <c r="F11" s="5">
        <f t="shared" si="6"/>
        <v>0.21284841355554915</v>
      </c>
      <c r="G11" s="5">
        <f t="shared" si="1"/>
        <v>0.2229012081447376</v>
      </c>
      <c r="H11" s="5">
        <f t="shared" si="4"/>
        <v>0.4682798490435664</v>
      </c>
      <c r="I11" s="5">
        <v>0.47599999999999998</v>
      </c>
      <c r="J11" s="11">
        <f t="shared" si="5"/>
        <v>0.24537864089882883</v>
      </c>
    </row>
    <row r="12" spans="1:13" x14ac:dyDescent="0.25">
      <c r="A12" s="2">
        <v>10</v>
      </c>
      <c r="B12" s="5">
        <v>1.5091154637048021E-2</v>
      </c>
      <c r="C12" s="5">
        <f t="shared" si="2"/>
        <v>0.99155265244127333</v>
      </c>
      <c r="D12" s="5">
        <f t="shared" si="3"/>
        <v>-8.4832286084690622E-3</v>
      </c>
      <c r="E12" s="5">
        <f t="shared" si="0"/>
        <v>1.084954033281349E-2</v>
      </c>
      <c r="F12" s="5">
        <f t="shared" si="6"/>
        <v>0.2229012081447376</v>
      </c>
      <c r="G12" s="5">
        <f t="shared" si="1"/>
        <v>0.22283271129640841</v>
      </c>
      <c r="H12" s="5">
        <f t="shared" si="4"/>
        <v>0.4681359481016984</v>
      </c>
      <c r="I12" s="5">
        <v>0.47599999999999998</v>
      </c>
      <c r="J12" s="11">
        <f t="shared" si="5"/>
        <v>0.24530323680528993</v>
      </c>
    </row>
    <row r="13" spans="1:13" x14ac:dyDescent="0.25">
      <c r="A13" s="2">
        <v>11</v>
      </c>
      <c r="B13" s="5">
        <v>1.9963863451266661E-2</v>
      </c>
      <c r="C13" s="5">
        <f t="shared" si="2"/>
        <v>1.0109086100285938</v>
      </c>
      <c r="D13" s="5">
        <f t="shared" si="3"/>
        <v>1.084954033281349E-2</v>
      </c>
      <c r="E13" s="5">
        <f t="shared" si="0"/>
        <v>2.5388633617673406E-2</v>
      </c>
      <c r="F13" s="5">
        <f t="shared" si="6"/>
        <v>0.22283271129640841</v>
      </c>
      <c r="G13" s="5">
        <f t="shared" si="1"/>
        <v>0.22714768786508444</v>
      </c>
      <c r="H13" s="5">
        <f t="shared" si="4"/>
        <v>0.47720102492664801</v>
      </c>
      <c r="I13" s="5">
        <v>0.47599999999999998</v>
      </c>
      <c r="J13" s="11">
        <f t="shared" si="5"/>
        <v>0.25005333706156352</v>
      </c>
    </row>
    <row r="14" spans="1:13" x14ac:dyDescent="0.25">
      <c r="A14" s="2">
        <v>12</v>
      </c>
      <c r="B14" s="5">
        <v>3.4277718441444449E-3</v>
      </c>
      <c r="C14" s="5">
        <f t="shared" si="2"/>
        <v>1.0257136698887979</v>
      </c>
      <c r="D14" s="5">
        <f t="shared" si="3"/>
        <v>2.5388633617673406E-2</v>
      </c>
      <c r="E14" s="5">
        <f t="shared" si="0"/>
        <v>1.6122088652981148E-2</v>
      </c>
      <c r="F14" s="5">
        <f t="shared" si="6"/>
        <v>0.22714768786508444</v>
      </c>
      <c r="G14" s="5">
        <f t="shared" si="1"/>
        <v>0.23269510978676242</v>
      </c>
      <c r="H14" s="5">
        <f t="shared" si="4"/>
        <v>0.48885527266126561</v>
      </c>
      <c r="I14" s="5">
        <v>0.47599999999999998</v>
      </c>
      <c r="J14" s="11">
        <f t="shared" si="5"/>
        <v>0.25616016287450316</v>
      </c>
    </row>
    <row r="15" spans="1:13" x14ac:dyDescent="0.25">
      <c r="A15" s="2">
        <v>13</v>
      </c>
      <c r="B15" s="5">
        <v>3.3346623240504414E-3</v>
      </c>
      <c r="C15" s="5">
        <f t="shared" si="2"/>
        <v>1.0162527507618835</v>
      </c>
      <c r="D15" s="5">
        <f t="shared" si="3"/>
        <v>1.6122088652981148E-2</v>
      </c>
      <c r="E15" s="5">
        <f t="shared" si="0"/>
        <v>1.1395706650541015E-2</v>
      </c>
      <c r="F15" s="5">
        <f t="shared" si="6"/>
        <v>0.23269510978676242</v>
      </c>
      <c r="G15" s="5">
        <f t="shared" si="1"/>
        <v>0.23334705012283879</v>
      </c>
      <c r="H15" s="5">
        <f t="shared" si="4"/>
        <v>0.49022489521604795</v>
      </c>
      <c r="I15" s="5">
        <v>0.47599999999999998</v>
      </c>
      <c r="J15" s="11">
        <f t="shared" si="5"/>
        <v>0.2568778450932091</v>
      </c>
    </row>
    <row r="16" spans="1:13" x14ac:dyDescent="0.25">
      <c r="A16" s="2">
        <v>14</v>
      </c>
      <c r="B16" s="5">
        <v>8.4324710769578815E-3</v>
      </c>
      <c r="C16" s="5">
        <f t="shared" si="2"/>
        <v>1.0114608850649751</v>
      </c>
      <c r="D16" s="5">
        <f t="shared" si="3"/>
        <v>1.1395706650541015E-2</v>
      </c>
      <c r="E16" s="5">
        <f t="shared" si="0"/>
        <v>1.4130324402228389E-2</v>
      </c>
      <c r="F16" s="5">
        <f t="shared" si="6"/>
        <v>0.23334705012283879</v>
      </c>
      <c r="G16" s="5">
        <f t="shared" si="1"/>
        <v>0.23257187960410625</v>
      </c>
      <c r="H16" s="5">
        <f t="shared" si="4"/>
        <v>0.48859638572291231</v>
      </c>
      <c r="I16" s="5">
        <v>0.47599999999999998</v>
      </c>
      <c r="J16" s="11">
        <f t="shared" si="5"/>
        <v>0.25602450611880606</v>
      </c>
    </row>
    <row r="17" spans="1:10" x14ac:dyDescent="0.25">
      <c r="A17" s="2">
        <v>15</v>
      </c>
      <c r="B17" s="5">
        <v>1.0828534868778661E-2</v>
      </c>
      <c r="C17" s="5">
        <f t="shared" si="2"/>
        <v>1.0142306293262806</v>
      </c>
      <c r="D17" s="5">
        <f t="shared" si="3"/>
        <v>1.4130324402228389E-2</v>
      </c>
      <c r="E17" s="5">
        <f t="shared" si="0"/>
        <v>1.7893697069892855E-2</v>
      </c>
      <c r="F17" s="5">
        <f t="shared" si="6"/>
        <v>0.23257187960410625</v>
      </c>
      <c r="G17" s="5">
        <f t="shared" si="1"/>
        <v>0.23282106742160871</v>
      </c>
      <c r="H17" s="5">
        <f t="shared" si="4"/>
        <v>0.48911988954119479</v>
      </c>
      <c r="I17" s="5">
        <v>0.47599999999999998</v>
      </c>
      <c r="J17" s="11">
        <f t="shared" si="5"/>
        <v>0.2562988221195861</v>
      </c>
    </row>
    <row r="18" spans="1:10" x14ac:dyDescent="0.25">
      <c r="A18" s="2">
        <v>16</v>
      </c>
      <c r="B18" s="5">
        <v>-1.3512362784240395E-2</v>
      </c>
      <c r="C18" s="5">
        <f t="shared" si="2"/>
        <v>1.0180547484346532</v>
      </c>
      <c r="D18" s="5">
        <f t="shared" si="3"/>
        <v>1.7893697069892855E-2</v>
      </c>
      <c r="E18" s="5">
        <f t="shared" si="0"/>
        <v>-4.5655142492939671E-3</v>
      </c>
      <c r="F18" s="5">
        <f t="shared" si="6"/>
        <v>0.23282106742160871</v>
      </c>
      <c r="G18" s="5">
        <f t="shared" si="1"/>
        <v>0.23382407481936007</v>
      </c>
      <c r="H18" s="5">
        <f t="shared" si="4"/>
        <v>0.49122704793983213</v>
      </c>
      <c r="I18" s="5">
        <v>0.47599999999999998</v>
      </c>
      <c r="J18" s="11">
        <f t="shared" si="5"/>
        <v>0.257402973120472</v>
      </c>
    </row>
    <row r="19" spans="1:10" x14ac:dyDescent="0.25">
      <c r="A19" s="2">
        <v>17</v>
      </c>
      <c r="B19" s="5">
        <v>-2.7559053705772385E-2</v>
      </c>
      <c r="C19" s="5">
        <f t="shared" si="2"/>
        <v>0.99544489186843677</v>
      </c>
      <c r="D19" s="5">
        <f t="shared" si="3"/>
        <v>-4.5655142492939671E-3</v>
      </c>
      <c r="E19" s="5">
        <f t="shared" si="0"/>
        <v>-2.9841810830419369E-2</v>
      </c>
      <c r="F19" s="5">
        <f t="shared" si="6"/>
        <v>0.23382407481936007</v>
      </c>
      <c r="G19" s="5">
        <f t="shared" si="1"/>
        <v>0.22912305293296809</v>
      </c>
      <c r="H19" s="5">
        <f t="shared" si="4"/>
        <v>0.48135095153984891</v>
      </c>
      <c r="I19" s="5">
        <v>0.47599999999999998</v>
      </c>
      <c r="J19" s="11">
        <f t="shared" si="5"/>
        <v>0.25222789860688083</v>
      </c>
    </row>
    <row r="20" spans="1:10" x14ac:dyDescent="0.25">
      <c r="A20" s="2">
        <v>18</v>
      </c>
      <c r="B20" s="5">
        <v>-1.3903263607062399E-2</v>
      </c>
      <c r="C20" s="5">
        <f t="shared" si="2"/>
        <v>0.97059905966434767</v>
      </c>
      <c r="D20" s="5">
        <f t="shared" si="3"/>
        <v>-2.9841810830419369E-2</v>
      </c>
      <c r="E20" s="5">
        <f t="shared" si="0"/>
        <v>-2.8824169022272084E-2</v>
      </c>
      <c r="F20" s="5">
        <f t="shared" si="6"/>
        <v>0.22912305293296809</v>
      </c>
      <c r="G20" s="5">
        <f t="shared" si="1"/>
        <v>0.22114708166606808</v>
      </c>
      <c r="H20" s="5">
        <f t="shared" si="4"/>
        <v>0.46459470938249597</v>
      </c>
      <c r="I20" s="5">
        <v>0.47599999999999998</v>
      </c>
      <c r="J20" s="11">
        <f t="shared" si="5"/>
        <v>0.24344762771642792</v>
      </c>
    </row>
    <row r="21" spans="1:10" x14ac:dyDescent="0.25">
      <c r="A21" s="2">
        <v>19</v>
      </c>
      <c r="B21" s="5">
        <v>-2.598526407382451E-2</v>
      </c>
      <c r="C21" s="5">
        <f t="shared" si="2"/>
        <v>0.9715872845906276</v>
      </c>
      <c r="D21" s="5">
        <f t="shared" si="3"/>
        <v>-2.8824169022272084E-2</v>
      </c>
      <c r="E21" s="5">
        <f t="shared" si="0"/>
        <v>-4.0397348584960552E-2</v>
      </c>
      <c r="F21" s="5">
        <f t="shared" si="6"/>
        <v>0.22114708166606808</v>
      </c>
      <c r="G21" s="5">
        <f t="shared" si="1"/>
        <v>0.21748503634421024</v>
      </c>
      <c r="H21" s="5">
        <f t="shared" si="4"/>
        <v>0.45690133685758455</v>
      </c>
      <c r="I21" s="5">
        <v>0.47599999999999998</v>
      </c>
      <c r="J21" s="11">
        <f t="shared" si="5"/>
        <v>0.23941630051337429</v>
      </c>
    </row>
    <row r="22" spans="1:10" x14ac:dyDescent="0.25">
      <c r="A22" s="2">
        <v>20</v>
      </c>
      <c r="B22" s="5">
        <v>-2.7770147426053882E-2</v>
      </c>
      <c r="C22" s="5">
        <f t="shared" si="2"/>
        <v>0.96040774666573769</v>
      </c>
      <c r="D22" s="5">
        <f t="shared" si="3"/>
        <v>-4.0397348584960552E-2</v>
      </c>
      <c r="E22" s="5">
        <f t="shared" si="0"/>
        <v>-4.7968821718534158E-2</v>
      </c>
      <c r="F22" s="5">
        <f t="shared" si="6"/>
        <v>0.21748503634421024</v>
      </c>
      <c r="G22" s="5">
        <f t="shared" si="1"/>
        <v>0.21319513882593563</v>
      </c>
      <c r="H22" s="5">
        <f t="shared" si="4"/>
        <v>0.44788894711331018</v>
      </c>
      <c r="I22" s="5">
        <v>0.47599999999999998</v>
      </c>
      <c r="J22" s="11">
        <f t="shared" si="5"/>
        <v>0.23469380828737454</v>
      </c>
    </row>
    <row r="23" spans="1:10" x14ac:dyDescent="0.25">
      <c r="A23" s="2">
        <v>21</v>
      </c>
      <c r="B23" s="5">
        <v>-6.8294184529804625E-3</v>
      </c>
      <c r="C23" s="5">
        <f t="shared" si="2"/>
        <v>0.95316350461426136</v>
      </c>
      <c r="D23" s="5">
        <f t="shared" si="3"/>
        <v>-4.7968821718534158E-2</v>
      </c>
      <c r="E23" s="5">
        <f t="shared" si="0"/>
        <v>-3.0813829312247541E-2</v>
      </c>
      <c r="F23" s="5">
        <f t="shared" si="6"/>
        <v>0.21319513882593563</v>
      </c>
      <c r="G23" s="5">
        <f t="shared" si="1"/>
        <v>0.20948986027222935</v>
      </c>
      <c r="H23" s="5">
        <f t="shared" si="4"/>
        <v>0.44010474847107006</v>
      </c>
      <c r="I23" s="5">
        <v>0.47599999999999998</v>
      </c>
      <c r="J23" s="11">
        <f t="shared" si="5"/>
        <v>0.23061488819884074</v>
      </c>
    </row>
    <row r="24" spans="1:10" x14ac:dyDescent="0.25">
      <c r="A24" s="2">
        <v>22</v>
      </c>
      <c r="B24" s="5">
        <v>8.1274492913507856E-3</v>
      </c>
      <c r="C24" s="5">
        <f t="shared" si="2"/>
        <v>0.96965607781204877</v>
      </c>
      <c r="D24" s="5">
        <f t="shared" si="3"/>
        <v>-3.0813829312247541E-2</v>
      </c>
      <c r="E24" s="5">
        <f t="shared" si="0"/>
        <v>-7.279465364772985E-3</v>
      </c>
      <c r="F24" s="5">
        <f t="shared" si="6"/>
        <v>0.20948986027222935</v>
      </c>
      <c r="G24" s="5">
        <f t="shared" si="1"/>
        <v>0.21125460286203457</v>
      </c>
      <c r="H24" s="5">
        <f t="shared" si="4"/>
        <v>0.44381219088662727</v>
      </c>
      <c r="I24" s="5">
        <v>0.47599999999999998</v>
      </c>
      <c r="J24" s="11">
        <f t="shared" si="5"/>
        <v>0.2325575880245927</v>
      </c>
    </row>
    <row r="25" spans="1:10" x14ac:dyDescent="0.25">
      <c r="A25" s="2">
        <v>23</v>
      </c>
      <c r="B25" s="5">
        <v>-1.2837608664995059E-2</v>
      </c>
      <c r="C25" s="5">
        <f t="shared" si="2"/>
        <v>0.99274696576949661</v>
      </c>
      <c r="D25" s="5">
        <f t="shared" si="3"/>
        <v>-7.279465364772985E-3</v>
      </c>
      <c r="E25" s="5">
        <f t="shared" si="0"/>
        <v>-1.6477341347381554E-2</v>
      </c>
      <c r="F25" s="5">
        <f t="shared" si="6"/>
        <v>0.21125460286203457</v>
      </c>
      <c r="G25" s="5">
        <f t="shared" si="1"/>
        <v>0.21719439385012126</v>
      </c>
      <c r="H25" s="5">
        <f t="shared" si="4"/>
        <v>0.45629074338260772</v>
      </c>
      <c r="I25" s="5">
        <v>0.47599999999999998</v>
      </c>
      <c r="J25" s="11">
        <f t="shared" si="5"/>
        <v>0.23909634953248646</v>
      </c>
    </row>
    <row r="26" spans="1:10" x14ac:dyDescent="0.25">
      <c r="A26" s="2">
        <v>24</v>
      </c>
      <c r="B26" s="5">
        <v>1.714051904855296E-2</v>
      </c>
      <c r="C26" s="5">
        <f t="shared" si="2"/>
        <v>0.98365766749554551</v>
      </c>
      <c r="D26" s="5">
        <f t="shared" si="3"/>
        <v>-1.6477341347381554E-2</v>
      </c>
      <c r="E26" s="5">
        <f t="shared" si="0"/>
        <v>8.9018483748621834E-3</v>
      </c>
      <c r="F26" s="5">
        <f t="shared" si="6"/>
        <v>0.21719439385012126</v>
      </c>
      <c r="G26" s="5">
        <f t="shared" si="1"/>
        <v>0.2182102967421708</v>
      </c>
      <c r="H26" s="5">
        <f t="shared" si="4"/>
        <v>0.45842499315582103</v>
      </c>
      <c r="I26" s="5">
        <v>0.47599999999999998</v>
      </c>
      <c r="J26" s="11">
        <f t="shared" si="5"/>
        <v>0.24021469641365023</v>
      </c>
    </row>
    <row r="27" spans="1:10" x14ac:dyDescent="0.25">
      <c r="A27" s="2">
        <v>25</v>
      </c>
      <c r="B27" s="5">
        <v>-1.2330337995081209E-2</v>
      </c>
      <c r="C27" s="5">
        <f t="shared" si="2"/>
        <v>1.0089415876572698</v>
      </c>
      <c r="D27" s="5">
        <f t="shared" si="3"/>
        <v>8.9018483748621834E-3</v>
      </c>
      <c r="E27" s="5">
        <f t="shared" si="0"/>
        <v>-7.879413807650117E-3</v>
      </c>
      <c r="F27" s="5">
        <f t="shared" si="6"/>
        <v>0.2182102967421708</v>
      </c>
      <c r="G27" s="5">
        <f t="shared" si="1"/>
        <v>0.22434200466083395</v>
      </c>
      <c r="H27" s="5">
        <f t="shared" si="4"/>
        <v>0.47130673248074362</v>
      </c>
      <c r="I27" s="5">
        <v>0.47599999999999998</v>
      </c>
      <c r="J27" s="11">
        <f t="shared" si="5"/>
        <v>0.24696472781990966</v>
      </c>
    </row>
    <row r="28" spans="1:10" x14ac:dyDescent="0.25">
      <c r="A28" s="2">
        <v>26</v>
      </c>
      <c r="B28" s="5">
        <v>6.7499968281481415E-3</v>
      </c>
      <c r="C28" s="5">
        <f t="shared" si="2"/>
        <v>0.99215154740123312</v>
      </c>
      <c r="D28" s="5">
        <f t="shared" si="3"/>
        <v>-7.879413807650117E-3</v>
      </c>
      <c r="E28" s="5">
        <f t="shared" si="0"/>
        <v>2.810289924323083E-3</v>
      </c>
      <c r="F28" s="5">
        <f t="shared" si="6"/>
        <v>0.22434200466083395</v>
      </c>
      <c r="G28" s="5">
        <f t="shared" si="1"/>
        <v>0.2236867527514006</v>
      </c>
      <c r="H28" s="5">
        <f t="shared" si="4"/>
        <v>0.46993015283907691</v>
      </c>
      <c r="I28" s="5">
        <v>0.47599999999999998</v>
      </c>
      <c r="J28" s="11">
        <f t="shared" si="5"/>
        <v>0.24624340008767631</v>
      </c>
    </row>
    <row r="29" spans="1:10" x14ac:dyDescent="0.25">
      <c r="A29" s="2">
        <v>27</v>
      </c>
      <c r="B29" s="5">
        <v>7.0829628384672105E-3</v>
      </c>
      <c r="C29" s="5">
        <f t="shared" si="2"/>
        <v>1.0028142424908044</v>
      </c>
      <c r="D29" s="5">
        <f t="shared" si="3"/>
        <v>2.810289924323083E-3</v>
      </c>
      <c r="E29" s="5">
        <f t="shared" si="0"/>
        <v>8.4881078006287525E-3</v>
      </c>
      <c r="F29" s="5">
        <f t="shared" si="6"/>
        <v>0.2236867527514006</v>
      </c>
      <c r="G29" s="5">
        <f t="shared" si="1"/>
        <v>0.2257603026370518</v>
      </c>
      <c r="H29" s="5">
        <f t="shared" si="4"/>
        <v>0.47428635007783992</v>
      </c>
      <c r="I29" s="5">
        <v>0.47599999999999998</v>
      </c>
      <c r="J29" s="11">
        <f t="shared" si="5"/>
        <v>0.24852604744078813</v>
      </c>
    </row>
    <row r="30" spans="1:10" x14ac:dyDescent="0.25">
      <c r="A30" s="2">
        <v>28</v>
      </c>
      <c r="B30" s="5">
        <v>1.2297050488996319E-2</v>
      </c>
      <c r="C30" s="5">
        <f t="shared" si="2"/>
        <v>1.0085242339294638</v>
      </c>
      <c r="D30" s="5">
        <f t="shared" si="3"/>
        <v>8.4881078006287525E-3</v>
      </c>
      <c r="E30" s="5">
        <f t="shared" si="0"/>
        <v>1.6541104389310696E-2</v>
      </c>
      <c r="F30" s="5">
        <f t="shared" si="6"/>
        <v>0.2257603026370518</v>
      </c>
      <c r="G30" s="5">
        <f t="shared" si="1"/>
        <v>0.22809569067633445</v>
      </c>
      <c r="H30" s="5">
        <f t="shared" si="4"/>
        <v>0.47919262747129093</v>
      </c>
      <c r="I30" s="5">
        <v>0.47599999999999998</v>
      </c>
      <c r="J30" s="11">
        <f t="shared" si="5"/>
        <v>0.25109693679495643</v>
      </c>
    </row>
    <row r="31" spans="1:10" x14ac:dyDescent="0.25">
      <c r="A31" s="2">
        <v>29</v>
      </c>
      <c r="B31" s="5">
        <v>-3.9881342672742903E-3</v>
      </c>
      <c r="C31" s="5">
        <f t="shared" si="2"/>
        <v>1.0166786658828784</v>
      </c>
      <c r="D31" s="5">
        <f t="shared" si="3"/>
        <v>1.6541104389310696E-2</v>
      </c>
      <c r="E31" s="5">
        <f t="shared" si="0"/>
        <v>4.2824179273810575E-3</v>
      </c>
      <c r="F31" s="5">
        <f t="shared" si="6"/>
        <v>0.22809569067633445</v>
      </c>
      <c r="G31" s="5">
        <f t="shared" si="1"/>
        <v>0.23112621291254995</v>
      </c>
      <c r="H31" s="5">
        <f t="shared" si="4"/>
        <v>0.48555927082468481</v>
      </c>
      <c r="I31" s="5">
        <v>0.47599999999999998</v>
      </c>
      <c r="J31" s="11">
        <f t="shared" si="5"/>
        <v>0.25443305791213483</v>
      </c>
    </row>
    <row r="32" spans="1:10" x14ac:dyDescent="0.25">
      <c r="A32" s="2">
        <v>30</v>
      </c>
      <c r="B32" s="5">
        <v>-3.335144356242381E-2</v>
      </c>
      <c r="C32" s="5">
        <f t="shared" si="2"/>
        <v>1.004291600582343</v>
      </c>
      <c r="D32" s="5">
        <f t="shared" si="3"/>
        <v>4.2824179273810575E-3</v>
      </c>
      <c r="E32" s="5">
        <f t="shared" si="0"/>
        <v>-3.1210234598733282E-2</v>
      </c>
      <c r="F32" s="5">
        <f t="shared" si="6"/>
        <v>0.23112621291254995</v>
      </c>
      <c r="G32" s="5">
        <f t="shared" si="1"/>
        <v>0.22982188628227238</v>
      </c>
      <c r="H32" s="5">
        <f t="shared" si="4"/>
        <v>0.48281908882830332</v>
      </c>
      <c r="I32" s="5">
        <v>0.47599999999999998</v>
      </c>
      <c r="J32" s="11">
        <f t="shared" si="5"/>
        <v>0.25299720254603092</v>
      </c>
    </row>
    <row r="33" spans="1:10" x14ac:dyDescent="0.25">
      <c r="A33" s="2">
        <v>31</v>
      </c>
      <c r="B33" s="5">
        <v>1.5246178008965217E-2</v>
      </c>
      <c r="C33" s="5">
        <f t="shared" si="2"/>
        <v>0.96927177719116231</v>
      </c>
      <c r="D33" s="5">
        <f t="shared" si="3"/>
        <v>-3.1210234598733282E-2</v>
      </c>
      <c r="E33" s="5">
        <f t="shared" si="0"/>
        <v>-3.5893929040142422E-4</v>
      </c>
      <c r="F33" s="5">
        <f t="shared" si="6"/>
        <v>0.22982188628227238</v>
      </c>
      <c r="G33" s="5">
        <f t="shared" si="1"/>
        <v>0.22118120127997801</v>
      </c>
      <c r="H33" s="5">
        <f t="shared" si="4"/>
        <v>0.46466638924365133</v>
      </c>
      <c r="I33" s="5">
        <v>0.47599999999999998</v>
      </c>
      <c r="J33" s="11">
        <f t="shared" si="5"/>
        <v>0.24348518796367327</v>
      </c>
    </row>
    <row r="34" spans="1:10" x14ac:dyDescent="0.25">
      <c r="A34" s="2">
        <v>32</v>
      </c>
      <c r="B34" s="5">
        <v>-2.0525658328551799E-2</v>
      </c>
      <c r="C34" s="5">
        <f t="shared" si="2"/>
        <v>0.99964112512059888</v>
      </c>
      <c r="D34" s="5">
        <f t="shared" si="3"/>
        <v>-3.5893929040142422E-4</v>
      </c>
      <c r="E34" s="5">
        <f t="shared" ref="E34:E65" si="7">$M$3*D34+B34</f>
        <v>-2.0705127973752513E-2</v>
      </c>
      <c r="F34" s="5">
        <f t="shared" si="6"/>
        <v>0.22118120127997801</v>
      </c>
      <c r="G34" s="5">
        <f t="shared" ref="G34:G65" si="8">F35</f>
        <v>0.22378201167997808</v>
      </c>
      <c r="H34" s="5">
        <f t="shared" si="4"/>
        <v>0.4701302766386094</v>
      </c>
      <c r="I34" s="5">
        <v>0.47599999999999998</v>
      </c>
      <c r="J34" s="11">
        <f t="shared" si="5"/>
        <v>0.24634826495863135</v>
      </c>
    </row>
    <row r="35" spans="1:10" x14ac:dyDescent="0.25">
      <c r="A35" s="2">
        <v>33</v>
      </c>
      <c r="B35" s="5">
        <v>8.2522319644340314E-3</v>
      </c>
      <c r="C35" s="5">
        <f t="shared" ref="C35:C66" si="9">EXP(D35)</f>
        <v>0.97950775142517232</v>
      </c>
      <c r="D35" s="5">
        <f t="shared" ref="D35:D66" si="10">E34</f>
        <v>-2.0705127973752513E-2</v>
      </c>
      <c r="E35" s="5">
        <f t="shared" si="7"/>
        <v>-2.1003320224422251E-3</v>
      </c>
      <c r="F35" s="5">
        <f t="shared" si="6"/>
        <v>0.22378201167997808</v>
      </c>
      <c r="G35" s="5">
        <f t="shared" si="8"/>
        <v>0.22056033701422684</v>
      </c>
      <c r="H35" s="5">
        <f t="shared" si="4"/>
        <v>0.46336205255089674</v>
      </c>
      <c r="I35" s="5">
        <v>0.47599999999999998</v>
      </c>
      <c r="J35" s="11">
        <f t="shared" si="5"/>
        <v>0.2428017155366699</v>
      </c>
    </row>
    <row r="36" spans="1:10" x14ac:dyDescent="0.25">
      <c r="A36" s="2">
        <v>34</v>
      </c>
      <c r="B36" s="5">
        <v>1.4436159290198702E-2</v>
      </c>
      <c r="C36" s="5">
        <f t="shared" si="9"/>
        <v>0.99790187213143833</v>
      </c>
      <c r="D36" s="5">
        <f t="shared" si="10"/>
        <v>-2.1003320224422251E-3</v>
      </c>
      <c r="E36" s="5">
        <f t="shared" si="7"/>
        <v>1.338599327897759E-2</v>
      </c>
      <c r="F36" s="5">
        <f t="shared" si="6"/>
        <v>0.22056033701422684</v>
      </c>
      <c r="G36" s="5">
        <f t="shared" si="8"/>
        <v>0.22307890212573572</v>
      </c>
      <c r="H36" s="5">
        <f t="shared" si="4"/>
        <v>0.46865315572633554</v>
      </c>
      <c r="I36" s="5">
        <v>0.47599999999999998</v>
      </c>
      <c r="J36" s="11">
        <f t="shared" si="5"/>
        <v>0.24557425360059987</v>
      </c>
    </row>
    <row r="37" spans="1:10" x14ac:dyDescent="0.25">
      <c r="A37" s="2">
        <v>35</v>
      </c>
      <c r="B37" s="5">
        <v>-9.4969436759129167E-4</v>
      </c>
      <c r="C37" s="5">
        <f t="shared" si="9"/>
        <v>1.0134759867895233</v>
      </c>
      <c r="D37" s="5">
        <f t="shared" si="10"/>
        <v>1.338599327897759E-2</v>
      </c>
      <c r="E37" s="5">
        <f t="shared" si="7"/>
        <v>5.7433022718975033E-3</v>
      </c>
      <c r="F37" s="5">
        <f t="shared" si="6"/>
        <v>0.22307890212573572</v>
      </c>
      <c r="G37" s="5">
        <f t="shared" si="8"/>
        <v>0.22785033160067664</v>
      </c>
      <c r="H37" s="5">
        <f t="shared" si="4"/>
        <v>0.47867716722831227</v>
      </c>
      <c r="I37" s="5">
        <v>0.47599999999999998</v>
      </c>
      <c r="J37" s="11">
        <f t="shared" si="5"/>
        <v>0.25082683562763564</v>
      </c>
    </row>
    <row r="38" spans="1:10" x14ac:dyDescent="0.25">
      <c r="A38" s="2">
        <v>36</v>
      </c>
      <c r="B38" s="5">
        <v>-7.6834112405776978E-2</v>
      </c>
      <c r="C38" s="5">
        <f t="shared" si="9"/>
        <v>1.0057598266520809</v>
      </c>
      <c r="D38" s="5">
        <f t="shared" si="10"/>
        <v>5.7433022718975033E-3</v>
      </c>
      <c r="E38" s="5">
        <f t="shared" si="7"/>
        <v>-7.3962461269828222E-2</v>
      </c>
      <c r="F38" s="5">
        <f t="shared" si="6"/>
        <v>0.22785033160067664</v>
      </c>
      <c r="G38" s="5">
        <f t="shared" si="8"/>
        <v>0.22852097571017971</v>
      </c>
      <c r="H38" s="5">
        <f t="shared" si="4"/>
        <v>0.48008608342474729</v>
      </c>
      <c r="I38" s="5">
        <v>0.47599999999999998</v>
      </c>
      <c r="J38" s="11">
        <f t="shared" si="5"/>
        <v>0.25156510771456758</v>
      </c>
    </row>
    <row r="39" spans="1:10" x14ac:dyDescent="0.25">
      <c r="A39" s="2">
        <v>37</v>
      </c>
      <c r="B39" s="5">
        <v>8.3389295468805358E-3</v>
      </c>
      <c r="C39" s="5">
        <f t="shared" si="9"/>
        <v>0.92870655565175042</v>
      </c>
      <c r="D39" s="5">
        <f t="shared" si="10"/>
        <v>-7.3962461269828222E-2</v>
      </c>
      <c r="E39" s="5">
        <f t="shared" si="7"/>
        <v>-2.8642301088033575E-2</v>
      </c>
      <c r="F39" s="5">
        <f t="shared" si="6"/>
        <v>0.22852097571017971</v>
      </c>
      <c r="G39" s="5">
        <f t="shared" si="8"/>
        <v>0.2113238424547314</v>
      </c>
      <c r="H39" s="5">
        <f t="shared" si="4"/>
        <v>0.44395765221582228</v>
      </c>
      <c r="I39" s="5">
        <v>0.47599999999999998</v>
      </c>
      <c r="J39" s="11">
        <f t="shared" si="5"/>
        <v>0.23263380976109088</v>
      </c>
    </row>
    <row r="40" spans="1:10" x14ac:dyDescent="0.25">
      <c r="A40" s="2">
        <v>38</v>
      </c>
      <c r="B40" s="5">
        <v>2.1136247596587054E-2</v>
      </c>
      <c r="C40" s="5">
        <f t="shared" si="9"/>
        <v>0.97176400123206663</v>
      </c>
      <c r="D40" s="5">
        <f t="shared" si="10"/>
        <v>-2.8642301088033575E-2</v>
      </c>
      <c r="E40" s="5">
        <f t="shared" si="7"/>
        <v>6.8150970525702667E-3</v>
      </c>
      <c r="F40" s="5">
        <f t="shared" si="6"/>
        <v>0.2113238424547314</v>
      </c>
      <c r="G40" s="5">
        <f t="shared" si="8"/>
        <v>0.21263855326777178</v>
      </c>
      <c r="H40" s="5">
        <f t="shared" si="4"/>
        <v>0.44671964972220968</v>
      </c>
      <c r="I40" s="5">
        <v>0.47599999999999998</v>
      </c>
      <c r="J40" s="11">
        <f t="shared" si="5"/>
        <v>0.23408109645443786</v>
      </c>
    </row>
    <row r="41" spans="1:10" x14ac:dyDescent="0.25">
      <c r="A41" s="2">
        <v>39</v>
      </c>
      <c r="B41" s="5">
        <v>1.2986470210307743E-2</v>
      </c>
      <c r="C41" s="5">
        <f t="shared" si="9"/>
        <v>1.0068383726716466</v>
      </c>
      <c r="D41" s="5">
        <f t="shared" si="10"/>
        <v>6.8150970525702667E-3</v>
      </c>
      <c r="E41" s="5">
        <f t="shared" si="7"/>
        <v>1.6394018736592877E-2</v>
      </c>
      <c r="F41" s="5">
        <f t="shared" si="6"/>
        <v>0.21263855326777178</v>
      </c>
      <c r="G41" s="5">
        <f t="shared" si="8"/>
        <v>0.22099768081859747</v>
      </c>
      <c r="H41" s="5">
        <f t="shared" si="4"/>
        <v>0.46428084205587705</v>
      </c>
      <c r="I41" s="5">
        <v>0.47599999999999998</v>
      </c>
      <c r="J41" s="11">
        <f t="shared" si="5"/>
        <v>0.24328316123727961</v>
      </c>
    </row>
    <row r="42" spans="1:10" x14ac:dyDescent="0.25">
      <c r="A42" s="2">
        <v>40</v>
      </c>
      <c r="B42" s="5">
        <v>-1.8115224520443007E-2</v>
      </c>
      <c r="C42" s="5">
        <f t="shared" si="9"/>
        <v>1.0165291380346728</v>
      </c>
      <c r="D42" s="5">
        <f t="shared" si="10"/>
        <v>1.6394018736592877E-2</v>
      </c>
      <c r="E42" s="5">
        <f t="shared" si="7"/>
        <v>-9.918215152146569E-3</v>
      </c>
      <c r="F42" s="5">
        <f t="shared" si="6"/>
        <v>0.22099768081859747</v>
      </c>
      <c r="G42" s="5">
        <f t="shared" si="8"/>
        <v>0.22746817470337252</v>
      </c>
      <c r="H42" s="5">
        <f t="shared" si="4"/>
        <v>0.47787431660372381</v>
      </c>
      <c r="I42" s="5">
        <v>0.47599999999999998</v>
      </c>
      <c r="J42" s="11">
        <f t="shared" si="5"/>
        <v>0.25040614190035126</v>
      </c>
    </row>
    <row r="43" spans="1:10" x14ac:dyDescent="0.25">
      <c r="A43" s="2">
        <v>41</v>
      </c>
      <c r="B43" s="5">
        <v>2.4764631234575063E-3</v>
      </c>
      <c r="C43" s="5">
        <f t="shared" si="9"/>
        <v>0.99013080813538235</v>
      </c>
      <c r="D43" s="5">
        <f t="shared" si="10"/>
        <v>-9.918215152146569E-3</v>
      </c>
      <c r="E43" s="5">
        <f t="shared" si="7"/>
        <v>-2.4826444526157782E-3</v>
      </c>
      <c r="F43" s="5">
        <f t="shared" si="6"/>
        <v>0.22746817470337252</v>
      </c>
      <c r="G43" s="5">
        <f t="shared" si="8"/>
        <v>0.22478112886909127</v>
      </c>
      <c r="H43" s="5">
        <f t="shared" si="4"/>
        <v>0.47222926233002371</v>
      </c>
      <c r="I43" s="5">
        <v>0.47599999999999998</v>
      </c>
      <c r="J43" s="11">
        <f t="shared" si="5"/>
        <v>0.24744813346093242</v>
      </c>
    </row>
    <row r="44" spans="1:10" x14ac:dyDescent="0.25">
      <c r="A44" s="2">
        <v>42</v>
      </c>
      <c r="B44" s="5">
        <v>2.5228291633538902E-2</v>
      </c>
      <c r="C44" s="5">
        <f t="shared" si="9"/>
        <v>0.99752043476039909</v>
      </c>
      <c r="D44" s="5">
        <f t="shared" si="10"/>
        <v>-2.4826444526157782E-3</v>
      </c>
      <c r="E44" s="5">
        <f t="shared" si="7"/>
        <v>2.3986969407231013E-2</v>
      </c>
      <c r="F44" s="5">
        <f t="shared" si="6"/>
        <v>0.22478112886909127</v>
      </c>
      <c r="G44" s="5">
        <f t="shared" si="8"/>
        <v>0.22511719975280778</v>
      </c>
      <c r="H44" s="5">
        <f t="shared" si="4"/>
        <v>0.47293529359833569</v>
      </c>
      <c r="I44" s="5">
        <v>0.47599999999999998</v>
      </c>
      <c r="J44" s="11">
        <f t="shared" si="5"/>
        <v>0.24781809384552791</v>
      </c>
    </row>
    <row r="45" spans="1:10" x14ac:dyDescent="0.25">
      <c r="A45" s="2">
        <v>43</v>
      </c>
      <c r="B45" s="5">
        <v>-1.3297494660946541E-3</v>
      </c>
      <c r="C45" s="5">
        <f t="shared" si="9"/>
        <v>1.0242769708675719</v>
      </c>
      <c r="D45" s="5">
        <f t="shared" si="10"/>
        <v>2.3986969407231013E-2</v>
      </c>
      <c r="E45" s="5">
        <f t="shared" si="7"/>
        <v>1.0663735237520853E-2</v>
      </c>
      <c r="F45" s="5">
        <f t="shared" si="6"/>
        <v>0.22511719975280778</v>
      </c>
      <c r="G45" s="5">
        <f t="shared" si="8"/>
        <v>0.23132826475957169</v>
      </c>
      <c r="H45" s="5">
        <f t="shared" si="4"/>
        <v>0.48598374949489859</v>
      </c>
      <c r="I45" s="5">
        <v>0.47599999999999998</v>
      </c>
      <c r="J45" s="11">
        <f t="shared" si="5"/>
        <v>0.25465548473532684</v>
      </c>
    </row>
    <row r="46" spans="1:10" x14ac:dyDescent="0.25">
      <c r="A46" s="2">
        <v>44</v>
      </c>
      <c r="B46" s="5">
        <v>2.7462192520033568E-4</v>
      </c>
      <c r="C46" s="5">
        <f t="shared" si="9"/>
        <v>1.0107207955069633</v>
      </c>
      <c r="D46" s="5">
        <f t="shared" si="10"/>
        <v>1.0663735237520853E-2</v>
      </c>
      <c r="E46" s="5">
        <f t="shared" si="7"/>
        <v>5.6064895439607619E-3</v>
      </c>
      <c r="F46" s="5">
        <f t="shared" si="6"/>
        <v>0.23132826475957169</v>
      </c>
      <c r="G46" s="5">
        <f t="shared" si="8"/>
        <v>0.23139421874847602</v>
      </c>
      <c r="H46" s="5">
        <f t="shared" si="4"/>
        <v>0.48612230829511766</v>
      </c>
      <c r="I46" s="5">
        <v>0.47599999999999998</v>
      </c>
      <c r="J46" s="11">
        <f t="shared" si="5"/>
        <v>0.25472808954664167</v>
      </c>
    </row>
    <row r="47" spans="1:10" x14ac:dyDescent="0.25">
      <c r="A47" s="2">
        <v>45</v>
      </c>
      <c r="B47" s="5">
        <v>1.4370743883773685E-2</v>
      </c>
      <c r="C47" s="5">
        <f t="shared" si="9"/>
        <v>1.0056222353188848</v>
      </c>
      <c r="D47" s="5">
        <f t="shared" si="10"/>
        <v>5.6064895439607619E-3</v>
      </c>
      <c r="E47" s="5">
        <f t="shared" si="7"/>
        <v>1.7173988655754067E-2</v>
      </c>
      <c r="F47" s="5">
        <f t="shared" si="6"/>
        <v>0.23139421874847602</v>
      </c>
      <c r="G47" s="5">
        <f t="shared" si="8"/>
        <v>0.23025977304712691</v>
      </c>
      <c r="H47" s="5">
        <f t="shared" si="4"/>
        <v>0.48373901900656913</v>
      </c>
      <c r="I47" s="5">
        <v>0.47599999999999998</v>
      </c>
      <c r="J47" s="11">
        <f t="shared" si="5"/>
        <v>0.25347924595944227</v>
      </c>
    </row>
    <row r="48" spans="1:10" x14ac:dyDescent="0.25">
      <c r="A48" s="2">
        <v>46</v>
      </c>
      <c r="B48" s="5">
        <v>-3.1136551115196198E-4</v>
      </c>
      <c r="C48" s="5">
        <f t="shared" si="9"/>
        <v>1.0173223094690098</v>
      </c>
      <c r="D48" s="5">
        <f t="shared" si="10"/>
        <v>1.7173988655754067E-2</v>
      </c>
      <c r="E48" s="5">
        <f t="shared" si="7"/>
        <v>8.2756288167250714E-3</v>
      </c>
      <c r="F48" s="5">
        <f t="shared" si="6"/>
        <v>0.23025977304712691</v>
      </c>
      <c r="G48" s="5">
        <f t="shared" si="8"/>
        <v>0.23236705689792012</v>
      </c>
      <c r="H48" s="5">
        <f t="shared" si="4"/>
        <v>0.48816608592000027</v>
      </c>
      <c r="I48" s="5">
        <v>0.47599999999999998</v>
      </c>
      <c r="J48" s="11">
        <f t="shared" si="5"/>
        <v>0.25579902902208018</v>
      </c>
    </row>
    <row r="49" spans="1:10" x14ac:dyDescent="0.25">
      <c r="A49" s="2">
        <v>47</v>
      </c>
      <c r="B49" s="5">
        <v>4.3164391172467731E-3</v>
      </c>
      <c r="C49" s="5">
        <f t="shared" si="9"/>
        <v>1.0083099664894661</v>
      </c>
      <c r="D49" s="5">
        <f t="shared" si="10"/>
        <v>8.2756288167250714E-3</v>
      </c>
      <c r="E49" s="5">
        <f t="shared" si="7"/>
        <v>8.4542535256093079E-3</v>
      </c>
      <c r="F49" s="5">
        <f t="shared" si="6"/>
        <v>0.23236705689792012</v>
      </c>
      <c r="G49" s="5">
        <f t="shared" si="8"/>
        <v>0.23136000837213924</v>
      </c>
      <c r="H49" s="5">
        <f t="shared" si="4"/>
        <v>0.48605043775659507</v>
      </c>
      <c r="I49" s="5">
        <v>0.47599999999999998</v>
      </c>
      <c r="J49" s="11">
        <f t="shared" si="5"/>
        <v>0.2546904293844558</v>
      </c>
    </row>
    <row r="50" spans="1:10" x14ac:dyDescent="0.25">
      <c r="A50" s="2">
        <v>48</v>
      </c>
      <c r="B50" s="5">
        <v>3.8540065361303277E-3</v>
      </c>
      <c r="C50" s="5">
        <f t="shared" si="9"/>
        <v>1.0084900916506188</v>
      </c>
      <c r="D50" s="5">
        <f t="shared" si="10"/>
        <v>8.4542535256093079E-3</v>
      </c>
      <c r="E50" s="5">
        <f t="shared" si="7"/>
        <v>8.0811332989349817E-3</v>
      </c>
      <c r="F50" s="5">
        <f t="shared" si="6"/>
        <v>0.23136000837213924</v>
      </c>
      <c r="G50" s="5">
        <f t="shared" si="8"/>
        <v>0.23089936259774158</v>
      </c>
      <c r="H50" s="5">
        <f t="shared" si="4"/>
        <v>0.48508269453307057</v>
      </c>
      <c r="I50" s="5">
        <v>0.47599999999999998</v>
      </c>
      <c r="J50" s="11">
        <f t="shared" si="5"/>
        <v>0.25418333193532899</v>
      </c>
    </row>
    <row r="51" spans="1:10" x14ac:dyDescent="0.25">
      <c r="A51" s="2">
        <v>49</v>
      </c>
      <c r="B51" s="5">
        <v>3.8701546145603061E-2</v>
      </c>
      <c r="C51" s="5">
        <f t="shared" si="9"/>
        <v>1.0081138737906346</v>
      </c>
      <c r="D51" s="5">
        <f t="shared" si="10"/>
        <v>8.0811332989349817E-3</v>
      </c>
      <c r="E51" s="5">
        <f t="shared" si="7"/>
        <v>4.274211279507055E-2</v>
      </c>
      <c r="F51" s="5">
        <f t="shared" si="6"/>
        <v>0.23089936259774158</v>
      </c>
      <c r="G51" s="5">
        <f t="shared" si="8"/>
        <v>0.23058333240237597</v>
      </c>
      <c r="H51" s="5">
        <f t="shared" si="4"/>
        <v>0.48441876555121005</v>
      </c>
      <c r="I51" s="5">
        <v>0.47599999999999998</v>
      </c>
      <c r="J51" s="11">
        <f t="shared" si="5"/>
        <v>0.25383543314883411</v>
      </c>
    </row>
    <row r="52" spans="1:10" x14ac:dyDescent="0.25">
      <c r="A52" s="2">
        <v>50</v>
      </c>
      <c r="B52" s="5">
        <v>8.7832859207992442E-3</v>
      </c>
      <c r="C52" s="5">
        <f t="shared" si="9"/>
        <v>1.0436687113357737</v>
      </c>
      <c r="D52" s="5">
        <f t="shared" si="10"/>
        <v>4.274211279507055E-2</v>
      </c>
      <c r="E52" s="5">
        <f t="shared" si="7"/>
        <v>3.0154342318334519E-2</v>
      </c>
      <c r="F52" s="5">
        <f t="shared" si="6"/>
        <v>0.23058333240237597</v>
      </c>
      <c r="G52" s="5">
        <f t="shared" si="8"/>
        <v>0.23855228020397071</v>
      </c>
      <c r="H52" s="5">
        <f t="shared" si="4"/>
        <v>0.50116025252935026</v>
      </c>
      <c r="I52" s="5">
        <v>0.47599999999999998</v>
      </c>
      <c r="J52" s="11">
        <f t="shared" si="5"/>
        <v>0.26260797232537952</v>
      </c>
    </row>
    <row r="53" spans="1:10" x14ac:dyDescent="0.25">
      <c r="A53" s="2">
        <v>51</v>
      </c>
      <c r="B53" s="5">
        <v>-3.7480731407413259E-3</v>
      </c>
      <c r="C53" s="5">
        <f t="shared" si="9"/>
        <v>1.0306135889693697</v>
      </c>
      <c r="D53" s="5">
        <f t="shared" si="10"/>
        <v>3.0154342318334519E-2</v>
      </c>
      <c r="E53" s="5">
        <f t="shared" si="7"/>
        <v>1.1329098018425934E-2</v>
      </c>
      <c r="F53" s="5">
        <f t="shared" si="6"/>
        <v>0.23855228020397071</v>
      </c>
      <c r="G53" s="5">
        <f t="shared" si="8"/>
        <v>0.23960429752222615</v>
      </c>
      <c r="H53" s="5">
        <f t="shared" si="4"/>
        <v>0.50337037294585329</v>
      </c>
      <c r="I53" s="5">
        <v>0.47599999999999998</v>
      </c>
      <c r="J53" s="11">
        <f t="shared" si="5"/>
        <v>0.26376607542362718</v>
      </c>
    </row>
    <row r="54" spans="1:10" x14ac:dyDescent="0.25">
      <c r="A54" s="2">
        <v>52</v>
      </c>
      <c r="B54" s="5">
        <v>5.1677943702088669E-3</v>
      </c>
      <c r="C54" s="5">
        <f t="shared" si="9"/>
        <v>1.0113935152827125</v>
      </c>
      <c r="D54" s="5">
        <f t="shared" si="10"/>
        <v>1.1329098018425934E-2</v>
      </c>
      <c r="E54" s="5">
        <f t="shared" si="7"/>
        <v>1.0832343379421834E-2</v>
      </c>
      <c r="F54" s="5">
        <f t="shared" si="6"/>
        <v>0.23960429752222615</v>
      </c>
      <c r="G54" s="5">
        <f t="shared" si="8"/>
        <v>0.23565378469839313</v>
      </c>
      <c r="H54" s="5">
        <f t="shared" si="4"/>
        <v>0.49507097625712843</v>
      </c>
      <c r="I54" s="5">
        <v>0.47599999999999998</v>
      </c>
      <c r="J54" s="11">
        <f t="shared" si="5"/>
        <v>0.25941719155873533</v>
      </c>
    </row>
    <row r="55" spans="1:10" x14ac:dyDescent="0.25">
      <c r="A55" s="2">
        <v>53</v>
      </c>
      <c r="B55" s="5">
        <v>-1.0100416147906799E-2</v>
      </c>
      <c r="C55" s="5">
        <f t="shared" si="9"/>
        <v>1.0108912256298237</v>
      </c>
      <c r="D55" s="5">
        <f t="shared" si="10"/>
        <v>1.0832343379421834E-2</v>
      </c>
      <c r="E55" s="5">
        <f t="shared" si="7"/>
        <v>-4.684244458195882E-3</v>
      </c>
      <c r="F55" s="5">
        <f t="shared" si="6"/>
        <v>0.23565378469839313</v>
      </c>
      <c r="G55" s="5">
        <f t="shared" si="8"/>
        <v>0.23358695710356697</v>
      </c>
      <c r="H55" s="5">
        <f t="shared" si="4"/>
        <v>0.4907289014780819</v>
      </c>
      <c r="I55" s="5">
        <v>0.47599999999999998</v>
      </c>
      <c r="J55" s="11">
        <f t="shared" si="5"/>
        <v>0.25714194437451493</v>
      </c>
    </row>
    <row r="56" spans="1:10" x14ac:dyDescent="0.25">
      <c r="A56" s="2">
        <v>54</v>
      </c>
      <c r="B56" s="5">
        <v>-1.0867506716749631E-2</v>
      </c>
      <c r="C56" s="5">
        <f t="shared" si="9"/>
        <v>0.99532670950452207</v>
      </c>
      <c r="D56" s="5">
        <f t="shared" si="10"/>
        <v>-4.684244458195882E-3</v>
      </c>
      <c r="E56" s="5">
        <f t="shared" si="7"/>
        <v>-1.3209628945847571E-2</v>
      </c>
      <c r="F56" s="5">
        <f t="shared" si="6"/>
        <v>0.23358695710356697</v>
      </c>
      <c r="G56" s="5">
        <f t="shared" si="8"/>
        <v>0.22897965981054405</v>
      </c>
      <c r="H56" s="5">
        <f t="shared" si="4"/>
        <v>0.48104970548433623</v>
      </c>
      <c r="I56" s="5">
        <v>0.47599999999999998</v>
      </c>
      <c r="J56" s="11">
        <f t="shared" si="5"/>
        <v>0.25207004567379221</v>
      </c>
    </row>
    <row r="57" spans="1:10" x14ac:dyDescent="0.25">
      <c r="A57" s="2">
        <v>55</v>
      </c>
      <c r="B57" s="5">
        <v>-2.3176471586339176E-2</v>
      </c>
      <c r="C57" s="5">
        <f t="shared" si="9"/>
        <v>0.98687723530044313</v>
      </c>
      <c r="D57" s="5">
        <f t="shared" si="10"/>
        <v>-1.3209628945847571E-2</v>
      </c>
      <c r="E57" s="5">
        <f t="shared" si="7"/>
        <v>-2.978128605926296E-2</v>
      </c>
      <c r="F57" s="5">
        <f t="shared" si="6"/>
        <v>0.22897965981054405</v>
      </c>
      <c r="G57" s="5">
        <f t="shared" si="8"/>
        <v>0.22478562600249613</v>
      </c>
      <c r="H57" s="5">
        <f t="shared" si="4"/>
        <v>0.47223871008927754</v>
      </c>
      <c r="I57" s="5">
        <v>0.47599999999999998</v>
      </c>
      <c r="J57" s="11">
        <f t="shared" si="5"/>
        <v>0.24745308408678143</v>
      </c>
    </row>
    <row r="58" spans="1:10" x14ac:dyDescent="0.25">
      <c r="A58" s="2">
        <v>56</v>
      </c>
      <c r="B58" s="5">
        <v>-7.7818640420446172E-4</v>
      </c>
      <c r="C58" s="5">
        <f t="shared" si="9"/>
        <v>0.97065780672812685</v>
      </c>
      <c r="D58" s="5">
        <f t="shared" si="10"/>
        <v>-2.978128605926296E-2</v>
      </c>
      <c r="E58" s="5">
        <f t="shared" si="7"/>
        <v>-1.5668829433835942E-2</v>
      </c>
      <c r="F58" s="5">
        <f t="shared" si="6"/>
        <v>0.22478562600249613</v>
      </c>
      <c r="G58" s="5">
        <f t="shared" si="8"/>
        <v>0.21905711962924318</v>
      </c>
      <c r="H58" s="5">
        <f t="shared" si="4"/>
        <v>0.46020403283454453</v>
      </c>
      <c r="I58" s="5">
        <v>0.47599999999999998</v>
      </c>
      <c r="J58" s="11">
        <f t="shared" si="5"/>
        <v>0.24114691320530135</v>
      </c>
    </row>
    <row r="59" spans="1:10" x14ac:dyDescent="0.25">
      <c r="A59" s="2">
        <v>57</v>
      </c>
      <c r="B59" s="5">
        <v>9.8129476100439206E-3</v>
      </c>
      <c r="C59" s="5">
        <f t="shared" si="9"/>
        <v>0.98445328802956544</v>
      </c>
      <c r="D59" s="5">
        <f t="shared" si="10"/>
        <v>-1.5668829433835942E-2</v>
      </c>
      <c r="E59" s="5">
        <f t="shared" si="7"/>
        <v>1.9785328931259498E-3</v>
      </c>
      <c r="F59" s="5">
        <f t="shared" si="6"/>
        <v>0.21905711962924318</v>
      </c>
      <c r="G59" s="5">
        <f t="shared" si="8"/>
        <v>0.21932127047783534</v>
      </c>
      <c r="H59" s="5">
        <f t="shared" si="4"/>
        <v>0.46075897159209106</v>
      </c>
      <c r="I59" s="5">
        <v>0.47599999999999998</v>
      </c>
      <c r="J59" s="11">
        <f t="shared" si="5"/>
        <v>0.24143770111425572</v>
      </c>
    </row>
    <row r="60" spans="1:10" x14ac:dyDescent="0.25">
      <c r="A60" s="2">
        <v>58</v>
      </c>
      <c r="B60" s="5">
        <v>-1.7021557141561061E-2</v>
      </c>
      <c r="C60" s="5">
        <f t="shared" si="9"/>
        <v>1.0019804914808277</v>
      </c>
      <c r="D60" s="5">
        <f t="shared" si="10"/>
        <v>1.9785328931259498E-3</v>
      </c>
      <c r="E60" s="5">
        <f t="shared" si="7"/>
        <v>-1.6032290694998085E-2</v>
      </c>
      <c r="F60" s="5">
        <f t="shared" si="6"/>
        <v>0.21932127047783534</v>
      </c>
      <c r="G60" s="5">
        <f t="shared" si="8"/>
        <v>0.2233606141785596</v>
      </c>
      <c r="H60" s="5">
        <f t="shared" si="4"/>
        <v>0.46924498777008322</v>
      </c>
      <c r="I60" s="5">
        <v>0.47599999999999998</v>
      </c>
      <c r="J60" s="11">
        <f t="shared" si="5"/>
        <v>0.2458843735915236</v>
      </c>
    </row>
    <row r="61" spans="1:10" x14ac:dyDescent="0.25">
      <c r="A61" s="2">
        <v>59</v>
      </c>
      <c r="B61" s="5">
        <v>2.1886535250814632E-2</v>
      </c>
      <c r="C61" s="5">
        <f t="shared" si="9"/>
        <v>0.98409554241321773</v>
      </c>
      <c r="D61" s="5">
        <f t="shared" si="10"/>
        <v>-1.6032290694998085E-2</v>
      </c>
      <c r="E61" s="5">
        <f t="shared" si="7"/>
        <v>1.3870389903315589E-2</v>
      </c>
      <c r="F61" s="5">
        <f t="shared" si="6"/>
        <v>0.2233606141785596</v>
      </c>
      <c r="G61" s="5">
        <f t="shared" si="8"/>
        <v>0.22138465494763343</v>
      </c>
      <c r="H61" s="5">
        <f t="shared" si="4"/>
        <v>0.4650938129151963</v>
      </c>
      <c r="I61" s="5">
        <v>0.47599999999999998</v>
      </c>
      <c r="J61" s="11">
        <f t="shared" si="5"/>
        <v>0.24370915796756287</v>
      </c>
    </row>
    <row r="62" spans="1:10" x14ac:dyDescent="0.25">
      <c r="A62" s="2">
        <v>60</v>
      </c>
      <c r="B62" s="5">
        <v>-2.318843144166749E-2</v>
      </c>
      <c r="C62" s="5">
        <f t="shared" si="9"/>
        <v>1.0139670300566208</v>
      </c>
      <c r="D62" s="5">
        <f t="shared" si="10"/>
        <v>1.3870389903315589E-2</v>
      </c>
      <c r="E62" s="5">
        <f t="shared" si="7"/>
        <v>-1.6253236490009697E-2</v>
      </c>
      <c r="F62" s="5">
        <f t="shared" si="6"/>
        <v>0.22138465494763343</v>
      </c>
      <c r="G62" s="5">
        <f t="shared" si="8"/>
        <v>0.22709341643886402</v>
      </c>
      <c r="H62" s="5">
        <f t="shared" si="4"/>
        <v>0.47708700932534465</v>
      </c>
      <c r="I62" s="5">
        <v>0.47599999999999998</v>
      </c>
      <c r="J62" s="11">
        <f t="shared" si="5"/>
        <v>0.24999359288648063</v>
      </c>
    </row>
    <row r="63" spans="1:10" x14ac:dyDescent="0.25">
      <c r="A63" s="2">
        <v>61</v>
      </c>
      <c r="B63" s="5">
        <v>2.9706143322982825E-3</v>
      </c>
      <c r="C63" s="5">
        <f t="shared" si="9"/>
        <v>0.9838781346597808</v>
      </c>
      <c r="D63" s="5">
        <f t="shared" si="10"/>
        <v>-1.6253236490009697E-2</v>
      </c>
      <c r="E63" s="5">
        <f t="shared" si="7"/>
        <v>-5.1560039127065659E-3</v>
      </c>
      <c r="F63" s="5">
        <f t="shared" si="6"/>
        <v>0.22709341643886402</v>
      </c>
      <c r="G63" s="5">
        <f t="shared" si="8"/>
        <v>0.22317756444723857</v>
      </c>
      <c r="H63" s="5">
        <f t="shared" si="4"/>
        <v>0.46886042951100543</v>
      </c>
      <c r="I63" s="5">
        <v>0.47599999999999998</v>
      </c>
      <c r="J63" s="11">
        <f t="shared" si="5"/>
        <v>0.24568286506376688</v>
      </c>
    </row>
    <row r="64" spans="1:10" x14ac:dyDescent="0.25">
      <c r="A64" s="2">
        <v>62</v>
      </c>
      <c r="B64" s="5">
        <v>-2.1634878066834062E-2</v>
      </c>
      <c r="C64" s="5">
        <f t="shared" si="9"/>
        <v>0.99485726546002595</v>
      </c>
      <c r="D64" s="5">
        <f t="shared" si="10"/>
        <v>-5.1560039127065659E-3</v>
      </c>
      <c r="E64" s="5">
        <f t="shared" si="7"/>
        <v>-2.4212880023187347E-2</v>
      </c>
      <c r="F64" s="5">
        <f t="shared" si="6"/>
        <v>0.22317756444723857</v>
      </c>
      <c r="G64" s="5">
        <f t="shared" si="8"/>
        <v>0.22371391372357993</v>
      </c>
      <c r="H64" s="5">
        <f t="shared" si="4"/>
        <v>0.46998721370499991</v>
      </c>
      <c r="I64" s="5">
        <v>0.47599999999999998</v>
      </c>
      <c r="J64" s="11">
        <f t="shared" si="5"/>
        <v>0.24627329998141997</v>
      </c>
    </row>
    <row r="65" spans="1:10" x14ac:dyDescent="0.25">
      <c r="A65" s="2">
        <v>63</v>
      </c>
      <c r="B65" s="5">
        <v>6.267646313062869E-3</v>
      </c>
      <c r="C65" s="5">
        <f t="shared" si="9"/>
        <v>0.97607790015342011</v>
      </c>
      <c r="D65" s="5">
        <f t="shared" si="10"/>
        <v>-2.4212880023187347E-2</v>
      </c>
      <c r="E65" s="5">
        <f t="shared" si="7"/>
        <v>-5.8387936985308045E-3</v>
      </c>
      <c r="F65" s="5">
        <f t="shared" si="6"/>
        <v>0.22371391372357993</v>
      </c>
      <c r="G65" s="5">
        <f t="shared" si="8"/>
        <v>0.21975457755050212</v>
      </c>
      <c r="H65" s="5">
        <f t="shared" si="4"/>
        <v>0.46166928056828177</v>
      </c>
      <c r="I65" s="5">
        <v>0.47599999999999998</v>
      </c>
      <c r="J65" s="11">
        <f t="shared" si="5"/>
        <v>0.24191470301777965</v>
      </c>
    </row>
    <row r="66" spans="1:10" x14ac:dyDescent="0.25">
      <c r="A66" s="2">
        <v>64</v>
      </c>
      <c r="B66" s="5">
        <v>-8.9672994363354519E-3</v>
      </c>
      <c r="C66" s="5">
        <f t="shared" si="9"/>
        <v>0.99417821893021519</v>
      </c>
      <c r="D66" s="5">
        <f t="shared" si="10"/>
        <v>-5.8387936985308045E-3</v>
      </c>
      <c r="E66" s="5">
        <f t="shared" ref="E66:E97" si="11">$M$3*D66+B66</f>
        <v>-1.1886696285600854E-2</v>
      </c>
      <c r="F66" s="5">
        <f t="shared" si="6"/>
        <v>0.21975457755050212</v>
      </c>
      <c r="G66" s="5">
        <f t="shared" ref="G66:G101" si="12">F67</f>
        <v>0.22184015601302071</v>
      </c>
      <c r="H66" s="5">
        <f t="shared" si="4"/>
        <v>0.46605074792651413</v>
      </c>
      <c r="I66" s="5">
        <v>0.47599999999999998</v>
      </c>
      <c r="J66" s="11">
        <f t="shared" si="5"/>
        <v>0.24421059191349342</v>
      </c>
    </row>
    <row r="67" spans="1:10" x14ac:dyDescent="0.25">
      <c r="A67" s="2">
        <v>65</v>
      </c>
      <c r="B67" s="5">
        <v>1.4432180250878446E-2</v>
      </c>
      <c r="C67" s="5">
        <f t="shared" ref="C67:C98" si="13">EXP(D67)</f>
        <v>0.98818367139962981</v>
      </c>
      <c r="D67" s="5">
        <f t="shared" ref="D67:D102" si="14">E66</f>
        <v>-1.1886696285600854E-2</v>
      </c>
      <c r="E67" s="5">
        <f t="shared" si="11"/>
        <v>8.4888321080780187E-3</v>
      </c>
      <c r="F67" s="5">
        <f t="shared" si="6"/>
        <v>0.22184015601302071</v>
      </c>
      <c r="G67" s="5">
        <f t="shared" si="12"/>
        <v>0.22154640495880792</v>
      </c>
      <c r="H67" s="5">
        <f t="shared" ref="H67:H102" si="15">$C67*$F67^$M$1</f>
        <v>0.46543362386304193</v>
      </c>
      <c r="I67" s="5">
        <v>0.47599999999999998</v>
      </c>
      <c r="J67" s="11">
        <f t="shared" ref="J67:J102" si="16">(1-$M$1*$M$2)*$C67*$F67^$M$1</f>
        <v>0.24388721890423398</v>
      </c>
    </row>
    <row r="68" spans="1:10" x14ac:dyDescent="0.25">
      <c r="A68" s="2">
        <v>66</v>
      </c>
      <c r="B68" s="5">
        <v>-1.2330337995081209E-2</v>
      </c>
      <c r="C68" s="5">
        <f t="shared" si="13"/>
        <v>1.0085249644113436</v>
      </c>
      <c r="D68" s="5">
        <f t="shared" si="14"/>
        <v>8.4888321080780187E-3</v>
      </c>
      <c r="E68" s="5">
        <f t="shared" si="11"/>
        <v>-8.0859219410421984E-3</v>
      </c>
      <c r="F68" s="5">
        <f t="shared" ref="F68:F102" si="17">$M$1*$M$2*$C67*$F67^$M$1</f>
        <v>0.22154640495880792</v>
      </c>
      <c r="G68" s="5">
        <f t="shared" si="12"/>
        <v>0.22595708282159147</v>
      </c>
      <c r="H68" s="5">
        <f t="shared" si="15"/>
        <v>0.47469975382687279</v>
      </c>
      <c r="I68" s="5">
        <v>0.47599999999999998</v>
      </c>
      <c r="J68" s="11">
        <f t="shared" si="16"/>
        <v>0.24874267100528136</v>
      </c>
    </row>
    <row r="69" spans="1:10" x14ac:dyDescent="0.25">
      <c r="A69" s="2">
        <v>67</v>
      </c>
      <c r="B69" s="5">
        <v>-4.7764615374035202E-3</v>
      </c>
      <c r="C69" s="5">
        <f t="shared" si="13"/>
        <v>0.9919466811911346</v>
      </c>
      <c r="D69" s="5">
        <f t="shared" si="14"/>
        <v>-8.0859219410421984E-3</v>
      </c>
      <c r="E69" s="5">
        <f t="shared" si="11"/>
        <v>-8.8194225079246194E-3</v>
      </c>
      <c r="F69" s="5">
        <f t="shared" si="17"/>
        <v>0.22595708282159147</v>
      </c>
      <c r="G69" s="5">
        <f t="shared" si="12"/>
        <v>0.22444413490212856</v>
      </c>
      <c r="H69" s="5">
        <f t="shared" si="15"/>
        <v>0.47152129181119445</v>
      </c>
      <c r="I69" s="5">
        <v>0.47599999999999998</v>
      </c>
      <c r="J69" s="11">
        <f t="shared" si="16"/>
        <v>0.2470771569090659</v>
      </c>
    </row>
    <row r="70" spans="1:10" x14ac:dyDescent="0.25">
      <c r="A70" s="2">
        <v>68</v>
      </c>
      <c r="B70" s="5">
        <v>-1.3823500921716914E-2</v>
      </c>
      <c r="C70" s="5">
        <f t="shared" si="13"/>
        <v>0.99121935451803722</v>
      </c>
      <c r="D70" s="5">
        <f t="shared" si="14"/>
        <v>-8.8194225079246194E-3</v>
      </c>
      <c r="E70" s="5">
        <f t="shared" si="11"/>
        <v>-1.8233212175679223E-2</v>
      </c>
      <c r="F70" s="5">
        <f t="shared" si="17"/>
        <v>0.22444413490212856</v>
      </c>
      <c r="G70" s="5">
        <f t="shared" si="12"/>
        <v>0.22352744639741734</v>
      </c>
      <c r="H70" s="5">
        <f t="shared" si="15"/>
        <v>0.4695954756248264</v>
      </c>
      <c r="I70" s="5">
        <v>0.47599999999999998</v>
      </c>
      <c r="J70" s="11">
        <f t="shared" si="16"/>
        <v>0.24606802922740903</v>
      </c>
    </row>
    <row r="71" spans="1:10" x14ac:dyDescent="0.25">
      <c r="A71" s="2">
        <v>69</v>
      </c>
      <c r="B71" s="5">
        <v>2.4347764338017441E-2</v>
      </c>
      <c r="C71" s="5">
        <f t="shared" si="13"/>
        <v>0.98193200715384821</v>
      </c>
      <c r="D71" s="5">
        <f t="shared" si="14"/>
        <v>-1.8233212175679223E-2</v>
      </c>
      <c r="E71" s="5">
        <f t="shared" si="11"/>
        <v>1.523115825017783E-2</v>
      </c>
      <c r="F71" s="5">
        <f t="shared" si="17"/>
        <v>0.22352744639741734</v>
      </c>
      <c r="G71" s="5">
        <f t="shared" si="12"/>
        <v>0.22098042151381728</v>
      </c>
      <c r="H71" s="5">
        <f t="shared" si="15"/>
        <v>0.46424458301222121</v>
      </c>
      <c r="I71" s="5">
        <v>0.47599999999999998</v>
      </c>
      <c r="J71" s="11">
        <f t="shared" si="16"/>
        <v>0.24326416149840391</v>
      </c>
    </row>
    <row r="72" spans="1:10" x14ac:dyDescent="0.25">
      <c r="A72" s="2">
        <v>70</v>
      </c>
      <c r="B72" s="5">
        <v>-1.3747830962529406E-2</v>
      </c>
      <c r="C72" s="5">
        <f t="shared" si="13"/>
        <v>1.0153477434984031</v>
      </c>
      <c r="D72" s="5">
        <f t="shared" si="14"/>
        <v>1.523115825017783E-2</v>
      </c>
      <c r="E72" s="5">
        <f t="shared" si="11"/>
        <v>-6.1322518374404911E-3</v>
      </c>
      <c r="F72" s="5">
        <f t="shared" si="17"/>
        <v>0.22098042151381728</v>
      </c>
      <c r="G72" s="5">
        <f t="shared" si="12"/>
        <v>0.22719494252126973</v>
      </c>
      <c r="H72" s="5">
        <f t="shared" si="15"/>
        <v>0.47730029941443219</v>
      </c>
      <c r="I72" s="5">
        <v>0.47599999999999998</v>
      </c>
      <c r="J72" s="11">
        <f t="shared" si="16"/>
        <v>0.25010535689316249</v>
      </c>
    </row>
    <row r="73" spans="1:10" x14ac:dyDescent="0.25">
      <c r="A73" s="2">
        <v>71</v>
      </c>
      <c r="B73" s="5">
        <v>-2.3944721760926768E-4</v>
      </c>
      <c r="C73" s="5">
        <f t="shared" si="13"/>
        <v>0.99388651204431677</v>
      </c>
      <c r="D73" s="5">
        <f t="shared" si="14"/>
        <v>-6.1322518374404911E-3</v>
      </c>
      <c r="E73" s="5">
        <f t="shared" si="11"/>
        <v>-3.3055731363295132E-3</v>
      </c>
      <c r="F73" s="5">
        <f t="shared" si="17"/>
        <v>0.22719494252126973</v>
      </c>
      <c r="G73" s="5">
        <f t="shared" si="12"/>
        <v>0.22549819989592915</v>
      </c>
      <c r="H73" s="5">
        <f t="shared" si="15"/>
        <v>0.4737357140670781</v>
      </c>
      <c r="I73" s="5">
        <v>0.47599999999999998</v>
      </c>
      <c r="J73" s="11">
        <f t="shared" si="16"/>
        <v>0.24823751417114895</v>
      </c>
    </row>
    <row r="74" spans="1:10" x14ac:dyDescent="0.25">
      <c r="A74" s="2">
        <v>72</v>
      </c>
      <c r="B74" s="5">
        <v>1.1627389540080912E-2</v>
      </c>
      <c r="C74" s="5">
        <f t="shared" si="13"/>
        <v>0.99669988425562484</v>
      </c>
      <c r="D74" s="5">
        <f t="shared" si="14"/>
        <v>-3.3055731363295132E-3</v>
      </c>
      <c r="E74" s="5">
        <f t="shared" si="11"/>
        <v>9.974602971916156E-3</v>
      </c>
      <c r="F74" s="5">
        <f t="shared" si="17"/>
        <v>0.22549819989592915</v>
      </c>
      <c r="G74" s="5">
        <f t="shared" si="12"/>
        <v>0.22529051107293394</v>
      </c>
      <c r="H74" s="5">
        <f t="shared" si="15"/>
        <v>0.47329939301036544</v>
      </c>
      <c r="I74" s="5">
        <v>0.47599999999999998</v>
      </c>
      <c r="J74" s="11">
        <f t="shared" si="16"/>
        <v>0.24800888193743148</v>
      </c>
    </row>
    <row r="75" spans="1:10" x14ac:dyDescent="0.25">
      <c r="A75" s="2">
        <v>73</v>
      </c>
      <c r="B75" s="5">
        <v>1.7808361008064821E-2</v>
      </c>
      <c r="C75" s="5">
        <f t="shared" si="13"/>
        <v>1.0100245151374516</v>
      </c>
      <c r="D75" s="5">
        <f t="shared" si="14"/>
        <v>9.974602971916156E-3</v>
      </c>
      <c r="E75" s="5">
        <f t="shared" si="11"/>
        <v>2.27956624940229E-2</v>
      </c>
      <c r="F75" s="5">
        <f t="shared" si="17"/>
        <v>0.22529051107293394</v>
      </c>
      <c r="G75" s="5">
        <f t="shared" si="12"/>
        <v>0.22819720345653946</v>
      </c>
      <c r="H75" s="5">
        <f t="shared" si="15"/>
        <v>0.4794058896145787</v>
      </c>
      <c r="I75" s="5">
        <v>0.47599999999999998</v>
      </c>
      <c r="J75" s="11">
        <f t="shared" si="16"/>
        <v>0.25120868615803926</v>
      </c>
    </row>
    <row r="76" spans="1:10" x14ac:dyDescent="0.25">
      <c r="A76" s="2">
        <v>74</v>
      </c>
      <c r="B76" s="5">
        <v>9.4880761025706306E-3</v>
      </c>
      <c r="C76" s="5">
        <f t="shared" si="13"/>
        <v>1.0230574691757632</v>
      </c>
      <c r="D76" s="5">
        <f t="shared" si="14"/>
        <v>2.27956624940229E-2</v>
      </c>
      <c r="E76" s="5">
        <f t="shared" si="11"/>
        <v>2.0885907349582081E-2</v>
      </c>
      <c r="F76" s="5">
        <f t="shared" si="17"/>
        <v>0.22819720345653946</v>
      </c>
      <c r="G76" s="5">
        <f t="shared" si="12"/>
        <v>0.2326280831280963</v>
      </c>
      <c r="H76" s="5">
        <f t="shared" si="15"/>
        <v>0.48871446035314348</v>
      </c>
      <c r="I76" s="5">
        <v>0.47599999999999998</v>
      </c>
      <c r="J76" s="11">
        <f t="shared" si="16"/>
        <v>0.25608637722504723</v>
      </c>
    </row>
    <row r="77" spans="1:10" x14ac:dyDescent="0.25">
      <c r="A77" s="2">
        <v>75</v>
      </c>
      <c r="B77" s="5">
        <v>1.4866350284137297E-2</v>
      </c>
      <c r="C77" s="5">
        <f t="shared" si="13"/>
        <v>1.0211055443534309</v>
      </c>
      <c r="D77" s="5">
        <f t="shared" si="14"/>
        <v>2.0885907349582081E-2</v>
      </c>
      <c r="E77" s="5">
        <f t="shared" si="11"/>
        <v>2.5309303958928338E-2</v>
      </c>
      <c r="F77" s="5">
        <f t="shared" si="17"/>
        <v>0.2326280831280963</v>
      </c>
      <c r="G77" s="5">
        <f t="shared" si="12"/>
        <v>0.23442755502178211</v>
      </c>
      <c r="H77" s="5">
        <f t="shared" si="15"/>
        <v>0.49249486349113891</v>
      </c>
      <c r="I77" s="5">
        <v>0.47599999999999998</v>
      </c>
      <c r="J77" s="11">
        <f t="shared" si="16"/>
        <v>0.25806730846935677</v>
      </c>
    </row>
    <row r="78" spans="1:10" x14ac:dyDescent="0.25">
      <c r="A78" s="2">
        <v>76</v>
      </c>
      <c r="B78" s="5">
        <v>-1.3788394426228479E-3</v>
      </c>
      <c r="C78" s="5">
        <f t="shared" si="13"/>
        <v>1.0256323036008181</v>
      </c>
      <c r="D78" s="5">
        <f t="shared" si="14"/>
        <v>2.5309303958928338E-2</v>
      </c>
      <c r="E78" s="5">
        <f t="shared" si="11"/>
        <v>1.1275812536841321E-2</v>
      </c>
      <c r="F78" s="5">
        <f t="shared" si="17"/>
        <v>0.23442755502178211</v>
      </c>
      <c r="G78" s="5">
        <f t="shared" si="12"/>
        <v>0.23637577883193975</v>
      </c>
      <c r="H78" s="5">
        <f t="shared" si="15"/>
        <v>0.4965877706553356</v>
      </c>
      <c r="I78" s="5">
        <v>0.47599999999999998</v>
      </c>
      <c r="J78" s="11">
        <f t="shared" si="16"/>
        <v>0.26021199182339588</v>
      </c>
    </row>
    <row r="79" spans="1:10" x14ac:dyDescent="0.25">
      <c r="A79" s="2">
        <v>77</v>
      </c>
      <c r="B79" s="5">
        <v>1.6586045603617094E-2</v>
      </c>
      <c r="C79" s="5">
        <f t="shared" si="13"/>
        <v>1.0113396241279999</v>
      </c>
      <c r="D79" s="5">
        <f t="shared" si="14"/>
        <v>1.1275812536841321E-2</v>
      </c>
      <c r="E79" s="5">
        <f t="shared" si="11"/>
        <v>2.2223951872037753E-2</v>
      </c>
      <c r="F79" s="5">
        <f t="shared" si="17"/>
        <v>0.23637577883193975</v>
      </c>
      <c r="G79" s="5">
        <f t="shared" si="12"/>
        <v>0.23404828452923065</v>
      </c>
      <c r="H79" s="5">
        <f t="shared" si="15"/>
        <v>0.49169807674208121</v>
      </c>
      <c r="I79" s="5">
        <v>0.47599999999999998</v>
      </c>
      <c r="J79" s="11">
        <f t="shared" si="16"/>
        <v>0.25764979221285056</v>
      </c>
    </row>
    <row r="80" spans="1:10" x14ac:dyDescent="0.25">
      <c r="A80" s="2">
        <v>78</v>
      </c>
      <c r="B80" s="5">
        <v>-3.3431570045650005E-2</v>
      </c>
      <c r="C80" s="5">
        <f t="shared" si="13"/>
        <v>1.0224727435165959</v>
      </c>
      <c r="D80" s="5">
        <f t="shared" si="14"/>
        <v>2.2223951872037753E-2</v>
      </c>
      <c r="E80" s="5">
        <f t="shared" si="11"/>
        <v>-2.2319594109631129E-2</v>
      </c>
      <c r="F80" s="5">
        <f t="shared" si="17"/>
        <v>0.23404828452923065</v>
      </c>
      <c r="G80" s="5">
        <f t="shared" si="12"/>
        <v>0.23545690091216478</v>
      </c>
      <c r="H80" s="5">
        <f t="shared" si="15"/>
        <v>0.49465735485748907</v>
      </c>
      <c r="I80" s="5">
        <v>0.47599999999999998</v>
      </c>
      <c r="J80" s="11">
        <f t="shared" si="16"/>
        <v>0.25920045394532426</v>
      </c>
    </row>
    <row r="81" spans="1:10" x14ac:dyDescent="0.25">
      <c r="A81" s="2">
        <v>79</v>
      </c>
      <c r="B81" s="5">
        <v>5.5993041314650327E-3</v>
      </c>
      <c r="C81" s="5">
        <f t="shared" si="13"/>
        <v>0.97792764518788367</v>
      </c>
      <c r="D81" s="5">
        <f t="shared" si="14"/>
        <v>-2.2319594109631129E-2</v>
      </c>
      <c r="E81" s="5">
        <f t="shared" si="11"/>
        <v>-5.5604929233505317E-3</v>
      </c>
      <c r="F81" s="5">
        <f t="shared" si="17"/>
        <v>0.23545690091216478</v>
      </c>
      <c r="G81" s="5">
        <f t="shared" si="12"/>
        <v>0.22587563574368788</v>
      </c>
      <c r="H81" s="5">
        <f t="shared" si="15"/>
        <v>0.4745286465203527</v>
      </c>
      <c r="I81" s="5">
        <v>0.47599999999999998</v>
      </c>
      <c r="J81" s="11">
        <f t="shared" si="16"/>
        <v>0.24865301077666482</v>
      </c>
    </row>
    <row r="82" spans="1:10" x14ac:dyDescent="0.25">
      <c r="A82" s="2">
        <v>80</v>
      </c>
      <c r="B82" s="5">
        <v>1.1994416126981378E-3</v>
      </c>
      <c r="C82" s="5">
        <f t="shared" si="13"/>
        <v>0.99445493800299112</v>
      </c>
      <c r="D82" s="5">
        <f t="shared" si="14"/>
        <v>-5.5604929233505317E-3</v>
      </c>
      <c r="E82" s="5">
        <f t="shared" si="11"/>
        <v>-1.5808048489771281E-3</v>
      </c>
      <c r="F82" s="5">
        <f t="shared" si="17"/>
        <v>0.22587563574368788</v>
      </c>
      <c r="G82" s="5">
        <f t="shared" si="12"/>
        <v>0.22497111216011301</v>
      </c>
      <c r="H82" s="5">
        <f t="shared" si="15"/>
        <v>0.47262838689099368</v>
      </c>
      <c r="I82" s="5">
        <v>0.47599999999999998</v>
      </c>
      <c r="J82" s="11">
        <f t="shared" si="16"/>
        <v>0.24765727473088073</v>
      </c>
    </row>
    <row r="83" spans="1:10" x14ac:dyDescent="0.25">
      <c r="A83" s="2">
        <v>81</v>
      </c>
      <c r="B83" s="5">
        <v>1.9132539819111116E-2</v>
      </c>
      <c r="C83" s="5">
        <f t="shared" si="13"/>
        <v>0.99842044396487784</v>
      </c>
      <c r="D83" s="5">
        <f t="shared" si="14"/>
        <v>-1.5808048489771281E-3</v>
      </c>
      <c r="E83" s="5">
        <f t="shared" si="11"/>
        <v>1.8342137394622551E-2</v>
      </c>
      <c r="F83" s="5">
        <f t="shared" si="17"/>
        <v>0.22497111216011301</v>
      </c>
      <c r="G83" s="5">
        <f t="shared" si="12"/>
        <v>0.22541551032267998</v>
      </c>
      <c r="H83" s="5">
        <f t="shared" si="15"/>
        <v>0.47356199647621844</v>
      </c>
      <c r="I83" s="5">
        <v>0.47599999999999998</v>
      </c>
      <c r="J83" s="11">
        <f t="shared" si="16"/>
        <v>0.24814648615353849</v>
      </c>
    </row>
    <row r="84" spans="1:10" x14ac:dyDescent="0.25">
      <c r="A84" s="2">
        <v>82</v>
      </c>
      <c r="B84" s="5">
        <v>1.0632402336341329E-2</v>
      </c>
      <c r="C84" s="5">
        <f t="shared" si="13"/>
        <v>1.0185113876166929</v>
      </c>
      <c r="D84" s="5">
        <f t="shared" si="14"/>
        <v>1.8342137394622551E-2</v>
      </c>
      <c r="E84" s="5">
        <f t="shared" si="11"/>
        <v>1.9803471033652605E-2</v>
      </c>
      <c r="F84" s="5">
        <f t="shared" si="17"/>
        <v>0.22541551032267998</v>
      </c>
      <c r="G84" s="5">
        <f t="shared" si="12"/>
        <v>0.23017849150439804</v>
      </c>
      <c r="H84" s="5">
        <f t="shared" si="15"/>
        <v>0.48356825946302107</v>
      </c>
      <c r="I84" s="5">
        <v>0.47599999999999998</v>
      </c>
      <c r="J84" s="11">
        <f t="shared" si="16"/>
        <v>0.25338976795862306</v>
      </c>
    </row>
    <row r="85" spans="1:10" x14ac:dyDescent="0.25">
      <c r="A85" s="2">
        <v>83</v>
      </c>
      <c r="B85" s="5">
        <v>-4.7795992941246368E-3</v>
      </c>
      <c r="C85" s="5">
        <f t="shared" si="13"/>
        <v>1.0200008606125854</v>
      </c>
      <c r="D85" s="5">
        <f t="shared" si="14"/>
        <v>1.9803471033652605E-2</v>
      </c>
      <c r="E85" s="5">
        <f t="shared" si="11"/>
        <v>5.1221362227016655E-3</v>
      </c>
      <c r="F85" s="5">
        <f t="shared" si="17"/>
        <v>0.23017849150439804</v>
      </c>
      <c r="G85" s="5">
        <f t="shared" si="12"/>
        <v>0.23293774167747033</v>
      </c>
      <c r="H85" s="5">
        <f t="shared" si="15"/>
        <v>0.48936500352409734</v>
      </c>
      <c r="I85" s="5">
        <v>0.47599999999999998</v>
      </c>
      <c r="J85" s="11">
        <f t="shared" si="16"/>
        <v>0.25642726184662706</v>
      </c>
    </row>
    <row r="86" spans="1:10" x14ac:dyDescent="0.25">
      <c r="A86" s="2">
        <v>84</v>
      </c>
      <c r="B86" s="5">
        <v>1.3854605640517548E-2</v>
      </c>
      <c r="C86" s="5">
        <f t="shared" si="13"/>
        <v>1.0051352767887869</v>
      </c>
      <c r="D86" s="5">
        <f t="shared" si="14"/>
        <v>5.1221362227016655E-3</v>
      </c>
      <c r="E86" s="5">
        <f t="shared" si="11"/>
        <v>1.6415673751868379E-2</v>
      </c>
      <c r="F86" s="5">
        <f t="shared" si="17"/>
        <v>0.23293774167747033</v>
      </c>
      <c r="G86" s="5">
        <f t="shared" si="12"/>
        <v>0.23091460303549521</v>
      </c>
      <c r="H86" s="5">
        <f t="shared" si="15"/>
        <v>0.48511471225944375</v>
      </c>
      <c r="I86" s="5">
        <v>0.47599999999999998</v>
      </c>
      <c r="J86" s="11">
        <f t="shared" si="16"/>
        <v>0.25420010922394853</v>
      </c>
    </row>
    <row r="87" spans="1:10" x14ac:dyDescent="0.25">
      <c r="A87" s="2">
        <v>85</v>
      </c>
      <c r="B87" s="5">
        <v>4.0615077523398213E-3</v>
      </c>
      <c r="C87" s="5">
        <f t="shared" si="13"/>
        <v>1.016551151227032</v>
      </c>
      <c r="D87" s="5">
        <f t="shared" si="14"/>
        <v>1.6415673751868379E-2</v>
      </c>
      <c r="E87" s="5">
        <f t="shared" si="11"/>
        <v>1.2269344628274011E-2</v>
      </c>
      <c r="F87" s="5">
        <f t="shared" si="17"/>
        <v>0.23091460303549521</v>
      </c>
      <c r="G87" s="5">
        <f t="shared" si="12"/>
        <v>0.23252084284711497</v>
      </c>
      <c r="H87" s="5">
        <f t="shared" si="15"/>
        <v>0.48848916564519951</v>
      </c>
      <c r="I87" s="5">
        <v>0.47599999999999998</v>
      </c>
      <c r="J87" s="11">
        <f t="shared" si="16"/>
        <v>0.25596832279808451</v>
      </c>
    </row>
    <row r="88" spans="1:10" x14ac:dyDescent="0.25">
      <c r="A88" s="2">
        <v>86</v>
      </c>
      <c r="B88" s="5">
        <v>-1.5420664567500353E-2</v>
      </c>
      <c r="C88" s="5">
        <f t="shared" si="13"/>
        <v>1.0123449218149707</v>
      </c>
      <c r="D88" s="5">
        <f t="shared" si="14"/>
        <v>1.2269344628274011E-2</v>
      </c>
      <c r="E88" s="5">
        <f t="shared" si="11"/>
        <v>-9.2859922533633475E-3</v>
      </c>
      <c r="F88" s="5">
        <f t="shared" si="17"/>
        <v>0.23252084284711497</v>
      </c>
      <c r="G88" s="5">
        <f t="shared" si="12"/>
        <v>0.23236269540932011</v>
      </c>
      <c r="H88" s="5">
        <f t="shared" si="15"/>
        <v>0.48815692312882381</v>
      </c>
      <c r="I88" s="5">
        <v>0.47599999999999998</v>
      </c>
      <c r="J88" s="11">
        <f t="shared" si="16"/>
        <v>0.25579422771950366</v>
      </c>
    </row>
    <row r="89" spans="1:10" x14ac:dyDescent="0.25">
      <c r="A89" s="2">
        <v>87</v>
      </c>
      <c r="B89" s="5">
        <v>-1.4169427231536247E-2</v>
      </c>
      <c r="C89" s="5">
        <f t="shared" si="13"/>
        <v>0.99075698942729462</v>
      </c>
      <c r="D89" s="5">
        <f t="shared" si="14"/>
        <v>-9.2859922533633475E-3</v>
      </c>
      <c r="E89" s="5">
        <f t="shared" si="11"/>
        <v>-1.8812423358217922E-2</v>
      </c>
      <c r="F89" s="5">
        <f t="shared" si="17"/>
        <v>0.23236269540932011</v>
      </c>
      <c r="G89" s="5">
        <f t="shared" si="12"/>
        <v>0.22733028706703975</v>
      </c>
      <c r="H89" s="5">
        <f t="shared" si="15"/>
        <v>0.47758463669546164</v>
      </c>
      <c r="I89" s="5">
        <v>0.47599999999999998</v>
      </c>
      <c r="J89" s="11">
        <f t="shared" si="16"/>
        <v>0.25025434962842191</v>
      </c>
    </row>
    <row r="90" spans="1:10" x14ac:dyDescent="0.25">
      <c r="A90" s="2">
        <v>88</v>
      </c>
      <c r="B90" s="5">
        <v>-3.9551741792820394E-2</v>
      </c>
      <c r="C90" s="5">
        <f t="shared" si="13"/>
        <v>0.981363425835037</v>
      </c>
      <c r="D90" s="5">
        <f t="shared" si="14"/>
        <v>-1.8812423358217922E-2</v>
      </c>
      <c r="E90" s="5">
        <f t="shared" si="11"/>
        <v>-4.8957953471929355E-2</v>
      </c>
      <c r="F90" s="5">
        <f t="shared" si="17"/>
        <v>0.22733028706703975</v>
      </c>
      <c r="G90" s="5">
        <f t="shared" si="12"/>
        <v>0.22272320691929928</v>
      </c>
      <c r="H90" s="5">
        <f t="shared" si="15"/>
        <v>0.46790589688928425</v>
      </c>
      <c r="I90" s="5">
        <v>0.47599999999999998</v>
      </c>
      <c r="J90" s="11">
        <f t="shared" si="16"/>
        <v>0.24518268996998493</v>
      </c>
    </row>
    <row r="91" spans="1:10" x14ac:dyDescent="0.25">
      <c r="A91" s="2">
        <v>89</v>
      </c>
      <c r="B91" s="5">
        <v>8.9098193711834028E-3</v>
      </c>
      <c r="C91" s="5">
        <f t="shared" si="13"/>
        <v>0.95222116645080035</v>
      </c>
      <c r="D91" s="5">
        <f t="shared" si="14"/>
        <v>-4.8957953471929355E-2</v>
      </c>
      <c r="E91" s="5">
        <f t="shared" si="11"/>
        <v>-1.5569157364781275E-2</v>
      </c>
      <c r="F91" s="5">
        <f t="shared" si="17"/>
        <v>0.22272320691929928</v>
      </c>
      <c r="G91" s="5">
        <f t="shared" si="12"/>
        <v>0.2139082423980749</v>
      </c>
      <c r="H91" s="5">
        <f t="shared" si="15"/>
        <v>0.4493870638615019</v>
      </c>
      <c r="I91" s="5">
        <v>0.47599999999999998</v>
      </c>
      <c r="J91" s="11">
        <f t="shared" si="16"/>
        <v>0.235478821463427</v>
      </c>
    </row>
    <row r="92" spans="1:10" x14ac:dyDescent="0.25">
      <c r="A92" s="2">
        <v>90</v>
      </c>
      <c r="B92" s="5">
        <v>7.2444890975020826E-3</v>
      </c>
      <c r="C92" s="5">
        <f t="shared" si="13"/>
        <v>0.98455141541586966</v>
      </c>
      <c r="D92" s="5">
        <f t="shared" si="14"/>
        <v>-1.5569157364781275E-2</v>
      </c>
      <c r="E92" s="5">
        <f t="shared" si="11"/>
        <v>-5.400895848885548E-4</v>
      </c>
      <c r="F92" s="5">
        <f t="shared" si="17"/>
        <v>0.2139082423980749</v>
      </c>
      <c r="G92" s="5">
        <f t="shared" si="12"/>
        <v>0.21675000353964999</v>
      </c>
      <c r="H92" s="5">
        <f t="shared" si="15"/>
        <v>0.45535715029338236</v>
      </c>
      <c r="I92" s="5">
        <v>0.47599999999999998</v>
      </c>
      <c r="J92" s="11">
        <f t="shared" si="16"/>
        <v>0.23860714675373235</v>
      </c>
    </row>
    <row r="93" spans="1:10" x14ac:dyDescent="0.25">
      <c r="A93" s="2">
        <v>91</v>
      </c>
      <c r="B93" s="5">
        <v>1.2540112948045135E-2</v>
      </c>
      <c r="C93" s="5">
        <f t="shared" si="13"/>
        <v>0.99946005623723777</v>
      </c>
      <c r="D93" s="5">
        <f t="shared" si="14"/>
        <v>-5.400895848885548E-4</v>
      </c>
      <c r="E93" s="5">
        <f t="shared" si="11"/>
        <v>1.2270068155600857E-2</v>
      </c>
      <c r="F93" s="5">
        <f t="shared" si="17"/>
        <v>0.21675000353964999</v>
      </c>
      <c r="G93" s="5">
        <f t="shared" si="12"/>
        <v>0.22148889242250816</v>
      </c>
      <c r="H93" s="5">
        <f t="shared" si="15"/>
        <v>0.4653127992069499</v>
      </c>
      <c r="I93" s="5">
        <v>0.47599999999999998</v>
      </c>
      <c r="J93" s="11">
        <f t="shared" si="16"/>
        <v>0.2438239067844418</v>
      </c>
    </row>
    <row r="94" spans="1:10" x14ac:dyDescent="0.25">
      <c r="A94" s="2">
        <v>92</v>
      </c>
      <c r="B94" s="5">
        <v>1.1988004189333878E-2</v>
      </c>
      <c r="C94" s="5">
        <f t="shared" si="13"/>
        <v>1.0123456542744509</v>
      </c>
      <c r="D94" s="5">
        <f t="shared" si="14"/>
        <v>1.2270068155600857E-2</v>
      </c>
      <c r="E94" s="5">
        <f t="shared" si="11"/>
        <v>1.8123038267134309E-2</v>
      </c>
      <c r="F94" s="5">
        <f t="shared" si="17"/>
        <v>0.22148889242250816</v>
      </c>
      <c r="G94" s="5">
        <f t="shared" si="12"/>
        <v>0.22678365547990628</v>
      </c>
      <c r="H94" s="5">
        <f t="shared" si="15"/>
        <v>0.47643625100820652</v>
      </c>
      <c r="I94" s="5">
        <v>0.47599999999999998</v>
      </c>
      <c r="J94" s="11">
        <f t="shared" si="16"/>
        <v>0.24965259552830021</v>
      </c>
    </row>
    <row r="95" spans="1:10" x14ac:dyDescent="0.25">
      <c r="A95" s="2">
        <v>93</v>
      </c>
      <c r="B95" s="5">
        <v>5.9214698922005482E-3</v>
      </c>
      <c r="C95" s="5">
        <f t="shared" si="13"/>
        <v>1.018288257105072</v>
      </c>
      <c r="D95" s="5">
        <f t="shared" si="14"/>
        <v>1.8123038267134309E-2</v>
      </c>
      <c r="E95" s="5">
        <f t="shared" si="11"/>
        <v>1.4982989025767703E-2</v>
      </c>
      <c r="F95" s="5">
        <f t="shared" si="17"/>
        <v>0.22678365547990628</v>
      </c>
      <c r="G95" s="5">
        <f t="shared" si="12"/>
        <v>0.23082538249685541</v>
      </c>
      <c r="H95" s="5">
        <f t="shared" si="15"/>
        <v>0.48492727415305759</v>
      </c>
      <c r="I95" s="5">
        <v>0.47599999999999998</v>
      </c>
      <c r="J95" s="11">
        <f t="shared" si="16"/>
        <v>0.25410189165620223</v>
      </c>
    </row>
    <row r="96" spans="1:10" x14ac:dyDescent="0.25">
      <c r="A96" s="2">
        <v>94</v>
      </c>
      <c r="B96" s="5">
        <v>1.8880200514104217E-2</v>
      </c>
      <c r="C96" s="5">
        <f t="shared" si="13"/>
        <v>1.0150957967004064</v>
      </c>
      <c r="D96" s="5">
        <f t="shared" si="14"/>
        <v>1.4982989025767703E-2</v>
      </c>
      <c r="E96" s="5">
        <f t="shared" si="11"/>
        <v>2.6371695026988069E-2</v>
      </c>
      <c r="F96" s="5">
        <f t="shared" si="17"/>
        <v>0.23082538249685541</v>
      </c>
      <c r="G96" s="5">
        <f t="shared" si="12"/>
        <v>0.23214309170689926</v>
      </c>
      <c r="H96" s="5">
        <f t="shared" si="15"/>
        <v>0.48769557081281362</v>
      </c>
      <c r="I96" s="5">
        <v>0.47599999999999998</v>
      </c>
      <c r="J96" s="11">
        <f t="shared" si="16"/>
        <v>0.25555247910591433</v>
      </c>
    </row>
    <row r="97" spans="1:10" x14ac:dyDescent="0.25">
      <c r="A97" s="2">
        <v>95</v>
      </c>
      <c r="B97" s="5">
        <v>6.1728997025056742E-3</v>
      </c>
      <c r="C97" s="5">
        <f t="shared" si="13"/>
        <v>1.0267225052069613</v>
      </c>
      <c r="D97" s="5">
        <f t="shared" si="14"/>
        <v>2.6371695026988069E-2</v>
      </c>
      <c r="E97" s="5">
        <f t="shared" si="11"/>
        <v>1.9358747215999707E-2</v>
      </c>
      <c r="F97" s="5">
        <f t="shared" si="17"/>
        <v>0.23214309170689926</v>
      </c>
      <c r="G97" s="5">
        <f t="shared" si="12"/>
        <v>0.23547126471968324</v>
      </c>
      <c r="H97" s="5">
        <f t="shared" si="15"/>
        <v>0.49468753092370432</v>
      </c>
      <c r="I97" s="5">
        <v>0.47599999999999998</v>
      </c>
      <c r="J97" s="11">
        <f t="shared" si="16"/>
        <v>0.25921626620402105</v>
      </c>
    </row>
    <row r="98" spans="1:10" x14ac:dyDescent="0.25">
      <c r="A98" s="2">
        <v>96</v>
      </c>
      <c r="B98" s="5">
        <v>-1.5013984011602588E-2</v>
      </c>
      <c r="C98" s="5">
        <f t="shared" si="13"/>
        <v>1.0195473427884083</v>
      </c>
      <c r="D98" s="5">
        <f t="shared" si="14"/>
        <v>1.9358747215999707E-2</v>
      </c>
      <c r="E98" s="5">
        <f t="shared" ref="E98:E102" si="18">$M$3*D98+B98</f>
        <v>-5.3346104036027346E-3</v>
      </c>
      <c r="F98" s="5">
        <f t="shared" si="17"/>
        <v>0.23547126471968324</v>
      </c>
      <c r="G98" s="5">
        <f t="shared" si="12"/>
        <v>0.23549587700052674</v>
      </c>
      <c r="H98" s="5">
        <f t="shared" si="15"/>
        <v>0.49473923739606457</v>
      </c>
      <c r="I98" s="5">
        <v>0.47599999999999998</v>
      </c>
      <c r="J98" s="11">
        <f t="shared" si="16"/>
        <v>0.25924336039553786</v>
      </c>
    </row>
    <row r="99" spans="1:10" x14ac:dyDescent="0.25">
      <c r="A99" s="2">
        <v>97</v>
      </c>
      <c r="B99" s="5">
        <v>-2.0749757823068649E-2</v>
      </c>
      <c r="C99" s="5">
        <f t="shared" ref="C99:C102" si="19">EXP(D99)</f>
        <v>0.99467959336206691</v>
      </c>
      <c r="D99" s="5">
        <f t="shared" si="14"/>
        <v>-5.3346104036027346E-3</v>
      </c>
      <c r="E99" s="5">
        <f t="shared" si="18"/>
        <v>-2.3417063024870018E-2</v>
      </c>
      <c r="F99" s="5">
        <f t="shared" si="17"/>
        <v>0.23549587700052674</v>
      </c>
      <c r="G99" s="5">
        <f t="shared" si="12"/>
        <v>0.2297639108733916</v>
      </c>
      <c r="H99" s="5">
        <f t="shared" si="15"/>
        <v>0.48269729175082277</v>
      </c>
      <c r="I99" s="5">
        <v>0.47599999999999998</v>
      </c>
      <c r="J99" s="11">
        <f t="shared" si="16"/>
        <v>0.25293338087743111</v>
      </c>
    </row>
    <row r="100" spans="1:10" x14ac:dyDescent="0.25">
      <c r="A100" s="2">
        <v>98</v>
      </c>
      <c r="B100" s="5">
        <v>3.3470769267296419E-3</v>
      </c>
      <c r="C100" s="5">
        <f t="shared" si="19"/>
        <v>0.97685498870717169</v>
      </c>
      <c r="D100" s="5">
        <f t="shared" si="14"/>
        <v>-2.3417063024870018E-2</v>
      </c>
      <c r="E100" s="5">
        <f t="shared" si="18"/>
        <v>-8.361454585705367E-3</v>
      </c>
      <c r="F100" s="5">
        <f t="shared" si="17"/>
        <v>0.2297639108733916</v>
      </c>
      <c r="G100" s="5">
        <f t="shared" si="12"/>
        <v>0.22288352048894214</v>
      </c>
      <c r="H100" s="5">
        <f t="shared" si="15"/>
        <v>0.46824269010281966</v>
      </c>
      <c r="I100" s="5">
        <v>0.47599999999999998</v>
      </c>
      <c r="J100" s="11">
        <f t="shared" si="16"/>
        <v>0.24535916961387752</v>
      </c>
    </row>
    <row r="101" spans="1:10" x14ac:dyDescent="0.25">
      <c r="A101" s="2">
        <v>99</v>
      </c>
      <c r="B101" s="5">
        <v>-3.3924152376130223E-2</v>
      </c>
      <c r="C101" s="5">
        <f t="shared" si="19"/>
        <v>0.99167340514866542</v>
      </c>
      <c r="D101" s="5">
        <f t="shared" si="14"/>
        <v>-8.361454585705367E-3</v>
      </c>
      <c r="E101" s="5">
        <f t="shared" si="18"/>
        <v>-3.8104879668982905E-2</v>
      </c>
      <c r="F101" s="5">
        <f t="shared" si="17"/>
        <v>0.22288352048894214</v>
      </c>
      <c r="G101" s="5">
        <f t="shared" si="12"/>
        <v>0.22285100582199854</v>
      </c>
      <c r="H101" s="5">
        <f t="shared" si="15"/>
        <v>0.46817438197898853</v>
      </c>
      <c r="I101" s="5">
        <v>0.47599999999999998</v>
      </c>
      <c r="J101" s="11">
        <f t="shared" si="16"/>
        <v>0.24532337615698999</v>
      </c>
    </row>
    <row r="102" spans="1:10" ht="15.75" thickBot="1" x14ac:dyDescent="0.3">
      <c r="A102" s="3">
        <v>100</v>
      </c>
      <c r="B102" s="6">
        <v>-3.1443596526514739E-2</v>
      </c>
      <c r="C102" s="6">
        <f t="shared" si="19"/>
        <v>0.96261197717124658</v>
      </c>
      <c r="D102" s="6">
        <f t="shared" si="14"/>
        <v>-3.8104879668982905E-2</v>
      </c>
      <c r="E102" s="6">
        <f t="shared" si="18"/>
        <v>-5.0496036361006191E-2</v>
      </c>
      <c r="F102" s="6">
        <f t="shared" si="17"/>
        <v>0.22285100582199854</v>
      </c>
      <c r="G102" s="6"/>
      <c r="H102" s="6">
        <f t="shared" si="15"/>
        <v>0.45442117500197882</v>
      </c>
      <c r="I102" s="6">
        <v>0.47599999999999998</v>
      </c>
      <c r="J102" s="12">
        <f t="shared" si="16"/>
        <v>0.23811669570103691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C429-701A-4093-A2A4-35B3413DED93}">
  <dimension ref="A1:M102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13" ht="15" customHeight="1" thickBot="1" x14ac:dyDescent="0.3">
      <c r="A1" s="4" t="s">
        <v>0</v>
      </c>
      <c r="B1" s="4" t="s">
        <v>6</v>
      </c>
      <c r="C1" s="4" t="s">
        <v>2</v>
      </c>
      <c r="D1" s="4" t="s">
        <v>5</v>
      </c>
      <c r="E1" s="4" t="s">
        <v>4</v>
      </c>
      <c r="F1" s="4" t="s">
        <v>3</v>
      </c>
      <c r="G1" s="4" t="s">
        <v>11</v>
      </c>
      <c r="H1" s="4" t="s">
        <v>1</v>
      </c>
      <c r="I1" s="4" t="s">
        <v>12</v>
      </c>
      <c r="J1" s="4" t="s">
        <v>10</v>
      </c>
      <c r="K1" s="2"/>
      <c r="L1" s="8" t="s">
        <v>8</v>
      </c>
      <c r="M1" s="9">
        <v>0.5</v>
      </c>
    </row>
    <row r="2" spans="1:13" ht="15.75" thickBot="1" x14ac:dyDescent="0.3">
      <c r="A2" s="2">
        <v>0</v>
      </c>
      <c r="B2" s="5">
        <f>2*0.02</f>
        <v>0.04</v>
      </c>
      <c r="C2" s="5">
        <v>1</v>
      </c>
      <c r="D2" s="5">
        <f>LN(C2)</f>
        <v>0</v>
      </c>
      <c r="E2" s="5">
        <f t="shared" ref="E2:E33" si="0">$M$3*D2+B2</f>
        <v>0.04</v>
      </c>
      <c r="F2" s="5">
        <f>($M$1*$M$2)^(1/(1-$M$1))</f>
        <v>0.22657599999999997</v>
      </c>
      <c r="G2" s="5">
        <f t="shared" ref="G2:G33" si="1">F3</f>
        <v>0.22657599999999997</v>
      </c>
      <c r="H2" s="5">
        <f>$C2*$F2^$M$1</f>
        <v>0.47599999999999998</v>
      </c>
      <c r="I2" s="5">
        <v>0.47599999999999998</v>
      </c>
      <c r="J2" s="11">
        <f>(1-$M$1*$M$2)*$C2*$F2^$M$1</f>
        <v>0.24942400000000001</v>
      </c>
      <c r="K2" s="2"/>
      <c r="L2" s="8" t="s">
        <v>9</v>
      </c>
      <c r="M2" s="10">
        <v>0.95199999999999996</v>
      </c>
    </row>
    <row r="3" spans="1:13" ht="15.75" thickBot="1" x14ac:dyDescent="0.3">
      <c r="A3" s="2">
        <v>1</v>
      </c>
      <c r="B3" s="5">
        <v>0</v>
      </c>
      <c r="C3" s="5">
        <f t="shared" ref="C3:C34" si="2">EXP(D3)</f>
        <v>1.0408107741923882</v>
      </c>
      <c r="D3" s="5">
        <f t="shared" ref="D3:D34" si="3">E2</f>
        <v>0.04</v>
      </c>
      <c r="E3" s="5">
        <f t="shared" si="0"/>
        <v>0.02</v>
      </c>
      <c r="F3" s="5">
        <f>$M$1*$M$2*$C2*$F2^$M$1</f>
        <v>0.22657599999999997</v>
      </c>
      <c r="G3" s="5">
        <f t="shared" si="1"/>
        <v>0.23582274197341452</v>
      </c>
      <c r="H3" s="5">
        <f t="shared" ref="H3:H66" si="4">$C3*$F3^$M$1</f>
        <v>0.49542592851557676</v>
      </c>
      <c r="I3" s="5">
        <v>0.47599999999999998</v>
      </c>
      <c r="J3" s="11">
        <f t="shared" ref="J3:J66" si="5">(1-$M$1*$M$2)*$C3*$F3^$M$1</f>
        <v>0.25960318654216225</v>
      </c>
      <c r="L3" s="8" t="s">
        <v>7</v>
      </c>
      <c r="M3" s="9">
        <v>0.5</v>
      </c>
    </row>
    <row r="4" spans="1:13" x14ac:dyDescent="0.25">
      <c r="A4" s="2">
        <v>2</v>
      </c>
      <c r="B4" s="5">
        <v>0</v>
      </c>
      <c r="C4" s="5">
        <f t="shared" si="2"/>
        <v>1.0202013400267558</v>
      </c>
      <c r="D4" s="5">
        <f t="shared" si="3"/>
        <v>0.02</v>
      </c>
      <c r="E4" s="5">
        <f t="shared" si="0"/>
        <v>0.01</v>
      </c>
      <c r="F4" s="5">
        <f t="shared" ref="F4:F67" si="6">$M$1*$M$2*$C3*$F3^$M$1</f>
        <v>0.23582274197341452</v>
      </c>
      <c r="G4" s="5">
        <f t="shared" si="1"/>
        <v>0.23582274197341449</v>
      </c>
      <c r="H4" s="5">
        <f t="shared" si="4"/>
        <v>0.49542592851557671</v>
      </c>
      <c r="I4" s="5">
        <v>0.47599999999999998</v>
      </c>
      <c r="J4" s="11">
        <f t="shared" si="5"/>
        <v>0.25960318654216219</v>
      </c>
    </row>
    <row r="5" spans="1:13" x14ac:dyDescent="0.25">
      <c r="A5" s="2">
        <v>3</v>
      </c>
      <c r="B5" s="5">
        <v>0</v>
      </c>
      <c r="C5" s="5">
        <f t="shared" si="2"/>
        <v>1.0100501670841679</v>
      </c>
      <c r="D5" s="5">
        <f t="shared" si="3"/>
        <v>0.01</v>
      </c>
      <c r="E5" s="5">
        <f t="shared" si="0"/>
        <v>5.0000000000000001E-3</v>
      </c>
      <c r="F5" s="5">
        <f t="shared" si="6"/>
        <v>0.23582274197341449</v>
      </c>
      <c r="G5" s="5">
        <f t="shared" si="1"/>
        <v>0.23347626648505196</v>
      </c>
      <c r="H5" s="5">
        <f t="shared" si="4"/>
        <v>0.49049635816187392</v>
      </c>
      <c r="I5" s="5">
        <v>0.47599999999999998</v>
      </c>
      <c r="J5" s="11">
        <f t="shared" si="5"/>
        <v>0.25702009167682194</v>
      </c>
    </row>
    <row r="6" spans="1:13" x14ac:dyDescent="0.25">
      <c r="A6" s="2">
        <v>4</v>
      </c>
      <c r="B6" s="5">
        <v>0</v>
      </c>
      <c r="C6" s="5">
        <f t="shared" si="2"/>
        <v>1.005012520859401</v>
      </c>
      <c r="D6" s="5">
        <f t="shared" si="3"/>
        <v>5.0000000000000001E-3</v>
      </c>
      <c r="E6" s="5">
        <f t="shared" si="0"/>
        <v>2.5000000000000001E-3</v>
      </c>
      <c r="F6" s="5">
        <f t="shared" si="6"/>
        <v>0.23347626648505196</v>
      </c>
      <c r="G6" s="5">
        <f t="shared" si="1"/>
        <v>0.23115313881790217</v>
      </c>
      <c r="H6" s="5">
        <f t="shared" si="4"/>
        <v>0.48561583785273565</v>
      </c>
      <c r="I6" s="5">
        <v>0.47599999999999998</v>
      </c>
      <c r="J6" s="11">
        <f t="shared" si="5"/>
        <v>0.25446269903483348</v>
      </c>
    </row>
    <row r="7" spans="1:13" x14ac:dyDescent="0.25">
      <c r="A7" s="2">
        <v>5</v>
      </c>
      <c r="B7" s="5">
        <v>0</v>
      </c>
      <c r="C7" s="5">
        <f t="shared" si="2"/>
        <v>1.0025031276057952</v>
      </c>
      <c r="D7" s="5">
        <f t="shared" si="3"/>
        <v>2.5000000000000001E-3</v>
      </c>
      <c r="E7" s="5">
        <f t="shared" si="0"/>
        <v>1.25E-3</v>
      </c>
      <c r="F7" s="5">
        <f t="shared" si="6"/>
        <v>0.23115313881790217</v>
      </c>
      <c r="G7" s="5">
        <f t="shared" si="1"/>
        <v>0.22942597523627076</v>
      </c>
      <c r="H7" s="5">
        <f t="shared" si="4"/>
        <v>0.48198734293334194</v>
      </c>
      <c r="I7" s="5">
        <v>0.47599999999999998</v>
      </c>
      <c r="J7" s="11">
        <f t="shared" si="5"/>
        <v>0.25256136769707122</v>
      </c>
    </row>
    <row r="8" spans="1:13" x14ac:dyDescent="0.25">
      <c r="A8" s="2">
        <v>6</v>
      </c>
      <c r="B8" s="5">
        <v>0</v>
      </c>
      <c r="C8" s="5">
        <f t="shared" si="2"/>
        <v>1.0012507815756226</v>
      </c>
      <c r="D8" s="5">
        <f t="shared" si="3"/>
        <v>1.25E-3</v>
      </c>
      <c r="E8" s="5">
        <f t="shared" si="0"/>
        <v>6.2500000000000001E-4</v>
      </c>
      <c r="F8" s="5">
        <f t="shared" si="6"/>
        <v>0.22942597523627076</v>
      </c>
      <c r="G8" s="5">
        <f t="shared" si="1"/>
        <v>0.2282817084110407</v>
      </c>
      <c r="H8" s="5">
        <f t="shared" si="4"/>
        <v>0.47958342103159812</v>
      </c>
      <c r="I8" s="5">
        <v>0.47599999999999998</v>
      </c>
      <c r="J8" s="11">
        <f t="shared" si="5"/>
        <v>0.25130171262055745</v>
      </c>
    </row>
    <row r="9" spans="1:13" x14ac:dyDescent="0.25">
      <c r="A9" s="2">
        <v>7</v>
      </c>
      <c r="B9" s="5">
        <v>0</v>
      </c>
      <c r="C9" s="5">
        <f t="shared" si="2"/>
        <v>1.0006251953531964</v>
      </c>
      <c r="D9" s="5">
        <f t="shared" si="3"/>
        <v>6.2500000000000001E-4</v>
      </c>
      <c r="E9" s="5">
        <f t="shared" si="0"/>
        <v>3.1250000000000001E-4</v>
      </c>
      <c r="F9" s="5">
        <f t="shared" si="6"/>
        <v>0.2282817084110407</v>
      </c>
      <c r="G9" s="5">
        <f t="shared" si="1"/>
        <v>0.22756944156884126</v>
      </c>
      <c r="H9" s="5">
        <f t="shared" si="4"/>
        <v>0.47808706211941443</v>
      </c>
      <c r="I9" s="5">
        <v>0.47599999999999998</v>
      </c>
      <c r="J9" s="11">
        <f t="shared" si="5"/>
        <v>0.25051762055057314</v>
      </c>
    </row>
    <row r="10" spans="1:13" x14ac:dyDescent="0.25">
      <c r="A10" s="2">
        <v>8</v>
      </c>
      <c r="B10" s="5">
        <v>0</v>
      </c>
      <c r="C10" s="5">
        <f t="shared" si="2"/>
        <v>1.0003125488332116</v>
      </c>
      <c r="D10" s="5">
        <f t="shared" si="3"/>
        <v>3.1250000000000001E-4</v>
      </c>
      <c r="E10" s="5">
        <f t="shared" si="0"/>
        <v>1.5625E-4</v>
      </c>
      <c r="F10" s="5">
        <f t="shared" si="6"/>
        <v>0.22756944156884126</v>
      </c>
      <c r="G10" s="5">
        <f t="shared" si="1"/>
        <v>0.22714314864041057</v>
      </c>
      <c r="H10" s="5">
        <f t="shared" si="4"/>
        <v>0.47719148874035838</v>
      </c>
      <c r="I10" s="5">
        <v>0.47599999999999998</v>
      </c>
      <c r="J10" s="11">
        <f t="shared" si="5"/>
        <v>0.25004834009994781</v>
      </c>
    </row>
    <row r="11" spans="1:13" x14ac:dyDescent="0.25">
      <c r="A11" s="2">
        <v>9</v>
      </c>
      <c r="B11" s="5">
        <v>0</v>
      </c>
      <c r="C11" s="5">
        <f t="shared" si="2"/>
        <v>1.000156262207667</v>
      </c>
      <c r="D11" s="5">
        <f t="shared" si="3"/>
        <v>1.5625E-4</v>
      </c>
      <c r="E11" s="5">
        <f t="shared" si="0"/>
        <v>7.8125000000000002E-5</v>
      </c>
      <c r="F11" s="5">
        <f t="shared" si="6"/>
        <v>0.22714314864041057</v>
      </c>
      <c r="G11" s="5">
        <f t="shared" si="1"/>
        <v>0.22689484663649692</v>
      </c>
      <c r="H11" s="5">
        <f t="shared" si="4"/>
        <v>0.47666984587499356</v>
      </c>
      <c r="I11" s="5">
        <v>0.47599999999999998</v>
      </c>
      <c r="J11" s="11">
        <f t="shared" si="5"/>
        <v>0.24977499923849666</v>
      </c>
    </row>
    <row r="12" spans="1:13" x14ac:dyDescent="0.25">
      <c r="A12" s="2">
        <v>10</v>
      </c>
      <c r="B12" s="5">
        <v>0</v>
      </c>
      <c r="C12" s="5">
        <f t="shared" si="2"/>
        <v>1.0000781280518374</v>
      </c>
      <c r="D12" s="5">
        <f t="shared" si="3"/>
        <v>7.8125000000000002E-5</v>
      </c>
      <c r="E12" s="5">
        <f t="shared" si="0"/>
        <v>3.9062500000000001E-5</v>
      </c>
      <c r="F12" s="5">
        <f t="shared" si="6"/>
        <v>0.22689484663649692</v>
      </c>
      <c r="G12" s="5">
        <f t="shared" si="1"/>
        <v>0.22675308166351793</v>
      </c>
      <c r="H12" s="5">
        <f t="shared" si="4"/>
        <v>0.47637202030150833</v>
      </c>
      <c r="I12" s="5">
        <v>0.47599999999999998</v>
      </c>
      <c r="J12" s="11">
        <f t="shared" si="5"/>
        <v>0.24961893863799037</v>
      </c>
    </row>
    <row r="13" spans="1:13" x14ac:dyDescent="0.25">
      <c r="A13" s="2">
        <v>11</v>
      </c>
      <c r="B13" s="5">
        <v>0</v>
      </c>
      <c r="C13" s="5">
        <f t="shared" si="2"/>
        <v>1.0000390632629494</v>
      </c>
      <c r="D13" s="5">
        <f t="shared" si="3"/>
        <v>3.9062500000000001E-5</v>
      </c>
      <c r="E13" s="5">
        <f t="shared" si="0"/>
        <v>1.953125E-5</v>
      </c>
      <c r="F13" s="5">
        <f t="shared" si="6"/>
        <v>0.22675308166351793</v>
      </c>
      <c r="G13" s="5">
        <f t="shared" si="1"/>
        <v>0.2266733777945123</v>
      </c>
      <c r="H13" s="5">
        <f t="shared" si="4"/>
        <v>0.47620457519855525</v>
      </c>
      <c r="I13" s="5">
        <v>0.47599999999999998</v>
      </c>
      <c r="J13" s="11">
        <f t="shared" si="5"/>
        <v>0.24953119740404295</v>
      </c>
    </row>
    <row r="14" spans="1:13" x14ac:dyDescent="0.25">
      <c r="A14" s="2">
        <v>12</v>
      </c>
      <c r="B14" s="5">
        <v>0</v>
      </c>
      <c r="C14" s="5">
        <f t="shared" si="2"/>
        <v>1.0000195314407361</v>
      </c>
      <c r="D14" s="5">
        <f t="shared" si="3"/>
        <v>1.953125E-5</v>
      </c>
      <c r="E14" s="5">
        <f t="shared" si="0"/>
        <v>9.7656250000000002E-6</v>
      </c>
      <c r="F14" s="5">
        <f t="shared" si="6"/>
        <v>0.2266733777945123</v>
      </c>
      <c r="G14" s="5">
        <f t="shared" si="1"/>
        <v>0.2266291099735819</v>
      </c>
      <c r="H14" s="5">
        <f t="shared" si="4"/>
        <v>0.47611157557475192</v>
      </c>
      <c r="I14" s="5">
        <v>0.47599999999999998</v>
      </c>
      <c r="J14" s="11">
        <f t="shared" si="5"/>
        <v>0.24948246560117002</v>
      </c>
    </row>
    <row r="15" spans="1:13" x14ac:dyDescent="0.25">
      <c r="A15" s="2">
        <v>13</v>
      </c>
      <c r="B15" s="5">
        <v>0</v>
      </c>
      <c r="C15" s="5">
        <f t="shared" si="2"/>
        <v>1.0000097656726838</v>
      </c>
      <c r="D15" s="5">
        <f t="shared" si="3"/>
        <v>9.7656250000000002E-6</v>
      </c>
      <c r="E15" s="5">
        <f t="shared" si="0"/>
        <v>4.8828125000000001E-6</v>
      </c>
      <c r="F15" s="5">
        <f t="shared" si="6"/>
        <v>0.2266291099735819</v>
      </c>
      <c r="G15" s="5">
        <f t="shared" si="1"/>
        <v>0.22660476635720081</v>
      </c>
      <c r="H15" s="5">
        <f t="shared" si="4"/>
        <v>0.47606043352353117</v>
      </c>
      <c r="I15" s="5">
        <v>0.47599999999999998</v>
      </c>
      <c r="J15" s="11">
        <f t="shared" si="5"/>
        <v>0.24945566716633033</v>
      </c>
    </row>
    <row r="16" spans="1:13" x14ac:dyDescent="0.25">
      <c r="A16" s="2">
        <v>14</v>
      </c>
      <c r="B16" s="5">
        <v>0</v>
      </c>
      <c r="C16" s="5">
        <f t="shared" si="2"/>
        <v>1.000004882824421</v>
      </c>
      <c r="D16" s="5">
        <f t="shared" si="3"/>
        <v>4.8828125000000001E-6</v>
      </c>
      <c r="E16" s="5">
        <f t="shared" si="0"/>
        <v>2.4414062500000001E-6</v>
      </c>
      <c r="F16" s="5">
        <f t="shared" si="6"/>
        <v>0.22660476635720081</v>
      </c>
      <c r="G16" s="5">
        <f t="shared" si="1"/>
        <v>0.22659148912315735</v>
      </c>
      <c r="H16" s="5">
        <f t="shared" si="4"/>
        <v>0.47603254017470031</v>
      </c>
      <c r="I16" s="5">
        <v>0.47599999999999998</v>
      </c>
      <c r="J16" s="11">
        <f t="shared" si="5"/>
        <v>0.24944105105154299</v>
      </c>
    </row>
    <row r="17" spans="1:10" x14ac:dyDescent="0.25">
      <c r="A17" s="2">
        <v>15</v>
      </c>
      <c r="B17" s="5">
        <v>0</v>
      </c>
      <c r="C17" s="5">
        <f t="shared" si="2"/>
        <v>1.0000024414092303</v>
      </c>
      <c r="D17" s="5">
        <f t="shared" si="3"/>
        <v>2.4414062500000001E-6</v>
      </c>
      <c r="E17" s="5">
        <f t="shared" si="0"/>
        <v>1.220703125E-6</v>
      </c>
      <c r="F17" s="5">
        <f t="shared" si="6"/>
        <v>0.22659148912315735</v>
      </c>
      <c r="G17" s="5">
        <f t="shared" si="1"/>
        <v>0.22658429761287041</v>
      </c>
      <c r="H17" s="5">
        <f t="shared" si="4"/>
        <v>0.47601743195981178</v>
      </c>
      <c r="I17" s="5">
        <v>0.47599999999999998</v>
      </c>
      <c r="J17" s="11">
        <f t="shared" si="5"/>
        <v>0.24943313434694142</v>
      </c>
    </row>
    <row r="18" spans="1:10" x14ac:dyDescent="0.25">
      <c r="A18" s="2">
        <v>16</v>
      </c>
      <c r="B18" s="5">
        <v>0</v>
      </c>
      <c r="C18" s="5">
        <f t="shared" si="2"/>
        <v>1.00000122070387</v>
      </c>
      <c r="D18" s="5">
        <f t="shared" si="3"/>
        <v>1.220703125E-6</v>
      </c>
      <c r="E18" s="5">
        <f t="shared" si="0"/>
        <v>6.1035156250000001E-7</v>
      </c>
      <c r="F18" s="5">
        <f t="shared" si="6"/>
        <v>0.22658429761287041</v>
      </c>
      <c r="G18" s="5">
        <f t="shared" si="1"/>
        <v>0.22658042535571624</v>
      </c>
      <c r="H18" s="5">
        <f t="shared" si="4"/>
        <v>0.47600929696579036</v>
      </c>
      <c r="I18" s="5">
        <v>0.47599999999999998</v>
      </c>
      <c r="J18" s="11">
        <f t="shared" si="5"/>
        <v>0.24942887161007418</v>
      </c>
    </row>
    <row r="19" spans="1:10" x14ac:dyDescent="0.25">
      <c r="A19" s="2">
        <v>17</v>
      </c>
      <c r="B19" s="5">
        <v>0</v>
      </c>
      <c r="C19" s="5">
        <f t="shared" si="2"/>
        <v>1.0000006103517487</v>
      </c>
      <c r="D19" s="5">
        <f t="shared" si="3"/>
        <v>6.1035156250000001E-7</v>
      </c>
      <c r="E19" s="5">
        <f t="shared" si="0"/>
        <v>3.0517578125000001E-7</v>
      </c>
      <c r="F19" s="5">
        <f t="shared" si="6"/>
        <v>0.22658042535571624</v>
      </c>
      <c r="G19" s="5">
        <f t="shared" si="1"/>
        <v>0.22657835095946233</v>
      </c>
      <c r="H19" s="5">
        <f t="shared" si="4"/>
        <v>0.47600493899046709</v>
      </c>
      <c r="I19" s="5">
        <v>0.47599999999999998</v>
      </c>
      <c r="J19" s="11">
        <f t="shared" si="5"/>
        <v>0.24942658803100479</v>
      </c>
    </row>
    <row r="20" spans="1:10" x14ac:dyDescent="0.25">
      <c r="A20" s="2">
        <v>18</v>
      </c>
      <c r="B20" s="5">
        <v>0</v>
      </c>
      <c r="C20" s="5">
        <f t="shared" si="2"/>
        <v>1.0000003051758277</v>
      </c>
      <c r="D20" s="5">
        <f t="shared" si="3"/>
        <v>3.0517578125000001E-7</v>
      </c>
      <c r="E20" s="5">
        <f t="shared" si="0"/>
        <v>1.52587890625E-7</v>
      </c>
      <c r="F20" s="5">
        <f t="shared" si="6"/>
        <v>0.22657835095946233</v>
      </c>
      <c r="G20" s="5">
        <f t="shared" si="1"/>
        <v>0.22657724462255904</v>
      </c>
      <c r="H20" s="5">
        <f t="shared" si="4"/>
        <v>0.47600261475327532</v>
      </c>
      <c r="I20" s="5">
        <v>0.47599999999999998</v>
      </c>
      <c r="J20" s="11">
        <f t="shared" si="5"/>
        <v>0.24942537013071628</v>
      </c>
    </row>
    <row r="21" spans="1:10" x14ac:dyDescent="0.25">
      <c r="A21" s="2">
        <v>19</v>
      </c>
      <c r="B21" s="5">
        <v>0</v>
      </c>
      <c r="C21" s="5">
        <f t="shared" si="2"/>
        <v>1.0000001525879023</v>
      </c>
      <c r="D21" s="5">
        <f t="shared" si="3"/>
        <v>1.52587890625E-7</v>
      </c>
      <c r="E21" s="5">
        <f t="shared" si="0"/>
        <v>7.6293945312500002E-8</v>
      </c>
      <c r="F21" s="5">
        <f t="shared" si="6"/>
        <v>0.22657724462255904</v>
      </c>
      <c r="G21" s="5">
        <f t="shared" si="1"/>
        <v>0.22657665688327641</v>
      </c>
      <c r="H21" s="5">
        <f t="shared" si="4"/>
        <v>0.47600138000688325</v>
      </c>
      <c r="I21" s="5">
        <v>0.47599999999999998</v>
      </c>
      <c r="J21" s="11">
        <f t="shared" si="5"/>
        <v>0.24942472312360681</v>
      </c>
    </row>
    <row r="22" spans="1:10" x14ac:dyDescent="0.25">
      <c r="A22" s="2">
        <v>20</v>
      </c>
      <c r="B22" s="5">
        <v>0</v>
      </c>
      <c r="C22" s="5">
        <f t="shared" si="2"/>
        <v>1.0000000762939483</v>
      </c>
      <c r="D22" s="5">
        <f t="shared" si="3"/>
        <v>7.6293945312500002E-8</v>
      </c>
      <c r="E22" s="5">
        <f t="shared" si="0"/>
        <v>3.8146972656250001E-8</v>
      </c>
      <c r="F22" s="5">
        <f t="shared" si="6"/>
        <v>0.22657665688327641</v>
      </c>
      <c r="G22" s="5">
        <f t="shared" si="1"/>
        <v>0.22657634572780283</v>
      </c>
      <c r="H22" s="5">
        <f t="shared" si="4"/>
        <v>0.47600072631891349</v>
      </c>
      <c r="I22" s="5">
        <v>0.47599999999999998</v>
      </c>
      <c r="J22" s="11">
        <f t="shared" si="5"/>
        <v>0.24942438059111069</v>
      </c>
    </row>
    <row r="23" spans="1:10" x14ac:dyDescent="0.25">
      <c r="A23" s="2">
        <v>21</v>
      </c>
      <c r="B23" s="5">
        <v>0</v>
      </c>
      <c r="C23" s="5">
        <f t="shared" si="2"/>
        <v>1.0000000381469734</v>
      </c>
      <c r="D23" s="5">
        <f t="shared" si="3"/>
        <v>3.8146972656250001E-8</v>
      </c>
      <c r="E23" s="5">
        <f t="shared" si="0"/>
        <v>1.9073486328125E-8</v>
      </c>
      <c r="F23" s="5">
        <f t="shared" si="6"/>
        <v>0.22657634572780283</v>
      </c>
      <c r="G23" s="5">
        <f t="shared" si="1"/>
        <v>0.22657618150703068</v>
      </c>
      <c r="H23" s="5">
        <f t="shared" si="4"/>
        <v>0.47600038131729139</v>
      </c>
      <c r="I23" s="5">
        <v>0.47599999999999998</v>
      </c>
      <c r="J23" s="11">
        <f t="shared" si="5"/>
        <v>0.24942419981026068</v>
      </c>
    </row>
    <row r="24" spans="1:10" x14ac:dyDescent="0.25">
      <c r="A24" s="2">
        <v>22</v>
      </c>
      <c r="B24" s="5">
        <v>0</v>
      </c>
      <c r="C24" s="5">
        <f t="shared" si="2"/>
        <v>1.0000000190734866</v>
      </c>
      <c r="D24" s="5">
        <f t="shared" si="3"/>
        <v>1.9073486328125E-8</v>
      </c>
      <c r="E24" s="5">
        <f t="shared" si="0"/>
        <v>9.5367431640625002E-9</v>
      </c>
      <c r="F24" s="5">
        <f t="shared" si="6"/>
        <v>0.22657618150703068</v>
      </c>
      <c r="G24" s="5">
        <f t="shared" si="1"/>
        <v>0.22657609507509319</v>
      </c>
      <c r="H24" s="5">
        <f t="shared" si="4"/>
        <v>0.47600019973759072</v>
      </c>
      <c r="I24" s="5">
        <v>0.47599999999999998</v>
      </c>
      <c r="J24" s="11">
        <f t="shared" si="5"/>
        <v>0.24942410466249756</v>
      </c>
    </row>
    <row r="25" spans="1:10" x14ac:dyDescent="0.25">
      <c r="A25" s="2">
        <v>23</v>
      </c>
      <c r="B25" s="5">
        <v>0</v>
      </c>
      <c r="C25" s="5">
        <f t="shared" si="2"/>
        <v>1.0000000095367432</v>
      </c>
      <c r="D25" s="5">
        <f t="shared" si="3"/>
        <v>9.5367431640625002E-9</v>
      </c>
      <c r="E25" s="5">
        <f t="shared" si="0"/>
        <v>4.7683715820312501E-9</v>
      </c>
      <c r="F25" s="5">
        <f t="shared" si="6"/>
        <v>0.22657609507509319</v>
      </c>
      <c r="G25" s="5">
        <f t="shared" si="1"/>
        <v>0.22657604969833917</v>
      </c>
      <c r="H25" s="5">
        <f t="shared" si="4"/>
        <v>0.47600010440827561</v>
      </c>
      <c r="I25" s="5">
        <v>0.47599999999999998</v>
      </c>
      <c r="J25" s="11">
        <f t="shared" si="5"/>
        <v>0.24942405470993639</v>
      </c>
    </row>
    <row r="26" spans="1:10" x14ac:dyDescent="0.25">
      <c r="A26" s="2">
        <v>24</v>
      </c>
      <c r="B26" s="5">
        <v>0</v>
      </c>
      <c r="C26" s="5">
        <f t="shared" si="2"/>
        <v>1.0000000047683717</v>
      </c>
      <c r="D26" s="5">
        <f t="shared" si="3"/>
        <v>4.7683715820312501E-9</v>
      </c>
      <c r="E26" s="5">
        <f t="shared" si="0"/>
        <v>2.384185791015625E-9</v>
      </c>
      <c r="F26" s="5">
        <f t="shared" si="6"/>
        <v>0.22657604969833917</v>
      </c>
      <c r="G26" s="5">
        <f t="shared" si="1"/>
        <v>0.22657602592956694</v>
      </c>
      <c r="H26" s="5">
        <f t="shared" si="4"/>
        <v>0.47600005447388011</v>
      </c>
      <c r="I26" s="5">
        <v>0.47599999999999998</v>
      </c>
      <c r="J26" s="11">
        <f t="shared" si="5"/>
        <v>0.24942402854431317</v>
      </c>
    </row>
    <row r="27" spans="1:10" x14ac:dyDescent="0.25">
      <c r="A27" s="2">
        <v>25</v>
      </c>
      <c r="B27" s="5">
        <v>0</v>
      </c>
      <c r="C27" s="5">
        <f t="shared" si="2"/>
        <v>1.0000000023841857</v>
      </c>
      <c r="D27" s="5">
        <f t="shared" si="3"/>
        <v>2.384185791015625E-9</v>
      </c>
      <c r="E27" s="5">
        <f t="shared" si="0"/>
        <v>1.1920928955078125E-9</v>
      </c>
      <c r="F27" s="5">
        <f t="shared" si="6"/>
        <v>0.22657602592956694</v>
      </c>
      <c r="G27" s="5">
        <f t="shared" si="1"/>
        <v>0.22657601350498238</v>
      </c>
      <c r="H27" s="5">
        <f t="shared" si="4"/>
        <v>0.47600002837181177</v>
      </c>
      <c r="I27" s="5">
        <v>0.47599999999999998</v>
      </c>
      <c r="J27" s="11">
        <f t="shared" si="5"/>
        <v>0.24942401486682939</v>
      </c>
    </row>
    <row r="28" spans="1:10" x14ac:dyDescent="0.25">
      <c r="A28" s="2">
        <v>26</v>
      </c>
      <c r="B28" s="5">
        <v>0</v>
      </c>
      <c r="C28" s="5">
        <f t="shared" si="2"/>
        <v>1.0000000011920929</v>
      </c>
      <c r="D28" s="5">
        <f t="shared" si="3"/>
        <v>1.1920928955078125E-9</v>
      </c>
      <c r="E28" s="5">
        <f t="shared" si="0"/>
        <v>5.9604644775390626E-10</v>
      </c>
      <c r="F28" s="5">
        <f t="shared" si="6"/>
        <v>0.22657601350498238</v>
      </c>
      <c r="G28" s="5">
        <f t="shared" si="1"/>
        <v>0.22657600702259073</v>
      </c>
      <c r="H28" s="5">
        <f t="shared" si="4"/>
        <v>0.47600001475334186</v>
      </c>
      <c r="I28" s="5">
        <v>0.47599999999999998</v>
      </c>
      <c r="J28" s="11">
        <f t="shared" si="5"/>
        <v>0.24942400773075116</v>
      </c>
    </row>
    <row r="29" spans="1:10" x14ac:dyDescent="0.25">
      <c r="A29" s="2">
        <v>27</v>
      </c>
      <c r="B29" s="5">
        <v>0</v>
      </c>
      <c r="C29" s="5">
        <f t="shared" si="2"/>
        <v>1.0000000005960465</v>
      </c>
      <c r="D29" s="5">
        <f t="shared" si="3"/>
        <v>5.9604644775390626E-10</v>
      </c>
      <c r="E29" s="5">
        <f t="shared" si="0"/>
        <v>2.9802322387695313E-10</v>
      </c>
      <c r="F29" s="5">
        <f t="shared" si="6"/>
        <v>0.22657600702259073</v>
      </c>
      <c r="G29" s="5">
        <f t="shared" si="1"/>
        <v>0.22657600364634517</v>
      </c>
      <c r="H29" s="5">
        <f t="shared" si="4"/>
        <v>0.47600000766038902</v>
      </c>
      <c r="I29" s="5">
        <v>0.47599999999999998</v>
      </c>
      <c r="J29" s="11">
        <f t="shared" si="5"/>
        <v>0.24942400401404385</v>
      </c>
    </row>
    <row r="30" spans="1:10" x14ac:dyDescent="0.25">
      <c r="A30" s="2">
        <v>28</v>
      </c>
      <c r="B30" s="5">
        <v>0</v>
      </c>
      <c r="C30" s="5">
        <f t="shared" si="2"/>
        <v>1.0000000002980232</v>
      </c>
      <c r="D30" s="5">
        <f t="shared" si="3"/>
        <v>2.9802322387695313E-10</v>
      </c>
      <c r="E30" s="5">
        <f t="shared" si="0"/>
        <v>1.4901161193847657E-10</v>
      </c>
      <c r="F30" s="5">
        <f t="shared" si="6"/>
        <v>0.22657600364634517</v>
      </c>
      <c r="G30" s="5">
        <f t="shared" si="1"/>
        <v>0.22657600189069746</v>
      </c>
      <c r="H30" s="5">
        <f t="shared" si="4"/>
        <v>0.4760000039720535</v>
      </c>
      <c r="I30" s="5">
        <v>0.47599999999999998</v>
      </c>
      <c r="J30" s="11">
        <f t="shared" si="5"/>
        <v>0.24942400208135601</v>
      </c>
    </row>
    <row r="31" spans="1:10" x14ac:dyDescent="0.25">
      <c r="A31" s="2">
        <v>29</v>
      </c>
      <c r="B31" s="5">
        <v>0</v>
      </c>
      <c r="C31" s="5">
        <f t="shared" si="2"/>
        <v>1.0000000001490117</v>
      </c>
      <c r="D31" s="5">
        <f t="shared" si="3"/>
        <v>1.4901161193847657E-10</v>
      </c>
      <c r="E31" s="5">
        <f t="shared" si="0"/>
        <v>7.4505805969238283E-11</v>
      </c>
      <c r="F31" s="5">
        <f t="shared" si="6"/>
        <v>0.22657600189069746</v>
      </c>
      <c r="G31" s="5">
        <f t="shared" si="1"/>
        <v>0.22657600097911118</v>
      </c>
      <c r="H31" s="5">
        <f t="shared" si="4"/>
        <v>0.47600000205695631</v>
      </c>
      <c r="I31" s="5">
        <v>0.47599999999999998</v>
      </c>
      <c r="J31" s="11">
        <f t="shared" si="5"/>
        <v>0.24942400107784513</v>
      </c>
    </row>
    <row r="32" spans="1:10" x14ac:dyDescent="0.25">
      <c r="A32" s="2">
        <v>30</v>
      </c>
      <c r="B32" s="5">
        <v>0</v>
      </c>
      <c r="C32" s="5">
        <f t="shared" si="2"/>
        <v>1.0000000000745057</v>
      </c>
      <c r="D32" s="5">
        <f t="shared" si="3"/>
        <v>7.4505805969238283E-11</v>
      </c>
      <c r="E32" s="5">
        <f t="shared" si="0"/>
        <v>3.7252902984619141E-11</v>
      </c>
      <c r="F32" s="5">
        <f t="shared" si="6"/>
        <v>0.22657600097911118</v>
      </c>
      <c r="G32" s="5">
        <f t="shared" si="1"/>
        <v>0.22657600050643678</v>
      </c>
      <c r="H32" s="5">
        <f t="shared" si="4"/>
        <v>0.47600000106394286</v>
      </c>
      <c r="I32" s="5">
        <v>0.47599999999999998</v>
      </c>
      <c r="J32" s="11">
        <f t="shared" si="5"/>
        <v>0.24942400055750605</v>
      </c>
    </row>
    <row r="33" spans="1:10" x14ac:dyDescent="0.25">
      <c r="A33" s="2">
        <v>31</v>
      </c>
      <c r="B33" s="5">
        <v>0</v>
      </c>
      <c r="C33" s="5">
        <f t="shared" si="2"/>
        <v>1.0000000000372529</v>
      </c>
      <c r="D33" s="5">
        <f t="shared" si="3"/>
        <v>3.7252902984619141E-11</v>
      </c>
      <c r="E33" s="5">
        <f t="shared" si="0"/>
        <v>1.8626451492309571E-11</v>
      </c>
      <c r="F33" s="5">
        <f t="shared" si="6"/>
        <v>0.22657600050643678</v>
      </c>
      <c r="G33" s="5">
        <f t="shared" si="1"/>
        <v>0.22657600026165897</v>
      </c>
      <c r="H33" s="5">
        <f t="shared" si="4"/>
        <v>0.47600000054970376</v>
      </c>
      <c r="I33" s="5">
        <v>0.47599999999999998</v>
      </c>
      <c r="J33" s="11">
        <f t="shared" si="5"/>
        <v>0.24942400028804476</v>
      </c>
    </row>
    <row r="34" spans="1:10" x14ac:dyDescent="0.25">
      <c r="A34" s="2">
        <v>32</v>
      </c>
      <c r="B34" s="5">
        <v>0</v>
      </c>
      <c r="C34" s="5">
        <f t="shared" si="2"/>
        <v>1.0000000000186264</v>
      </c>
      <c r="D34" s="5">
        <f t="shared" si="3"/>
        <v>1.8626451492309571E-11</v>
      </c>
      <c r="E34" s="5">
        <f t="shared" ref="E34:E65" si="7">$M$3*D34+B34</f>
        <v>9.3132257461547854E-12</v>
      </c>
      <c r="F34" s="5">
        <f t="shared" si="6"/>
        <v>0.22657600026165897</v>
      </c>
      <c r="G34" s="5">
        <f t="shared" ref="G34:G65" si="8">F35</f>
        <v>0.22657600013504978</v>
      </c>
      <c r="H34" s="5">
        <f t="shared" si="4"/>
        <v>0.47600000028371803</v>
      </c>
      <c r="I34" s="5">
        <v>0.47599999999999998</v>
      </c>
      <c r="J34" s="11">
        <f t="shared" si="5"/>
        <v>0.24942400014866828</v>
      </c>
    </row>
    <row r="35" spans="1:10" x14ac:dyDescent="0.25">
      <c r="A35" s="2">
        <v>33</v>
      </c>
      <c r="B35" s="5">
        <v>0</v>
      </c>
      <c r="C35" s="5">
        <f t="shared" ref="C35:C66" si="9">EXP(D35)</f>
        <v>1.0000000000093132</v>
      </c>
      <c r="D35" s="5">
        <f t="shared" ref="D35:D66" si="10">E34</f>
        <v>9.3132257461547854E-12</v>
      </c>
      <c r="E35" s="5">
        <f t="shared" si="7"/>
        <v>4.6566128730773927E-12</v>
      </c>
      <c r="F35" s="5">
        <f t="shared" si="6"/>
        <v>0.22657600013504978</v>
      </c>
      <c r="G35" s="5">
        <f t="shared" si="8"/>
        <v>0.22657600006963502</v>
      </c>
      <c r="H35" s="5">
        <f t="shared" si="4"/>
        <v>0.47600000014629207</v>
      </c>
      <c r="I35" s="5">
        <v>0.47599999999999998</v>
      </c>
      <c r="J35" s="11">
        <f t="shared" si="5"/>
        <v>0.24942400007665705</v>
      </c>
    </row>
    <row r="36" spans="1:10" x14ac:dyDescent="0.25">
      <c r="A36" s="2">
        <v>34</v>
      </c>
      <c r="B36" s="5">
        <v>0</v>
      </c>
      <c r="C36" s="5">
        <f t="shared" si="9"/>
        <v>1.0000000000046567</v>
      </c>
      <c r="D36" s="5">
        <f t="shared" si="10"/>
        <v>4.6566128730773927E-12</v>
      </c>
      <c r="E36" s="5">
        <f t="shared" si="7"/>
        <v>2.3283064365386963E-12</v>
      </c>
      <c r="F36" s="5">
        <f t="shared" si="6"/>
        <v>0.22657600006963502</v>
      </c>
      <c r="G36" s="5">
        <f t="shared" si="8"/>
        <v>0.22657600003587261</v>
      </c>
      <c r="H36" s="5">
        <f t="shared" si="4"/>
        <v>0.47600000007536264</v>
      </c>
      <c r="I36" s="5">
        <v>0.47599999999999998</v>
      </c>
      <c r="J36" s="11">
        <f t="shared" si="5"/>
        <v>0.24942400003949003</v>
      </c>
    </row>
    <row r="37" spans="1:10" x14ac:dyDescent="0.25">
      <c r="A37" s="2">
        <v>35</v>
      </c>
      <c r="B37" s="5">
        <v>0</v>
      </c>
      <c r="C37" s="5">
        <f t="shared" si="9"/>
        <v>1.0000000000023284</v>
      </c>
      <c r="D37" s="5">
        <f t="shared" si="10"/>
        <v>2.3283064365386963E-12</v>
      </c>
      <c r="E37" s="5">
        <f t="shared" si="7"/>
        <v>1.1641532182693482E-12</v>
      </c>
      <c r="F37" s="5">
        <f t="shared" si="6"/>
        <v>0.22657600003587261</v>
      </c>
      <c r="G37" s="5">
        <f t="shared" si="8"/>
        <v>0.22657600001846384</v>
      </c>
      <c r="H37" s="5">
        <f t="shared" si="4"/>
        <v>0.47600000003878962</v>
      </c>
      <c r="I37" s="5">
        <v>0.47599999999999998</v>
      </c>
      <c r="J37" s="11">
        <f t="shared" si="5"/>
        <v>0.24942400002032578</v>
      </c>
    </row>
    <row r="38" spans="1:10" x14ac:dyDescent="0.25">
      <c r="A38" s="2">
        <v>36</v>
      </c>
      <c r="B38" s="5">
        <v>0</v>
      </c>
      <c r="C38" s="5">
        <f t="shared" si="9"/>
        <v>1.0000000000011642</v>
      </c>
      <c r="D38" s="5">
        <f t="shared" si="10"/>
        <v>1.1641532182693482E-12</v>
      </c>
      <c r="E38" s="5">
        <f t="shared" si="7"/>
        <v>5.8207660913467408E-13</v>
      </c>
      <c r="F38" s="5">
        <f t="shared" si="6"/>
        <v>0.22657600001846384</v>
      </c>
      <c r="G38" s="5">
        <f t="shared" si="8"/>
        <v>0.22657600000949571</v>
      </c>
      <c r="H38" s="5">
        <f t="shared" si="4"/>
        <v>0.47600000001994897</v>
      </c>
      <c r="I38" s="5">
        <v>0.47599999999999998</v>
      </c>
      <c r="J38" s="11">
        <f t="shared" si="5"/>
        <v>0.24942400001045328</v>
      </c>
    </row>
    <row r="39" spans="1:10" x14ac:dyDescent="0.25">
      <c r="A39" s="2">
        <v>37</v>
      </c>
      <c r="B39" s="5">
        <v>0</v>
      </c>
      <c r="C39" s="5">
        <f t="shared" si="9"/>
        <v>1.000000000000582</v>
      </c>
      <c r="D39" s="5">
        <f t="shared" si="10"/>
        <v>5.8207660913467408E-13</v>
      </c>
      <c r="E39" s="5">
        <f t="shared" si="7"/>
        <v>2.9103830456733704E-13</v>
      </c>
      <c r="F39" s="5">
        <f t="shared" si="6"/>
        <v>0.22657600000949571</v>
      </c>
      <c r="G39" s="5">
        <f t="shared" si="8"/>
        <v>0.22657600000487971</v>
      </c>
      <c r="H39" s="5">
        <f t="shared" si="4"/>
        <v>0.4760000000102515</v>
      </c>
      <c r="I39" s="5">
        <v>0.47599999999999998</v>
      </c>
      <c r="J39" s="11">
        <f t="shared" si="5"/>
        <v>0.24942400000537182</v>
      </c>
    </row>
    <row r="40" spans="1:10" x14ac:dyDescent="0.25">
      <c r="A40" s="2">
        <v>38</v>
      </c>
      <c r="B40" s="5">
        <v>0</v>
      </c>
      <c r="C40" s="5">
        <f t="shared" si="9"/>
        <v>1.0000000000002911</v>
      </c>
      <c r="D40" s="5">
        <f t="shared" si="10"/>
        <v>2.9103830456733704E-13</v>
      </c>
      <c r="E40" s="5">
        <f t="shared" si="7"/>
        <v>1.4551915228366852E-13</v>
      </c>
      <c r="F40" s="5">
        <f t="shared" si="6"/>
        <v>0.22657600000487971</v>
      </c>
      <c r="G40" s="5">
        <f t="shared" si="8"/>
        <v>0.2265760000025058</v>
      </c>
      <c r="H40" s="5">
        <f t="shared" si="4"/>
        <v>0.47600000000526432</v>
      </c>
      <c r="I40" s="5">
        <v>0.47599999999999998</v>
      </c>
      <c r="J40" s="11">
        <f t="shared" si="5"/>
        <v>0.24942400000275852</v>
      </c>
    </row>
    <row r="41" spans="1:10" x14ac:dyDescent="0.25">
      <c r="A41" s="2">
        <v>39</v>
      </c>
      <c r="B41" s="5">
        <v>0</v>
      </c>
      <c r="C41" s="5">
        <f t="shared" si="9"/>
        <v>1.0000000000001454</v>
      </c>
      <c r="D41" s="5">
        <f t="shared" si="10"/>
        <v>1.4551915228366852E-13</v>
      </c>
      <c r="E41" s="5">
        <f t="shared" si="7"/>
        <v>7.2759576141834261E-14</v>
      </c>
      <c r="F41" s="5">
        <f t="shared" si="6"/>
        <v>0.2265760000025058</v>
      </c>
      <c r="G41" s="5">
        <f t="shared" si="8"/>
        <v>0.22657600000128583</v>
      </c>
      <c r="H41" s="5">
        <f t="shared" si="4"/>
        <v>0.47600000000270137</v>
      </c>
      <c r="I41" s="5">
        <v>0.47599999999999998</v>
      </c>
      <c r="J41" s="11">
        <f t="shared" si="5"/>
        <v>0.24942400000141551</v>
      </c>
    </row>
    <row r="42" spans="1:10" x14ac:dyDescent="0.25">
      <c r="A42" s="2">
        <v>40</v>
      </c>
      <c r="B42" s="5">
        <v>0</v>
      </c>
      <c r="C42" s="5">
        <f t="shared" si="9"/>
        <v>1.0000000000000728</v>
      </c>
      <c r="D42" s="5">
        <f t="shared" si="10"/>
        <v>7.2759576141834261E-14</v>
      </c>
      <c r="E42" s="5">
        <f t="shared" si="7"/>
        <v>3.637978807091713E-14</v>
      </c>
      <c r="F42" s="5">
        <f t="shared" si="6"/>
        <v>0.22657600000128583</v>
      </c>
      <c r="G42" s="5">
        <f t="shared" si="8"/>
        <v>0.22657600000065942</v>
      </c>
      <c r="H42" s="5">
        <f t="shared" si="4"/>
        <v>0.47600000000138537</v>
      </c>
      <c r="I42" s="5">
        <v>0.47599999999999998</v>
      </c>
      <c r="J42" s="11">
        <f t="shared" si="5"/>
        <v>0.24942400000072595</v>
      </c>
    </row>
    <row r="43" spans="1:10" x14ac:dyDescent="0.25">
      <c r="A43" s="2">
        <v>41</v>
      </c>
      <c r="B43" s="5">
        <v>0</v>
      </c>
      <c r="C43" s="5">
        <f t="shared" si="9"/>
        <v>1.0000000000000364</v>
      </c>
      <c r="D43" s="5">
        <f t="shared" si="10"/>
        <v>3.637978807091713E-14</v>
      </c>
      <c r="E43" s="5">
        <f t="shared" si="7"/>
        <v>1.8189894035458565E-14</v>
      </c>
      <c r="F43" s="5">
        <f t="shared" si="6"/>
        <v>0.22657600000065942</v>
      </c>
      <c r="G43" s="5">
        <f t="shared" si="8"/>
        <v>0.22657600000033792</v>
      </c>
      <c r="H43" s="5">
        <f t="shared" si="4"/>
        <v>0.47600000000070997</v>
      </c>
      <c r="I43" s="5">
        <v>0.47599999999999998</v>
      </c>
      <c r="J43" s="11">
        <f t="shared" si="5"/>
        <v>0.24942400000037204</v>
      </c>
    </row>
    <row r="44" spans="1:10" x14ac:dyDescent="0.25">
      <c r="A44" s="2">
        <v>42</v>
      </c>
      <c r="B44" s="5">
        <v>0</v>
      </c>
      <c r="C44" s="5">
        <f t="shared" si="9"/>
        <v>1.0000000000000182</v>
      </c>
      <c r="D44" s="5">
        <f t="shared" si="10"/>
        <v>1.8189894035458565E-14</v>
      </c>
      <c r="E44" s="5">
        <f t="shared" si="7"/>
        <v>9.0949470177292826E-15</v>
      </c>
      <c r="F44" s="5">
        <f t="shared" si="6"/>
        <v>0.22657600000033792</v>
      </c>
      <c r="G44" s="5">
        <f t="shared" si="8"/>
        <v>0.22657600000017308</v>
      </c>
      <c r="H44" s="5">
        <f t="shared" si="4"/>
        <v>0.47600000000036363</v>
      </c>
      <c r="I44" s="5">
        <v>0.47599999999999998</v>
      </c>
      <c r="J44" s="11">
        <f t="shared" si="5"/>
        <v>0.24942400000019055</v>
      </c>
    </row>
    <row r="45" spans="1:10" x14ac:dyDescent="0.25">
      <c r="A45" s="2">
        <v>43</v>
      </c>
      <c r="B45" s="5">
        <v>0</v>
      </c>
      <c r="C45" s="5">
        <f t="shared" si="9"/>
        <v>1.0000000000000091</v>
      </c>
      <c r="D45" s="5">
        <f t="shared" si="10"/>
        <v>9.0949470177292826E-15</v>
      </c>
      <c r="E45" s="5">
        <f t="shared" si="7"/>
        <v>4.5474735088646413E-15</v>
      </c>
      <c r="F45" s="5">
        <f t="shared" si="6"/>
        <v>0.22657600000017308</v>
      </c>
      <c r="G45" s="5">
        <f t="shared" si="8"/>
        <v>0.2265760000000886</v>
      </c>
      <c r="H45" s="5">
        <f t="shared" si="4"/>
        <v>0.47600000000018616</v>
      </c>
      <c r="I45" s="5">
        <v>0.47599999999999998</v>
      </c>
      <c r="J45" s="11">
        <f t="shared" si="5"/>
        <v>0.24942400000009757</v>
      </c>
    </row>
    <row r="46" spans="1:10" x14ac:dyDescent="0.25">
      <c r="A46" s="2">
        <v>44</v>
      </c>
      <c r="B46" s="5">
        <v>0</v>
      </c>
      <c r="C46" s="5">
        <f t="shared" si="9"/>
        <v>1.0000000000000044</v>
      </c>
      <c r="D46" s="5">
        <f t="shared" si="10"/>
        <v>4.5474735088646413E-15</v>
      </c>
      <c r="E46" s="5">
        <f t="shared" si="7"/>
        <v>2.2737367544323206E-15</v>
      </c>
      <c r="F46" s="5">
        <f t="shared" si="6"/>
        <v>0.2265760000000886</v>
      </c>
      <c r="G46" s="5">
        <f t="shared" si="8"/>
        <v>0.2265760000000453</v>
      </c>
      <c r="H46" s="5">
        <f t="shared" si="4"/>
        <v>0.47600000000009518</v>
      </c>
      <c r="I46" s="5">
        <v>0.47599999999999998</v>
      </c>
      <c r="J46" s="11">
        <f t="shared" si="5"/>
        <v>0.24942400000004988</v>
      </c>
    </row>
    <row r="47" spans="1:10" x14ac:dyDescent="0.25">
      <c r="A47" s="2">
        <v>45</v>
      </c>
      <c r="B47" s="5">
        <v>0</v>
      </c>
      <c r="C47" s="5">
        <f t="shared" si="9"/>
        <v>1.0000000000000022</v>
      </c>
      <c r="D47" s="5">
        <f t="shared" si="10"/>
        <v>2.2737367544323206E-15</v>
      </c>
      <c r="E47" s="5">
        <f t="shared" si="7"/>
        <v>1.1368683772161603E-15</v>
      </c>
      <c r="F47" s="5">
        <f t="shared" si="6"/>
        <v>0.2265760000000453</v>
      </c>
      <c r="G47" s="5">
        <f t="shared" si="8"/>
        <v>0.22657600000002315</v>
      </c>
      <c r="H47" s="5">
        <f t="shared" si="4"/>
        <v>0.47600000000004866</v>
      </c>
      <c r="I47" s="5">
        <v>0.47599999999999998</v>
      </c>
      <c r="J47" s="11">
        <f t="shared" si="5"/>
        <v>0.24942400000002549</v>
      </c>
    </row>
    <row r="48" spans="1:10" x14ac:dyDescent="0.25">
      <c r="A48" s="2">
        <v>46</v>
      </c>
      <c r="B48" s="5">
        <v>0</v>
      </c>
      <c r="C48" s="5">
        <f t="shared" si="9"/>
        <v>1.0000000000000011</v>
      </c>
      <c r="D48" s="5">
        <f t="shared" si="10"/>
        <v>1.1368683772161603E-15</v>
      </c>
      <c r="E48" s="5">
        <f t="shared" si="7"/>
        <v>5.6843418860808016E-16</v>
      </c>
      <c r="F48" s="5">
        <f t="shared" si="6"/>
        <v>0.22657600000002315</v>
      </c>
      <c r="G48" s="5">
        <f t="shared" si="8"/>
        <v>0.22657600000001182</v>
      </c>
      <c r="H48" s="5">
        <f t="shared" si="4"/>
        <v>0.47600000000002485</v>
      </c>
      <c r="I48" s="5">
        <v>0.47599999999999998</v>
      </c>
      <c r="J48" s="11">
        <f t="shared" si="5"/>
        <v>0.249424000000013</v>
      </c>
    </row>
    <row r="49" spans="1:10" x14ac:dyDescent="0.25">
      <c r="A49" s="2">
        <v>47</v>
      </c>
      <c r="B49" s="5">
        <v>0</v>
      </c>
      <c r="C49" s="5">
        <f t="shared" si="9"/>
        <v>1.0000000000000007</v>
      </c>
      <c r="D49" s="5">
        <f t="shared" si="10"/>
        <v>5.6843418860808016E-16</v>
      </c>
      <c r="E49" s="5">
        <f t="shared" si="7"/>
        <v>2.8421709430404008E-16</v>
      </c>
      <c r="F49" s="5">
        <f t="shared" si="6"/>
        <v>0.22657600000001182</v>
      </c>
      <c r="G49" s="5">
        <f t="shared" si="8"/>
        <v>0.22657600000000605</v>
      </c>
      <c r="H49" s="5">
        <f t="shared" si="4"/>
        <v>0.47600000000001275</v>
      </c>
      <c r="I49" s="5">
        <v>0.47599999999999998</v>
      </c>
      <c r="J49" s="11">
        <f t="shared" si="5"/>
        <v>0.24942400000000667</v>
      </c>
    </row>
    <row r="50" spans="1:10" x14ac:dyDescent="0.25">
      <c r="A50" s="2">
        <v>48</v>
      </c>
      <c r="B50" s="5">
        <v>0</v>
      </c>
      <c r="C50" s="5">
        <f t="shared" si="9"/>
        <v>1.0000000000000002</v>
      </c>
      <c r="D50" s="5">
        <f t="shared" si="10"/>
        <v>2.8421709430404008E-16</v>
      </c>
      <c r="E50" s="5">
        <f t="shared" si="7"/>
        <v>1.4210854715202004E-16</v>
      </c>
      <c r="F50" s="5">
        <f t="shared" si="6"/>
        <v>0.22657600000000605</v>
      </c>
      <c r="G50" s="5">
        <f t="shared" si="8"/>
        <v>0.22657600000000308</v>
      </c>
      <c r="H50" s="5">
        <f t="shared" si="4"/>
        <v>0.47600000000000647</v>
      </c>
      <c r="I50" s="5">
        <v>0.47599999999999998</v>
      </c>
      <c r="J50" s="11">
        <f t="shared" si="5"/>
        <v>0.24942400000000339</v>
      </c>
    </row>
    <row r="51" spans="1:10" x14ac:dyDescent="0.25">
      <c r="A51" s="2">
        <v>49</v>
      </c>
      <c r="B51" s="5">
        <v>0</v>
      </c>
      <c r="C51" s="5">
        <f t="shared" si="9"/>
        <v>1.0000000000000002</v>
      </c>
      <c r="D51" s="5">
        <f t="shared" si="10"/>
        <v>1.4210854715202004E-16</v>
      </c>
      <c r="E51" s="5">
        <f t="shared" si="7"/>
        <v>7.105427357601002E-17</v>
      </c>
      <c r="F51" s="5">
        <f t="shared" si="6"/>
        <v>0.22657600000000308</v>
      </c>
      <c r="G51" s="5">
        <f t="shared" si="8"/>
        <v>0.22657600000000158</v>
      </c>
      <c r="H51" s="5">
        <f t="shared" si="4"/>
        <v>0.47600000000000336</v>
      </c>
      <c r="I51" s="5">
        <v>0.47599999999999998</v>
      </c>
      <c r="J51" s="11">
        <f t="shared" si="5"/>
        <v>0.24942400000000176</v>
      </c>
    </row>
    <row r="52" spans="1:10" x14ac:dyDescent="0.25">
      <c r="A52" s="2">
        <v>50</v>
      </c>
      <c r="B52" s="5">
        <v>0</v>
      </c>
      <c r="C52" s="5">
        <f t="shared" si="9"/>
        <v>1</v>
      </c>
      <c r="D52" s="5">
        <f t="shared" si="10"/>
        <v>7.105427357601002E-17</v>
      </c>
      <c r="E52" s="5">
        <f t="shared" si="7"/>
        <v>3.552713678800501E-17</v>
      </c>
      <c r="F52" s="5">
        <f t="shared" si="6"/>
        <v>0.22657600000000158</v>
      </c>
      <c r="G52" s="5">
        <f t="shared" si="8"/>
        <v>0.22657600000000078</v>
      </c>
      <c r="H52" s="5">
        <f t="shared" si="4"/>
        <v>0.47600000000000164</v>
      </c>
      <c r="I52" s="5">
        <v>0.47599999999999998</v>
      </c>
      <c r="J52" s="11">
        <f t="shared" si="5"/>
        <v>0.24942400000000087</v>
      </c>
    </row>
    <row r="53" spans="1:10" x14ac:dyDescent="0.25">
      <c r="A53" s="2">
        <v>51</v>
      </c>
      <c r="B53" s="5">
        <v>0</v>
      </c>
      <c r="C53" s="5">
        <f t="shared" si="9"/>
        <v>1</v>
      </c>
      <c r="D53" s="5">
        <f t="shared" si="10"/>
        <v>3.552713678800501E-17</v>
      </c>
      <c r="E53" s="5">
        <f t="shared" si="7"/>
        <v>1.7763568394002505E-17</v>
      </c>
      <c r="F53" s="5">
        <f t="shared" si="6"/>
        <v>0.22657600000000078</v>
      </c>
      <c r="G53" s="5">
        <f t="shared" si="8"/>
        <v>0.22657600000000039</v>
      </c>
      <c r="H53" s="5">
        <f t="shared" si="4"/>
        <v>0.47600000000000081</v>
      </c>
      <c r="I53" s="5">
        <v>0.47599999999999998</v>
      </c>
      <c r="J53" s="11">
        <f t="shared" si="5"/>
        <v>0.24942400000000042</v>
      </c>
    </row>
    <row r="54" spans="1:10" x14ac:dyDescent="0.25">
      <c r="A54" s="2">
        <v>52</v>
      </c>
      <c r="B54" s="5">
        <v>0</v>
      </c>
      <c r="C54" s="5">
        <f t="shared" si="9"/>
        <v>1</v>
      </c>
      <c r="D54" s="5">
        <f t="shared" si="10"/>
        <v>1.7763568394002505E-17</v>
      </c>
      <c r="E54" s="5">
        <f t="shared" si="7"/>
        <v>8.8817841970012525E-18</v>
      </c>
      <c r="F54" s="5">
        <f t="shared" si="6"/>
        <v>0.22657600000000039</v>
      </c>
      <c r="G54" s="5">
        <f t="shared" si="8"/>
        <v>0.22657600000000019</v>
      </c>
      <c r="H54" s="5">
        <f t="shared" si="4"/>
        <v>0.47600000000000042</v>
      </c>
      <c r="I54" s="5">
        <v>0.47599999999999998</v>
      </c>
      <c r="J54" s="11">
        <f t="shared" si="5"/>
        <v>0.24942400000000023</v>
      </c>
    </row>
    <row r="55" spans="1:10" x14ac:dyDescent="0.25">
      <c r="A55" s="2">
        <v>53</v>
      </c>
      <c r="B55" s="5">
        <v>0</v>
      </c>
      <c r="C55" s="5">
        <f t="shared" si="9"/>
        <v>1</v>
      </c>
      <c r="D55" s="5">
        <f t="shared" si="10"/>
        <v>8.8817841970012525E-18</v>
      </c>
      <c r="E55" s="5">
        <f t="shared" si="7"/>
        <v>4.4408920985006263E-18</v>
      </c>
      <c r="F55" s="5">
        <f t="shared" si="6"/>
        <v>0.22657600000000019</v>
      </c>
      <c r="G55" s="5">
        <f t="shared" si="8"/>
        <v>0.22657600000000008</v>
      </c>
      <c r="H55" s="5">
        <f t="shared" si="4"/>
        <v>0.4760000000000002</v>
      </c>
      <c r="I55" s="5">
        <v>0.47599999999999998</v>
      </c>
      <c r="J55" s="11">
        <f t="shared" si="5"/>
        <v>0.24942400000000012</v>
      </c>
    </row>
    <row r="56" spans="1:10" x14ac:dyDescent="0.25">
      <c r="A56" s="2">
        <v>54</v>
      </c>
      <c r="B56" s="5">
        <v>0</v>
      </c>
      <c r="C56" s="5">
        <f t="shared" si="9"/>
        <v>1</v>
      </c>
      <c r="D56" s="5">
        <f t="shared" si="10"/>
        <v>4.4408920985006263E-18</v>
      </c>
      <c r="E56" s="5">
        <f t="shared" si="7"/>
        <v>2.2204460492503131E-18</v>
      </c>
      <c r="F56" s="5">
        <f t="shared" si="6"/>
        <v>0.22657600000000008</v>
      </c>
      <c r="G56" s="5">
        <f t="shared" si="8"/>
        <v>0.22657600000000003</v>
      </c>
      <c r="H56" s="5">
        <f t="shared" si="4"/>
        <v>0.47600000000000009</v>
      </c>
      <c r="I56" s="5">
        <v>0.47599999999999998</v>
      </c>
      <c r="J56" s="11">
        <f t="shared" si="5"/>
        <v>0.24942400000000006</v>
      </c>
    </row>
    <row r="57" spans="1:10" x14ac:dyDescent="0.25">
      <c r="A57" s="2">
        <v>55</v>
      </c>
      <c r="B57" s="5">
        <v>0</v>
      </c>
      <c r="C57" s="5">
        <f t="shared" si="9"/>
        <v>1</v>
      </c>
      <c r="D57" s="5">
        <f t="shared" si="10"/>
        <v>2.2204460492503131E-18</v>
      </c>
      <c r="E57" s="5">
        <f t="shared" si="7"/>
        <v>1.1102230246251566E-18</v>
      </c>
      <c r="F57" s="5">
        <f t="shared" si="6"/>
        <v>0.22657600000000003</v>
      </c>
      <c r="G57" s="5">
        <f t="shared" si="8"/>
        <v>0.226576</v>
      </c>
      <c r="H57" s="5">
        <f t="shared" si="4"/>
        <v>0.47600000000000003</v>
      </c>
      <c r="I57" s="5">
        <v>0.47599999999999998</v>
      </c>
      <c r="J57" s="11">
        <f t="shared" si="5"/>
        <v>0.24942400000000003</v>
      </c>
    </row>
    <row r="58" spans="1:10" x14ac:dyDescent="0.25">
      <c r="A58" s="2">
        <v>56</v>
      </c>
      <c r="B58" s="5">
        <v>0</v>
      </c>
      <c r="C58" s="5">
        <f t="shared" si="9"/>
        <v>1</v>
      </c>
      <c r="D58" s="5">
        <f t="shared" si="10"/>
        <v>1.1102230246251566E-18</v>
      </c>
      <c r="E58" s="5">
        <f t="shared" si="7"/>
        <v>5.5511151231257828E-19</v>
      </c>
      <c r="F58" s="5">
        <f t="shared" si="6"/>
        <v>0.226576</v>
      </c>
      <c r="G58" s="5">
        <f t="shared" si="8"/>
        <v>0.22657599999999997</v>
      </c>
      <c r="H58" s="5">
        <f t="shared" si="4"/>
        <v>0.47599999999999998</v>
      </c>
      <c r="I58" s="5">
        <v>0.47599999999999998</v>
      </c>
      <c r="J58" s="11">
        <f t="shared" si="5"/>
        <v>0.24942400000000001</v>
      </c>
    </row>
    <row r="59" spans="1:10" x14ac:dyDescent="0.25">
      <c r="A59" s="2">
        <v>57</v>
      </c>
      <c r="B59" s="5">
        <v>0</v>
      </c>
      <c r="C59" s="5">
        <f t="shared" si="9"/>
        <v>1</v>
      </c>
      <c r="D59" s="5">
        <f t="shared" si="10"/>
        <v>5.5511151231257828E-19</v>
      </c>
      <c r="E59" s="5">
        <f t="shared" si="7"/>
        <v>2.7755575615628914E-19</v>
      </c>
      <c r="F59" s="5">
        <f t="shared" si="6"/>
        <v>0.22657599999999997</v>
      </c>
      <c r="G59" s="5">
        <f t="shared" si="8"/>
        <v>0.22657599999999997</v>
      </c>
      <c r="H59" s="5">
        <f t="shared" si="4"/>
        <v>0.47599999999999998</v>
      </c>
      <c r="I59" s="5">
        <v>0.47599999999999998</v>
      </c>
      <c r="J59" s="11">
        <f t="shared" si="5"/>
        <v>0.24942400000000001</v>
      </c>
    </row>
    <row r="60" spans="1:10" x14ac:dyDescent="0.25">
      <c r="A60" s="2">
        <v>58</v>
      </c>
      <c r="B60" s="5">
        <v>0</v>
      </c>
      <c r="C60" s="5">
        <f t="shared" si="9"/>
        <v>1</v>
      </c>
      <c r="D60" s="5">
        <f t="shared" si="10"/>
        <v>2.7755575615628914E-19</v>
      </c>
      <c r="E60" s="5">
        <f t="shared" si="7"/>
        <v>1.3877787807814457E-19</v>
      </c>
      <c r="F60" s="5">
        <f t="shared" si="6"/>
        <v>0.22657599999999997</v>
      </c>
      <c r="G60" s="5">
        <f t="shared" si="8"/>
        <v>0.22657599999999997</v>
      </c>
      <c r="H60" s="5">
        <f t="shared" si="4"/>
        <v>0.47599999999999998</v>
      </c>
      <c r="I60" s="5">
        <v>0.47599999999999998</v>
      </c>
      <c r="J60" s="11">
        <f t="shared" si="5"/>
        <v>0.24942400000000001</v>
      </c>
    </row>
    <row r="61" spans="1:10" x14ac:dyDescent="0.25">
      <c r="A61" s="2">
        <v>59</v>
      </c>
      <c r="B61" s="5">
        <v>0</v>
      </c>
      <c r="C61" s="5">
        <f t="shared" si="9"/>
        <v>1</v>
      </c>
      <c r="D61" s="5">
        <f t="shared" si="10"/>
        <v>1.3877787807814457E-19</v>
      </c>
      <c r="E61" s="5">
        <f t="shared" si="7"/>
        <v>6.9388939039072285E-20</v>
      </c>
      <c r="F61" s="5">
        <f t="shared" si="6"/>
        <v>0.22657599999999997</v>
      </c>
      <c r="G61" s="5">
        <f t="shared" si="8"/>
        <v>0.22657599999999997</v>
      </c>
      <c r="H61" s="5">
        <f t="shared" si="4"/>
        <v>0.47599999999999998</v>
      </c>
      <c r="I61" s="5">
        <v>0.47599999999999998</v>
      </c>
      <c r="J61" s="11">
        <f t="shared" si="5"/>
        <v>0.24942400000000001</v>
      </c>
    </row>
    <row r="62" spans="1:10" x14ac:dyDescent="0.25">
      <c r="A62" s="2">
        <v>60</v>
      </c>
      <c r="B62" s="5">
        <v>0</v>
      </c>
      <c r="C62" s="5">
        <f t="shared" si="9"/>
        <v>1</v>
      </c>
      <c r="D62" s="5">
        <f t="shared" si="10"/>
        <v>6.9388939039072285E-20</v>
      </c>
      <c r="E62" s="5">
        <f t="shared" si="7"/>
        <v>3.4694469519536143E-20</v>
      </c>
      <c r="F62" s="5">
        <f t="shared" si="6"/>
        <v>0.22657599999999997</v>
      </c>
      <c r="G62" s="5">
        <f t="shared" si="8"/>
        <v>0.22657599999999997</v>
      </c>
      <c r="H62" s="5">
        <f t="shared" si="4"/>
        <v>0.47599999999999998</v>
      </c>
      <c r="I62" s="5">
        <v>0.47599999999999998</v>
      </c>
      <c r="J62" s="11">
        <f t="shared" si="5"/>
        <v>0.24942400000000001</v>
      </c>
    </row>
    <row r="63" spans="1:10" x14ac:dyDescent="0.25">
      <c r="A63" s="2">
        <v>61</v>
      </c>
      <c r="B63" s="5">
        <v>0</v>
      </c>
      <c r="C63" s="5">
        <f t="shared" si="9"/>
        <v>1</v>
      </c>
      <c r="D63" s="5">
        <f t="shared" si="10"/>
        <v>3.4694469519536143E-20</v>
      </c>
      <c r="E63" s="5">
        <f t="shared" si="7"/>
        <v>1.7347234759768071E-20</v>
      </c>
      <c r="F63" s="5">
        <f t="shared" si="6"/>
        <v>0.22657599999999997</v>
      </c>
      <c r="G63" s="5">
        <f t="shared" si="8"/>
        <v>0.22657599999999997</v>
      </c>
      <c r="H63" s="5">
        <f t="shared" si="4"/>
        <v>0.47599999999999998</v>
      </c>
      <c r="I63" s="5">
        <v>0.47599999999999998</v>
      </c>
      <c r="J63" s="11">
        <f t="shared" si="5"/>
        <v>0.24942400000000001</v>
      </c>
    </row>
    <row r="64" spans="1:10" x14ac:dyDescent="0.25">
      <c r="A64" s="2">
        <v>62</v>
      </c>
      <c r="B64" s="5">
        <v>0</v>
      </c>
      <c r="C64" s="5">
        <f t="shared" si="9"/>
        <v>1</v>
      </c>
      <c r="D64" s="5">
        <f t="shared" si="10"/>
        <v>1.7347234759768071E-20</v>
      </c>
      <c r="E64" s="5">
        <f t="shared" si="7"/>
        <v>8.6736173798840357E-21</v>
      </c>
      <c r="F64" s="5">
        <f t="shared" si="6"/>
        <v>0.22657599999999997</v>
      </c>
      <c r="G64" s="5">
        <f t="shared" si="8"/>
        <v>0.22657599999999997</v>
      </c>
      <c r="H64" s="5">
        <f t="shared" si="4"/>
        <v>0.47599999999999998</v>
      </c>
      <c r="I64" s="5">
        <v>0.47599999999999998</v>
      </c>
      <c r="J64" s="11">
        <f t="shared" si="5"/>
        <v>0.24942400000000001</v>
      </c>
    </row>
    <row r="65" spans="1:10" x14ac:dyDescent="0.25">
      <c r="A65" s="2">
        <v>63</v>
      </c>
      <c r="B65" s="5">
        <v>0</v>
      </c>
      <c r="C65" s="5">
        <f t="shared" si="9"/>
        <v>1</v>
      </c>
      <c r="D65" s="5">
        <f t="shared" si="10"/>
        <v>8.6736173798840357E-21</v>
      </c>
      <c r="E65" s="5">
        <f t="shared" si="7"/>
        <v>4.3368086899420178E-21</v>
      </c>
      <c r="F65" s="5">
        <f t="shared" si="6"/>
        <v>0.22657599999999997</v>
      </c>
      <c r="G65" s="5">
        <f t="shared" si="8"/>
        <v>0.22657599999999997</v>
      </c>
      <c r="H65" s="5">
        <f t="shared" si="4"/>
        <v>0.47599999999999998</v>
      </c>
      <c r="I65" s="5">
        <v>0.47599999999999998</v>
      </c>
      <c r="J65" s="11">
        <f t="shared" si="5"/>
        <v>0.24942400000000001</v>
      </c>
    </row>
    <row r="66" spans="1:10" x14ac:dyDescent="0.25">
      <c r="A66" s="2">
        <v>64</v>
      </c>
      <c r="B66" s="5">
        <v>0</v>
      </c>
      <c r="C66" s="5">
        <f t="shared" si="9"/>
        <v>1</v>
      </c>
      <c r="D66" s="5">
        <f t="shared" si="10"/>
        <v>4.3368086899420178E-21</v>
      </c>
      <c r="E66" s="5">
        <f t="shared" ref="E66:E97" si="11">$M$3*D66+B66</f>
        <v>2.1684043449710089E-21</v>
      </c>
      <c r="F66" s="5">
        <f t="shared" si="6"/>
        <v>0.22657599999999997</v>
      </c>
      <c r="G66" s="5">
        <f t="shared" ref="G66:G101" si="12">F67</f>
        <v>0.22657599999999997</v>
      </c>
      <c r="H66" s="5">
        <f t="shared" si="4"/>
        <v>0.47599999999999998</v>
      </c>
      <c r="I66" s="5">
        <v>0.47599999999999998</v>
      </c>
      <c r="J66" s="11">
        <f t="shared" si="5"/>
        <v>0.24942400000000001</v>
      </c>
    </row>
    <row r="67" spans="1:10" x14ac:dyDescent="0.25">
      <c r="A67" s="2">
        <v>65</v>
      </c>
      <c r="B67" s="5">
        <v>0</v>
      </c>
      <c r="C67" s="5">
        <f t="shared" ref="C67:C98" si="13">EXP(D67)</f>
        <v>1</v>
      </c>
      <c r="D67" s="5">
        <f t="shared" ref="D67:D102" si="14">E66</f>
        <v>2.1684043449710089E-21</v>
      </c>
      <c r="E67" s="5">
        <f t="shared" si="11"/>
        <v>1.0842021724855045E-21</v>
      </c>
      <c r="F67" s="5">
        <f t="shared" si="6"/>
        <v>0.22657599999999997</v>
      </c>
      <c r="G67" s="5">
        <f t="shared" si="12"/>
        <v>0.22657599999999997</v>
      </c>
      <c r="H67" s="5">
        <f t="shared" ref="H67:H102" si="15">$C67*$F67^$M$1</f>
        <v>0.47599999999999998</v>
      </c>
      <c r="I67" s="5">
        <v>0.47599999999999998</v>
      </c>
      <c r="J67" s="11">
        <f t="shared" ref="J67:J102" si="16">(1-$M$1*$M$2)*$C67*$F67^$M$1</f>
        <v>0.24942400000000001</v>
      </c>
    </row>
    <row r="68" spans="1:10" x14ac:dyDescent="0.25">
      <c r="A68" s="2">
        <v>66</v>
      </c>
      <c r="B68" s="5">
        <v>0</v>
      </c>
      <c r="C68" s="5">
        <f t="shared" si="13"/>
        <v>1</v>
      </c>
      <c r="D68" s="5">
        <f t="shared" si="14"/>
        <v>1.0842021724855045E-21</v>
      </c>
      <c r="E68" s="5">
        <f t="shared" si="11"/>
        <v>5.4210108624275223E-22</v>
      </c>
      <c r="F68" s="5">
        <f t="shared" ref="F68:F102" si="17">$M$1*$M$2*$C67*$F67^$M$1</f>
        <v>0.22657599999999997</v>
      </c>
      <c r="G68" s="5">
        <f t="shared" si="12"/>
        <v>0.22657599999999997</v>
      </c>
      <c r="H68" s="5">
        <f t="shared" si="15"/>
        <v>0.47599999999999998</v>
      </c>
      <c r="I68" s="5">
        <v>0.47599999999999998</v>
      </c>
      <c r="J68" s="11">
        <f t="shared" si="16"/>
        <v>0.24942400000000001</v>
      </c>
    </row>
    <row r="69" spans="1:10" x14ac:dyDescent="0.25">
      <c r="A69" s="2">
        <v>67</v>
      </c>
      <c r="B69" s="5">
        <v>0</v>
      </c>
      <c r="C69" s="5">
        <f t="shared" si="13"/>
        <v>1</v>
      </c>
      <c r="D69" s="5">
        <f t="shared" si="14"/>
        <v>5.4210108624275223E-22</v>
      </c>
      <c r="E69" s="5">
        <f t="shared" si="11"/>
        <v>2.7105054312137611E-22</v>
      </c>
      <c r="F69" s="5">
        <f t="shared" si="17"/>
        <v>0.22657599999999997</v>
      </c>
      <c r="G69" s="5">
        <f t="shared" si="12"/>
        <v>0.22657599999999997</v>
      </c>
      <c r="H69" s="5">
        <f t="shared" si="15"/>
        <v>0.47599999999999998</v>
      </c>
      <c r="I69" s="5">
        <v>0.47599999999999998</v>
      </c>
      <c r="J69" s="11">
        <f t="shared" si="16"/>
        <v>0.24942400000000001</v>
      </c>
    </row>
    <row r="70" spans="1:10" x14ac:dyDescent="0.25">
      <c r="A70" s="2">
        <v>68</v>
      </c>
      <c r="B70" s="5">
        <v>0</v>
      </c>
      <c r="C70" s="5">
        <f t="shared" si="13"/>
        <v>1</v>
      </c>
      <c r="D70" s="5">
        <f t="shared" si="14"/>
        <v>2.7105054312137611E-22</v>
      </c>
      <c r="E70" s="5">
        <f t="shared" si="11"/>
        <v>1.3552527156068806E-22</v>
      </c>
      <c r="F70" s="5">
        <f t="shared" si="17"/>
        <v>0.22657599999999997</v>
      </c>
      <c r="G70" s="5">
        <f t="shared" si="12"/>
        <v>0.22657599999999997</v>
      </c>
      <c r="H70" s="5">
        <f t="shared" si="15"/>
        <v>0.47599999999999998</v>
      </c>
      <c r="I70" s="5">
        <v>0.47599999999999998</v>
      </c>
      <c r="J70" s="11">
        <f t="shared" si="16"/>
        <v>0.24942400000000001</v>
      </c>
    </row>
    <row r="71" spans="1:10" x14ac:dyDescent="0.25">
      <c r="A71" s="2">
        <v>69</v>
      </c>
      <c r="B71" s="5">
        <v>0</v>
      </c>
      <c r="C71" s="5">
        <f t="shared" si="13"/>
        <v>1</v>
      </c>
      <c r="D71" s="5">
        <f t="shared" si="14"/>
        <v>1.3552527156068806E-22</v>
      </c>
      <c r="E71" s="5">
        <f t="shared" si="11"/>
        <v>6.7762635780344029E-23</v>
      </c>
      <c r="F71" s="5">
        <f t="shared" si="17"/>
        <v>0.22657599999999997</v>
      </c>
      <c r="G71" s="5">
        <f t="shared" si="12"/>
        <v>0.22657599999999997</v>
      </c>
      <c r="H71" s="5">
        <f t="shared" si="15"/>
        <v>0.47599999999999998</v>
      </c>
      <c r="I71" s="5">
        <v>0.47599999999999998</v>
      </c>
      <c r="J71" s="11">
        <f t="shared" si="16"/>
        <v>0.24942400000000001</v>
      </c>
    </row>
    <row r="72" spans="1:10" x14ac:dyDescent="0.25">
      <c r="A72" s="2">
        <v>70</v>
      </c>
      <c r="B72" s="5">
        <v>0</v>
      </c>
      <c r="C72" s="5">
        <f t="shared" si="13"/>
        <v>1</v>
      </c>
      <c r="D72" s="5">
        <f t="shared" si="14"/>
        <v>6.7762635780344029E-23</v>
      </c>
      <c r="E72" s="5">
        <f t="shared" si="11"/>
        <v>3.3881317890172014E-23</v>
      </c>
      <c r="F72" s="5">
        <f t="shared" si="17"/>
        <v>0.22657599999999997</v>
      </c>
      <c r="G72" s="5">
        <f t="shared" si="12"/>
        <v>0.22657599999999997</v>
      </c>
      <c r="H72" s="5">
        <f t="shared" si="15"/>
        <v>0.47599999999999998</v>
      </c>
      <c r="I72" s="5">
        <v>0.47599999999999998</v>
      </c>
      <c r="J72" s="11">
        <f t="shared" si="16"/>
        <v>0.24942400000000001</v>
      </c>
    </row>
    <row r="73" spans="1:10" x14ac:dyDescent="0.25">
      <c r="A73" s="2">
        <v>71</v>
      </c>
      <c r="B73" s="5">
        <v>0</v>
      </c>
      <c r="C73" s="5">
        <f t="shared" si="13"/>
        <v>1</v>
      </c>
      <c r="D73" s="5">
        <f t="shared" si="14"/>
        <v>3.3881317890172014E-23</v>
      </c>
      <c r="E73" s="5">
        <f t="shared" si="11"/>
        <v>1.6940658945086007E-23</v>
      </c>
      <c r="F73" s="5">
        <f t="shared" si="17"/>
        <v>0.22657599999999997</v>
      </c>
      <c r="G73" s="5">
        <f t="shared" si="12"/>
        <v>0.22657599999999997</v>
      </c>
      <c r="H73" s="5">
        <f t="shared" si="15"/>
        <v>0.47599999999999998</v>
      </c>
      <c r="I73" s="5">
        <v>0.47599999999999998</v>
      </c>
      <c r="J73" s="11">
        <f t="shared" si="16"/>
        <v>0.24942400000000001</v>
      </c>
    </row>
    <row r="74" spans="1:10" x14ac:dyDescent="0.25">
      <c r="A74" s="2">
        <v>72</v>
      </c>
      <c r="B74" s="5">
        <v>0</v>
      </c>
      <c r="C74" s="5">
        <f t="shared" si="13"/>
        <v>1</v>
      </c>
      <c r="D74" s="5">
        <f t="shared" si="14"/>
        <v>1.6940658945086007E-23</v>
      </c>
      <c r="E74" s="5">
        <f t="shared" si="11"/>
        <v>8.4703294725430036E-24</v>
      </c>
      <c r="F74" s="5">
        <f t="shared" si="17"/>
        <v>0.22657599999999997</v>
      </c>
      <c r="G74" s="5">
        <f t="shared" si="12"/>
        <v>0.22657599999999997</v>
      </c>
      <c r="H74" s="5">
        <f t="shared" si="15"/>
        <v>0.47599999999999998</v>
      </c>
      <c r="I74" s="5">
        <v>0.47599999999999998</v>
      </c>
      <c r="J74" s="11">
        <f t="shared" si="16"/>
        <v>0.24942400000000001</v>
      </c>
    </row>
    <row r="75" spans="1:10" x14ac:dyDescent="0.25">
      <c r="A75" s="2">
        <v>73</v>
      </c>
      <c r="B75" s="5">
        <v>0</v>
      </c>
      <c r="C75" s="5">
        <f t="shared" si="13"/>
        <v>1</v>
      </c>
      <c r="D75" s="5">
        <f t="shared" si="14"/>
        <v>8.4703294725430036E-24</v>
      </c>
      <c r="E75" s="5">
        <f t="shared" si="11"/>
        <v>4.2351647362715018E-24</v>
      </c>
      <c r="F75" s="5">
        <f t="shared" si="17"/>
        <v>0.22657599999999997</v>
      </c>
      <c r="G75" s="5">
        <f t="shared" si="12"/>
        <v>0.22657599999999997</v>
      </c>
      <c r="H75" s="5">
        <f t="shared" si="15"/>
        <v>0.47599999999999998</v>
      </c>
      <c r="I75" s="5">
        <v>0.47599999999999998</v>
      </c>
      <c r="J75" s="11">
        <f t="shared" si="16"/>
        <v>0.24942400000000001</v>
      </c>
    </row>
    <row r="76" spans="1:10" x14ac:dyDescent="0.25">
      <c r="A76" s="2">
        <v>74</v>
      </c>
      <c r="B76" s="5">
        <v>0</v>
      </c>
      <c r="C76" s="5">
        <f t="shared" si="13"/>
        <v>1</v>
      </c>
      <c r="D76" s="5">
        <f t="shared" si="14"/>
        <v>4.2351647362715018E-24</v>
      </c>
      <c r="E76" s="5">
        <f t="shared" si="11"/>
        <v>2.1175823681357509E-24</v>
      </c>
      <c r="F76" s="5">
        <f t="shared" si="17"/>
        <v>0.22657599999999997</v>
      </c>
      <c r="G76" s="5">
        <f t="shared" si="12"/>
        <v>0.22657599999999997</v>
      </c>
      <c r="H76" s="5">
        <f t="shared" si="15"/>
        <v>0.47599999999999998</v>
      </c>
      <c r="I76" s="5">
        <v>0.47599999999999998</v>
      </c>
      <c r="J76" s="11">
        <f t="shared" si="16"/>
        <v>0.24942400000000001</v>
      </c>
    </row>
    <row r="77" spans="1:10" x14ac:dyDescent="0.25">
      <c r="A77" s="2">
        <v>75</v>
      </c>
      <c r="B77" s="5">
        <v>0</v>
      </c>
      <c r="C77" s="5">
        <f t="shared" si="13"/>
        <v>1</v>
      </c>
      <c r="D77" s="5">
        <f t="shared" si="14"/>
        <v>2.1175823681357509E-24</v>
      </c>
      <c r="E77" s="5">
        <f t="shared" si="11"/>
        <v>1.0587911840678754E-24</v>
      </c>
      <c r="F77" s="5">
        <f t="shared" si="17"/>
        <v>0.22657599999999997</v>
      </c>
      <c r="G77" s="5">
        <f t="shared" si="12"/>
        <v>0.22657599999999997</v>
      </c>
      <c r="H77" s="5">
        <f t="shared" si="15"/>
        <v>0.47599999999999998</v>
      </c>
      <c r="I77" s="5">
        <v>0.47599999999999998</v>
      </c>
      <c r="J77" s="11">
        <f t="shared" si="16"/>
        <v>0.24942400000000001</v>
      </c>
    </row>
    <row r="78" spans="1:10" x14ac:dyDescent="0.25">
      <c r="A78" s="2">
        <v>76</v>
      </c>
      <c r="B78" s="5">
        <v>0</v>
      </c>
      <c r="C78" s="5">
        <f t="shared" si="13"/>
        <v>1</v>
      </c>
      <c r="D78" s="5">
        <f t="shared" si="14"/>
        <v>1.0587911840678754E-24</v>
      </c>
      <c r="E78" s="5">
        <f t="shared" si="11"/>
        <v>5.2939559203393772E-25</v>
      </c>
      <c r="F78" s="5">
        <f t="shared" si="17"/>
        <v>0.22657599999999997</v>
      </c>
      <c r="G78" s="5">
        <f t="shared" si="12"/>
        <v>0.22657599999999997</v>
      </c>
      <c r="H78" s="5">
        <f t="shared" si="15"/>
        <v>0.47599999999999998</v>
      </c>
      <c r="I78" s="5">
        <v>0.47599999999999998</v>
      </c>
      <c r="J78" s="11">
        <f t="shared" si="16"/>
        <v>0.24942400000000001</v>
      </c>
    </row>
    <row r="79" spans="1:10" x14ac:dyDescent="0.25">
      <c r="A79" s="2">
        <v>77</v>
      </c>
      <c r="B79" s="5">
        <v>0</v>
      </c>
      <c r="C79" s="5">
        <f t="shared" si="13"/>
        <v>1</v>
      </c>
      <c r="D79" s="5">
        <f t="shared" si="14"/>
        <v>5.2939559203393772E-25</v>
      </c>
      <c r="E79" s="5">
        <f t="shared" si="11"/>
        <v>2.6469779601696886E-25</v>
      </c>
      <c r="F79" s="5">
        <f t="shared" si="17"/>
        <v>0.22657599999999997</v>
      </c>
      <c r="G79" s="5">
        <f t="shared" si="12"/>
        <v>0.22657599999999997</v>
      </c>
      <c r="H79" s="5">
        <f t="shared" si="15"/>
        <v>0.47599999999999998</v>
      </c>
      <c r="I79" s="5">
        <v>0.47599999999999998</v>
      </c>
      <c r="J79" s="11">
        <f t="shared" si="16"/>
        <v>0.24942400000000001</v>
      </c>
    </row>
    <row r="80" spans="1:10" x14ac:dyDescent="0.25">
      <c r="A80" s="2">
        <v>78</v>
      </c>
      <c r="B80" s="5">
        <v>0</v>
      </c>
      <c r="C80" s="5">
        <f t="shared" si="13"/>
        <v>1</v>
      </c>
      <c r="D80" s="5">
        <f t="shared" si="14"/>
        <v>2.6469779601696886E-25</v>
      </c>
      <c r="E80" s="5">
        <f t="shared" si="11"/>
        <v>1.3234889800848443E-25</v>
      </c>
      <c r="F80" s="5">
        <f t="shared" si="17"/>
        <v>0.22657599999999997</v>
      </c>
      <c r="G80" s="5">
        <f t="shared" si="12"/>
        <v>0.22657599999999997</v>
      </c>
      <c r="H80" s="5">
        <f t="shared" si="15"/>
        <v>0.47599999999999998</v>
      </c>
      <c r="I80" s="5">
        <v>0.47599999999999998</v>
      </c>
      <c r="J80" s="11">
        <f t="shared" si="16"/>
        <v>0.24942400000000001</v>
      </c>
    </row>
    <row r="81" spans="1:10" x14ac:dyDescent="0.25">
      <c r="A81" s="2">
        <v>79</v>
      </c>
      <c r="B81" s="5">
        <v>0</v>
      </c>
      <c r="C81" s="5">
        <f t="shared" si="13"/>
        <v>1</v>
      </c>
      <c r="D81" s="5">
        <f t="shared" si="14"/>
        <v>1.3234889800848443E-25</v>
      </c>
      <c r="E81" s="5">
        <f t="shared" si="11"/>
        <v>6.6174449004242215E-26</v>
      </c>
      <c r="F81" s="5">
        <f t="shared" si="17"/>
        <v>0.22657599999999997</v>
      </c>
      <c r="G81" s="5">
        <f t="shared" si="12"/>
        <v>0.22657599999999997</v>
      </c>
      <c r="H81" s="5">
        <f t="shared" si="15"/>
        <v>0.47599999999999998</v>
      </c>
      <c r="I81" s="5">
        <v>0.47599999999999998</v>
      </c>
      <c r="J81" s="11">
        <f t="shared" si="16"/>
        <v>0.24942400000000001</v>
      </c>
    </row>
    <row r="82" spans="1:10" x14ac:dyDescent="0.25">
      <c r="A82" s="2">
        <v>80</v>
      </c>
      <c r="B82" s="5">
        <v>0</v>
      </c>
      <c r="C82" s="5">
        <f t="shared" si="13"/>
        <v>1</v>
      </c>
      <c r="D82" s="5">
        <f t="shared" si="14"/>
        <v>6.6174449004242215E-26</v>
      </c>
      <c r="E82" s="5">
        <f t="shared" si="11"/>
        <v>3.3087224502121108E-26</v>
      </c>
      <c r="F82" s="5">
        <f t="shared" si="17"/>
        <v>0.22657599999999997</v>
      </c>
      <c r="G82" s="5">
        <f t="shared" si="12"/>
        <v>0.22657599999999997</v>
      </c>
      <c r="H82" s="5">
        <f t="shared" si="15"/>
        <v>0.47599999999999998</v>
      </c>
      <c r="I82" s="5">
        <v>0.47599999999999998</v>
      </c>
      <c r="J82" s="11">
        <f t="shared" si="16"/>
        <v>0.24942400000000001</v>
      </c>
    </row>
    <row r="83" spans="1:10" x14ac:dyDescent="0.25">
      <c r="A83" s="2">
        <v>81</v>
      </c>
      <c r="B83" s="5">
        <v>0</v>
      </c>
      <c r="C83" s="5">
        <f t="shared" si="13"/>
        <v>1</v>
      </c>
      <c r="D83" s="5">
        <f t="shared" si="14"/>
        <v>3.3087224502121108E-26</v>
      </c>
      <c r="E83" s="5">
        <f t="shared" si="11"/>
        <v>1.6543612251060554E-26</v>
      </c>
      <c r="F83" s="5">
        <f t="shared" si="17"/>
        <v>0.22657599999999997</v>
      </c>
      <c r="G83" s="5">
        <f t="shared" si="12"/>
        <v>0.22657599999999997</v>
      </c>
      <c r="H83" s="5">
        <f t="shared" si="15"/>
        <v>0.47599999999999998</v>
      </c>
      <c r="I83" s="5">
        <v>0.47599999999999998</v>
      </c>
      <c r="J83" s="11">
        <f t="shared" si="16"/>
        <v>0.24942400000000001</v>
      </c>
    </row>
    <row r="84" spans="1:10" x14ac:dyDescent="0.25">
      <c r="A84" s="2">
        <v>82</v>
      </c>
      <c r="B84" s="5">
        <v>0</v>
      </c>
      <c r="C84" s="5">
        <f t="shared" si="13"/>
        <v>1</v>
      </c>
      <c r="D84" s="5">
        <f t="shared" si="14"/>
        <v>1.6543612251060554E-26</v>
      </c>
      <c r="E84" s="5">
        <f t="shared" si="11"/>
        <v>8.2718061255302769E-27</v>
      </c>
      <c r="F84" s="5">
        <f t="shared" si="17"/>
        <v>0.22657599999999997</v>
      </c>
      <c r="G84" s="5">
        <f t="shared" si="12"/>
        <v>0.22657599999999997</v>
      </c>
      <c r="H84" s="5">
        <f t="shared" si="15"/>
        <v>0.47599999999999998</v>
      </c>
      <c r="I84" s="5">
        <v>0.47599999999999998</v>
      </c>
      <c r="J84" s="11">
        <f t="shared" si="16"/>
        <v>0.24942400000000001</v>
      </c>
    </row>
    <row r="85" spans="1:10" x14ac:dyDescent="0.25">
      <c r="A85" s="2">
        <v>83</v>
      </c>
      <c r="B85" s="5">
        <v>0</v>
      </c>
      <c r="C85" s="5">
        <f t="shared" si="13"/>
        <v>1</v>
      </c>
      <c r="D85" s="5">
        <f t="shared" si="14"/>
        <v>8.2718061255302769E-27</v>
      </c>
      <c r="E85" s="5">
        <f t="shared" si="11"/>
        <v>4.1359030627651385E-27</v>
      </c>
      <c r="F85" s="5">
        <f t="shared" si="17"/>
        <v>0.22657599999999997</v>
      </c>
      <c r="G85" s="5">
        <f t="shared" si="12"/>
        <v>0.22657599999999997</v>
      </c>
      <c r="H85" s="5">
        <f t="shared" si="15"/>
        <v>0.47599999999999998</v>
      </c>
      <c r="I85" s="5">
        <v>0.47599999999999998</v>
      </c>
      <c r="J85" s="11">
        <f t="shared" si="16"/>
        <v>0.24942400000000001</v>
      </c>
    </row>
    <row r="86" spans="1:10" x14ac:dyDescent="0.25">
      <c r="A86" s="2">
        <v>84</v>
      </c>
      <c r="B86" s="5">
        <v>0</v>
      </c>
      <c r="C86" s="5">
        <f t="shared" si="13"/>
        <v>1</v>
      </c>
      <c r="D86" s="5">
        <f t="shared" si="14"/>
        <v>4.1359030627651385E-27</v>
      </c>
      <c r="E86" s="5">
        <f t="shared" si="11"/>
        <v>2.0679515313825692E-27</v>
      </c>
      <c r="F86" s="5">
        <f t="shared" si="17"/>
        <v>0.22657599999999997</v>
      </c>
      <c r="G86" s="5">
        <f t="shared" si="12"/>
        <v>0.22657599999999997</v>
      </c>
      <c r="H86" s="5">
        <f t="shared" si="15"/>
        <v>0.47599999999999998</v>
      </c>
      <c r="I86" s="5">
        <v>0.47599999999999998</v>
      </c>
      <c r="J86" s="11">
        <f t="shared" si="16"/>
        <v>0.24942400000000001</v>
      </c>
    </row>
    <row r="87" spans="1:10" x14ac:dyDescent="0.25">
      <c r="A87" s="2">
        <v>85</v>
      </c>
      <c r="B87" s="5">
        <v>0</v>
      </c>
      <c r="C87" s="5">
        <f t="shared" si="13"/>
        <v>1</v>
      </c>
      <c r="D87" s="5">
        <f t="shared" si="14"/>
        <v>2.0679515313825692E-27</v>
      </c>
      <c r="E87" s="5">
        <f t="shared" si="11"/>
        <v>1.0339757656912846E-27</v>
      </c>
      <c r="F87" s="5">
        <f t="shared" si="17"/>
        <v>0.22657599999999997</v>
      </c>
      <c r="G87" s="5">
        <f t="shared" si="12"/>
        <v>0.22657599999999997</v>
      </c>
      <c r="H87" s="5">
        <f t="shared" si="15"/>
        <v>0.47599999999999998</v>
      </c>
      <c r="I87" s="5">
        <v>0.47599999999999998</v>
      </c>
      <c r="J87" s="11">
        <f t="shared" si="16"/>
        <v>0.24942400000000001</v>
      </c>
    </row>
    <row r="88" spans="1:10" x14ac:dyDescent="0.25">
      <c r="A88" s="2">
        <v>86</v>
      </c>
      <c r="B88" s="5">
        <v>0</v>
      </c>
      <c r="C88" s="5">
        <f t="shared" si="13"/>
        <v>1</v>
      </c>
      <c r="D88" s="5">
        <f t="shared" si="14"/>
        <v>1.0339757656912846E-27</v>
      </c>
      <c r="E88" s="5">
        <f t="shared" si="11"/>
        <v>5.1698788284564231E-28</v>
      </c>
      <c r="F88" s="5">
        <f t="shared" si="17"/>
        <v>0.22657599999999997</v>
      </c>
      <c r="G88" s="5">
        <f t="shared" si="12"/>
        <v>0.22657599999999997</v>
      </c>
      <c r="H88" s="5">
        <f t="shared" si="15"/>
        <v>0.47599999999999998</v>
      </c>
      <c r="I88" s="5">
        <v>0.47599999999999998</v>
      </c>
      <c r="J88" s="11">
        <f t="shared" si="16"/>
        <v>0.24942400000000001</v>
      </c>
    </row>
    <row r="89" spans="1:10" x14ac:dyDescent="0.25">
      <c r="A89" s="2">
        <v>87</v>
      </c>
      <c r="B89" s="5">
        <v>0</v>
      </c>
      <c r="C89" s="5">
        <f t="shared" si="13"/>
        <v>1</v>
      </c>
      <c r="D89" s="5">
        <f t="shared" si="14"/>
        <v>5.1698788284564231E-28</v>
      </c>
      <c r="E89" s="5">
        <f t="shared" si="11"/>
        <v>2.5849394142282115E-28</v>
      </c>
      <c r="F89" s="5">
        <f t="shared" si="17"/>
        <v>0.22657599999999997</v>
      </c>
      <c r="G89" s="5">
        <f t="shared" si="12"/>
        <v>0.22657599999999997</v>
      </c>
      <c r="H89" s="5">
        <f t="shared" si="15"/>
        <v>0.47599999999999998</v>
      </c>
      <c r="I89" s="5">
        <v>0.47599999999999998</v>
      </c>
      <c r="J89" s="11">
        <f t="shared" si="16"/>
        <v>0.24942400000000001</v>
      </c>
    </row>
    <row r="90" spans="1:10" x14ac:dyDescent="0.25">
      <c r="A90" s="2">
        <v>88</v>
      </c>
      <c r="B90" s="5">
        <v>0</v>
      </c>
      <c r="C90" s="5">
        <f t="shared" si="13"/>
        <v>1</v>
      </c>
      <c r="D90" s="5">
        <f t="shared" si="14"/>
        <v>2.5849394142282115E-28</v>
      </c>
      <c r="E90" s="5">
        <f t="shared" si="11"/>
        <v>1.2924697071141058E-28</v>
      </c>
      <c r="F90" s="5">
        <f t="shared" si="17"/>
        <v>0.22657599999999997</v>
      </c>
      <c r="G90" s="5">
        <f t="shared" si="12"/>
        <v>0.22657599999999997</v>
      </c>
      <c r="H90" s="5">
        <f t="shared" si="15"/>
        <v>0.47599999999999998</v>
      </c>
      <c r="I90" s="5">
        <v>0.47599999999999998</v>
      </c>
      <c r="J90" s="11">
        <f t="shared" si="16"/>
        <v>0.24942400000000001</v>
      </c>
    </row>
    <row r="91" spans="1:10" x14ac:dyDescent="0.25">
      <c r="A91" s="2">
        <v>89</v>
      </c>
      <c r="B91" s="5">
        <v>0</v>
      </c>
      <c r="C91" s="5">
        <f t="shared" si="13"/>
        <v>1</v>
      </c>
      <c r="D91" s="5">
        <f t="shared" si="14"/>
        <v>1.2924697071141058E-28</v>
      </c>
      <c r="E91" s="5">
        <f t="shared" si="11"/>
        <v>6.4623485355705288E-29</v>
      </c>
      <c r="F91" s="5">
        <f t="shared" si="17"/>
        <v>0.22657599999999997</v>
      </c>
      <c r="G91" s="5">
        <f t="shared" si="12"/>
        <v>0.22657599999999997</v>
      </c>
      <c r="H91" s="5">
        <f t="shared" si="15"/>
        <v>0.47599999999999998</v>
      </c>
      <c r="I91" s="5">
        <v>0.47599999999999998</v>
      </c>
      <c r="J91" s="11">
        <f t="shared" si="16"/>
        <v>0.24942400000000001</v>
      </c>
    </row>
    <row r="92" spans="1:10" x14ac:dyDescent="0.25">
      <c r="A92" s="2">
        <v>90</v>
      </c>
      <c r="B92" s="5">
        <v>0</v>
      </c>
      <c r="C92" s="5">
        <f t="shared" si="13"/>
        <v>1</v>
      </c>
      <c r="D92" s="5">
        <f t="shared" si="14"/>
        <v>6.4623485355705288E-29</v>
      </c>
      <c r="E92" s="5">
        <f t="shared" si="11"/>
        <v>3.2311742677852644E-29</v>
      </c>
      <c r="F92" s="5">
        <f t="shared" si="17"/>
        <v>0.22657599999999997</v>
      </c>
      <c r="G92" s="5">
        <f t="shared" si="12"/>
        <v>0.22657599999999997</v>
      </c>
      <c r="H92" s="5">
        <f t="shared" si="15"/>
        <v>0.47599999999999998</v>
      </c>
      <c r="I92" s="5">
        <v>0.47599999999999998</v>
      </c>
      <c r="J92" s="11">
        <f t="shared" si="16"/>
        <v>0.24942400000000001</v>
      </c>
    </row>
    <row r="93" spans="1:10" x14ac:dyDescent="0.25">
      <c r="A93" s="2">
        <v>91</v>
      </c>
      <c r="B93" s="5">
        <v>0</v>
      </c>
      <c r="C93" s="5">
        <f t="shared" si="13"/>
        <v>1</v>
      </c>
      <c r="D93" s="5">
        <f t="shared" si="14"/>
        <v>3.2311742677852644E-29</v>
      </c>
      <c r="E93" s="5">
        <f t="shared" si="11"/>
        <v>1.6155871338926322E-29</v>
      </c>
      <c r="F93" s="5">
        <f t="shared" si="17"/>
        <v>0.22657599999999997</v>
      </c>
      <c r="G93" s="5">
        <f t="shared" si="12"/>
        <v>0.22657599999999997</v>
      </c>
      <c r="H93" s="5">
        <f t="shared" si="15"/>
        <v>0.47599999999999998</v>
      </c>
      <c r="I93" s="5">
        <v>0.47599999999999998</v>
      </c>
      <c r="J93" s="11">
        <f t="shared" si="16"/>
        <v>0.24942400000000001</v>
      </c>
    </row>
    <row r="94" spans="1:10" x14ac:dyDescent="0.25">
      <c r="A94" s="2">
        <v>92</v>
      </c>
      <c r="B94" s="5">
        <v>0</v>
      </c>
      <c r="C94" s="5">
        <f t="shared" si="13"/>
        <v>1</v>
      </c>
      <c r="D94" s="5">
        <f t="shared" si="14"/>
        <v>1.6155871338926322E-29</v>
      </c>
      <c r="E94" s="5">
        <f t="shared" si="11"/>
        <v>8.0779356694631611E-30</v>
      </c>
      <c r="F94" s="5">
        <f t="shared" si="17"/>
        <v>0.22657599999999997</v>
      </c>
      <c r="G94" s="5">
        <f t="shared" si="12"/>
        <v>0.22657599999999997</v>
      </c>
      <c r="H94" s="5">
        <f t="shared" si="15"/>
        <v>0.47599999999999998</v>
      </c>
      <c r="I94" s="5">
        <v>0.47599999999999998</v>
      </c>
      <c r="J94" s="11">
        <f t="shared" si="16"/>
        <v>0.24942400000000001</v>
      </c>
    </row>
    <row r="95" spans="1:10" x14ac:dyDescent="0.25">
      <c r="A95" s="2">
        <v>93</v>
      </c>
      <c r="B95" s="5">
        <v>0</v>
      </c>
      <c r="C95" s="5">
        <f t="shared" si="13"/>
        <v>1</v>
      </c>
      <c r="D95" s="5">
        <f t="shared" si="14"/>
        <v>8.0779356694631611E-30</v>
      </c>
      <c r="E95" s="5">
        <f t="shared" si="11"/>
        <v>4.0389678347315805E-30</v>
      </c>
      <c r="F95" s="5">
        <f t="shared" si="17"/>
        <v>0.22657599999999997</v>
      </c>
      <c r="G95" s="5">
        <f t="shared" si="12"/>
        <v>0.22657599999999997</v>
      </c>
      <c r="H95" s="5">
        <f t="shared" si="15"/>
        <v>0.47599999999999998</v>
      </c>
      <c r="I95" s="5">
        <v>0.47599999999999998</v>
      </c>
      <c r="J95" s="11">
        <f t="shared" si="16"/>
        <v>0.24942400000000001</v>
      </c>
    </row>
    <row r="96" spans="1:10" x14ac:dyDescent="0.25">
      <c r="A96" s="2">
        <v>94</v>
      </c>
      <c r="B96" s="5">
        <v>0</v>
      </c>
      <c r="C96" s="5">
        <f t="shared" si="13"/>
        <v>1</v>
      </c>
      <c r="D96" s="5">
        <f t="shared" si="14"/>
        <v>4.0389678347315805E-30</v>
      </c>
      <c r="E96" s="5">
        <f t="shared" si="11"/>
        <v>2.0194839173657903E-30</v>
      </c>
      <c r="F96" s="5">
        <f t="shared" si="17"/>
        <v>0.22657599999999997</v>
      </c>
      <c r="G96" s="5">
        <f t="shared" si="12"/>
        <v>0.22657599999999997</v>
      </c>
      <c r="H96" s="5">
        <f t="shared" si="15"/>
        <v>0.47599999999999998</v>
      </c>
      <c r="I96" s="5">
        <v>0.47599999999999998</v>
      </c>
      <c r="J96" s="11">
        <f t="shared" si="16"/>
        <v>0.24942400000000001</v>
      </c>
    </row>
    <row r="97" spans="1:10" x14ac:dyDescent="0.25">
      <c r="A97" s="2">
        <v>95</v>
      </c>
      <c r="B97" s="5">
        <v>0</v>
      </c>
      <c r="C97" s="5">
        <f t="shared" si="13"/>
        <v>1</v>
      </c>
      <c r="D97" s="5">
        <f t="shared" si="14"/>
        <v>2.0194839173657903E-30</v>
      </c>
      <c r="E97" s="5">
        <f t="shared" si="11"/>
        <v>1.0097419586828951E-30</v>
      </c>
      <c r="F97" s="5">
        <f t="shared" si="17"/>
        <v>0.22657599999999997</v>
      </c>
      <c r="G97" s="5">
        <f t="shared" si="12"/>
        <v>0.22657599999999997</v>
      </c>
      <c r="H97" s="5">
        <f t="shared" si="15"/>
        <v>0.47599999999999998</v>
      </c>
      <c r="I97" s="5">
        <v>0.47599999999999998</v>
      </c>
      <c r="J97" s="11">
        <f t="shared" si="16"/>
        <v>0.24942400000000001</v>
      </c>
    </row>
    <row r="98" spans="1:10" x14ac:dyDescent="0.25">
      <c r="A98" s="2">
        <v>96</v>
      </c>
      <c r="B98" s="5">
        <v>0</v>
      </c>
      <c r="C98" s="5">
        <f t="shared" si="13"/>
        <v>1</v>
      </c>
      <c r="D98" s="5">
        <f t="shared" si="14"/>
        <v>1.0097419586828951E-30</v>
      </c>
      <c r="E98" s="5">
        <f t="shared" ref="E98:E102" si="18">$M$3*D98+B98</f>
        <v>5.0487097934144757E-31</v>
      </c>
      <c r="F98" s="5">
        <f t="shared" si="17"/>
        <v>0.22657599999999997</v>
      </c>
      <c r="G98" s="5">
        <f t="shared" si="12"/>
        <v>0.22657599999999997</v>
      </c>
      <c r="H98" s="5">
        <f t="shared" si="15"/>
        <v>0.47599999999999998</v>
      </c>
      <c r="I98" s="5">
        <v>0.47599999999999998</v>
      </c>
      <c r="J98" s="11">
        <f t="shared" si="16"/>
        <v>0.24942400000000001</v>
      </c>
    </row>
    <row r="99" spans="1:10" x14ac:dyDescent="0.25">
      <c r="A99" s="2">
        <v>97</v>
      </c>
      <c r="B99" s="5">
        <v>0</v>
      </c>
      <c r="C99" s="5">
        <f t="shared" ref="C99:C102" si="19">EXP(D99)</f>
        <v>1</v>
      </c>
      <c r="D99" s="5">
        <f t="shared" si="14"/>
        <v>5.0487097934144757E-31</v>
      </c>
      <c r="E99" s="5">
        <f t="shared" si="18"/>
        <v>2.5243548967072378E-31</v>
      </c>
      <c r="F99" s="5">
        <f t="shared" si="17"/>
        <v>0.22657599999999997</v>
      </c>
      <c r="G99" s="5">
        <f t="shared" si="12"/>
        <v>0.22657599999999997</v>
      </c>
      <c r="H99" s="5">
        <f t="shared" si="15"/>
        <v>0.47599999999999998</v>
      </c>
      <c r="I99" s="5">
        <v>0.47599999999999998</v>
      </c>
      <c r="J99" s="11">
        <f t="shared" si="16"/>
        <v>0.24942400000000001</v>
      </c>
    </row>
    <row r="100" spans="1:10" x14ac:dyDescent="0.25">
      <c r="A100" s="2">
        <v>98</v>
      </c>
      <c r="B100" s="5">
        <v>0</v>
      </c>
      <c r="C100" s="5">
        <f t="shared" si="19"/>
        <v>1</v>
      </c>
      <c r="D100" s="5">
        <f t="shared" si="14"/>
        <v>2.5243548967072378E-31</v>
      </c>
      <c r="E100" s="5">
        <f t="shared" si="18"/>
        <v>1.2621774483536189E-31</v>
      </c>
      <c r="F100" s="5">
        <f t="shared" si="17"/>
        <v>0.22657599999999997</v>
      </c>
      <c r="G100" s="5">
        <f t="shared" si="12"/>
        <v>0.22657599999999997</v>
      </c>
      <c r="H100" s="5">
        <f t="shared" si="15"/>
        <v>0.47599999999999998</v>
      </c>
      <c r="I100" s="5">
        <v>0.47599999999999998</v>
      </c>
      <c r="J100" s="11">
        <f t="shared" si="16"/>
        <v>0.24942400000000001</v>
      </c>
    </row>
    <row r="101" spans="1:10" x14ac:dyDescent="0.25">
      <c r="A101" s="2">
        <v>99</v>
      </c>
      <c r="B101" s="5">
        <v>0</v>
      </c>
      <c r="C101" s="5">
        <f t="shared" si="19"/>
        <v>1</v>
      </c>
      <c r="D101" s="5">
        <f t="shared" si="14"/>
        <v>1.2621774483536189E-31</v>
      </c>
      <c r="E101" s="5">
        <f t="shared" si="18"/>
        <v>6.3108872417680946E-32</v>
      </c>
      <c r="F101" s="5">
        <f t="shared" si="17"/>
        <v>0.22657599999999997</v>
      </c>
      <c r="G101" s="5">
        <f t="shared" si="12"/>
        <v>0.22657599999999997</v>
      </c>
      <c r="H101" s="5">
        <f t="shared" si="15"/>
        <v>0.47599999999999998</v>
      </c>
      <c r="I101" s="5">
        <v>0.47599999999999998</v>
      </c>
      <c r="J101" s="11">
        <f t="shared" si="16"/>
        <v>0.24942400000000001</v>
      </c>
    </row>
    <row r="102" spans="1:10" ht="15.75" thickBot="1" x14ac:dyDescent="0.3">
      <c r="A102" s="3">
        <v>100</v>
      </c>
      <c r="B102" s="6">
        <v>0</v>
      </c>
      <c r="C102" s="6">
        <f t="shared" si="19"/>
        <v>1</v>
      </c>
      <c r="D102" s="6">
        <f t="shared" si="14"/>
        <v>6.3108872417680946E-32</v>
      </c>
      <c r="E102" s="6">
        <f t="shared" si="18"/>
        <v>3.1554436208840473E-32</v>
      </c>
      <c r="F102" s="6">
        <f t="shared" si="17"/>
        <v>0.22657599999999997</v>
      </c>
      <c r="G102" s="6"/>
      <c r="H102" s="6">
        <f t="shared" si="15"/>
        <v>0.47599999999999998</v>
      </c>
      <c r="I102" s="6">
        <v>0.47599999999999998</v>
      </c>
      <c r="J102" s="12">
        <f t="shared" si="16"/>
        <v>0.24942400000000001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7AE4-685E-4EE6-9B9A-33E7EF9D8EF5}">
  <dimension ref="A1:M102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13" ht="15" customHeight="1" thickBot="1" x14ac:dyDescent="0.3">
      <c r="A1" s="4" t="s">
        <v>0</v>
      </c>
      <c r="B1" s="4" t="s">
        <v>6</v>
      </c>
      <c r="C1" s="4" t="s">
        <v>2</v>
      </c>
      <c r="D1" s="4" t="s">
        <v>5</v>
      </c>
      <c r="E1" s="4" t="s">
        <v>4</v>
      </c>
      <c r="F1" s="4" t="s">
        <v>3</v>
      </c>
      <c r="G1" s="4" t="s">
        <v>11</v>
      </c>
      <c r="H1" s="4" t="s">
        <v>1</v>
      </c>
      <c r="I1" s="4" t="s">
        <v>12</v>
      </c>
      <c r="J1" s="4" t="s">
        <v>10</v>
      </c>
      <c r="K1" s="2"/>
      <c r="L1" s="8" t="s">
        <v>8</v>
      </c>
      <c r="M1" s="9">
        <v>0.5</v>
      </c>
    </row>
    <row r="2" spans="1:13" ht="15.75" thickBot="1" x14ac:dyDescent="0.3">
      <c r="A2" s="2">
        <v>0</v>
      </c>
      <c r="B2" s="7">
        <v>1.3633734852191992E-2</v>
      </c>
      <c r="C2" s="5">
        <v>1</v>
      </c>
      <c r="D2" s="5">
        <f>LN(C2)</f>
        <v>0</v>
      </c>
      <c r="E2" s="5">
        <f t="shared" ref="E2:E33" si="0">$M$3*D2+B2</f>
        <v>1.3633734852191992E-2</v>
      </c>
      <c r="F2" s="5">
        <f>($M$1*$M$2)^(1/(1-$M$1))</f>
        <v>0.22657599999999997</v>
      </c>
      <c r="G2" s="5">
        <f t="shared" ref="G2:G33" si="1">F3</f>
        <v>0.22657599999999997</v>
      </c>
      <c r="H2" s="5">
        <f>$C2*$F2^$M$1</f>
        <v>0.47599999999999998</v>
      </c>
      <c r="I2" s="5">
        <v>0.47599999999999998</v>
      </c>
      <c r="J2" s="11">
        <f>(1-$M$1*$M$2)*$C2*$F2^$M$1</f>
        <v>0.24942400000000001</v>
      </c>
      <c r="K2" s="2"/>
      <c r="L2" s="8" t="s">
        <v>9</v>
      </c>
      <c r="M2" s="10">
        <v>0.95199999999999996</v>
      </c>
    </row>
    <row r="3" spans="1:13" ht="15.75" thickBot="1" x14ac:dyDescent="0.3">
      <c r="A3" s="2">
        <v>1</v>
      </c>
      <c r="B3" s="5">
        <v>-3.1672243494540453E-3</v>
      </c>
      <c r="C3" s="5">
        <f t="shared" ref="C3:C34" si="2">EXP(D3)</f>
        <v>1.0137270980289681</v>
      </c>
      <c r="D3" s="5">
        <f t="shared" ref="D3:D34" si="3">E2</f>
        <v>1.3633734852191992E-2</v>
      </c>
      <c r="E3" s="5">
        <f t="shared" si="0"/>
        <v>-1.8038508642348461E-3</v>
      </c>
      <c r="F3" s="5">
        <f>$M$1*$M$2*$C2*$F2^$M$1</f>
        <v>0.22657599999999997</v>
      </c>
      <c r="G3" s="5">
        <f t="shared" si="1"/>
        <v>0.22968623096301147</v>
      </c>
      <c r="H3" s="5">
        <f t="shared" ref="H3:H66" si="4">$C3*$F3^$M$1</f>
        <v>0.48253409866178881</v>
      </c>
      <c r="I3" s="5">
        <v>0.47599999999999998</v>
      </c>
      <c r="J3" s="11">
        <f t="shared" ref="J3:J66" si="5">(1-$M$1*$M$2)*$C3*$F3^$M$1</f>
        <v>0.25284786769877737</v>
      </c>
      <c r="L3" s="8" t="s">
        <v>7</v>
      </c>
      <c r="M3" s="9">
        <v>0.1</v>
      </c>
    </row>
    <row r="4" spans="1:13" x14ac:dyDescent="0.25">
      <c r="A4" s="2">
        <v>2</v>
      </c>
      <c r="B4" s="5">
        <v>-6.6694337874650955E-2</v>
      </c>
      <c r="C4" s="5">
        <f t="shared" si="2"/>
        <v>0.99819777509692464</v>
      </c>
      <c r="D4" s="5">
        <f t="shared" si="3"/>
        <v>-1.8038508642348461E-3</v>
      </c>
      <c r="E4" s="5">
        <f t="shared" si="0"/>
        <v>-6.687472296107444E-2</v>
      </c>
      <c r="F4" s="5">
        <f t="shared" ref="F4:F67" si="6">$M$1*$M$2*$C3*$F3^$M$1</f>
        <v>0.22968623096301147</v>
      </c>
      <c r="G4" s="5">
        <f t="shared" si="1"/>
        <v>0.22771468096918032</v>
      </c>
      <c r="H4" s="5">
        <f t="shared" si="4"/>
        <v>0.4783921869100427</v>
      </c>
      <c r="I4" s="5">
        <v>0.47599999999999998</v>
      </c>
      <c r="J4" s="11">
        <f t="shared" si="5"/>
        <v>0.25067750594086236</v>
      </c>
    </row>
    <row r="5" spans="1:13" x14ac:dyDescent="0.25">
      <c r="A5" s="2">
        <v>3</v>
      </c>
      <c r="B5" s="5">
        <v>-1.8069158613798209E-2</v>
      </c>
      <c r="C5" s="5">
        <f t="shared" si="2"/>
        <v>0.93531236716135802</v>
      </c>
      <c r="D5" s="5">
        <f t="shared" si="3"/>
        <v>-6.687472296107444E-2</v>
      </c>
      <c r="E5" s="5">
        <f t="shared" si="0"/>
        <v>-2.4756630909905653E-2</v>
      </c>
      <c r="F5" s="5">
        <f t="shared" si="6"/>
        <v>0.22771468096918032</v>
      </c>
      <c r="G5" s="5">
        <f t="shared" si="1"/>
        <v>0.21245117872680236</v>
      </c>
      <c r="H5" s="5">
        <f t="shared" si="4"/>
        <v>0.44632600572857645</v>
      </c>
      <c r="I5" s="5">
        <v>0.47599999999999998</v>
      </c>
      <c r="J5" s="11">
        <f t="shared" si="5"/>
        <v>0.23387482700177406</v>
      </c>
    </row>
    <row r="6" spans="1:13" x14ac:dyDescent="0.25">
      <c r="A6" s="2">
        <v>4</v>
      </c>
      <c r="B6" s="5">
        <v>-8.3389295468805358E-3</v>
      </c>
      <c r="C6" s="5">
        <f t="shared" si="2"/>
        <v>0.97554730119960464</v>
      </c>
      <c r="D6" s="5">
        <f t="shared" si="3"/>
        <v>-2.4756630909905653E-2</v>
      </c>
      <c r="E6" s="5">
        <f t="shared" si="0"/>
        <v>-1.0814592637871101E-2</v>
      </c>
      <c r="F6" s="5">
        <f t="shared" si="6"/>
        <v>0.21245117872680236</v>
      </c>
      <c r="G6" s="5">
        <f t="shared" si="1"/>
        <v>0.21403502957537485</v>
      </c>
      <c r="H6" s="5">
        <f t="shared" si="4"/>
        <v>0.44965342347767828</v>
      </c>
      <c r="I6" s="5">
        <v>0.47599999999999998</v>
      </c>
      <c r="J6" s="11">
        <f t="shared" si="5"/>
        <v>0.23561839390230344</v>
      </c>
    </row>
    <row r="7" spans="1:13" x14ac:dyDescent="0.25">
      <c r="A7" s="2">
        <v>5</v>
      </c>
      <c r="B7" s="5">
        <v>-1.0635949365678243E-2</v>
      </c>
      <c r="C7" s="5">
        <f t="shared" si="2"/>
        <v>0.9892436748336072</v>
      </c>
      <c r="D7" s="5">
        <f t="shared" si="3"/>
        <v>-1.0814592637871101E-2</v>
      </c>
      <c r="E7" s="5">
        <f t="shared" si="0"/>
        <v>-1.1717408629465353E-2</v>
      </c>
      <c r="F7" s="5">
        <f t="shared" si="6"/>
        <v>0.21403502957537485</v>
      </c>
      <c r="G7" s="5">
        <f t="shared" si="1"/>
        <v>0.21784754161025555</v>
      </c>
      <c r="H7" s="5">
        <f t="shared" si="4"/>
        <v>0.45766290254255371</v>
      </c>
      <c r="I7" s="5">
        <v>0.47599999999999998</v>
      </c>
      <c r="J7" s="11">
        <f t="shared" si="5"/>
        <v>0.23981536093229816</v>
      </c>
    </row>
    <row r="8" spans="1:13" x14ac:dyDescent="0.25">
      <c r="A8" s="2">
        <v>6</v>
      </c>
      <c r="B8" s="5">
        <v>-3.4532968129497021E-2</v>
      </c>
      <c r="C8" s="5">
        <f t="shared" si="2"/>
        <v>0.9883509728578288</v>
      </c>
      <c r="D8" s="5">
        <f t="shared" si="3"/>
        <v>-1.1717408629465353E-2</v>
      </c>
      <c r="E8" s="5">
        <f t="shared" si="0"/>
        <v>-3.570470899244356E-2</v>
      </c>
      <c r="F8" s="5">
        <f t="shared" si="6"/>
        <v>0.21784754161025555</v>
      </c>
      <c r="G8" s="5">
        <f t="shared" si="1"/>
        <v>0.21958085837573785</v>
      </c>
      <c r="H8" s="5">
        <f t="shared" si="4"/>
        <v>0.46130432431877705</v>
      </c>
      <c r="I8" s="5">
        <v>0.47599999999999998</v>
      </c>
      <c r="J8" s="11">
        <f t="shared" si="5"/>
        <v>0.2417234659430392</v>
      </c>
    </row>
    <row r="9" spans="1:13" x14ac:dyDescent="0.25">
      <c r="A9" s="2">
        <v>7</v>
      </c>
      <c r="B9" s="5">
        <v>1.3771068552159704E-2</v>
      </c>
      <c r="C9" s="5">
        <f t="shared" si="2"/>
        <v>0.96492518514821846</v>
      </c>
      <c r="D9" s="5">
        <f t="shared" si="3"/>
        <v>-3.570470899244356E-2</v>
      </c>
      <c r="E9" s="5">
        <f t="shared" si="0"/>
        <v>1.0200597652915349E-2</v>
      </c>
      <c r="F9" s="5">
        <f t="shared" si="6"/>
        <v>0.21958085837573785</v>
      </c>
      <c r="G9" s="5">
        <f t="shared" si="1"/>
        <v>0.21522753605174938</v>
      </c>
      <c r="H9" s="5">
        <f t="shared" si="4"/>
        <v>0.45215868918434748</v>
      </c>
      <c r="I9" s="5">
        <v>0.47599999999999998</v>
      </c>
      <c r="J9" s="11">
        <f t="shared" si="5"/>
        <v>0.23693115313259808</v>
      </c>
    </row>
    <row r="10" spans="1:13" x14ac:dyDescent="0.25">
      <c r="A10" s="2">
        <v>8</v>
      </c>
      <c r="B10" s="5">
        <v>2.0074958229088224E-2</v>
      </c>
      <c r="C10" s="5">
        <f t="shared" si="2"/>
        <v>1.0102528011002865</v>
      </c>
      <c r="D10" s="5">
        <f t="shared" si="3"/>
        <v>1.0200597652915349E-2</v>
      </c>
      <c r="E10" s="5">
        <f t="shared" si="0"/>
        <v>2.109501799437976E-2</v>
      </c>
      <c r="F10" s="5">
        <f t="shared" si="6"/>
        <v>0.21522753605174938</v>
      </c>
      <c r="G10" s="5">
        <f t="shared" si="1"/>
        <v>0.22309299450699749</v>
      </c>
      <c r="H10" s="5">
        <f t="shared" si="4"/>
        <v>0.46868276156932248</v>
      </c>
      <c r="I10" s="5">
        <v>0.47599999999999998</v>
      </c>
      <c r="J10" s="11">
        <f t="shared" si="5"/>
        <v>0.24558976706232499</v>
      </c>
    </row>
    <row r="11" spans="1:13" x14ac:dyDescent="0.25">
      <c r="A11" s="2">
        <v>9</v>
      </c>
      <c r="B11" s="5">
        <v>-1.5932391761452891E-2</v>
      </c>
      <c r="C11" s="5">
        <f t="shared" si="2"/>
        <v>1.0213190907188481</v>
      </c>
      <c r="D11" s="5">
        <f t="shared" si="3"/>
        <v>2.109501799437976E-2</v>
      </c>
      <c r="E11" s="5">
        <f t="shared" si="0"/>
        <v>-1.3822889962014915E-2</v>
      </c>
      <c r="F11" s="5">
        <f t="shared" si="6"/>
        <v>0.22309299450699749</v>
      </c>
      <c r="G11" s="5">
        <f t="shared" si="1"/>
        <v>0.22962087581802204</v>
      </c>
      <c r="H11" s="5">
        <f t="shared" si="4"/>
        <v>0.48239679793702112</v>
      </c>
      <c r="I11" s="5">
        <v>0.47599999999999998</v>
      </c>
      <c r="J11" s="11">
        <f t="shared" si="5"/>
        <v>0.25277592211899913</v>
      </c>
    </row>
    <row r="12" spans="1:13" x14ac:dyDescent="0.25">
      <c r="A12" s="2">
        <v>10</v>
      </c>
      <c r="B12" s="5">
        <v>1.5091154637048021E-2</v>
      </c>
      <c r="C12" s="5">
        <f t="shared" si="2"/>
        <v>0.9862722075032333</v>
      </c>
      <c r="D12" s="5">
        <f t="shared" si="3"/>
        <v>-1.3822889962014915E-2</v>
      </c>
      <c r="E12" s="5">
        <f t="shared" si="0"/>
        <v>1.3708865640846529E-2</v>
      </c>
      <c r="F12" s="5">
        <f t="shared" si="6"/>
        <v>0.22962087581802204</v>
      </c>
      <c r="G12" s="5">
        <f t="shared" si="1"/>
        <v>0.22496213883723609</v>
      </c>
      <c r="H12" s="5">
        <f t="shared" si="4"/>
        <v>0.47260953537234474</v>
      </c>
      <c r="I12" s="5">
        <v>0.47599999999999998</v>
      </c>
      <c r="J12" s="11">
        <f t="shared" si="5"/>
        <v>0.24764739653510862</v>
      </c>
    </row>
    <row r="13" spans="1:13" x14ac:dyDescent="0.25">
      <c r="A13" s="2">
        <v>11</v>
      </c>
      <c r="B13" s="5">
        <v>1.9963863451266661E-2</v>
      </c>
      <c r="C13" s="5">
        <f t="shared" si="2"/>
        <v>1.0138032630064551</v>
      </c>
      <c r="D13" s="5">
        <f t="shared" si="3"/>
        <v>1.3708865640846529E-2</v>
      </c>
      <c r="E13" s="5">
        <f t="shared" si="0"/>
        <v>2.1334750015351314E-2</v>
      </c>
      <c r="F13" s="5">
        <f t="shared" si="6"/>
        <v>0.22496213883723609</v>
      </c>
      <c r="G13" s="5">
        <f t="shared" si="1"/>
        <v>0.22888395731096661</v>
      </c>
      <c r="H13" s="5">
        <f t="shared" si="4"/>
        <v>0.48084864981295505</v>
      </c>
      <c r="I13" s="5">
        <v>0.47599999999999998</v>
      </c>
      <c r="J13" s="11">
        <f t="shared" si="5"/>
        <v>0.2519646925019885</v>
      </c>
    </row>
    <row r="14" spans="1:13" x14ac:dyDescent="0.25">
      <c r="A14" s="2">
        <v>12</v>
      </c>
      <c r="B14" s="5">
        <v>3.4277718441444449E-3</v>
      </c>
      <c r="C14" s="5">
        <f t="shared" si="2"/>
        <v>1.0215639629592086</v>
      </c>
      <c r="D14" s="5">
        <f t="shared" si="3"/>
        <v>2.1334750015351314E-2</v>
      </c>
      <c r="E14" s="5">
        <f t="shared" si="0"/>
        <v>5.5612468456795764E-3</v>
      </c>
      <c r="F14" s="5">
        <f t="shared" si="6"/>
        <v>0.22888395731096661</v>
      </c>
      <c r="G14" s="5">
        <f t="shared" si="1"/>
        <v>0.23263775262791575</v>
      </c>
      <c r="H14" s="5">
        <f t="shared" si="4"/>
        <v>0.48873477442839447</v>
      </c>
      <c r="I14" s="5">
        <v>0.47599999999999998</v>
      </c>
      <c r="J14" s="11">
        <f t="shared" si="5"/>
        <v>0.25609702180047872</v>
      </c>
    </row>
    <row r="15" spans="1:13" x14ac:dyDescent="0.25">
      <c r="A15" s="2">
        <v>13</v>
      </c>
      <c r="B15" s="5">
        <v>3.3346623240504414E-3</v>
      </c>
      <c r="C15" s="5">
        <f t="shared" si="2"/>
        <v>1.005576739284697</v>
      </c>
      <c r="D15" s="5">
        <f t="shared" si="3"/>
        <v>5.5612468456795764E-3</v>
      </c>
      <c r="E15" s="5">
        <f t="shared" si="0"/>
        <v>3.8907870086183991E-3</v>
      </c>
      <c r="F15" s="5">
        <f t="shared" si="6"/>
        <v>0.23263775262791575</v>
      </c>
      <c r="G15" s="5">
        <f t="shared" si="1"/>
        <v>0.23086721735018914</v>
      </c>
      <c r="H15" s="5">
        <f t="shared" si="4"/>
        <v>0.48501516250039733</v>
      </c>
      <c r="I15" s="5">
        <v>0.47599999999999998</v>
      </c>
      <c r="J15" s="11">
        <f t="shared" si="5"/>
        <v>0.25414794515020822</v>
      </c>
    </row>
    <row r="16" spans="1:13" x14ac:dyDescent="0.25">
      <c r="A16" s="2">
        <v>14</v>
      </c>
      <c r="B16" s="5">
        <v>8.4324710769578815E-3</v>
      </c>
      <c r="C16" s="5">
        <f t="shared" si="2"/>
        <v>1.0038983659465481</v>
      </c>
      <c r="D16" s="5">
        <f t="shared" si="3"/>
        <v>3.8907870086183991E-3</v>
      </c>
      <c r="E16" s="5">
        <f t="shared" si="0"/>
        <v>8.8215497778197215E-3</v>
      </c>
      <c r="F16" s="5">
        <f t="shared" si="6"/>
        <v>0.23086721735018914</v>
      </c>
      <c r="G16" s="5">
        <f t="shared" si="1"/>
        <v>0.22960314590806541</v>
      </c>
      <c r="H16" s="5">
        <f t="shared" si="4"/>
        <v>0.4823595502270282</v>
      </c>
      <c r="I16" s="5">
        <v>0.47599999999999998</v>
      </c>
      <c r="J16" s="11">
        <f t="shared" si="5"/>
        <v>0.25275640431896279</v>
      </c>
    </row>
    <row r="17" spans="1:10" x14ac:dyDescent="0.25">
      <c r="A17" s="2">
        <v>15</v>
      </c>
      <c r="B17" s="5">
        <v>1.0828534868778661E-2</v>
      </c>
      <c r="C17" s="5">
        <f t="shared" si="2"/>
        <v>1.0088605743159555</v>
      </c>
      <c r="D17" s="5">
        <f t="shared" si="3"/>
        <v>8.8215497778197215E-3</v>
      </c>
      <c r="E17" s="5">
        <f t="shared" si="0"/>
        <v>1.1710689846560634E-2</v>
      </c>
      <c r="F17" s="5">
        <f t="shared" si="6"/>
        <v>0.22960314590806541</v>
      </c>
      <c r="G17" s="5">
        <f t="shared" si="1"/>
        <v>0.23010551107552005</v>
      </c>
      <c r="H17" s="5">
        <f t="shared" si="4"/>
        <v>0.4834149392342858</v>
      </c>
      <c r="I17" s="5">
        <v>0.47599999999999998</v>
      </c>
      <c r="J17" s="11">
        <f t="shared" si="5"/>
        <v>0.25330942815876578</v>
      </c>
    </row>
    <row r="18" spans="1:10" x14ac:dyDescent="0.25">
      <c r="A18" s="2">
        <v>16</v>
      </c>
      <c r="B18" s="5">
        <v>-1.3512362784240395E-2</v>
      </c>
      <c r="C18" s="5">
        <f t="shared" si="2"/>
        <v>1.0117795284282198</v>
      </c>
      <c r="D18" s="5">
        <f t="shared" si="3"/>
        <v>1.1710689846560634E-2</v>
      </c>
      <c r="E18" s="5">
        <f t="shared" si="0"/>
        <v>-1.2341293799584331E-2</v>
      </c>
      <c r="F18" s="5">
        <f t="shared" si="6"/>
        <v>0.23010551107552005</v>
      </c>
      <c r="G18" s="5">
        <f t="shared" si="1"/>
        <v>0.23102360197546157</v>
      </c>
      <c r="H18" s="5">
        <f t="shared" si="4"/>
        <v>0.48534370162912094</v>
      </c>
      <c r="I18" s="5">
        <v>0.47599999999999998</v>
      </c>
      <c r="J18" s="11">
        <f t="shared" si="5"/>
        <v>0.25432009965365943</v>
      </c>
    </row>
    <row r="19" spans="1:10" x14ac:dyDescent="0.25">
      <c r="A19" s="2">
        <v>17</v>
      </c>
      <c r="B19" s="5">
        <v>-2.7559053705772385E-2</v>
      </c>
      <c r="C19" s="5">
        <f t="shared" si="2"/>
        <v>0.98773454765225666</v>
      </c>
      <c r="D19" s="5">
        <f t="shared" si="3"/>
        <v>-1.2341293799584331E-2</v>
      </c>
      <c r="E19" s="5">
        <f t="shared" si="0"/>
        <v>-2.8793183085730818E-2</v>
      </c>
      <c r="F19" s="5">
        <f t="shared" si="6"/>
        <v>0.23102360197546157</v>
      </c>
      <c r="G19" s="5">
        <f t="shared" si="1"/>
        <v>0.22598279320641684</v>
      </c>
      <c r="H19" s="5">
        <f t="shared" si="4"/>
        <v>0.4747537672403716</v>
      </c>
      <c r="I19" s="5">
        <v>0.47599999999999998</v>
      </c>
      <c r="J19" s="11">
        <f t="shared" si="5"/>
        <v>0.24877097403395473</v>
      </c>
    </row>
    <row r="20" spans="1:10" x14ac:dyDescent="0.25">
      <c r="A20" s="2">
        <v>18</v>
      </c>
      <c r="B20" s="5">
        <v>-1.3903263607062399E-2</v>
      </c>
      <c r="C20" s="5">
        <f t="shared" si="2"/>
        <v>0.97161739059900121</v>
      </c>
      <c r="D20" s="5">
        <f t="shared" si="3"/>
        <v>-2.8793183085730818E-2</v>
      </c>
      <c r="E20" s="5">
        <f t="shared" si="0"/>
        <v>-1.6782581915635482E-2</v>
      </c>
      <c r="F20" s="5">
        <f t="shared" si="6"/>
        <v>0.22598279320641684</v>
      </c>
      <c r="G20" s="5">
        <f t="shared" si="1"/>
        <v>0.21985680799969917</v>
      </c>
      <c r="H20" s="5">
        <f t="shared" si="4"/>
        <v>0.46188405041953612</v>
      </c>
      <c r="I20" s="5">
        <v>0.47599999999999998</v>
      </c>
      <c r="J20" s="11">
        <f t="shared" si="5"/>
        <v>0.24202724241983695</v>
      </c>
    </row>
    <row r="21" spans="1:10" x14ac:dyDescent="0.25">
      <c r="A21" s="2">
        <v>19</v>
      </c>
      <c r="B21" s="5">
        <v>-2.598526407382451E-2</v>
      </c>
      <c r="C21" s="5">
        <f t="shared" si="2"/>
        <v>0.98335746109006961</v>
      </c>
      <c r="D21" s="5">
        <f t="shared" si="3"/>
        <v>-1.6782581915635482E-2</v>
      </c>
      <c r="E21" s="5">
        <f t="shared" si="0"/>
        <v>-2.7663522265388058E-2</v>
      </c>
      <c r="F21" s="5">
        <f t="shared" si="6"/>
        <v>0.21985680799969917</v>
      </c>
      <c r="G21" s="5">
        <f t="shared" si="1"/>
        <v>0.21947665328276028</v>
      </c>
      <c r="H21" s="5">
        <f t="shared" si="4"/>
        <v>0.46108540605621912</v>
      </c>
      <c r="I21" s="5">
        <v>0.47599999999999998</v>
      </c>
      <c r="J21" s="11">
        <f t="shared" si="5"/>
        <v>0.24160875277345883</v>
      </c>
    </row>
    <row r="22" spans="1:10" x14ac:dyDescent="0.25">
      <c r="A22" s="2">
        <v>20</v>
      </c>
      <c r="B22" s="5">
        <v>-2.7770147426053882E-2</v>
      </c>
      <c r="C22" s="5">
        <f t="shared" si="2"/>
        <v>0.97271560888782171</v>
      </c>
      <c r="D22" s="5">
        <f t="shared" si="3"/>
        <v>-2.7663522265388058E-2</v>
      </c>
      <c r="E22" s="5">
        <f t="shared" si="0"/>
        <v>-3.0536499652592686E-2</v>
      </c>
      <c r="F22" s="5">
        <f t="shared" si="6"/>
        <v>0.21947665328276028</v>
      </c>
      <c r="G22" s="5">
        <f t="shared" si="1"/>
        <v>0.21691370991944045</v>
      </c>
      <c r="H22" s="5">
        <f t="shared" si="4"/>
        <v>0.45570107125932868</v>
      </c>
      <c r="I22" s="5">
        <v>0.47599999999999998</v>
      </c>
      <c r="J22" s="11">
        <f t="shared" si="5"/>
        <v>0.23878736133988826</v>
      </c>
    </row>
    <row r="23" spans="1:10" x14ac:dyDescent="0.25">
      <c r="A23" s="2">
        <v>21</v>
      </c>
      <c r="B23" s="5">
        <v>-6.8294184529804625E-3</v>
      </c>
      <c r="C23" s="5">
        <f t="shared" si="2"/>
        <v>0.96992502949450621</v>
      </c>
      <c r="D23" s="5">
        <f t="shared" si="3"/>
        <v>-3.0536499652592686E-2</v>
      </c>
      <c r="E23" s="5">
        <f t="shared" si="0"/>
        <v>-9.8830684182397311E-3</v>
      </c>
      <c r="F23" s="5">
        <f t="shared" si="6"/>
        <v>0.21691370991944045</v>
      </c>
      <c r="G23" s="5">
        <f t="shared" si="1"/>
        <v>0.21502483374448461</v>
      </c>
      <c r="H23" s="5">
        <f t="shared" si="4"/>
        <v>0.4517328440010181</v>
      </c>
      <c r="I23" s="5">
        <v>0.47599999999999998</v>
      </c>
      <c r="J23" s="11">
        <f t="shared" si="5"/>
        <v>0.23670801025653351</v>
      </c>
    </row>
    <row r="24" spans="1:10" x14ac:dyDescent="0.25">
      <c r="A24" s="2">
        <v>22</v>
      </c>
      <c r="B24" s="5">
        <v>8.1274492913507856E-3</v>
      </c>
      <c r="C24" s="5">
        <f t="shared" si="2"/>
        <v>0.99016560861098679</v>
      </c>
      <c r="D24" s="5">
        <f t="shared" si="3"/>
        <v>-9.8830684182397311E-3</v>
      </c>
      <c r="E24" s="5">
        <f t="shared" si="0"/>
        <v>7.1391424495268127E-3</v>
      </c>
      <c r="F24" s="5">
        <f t="shared" si="6"/>
        <v>0.21502483374448461</v>
      </c>
      <c r="G24" s="5">
        <f t="shared" si="1"/>
        <v>0.21855417186113435</v>
      </c>
      <c r="H24" s="5">
        <f t="shared" si="4"/>
        <v>0.45914741987633267</v>
      </c>
      <c r="I24" s="5">
        <v>0.47599999999999998</v>
      </c>
      <c r="J24" s="11">
        <f t="shared" si="5"/>
        <v>0.24059324801519835</v>
      </c>
    </row>
    <row r="25" spans="1:10" x14ac:dyDescent="0.25">
      <c r="A25" s="2">
        <v>23</v>
      </c>
      <c r="B25" s="5">
        <v>-1.2837608664995059E-2</v>
      </c>
      <c r="C25" s="5">
        <f t="shared" si="2"/>
        <v>1.007164686879243</v>
      </c>
      <c r="D25" s="5">
        <f t="shared" si="3"/>
        <v>7.1391424495268127E-3</v>
      </c>
      <c r="E25" s="5">
        <f t="shared" si="0"/>
        <v>-1.2123694420042378E-2</v>
      </c>
      <c r="F25" s="5">
        <f t="shared" si="6"/>
        <v>0.21855417186113435</v>
      </c>
      <c r="G25" s="5">
        <f t="shared" si="1"/>
        <v>0.22412329222713703</v>
      </c>
      <c r="H25" s="5">
        <f t="shared" si="4"/>
        <v>0.47084725257801902</v>
      </c>
      <c r="I25" s="5">
        <v>0.47599999999999998</v>
      </c>
      <c r="J25" s="11">
        <f t="shared" si="5"/>
        <v>0.24672396035088198</v>
      </c>
    </row>
    <row r="26" spans="1:10" x14ac:dyDescent="0.25">
      <c r="A26" s="2">
        <v>24</v>
      </c>
      <c r="B26" s="5">
        <v>1.714051904855296E-2</v>
      </c>
      <c r="C26" s="5">
        <f t="shared" si="2"/>
        <v>0.98794950146303773</v>
      </c>
      <c r="D26" s="5">
        <f t="shared" si="3"/>
        <v>-1.2123694420042378E-2</v>
      </c>
      <c r="E26" s="5">
        <f t="shared" si="0"/>
        <v>1.5928149606548724E-2</v>
      </c>
      <c r="F26" s="5">
        <f t="shared" si="6"/>
        <v>0.22412329222713703</v>
      </c>
      <c r="G26" s="5">
        <f t="shared" si="1"/>
        <v>0.22263077380786439</v>
      </c>
      <c r="H26" s="5">
        <f t="shared" si="4"/>
        <v>0.46771170968038744</v>
      </c>
      <c r="I26" s="5">
        <v>0.47599999999999998</v>
      </c>
      <c r="J26" s="11">
        <f t="shared" si="5"/>
        <v>0.24508093587252305</v>
      </c>
    </row>
    <row r="27" spans="1:10" x14ac:dyDescent="0.25">
      <c r="A27" s="2">
        <v>25</v>
      </c>
      <c r="B27" s="5">
        <v>-1.2330337995081209E-2</v>
      </c>
      <c r="C27" s="5">
        <f t="shared" si="2"/>
        <v>1.0160556787830599</v>
      </c>
      <c r="D27" s="5">
        <f t="shared" si="3"/>
        <v>1.5928149606548724E-2</v>
      </c>
      <c r="E27" s="5">
        <f t="shared" si="0"/>
        <v>-1.0737523034426336E-2</v>
      </c>
      <c r="F27" s="5">
        <f t="shared" si="6"/>
        <v>0.22263077380786439</v>
      </c>
      <c r="G27" s="5">
        <f t="shared" si="1"/>
        <v>0.22820074510152466</v>
      </c>
      <c r="H27" s="5">
        <f t="shared" si="4"/>
        <v>0.47941333004521991</v>
      </c>
      <c r="I27" s="5">
        <v>0.47599999999999998</v>
      </c>
      <c r="J27" s="11">
        <f t="shared" si="5"/>
        <v>0.25121258494369525</v>
      </c>
    </row>
    <row r="28" spans="1:10" x14ac:dyDescent="0.25">
      <c r="A28" s="2">
        <v>26</v>
      </c>
      <c r="B28" s="5">
        <v>6.7499968281481415E-3</v>
      </c>
      <c r="C28" s="5">
        <f t="shared" si="2"/>
        <v>0.98931991838932942</v>
      </c>
      <c r="D28" s="5">
        <f t="shared" si="3"/>
        <v>-1.0737523034426336E-2</v>
      </c>
      <c r="E28" s="5">
        <f t="shared" si="0"/>
        <v>5.6762445247055078E-3</v>
      </c>
      <c r="F28" s="5">
        <f t="shared" si="6"/>
        <v>0.22820074510152466</v>
      </c>
      <c r="G28" s="5">
        <f t="shared" si="1"/>
        <v>0.22495841051866655</v>
      </c>
      <c r="H28" s="5">
        <f t="shared" si="4"/>
        <v>0.47260170277030789</v>
      </c>
      <c r="I28" s="5">
        <v>0.47599999999999998</v>
      </c>
      <c r="J28" s="11">
        <f t="shared" si="5"/>
        <v>0.24764329225164139</v>
      </c>
    </row>
    <row r="29" spans="1:10" x14ac:dyDescent="0.25">
      <c r="A29" s="2">
        <v>27</v>
      </c>
      <c r="B29" s="5">
        <v>7.0829628384672105E-3</v>
      </c>
      <c r="C29" s="5">
        <f t="shared" si="2"/>
        <v>1.0056923849251598</v>
      </c>
      <c r="D29" s="5">
        <f t="shared" si="3"/>
        <v>5.6762445247055078E-3</v>
      </c>
      <c r="E29" s="5">
        <f t="shared" si="0"/>
        <v>7.6505872909377612E-3</v>
      </c>
      <c r="F29" s="5">
        <f t="shared" si="6"/>
        <v>0.22495841051866655</v>
      </c>
      <c r="G29" s="5">
        <f t="shared" si="1"/>
        <v>0.2270509021193429</v>
      </c>
      <c r="H29" s="5">
        <f t="shared" si="4"/>
        <v>0.47699769352803134</v>
      </c>
      <c r="I29" s="5">
        <v>0.47599999999999998</v>
      </c>
      <c r="J29" s="11">
        <f t="shared" si="5"/>
        <v>0.24994679140868842</v>
      </c>
    </row>
    <row r="30" spans="1:10" x14ac:dyDescent="0.25">
      <c r="A30" s="2">
        <v>28</v>
      </c>
      <c r="B30" s="5">
        <v>1.2297050488996319E-2</v>
      </c>
      <c r="C30" s="5">
        <f t="shared" si="2"/>
        <v>1.0076799278102255</v>
      </c>
      <c r="D30" s="5">
        <f t="shared" si="3"/>
        <v>7.6505872909377612E-3</v>
      </c>
      <c r="E30" s="5">
        <f t="shared" si="0"/>
        <v>1.3062109218090095E-2</v>
      </c>
      <c r="F30" s="5">
        <f t="shared" si="6"/>
        <v>0.2270509021193429</v>
      </c>
      <c r="G30" s="5">
        <f t="shared" si="1"/>
        <v>0.22855523674180878</v>
      </c>
      <c r="H30" s="5">
        <f t="shared" si="4"/>
        <v>0.48015806038195125</v>
      </c>
      <c r="I30" s="5">
        <v>0.47599999999999998</v>
      </c>
      <c r="J30" s="11">
        <f t="shared" si="5"/>
        <v>0.25160282364014241</v>
      </c>
    </row>
    <row r="31" spans="1:10" x14ac:dyDescent="0.25">
      <c r="A31" s="2">
        <v>29</v>
      </c>
      <c r="B31" s="5">
        <v>-3.9881342672742903E-3</v>
      </c>
      <c r="C31" s="5">
        <f t="shared" si="2"/>
        <v>1.0131477912228355</v>
      </c>
      <c r="D31" s="5">
        <f t="shared" si="3"/>
        <v>1.3062109218090095E-2</v>
      </c>
      <c r="E31" s="5">
        <f t="shared" si="0"/>
        <v>-2.6819233454652806E-3</v>
      </c>
      <c r="F31" s="5">
        <f t="shared" si="6"/>
        <v>0.22855523674180878</v>
      </c>
      <c r="G31" s="5">
        <f t="shared" si="1"/>
        <v>0.23055542352432076</v>
      </c>
      <c r="H31" s="5">
        <f t="shared" si="4"/>
        <v>0.48436013345445544</v>
      </c>
      <c r="I31" s="5">
        <v>0.47599999999999998</v>
      </c>
      <c r="J31" s="11">
        <f t="shared" si="5"/>
        <v>0.25380470993013465</v>
      </c>
    </row>
    <row r="32" spans="1:10" x14ac:dyDescent="0.25">
      <c r="A32" s="2">
        <v>30</v>
      </c>
      <c r="B32" s="5">
        <v>-3.335144356242381E-2</v>
      </c>
      <c r="C32" s="5">
        <f t="shared" si="2"/>
        <v>0.99732166979805392</v>
      </c>
      <c r="D32" s="5">
        <f t="shared" si="3"/>
        <v>-2.6819233454652806E-3</v>
      </c>
      <c r="E32" s="5">
        <f t="shared" si="0"/>
        <v>-3.361963589697034E-2</v>
      </c>
      <c r="F32" s="5">
        <f t="shared" si="6"/>
        <v>0.23055542352432076</v>
      </c>
      <c r="G32" s="5">
        <f t="shared" si="1"/>
        <v>0.22794489991899197</v>
      </c>
      <c r="H32" s="5">
        <f t="shared" si="4"/>
        <v>0.47887584016594953</v>
      </c>
      <c r="I32" s="5">
        <v>0.47599999999999998</v>
      </c>
      <c r="J32" s="11">
        <f t="shared" si="5"/>
        <v>0.25093094024695756</v>
      </c>
    </row>
    <row r="33" spans="1:10" x14ac:dyDescent="0.25">
      <c r="A33" s="2">
        <v>31</v>
      </c>
      <c r="B33" s="5">
        <v>1.5246178008965217E-2</v>
      </c>
      <c r="C33" s="5">
        <f t="shared" si="2"/>
        <v>0.96693922367000873</v>
      </c>
      <c r="D33" s="5">
        <f t="shared" si="3"/>
        <v>-3.361963589697034E-2</v>
      </c>
      <c r="E33" s="5">
        <f t="shared" si="0"/>
        <v>1.1884214419268183E-2</v>
      </c>
      <c r="F33" s="5">
        <f t="shared" si="6"/>
        <v>0.22794489991899197</v>
      </c>
      <c r="G33" s="5">
        <f t="shared" si="1"/>
        <v>0.21974604643447815</v>
      </c>
      <c r="H33" s="5">
        <f t="shared" si="4"/>
        <v>0.46165135805562635</v>
      </c>
      <c r="I33" s="5">
        <v>0.47599999999999998</v>
      </c>
      <c r="J33" s="11">
        <f t="shared" si="5"/>
        <v>0.24190531162114823</v>
      </c>
    </row>
    <row r="34" spans="1:10" x14ac:dyDescent="0.25">
      <c r="A34" s="2">
        <v>32</v>
      </c>
      <c r="B34" s="5">
        <v>-2.0525658328551799E-2</v>
      </c>
      <c r="C34" s="5">
        <f t="shared" si="2"/>
        <v>1.0119551122721797</v>
      </c>
      <c r="D34" s="5">
        <f t="shared" si="3"/>
        <v>1.1884214419268183E-2</v>
      </c>
      <c r="E34" s="5">
        <f t="shared" ref="E34:E65" si="7">$M$3*D34+B34</f>
        <v>-1.9337236886624982E-2</v>
      </c>
      <c r="F34" s="5">
        <f t="shared" si="6"/>
        <v>0.21974604643447815</v>
      </c>
      <c r="G34" s="5">
        <f t="shared" ref="G34:G65" si="8">F35</f>
        <v>0.22580249511447095</v>
      </c>
      <c r="H34" s="5">
        <f t="shared" si="4"/>
        <v>0.4743749897362835</v>
      </c>
      <c r="I34" s="5">
        <v>0.47599999999999998</v>
      </c>
      <c r="J34" s="11">
        <f t="shared" si="5"/>
        <v>0.24857249462181258</v>
      </c>
    </row>
    <row r="35" spans="1:10" x14ac:dyDescent="0.25">
      <c r="A35" s="2">
        <v>33</v>
      </c>
      <c r="B35" s="5">
        <v>8.2522319644340314E-3</v>
      </c>
      <c r="C35" s="5">
        <f t="shared" ref="C35:C66" si="9">EXP(D35)</f>
        <v>0.98084852815732648</v>
      </c>
      <c r="D35" s="5">
        <f t="shared" ref="D35:D66" si="10">E34</f>
        <v>-1.9337236886624982E-2</v>
      </c>
      <c r="E35" s="5">
        <f t="shared" si="7"/>
        <v>6.3185082757715328E-3</v>
      </c>
      <c r="F35" s="5">
        <f t="shared" si="6"/>
        <v>0.22580249511447095</v>
      </c>
      <c r="G35" s="5">
        <f t="shared" si="8"/>
        <v>0.22185706623697141</v>
      </c>
      <c r="H35" s="5">
        <f t="shared" si="4"/>
        <v>0.46608627360708282</v>
      </c>
      <c r="I35" s="5">
        <v>0.47599999999999998</v>
      </c>
      <c r="J35" s="11">
        <f t="shared" si="5"/>
        <v>0.24422920737011139</v>
      </c>
    </row>
    <row r="36" spans="1:10" x14ac:dyDescent="0.25">
      <c r="A36" s="2">
        <v>34</v>
      </c>
      <c r="B36" s="5">
        <v>1.4436159290198702E-2</v>
      </c>
      <c r="C36" s="5">
        <f t="shared" si="9"/>
        <v>1.00633851215856</v>
      </c>
      <c r="D36" s="5">
        <f t="shared" si="10"/>
        <v>6.3185082757715328E-3</v>
      </c>
      <c r="E36" s="5">
        <f t="shared" si="7"/>
        <v>1.5068010117775855E-2</v>
      </c>
      <c r="F36" s="5">
        <f t="shared" si="6"/>
        <v>0.22185706623697141</v>
      </c>
      <c r="G36" s="5">
        <f t="shared" si="8"/>
        <v>0.22562523877828813</v>
      </c>
      <c r="H36" s="5">
        <f t="shared" si="4"/>
        <v>0.47400260247539522</v>
      </c>
      <c r="I36" s="5">
        <v>0.47599999999999998</v>
      </c>
      <c r="J36" s="11">
        <f t="shared" si="5"/>
        <v>0.24837736369710711</v>
      </c>
    </row>
    <row r="37" spans="1:10" x14ac:dyDescent="0.25">
      <c r="A37" s="2">
        <v>35</v>
      </c>
      <c r="B37" s="5">
        <v>-9.4969436759129167E-4</v>
      </c>
      <c r="C37" s="5">
        <f t="shared" si="9"/>
        <v>1.0151821049224923</v>
      </c>
      <c r="D37" s="5">
        <f t="shared" si="10"/>
        <v>1.5068010117775855E-2</v>
      </c>
      <c r="E37" s="5">
        <f t="shared" si="7"/>
        <v>5.5710664418629386E-4</v>
      </c>
      <c r="F37" s="5">
        <f t="shared" si="6"/>
        <v>0.22562523877828813</v>
      </c>
      <c r="G37" s="5">
        <f t="shared" si="8"/>
        <v>0.22953279537982746</v>
      </c>
      <c r="H37" s="5">
        <f t="shared" si="4"/>
        <v>0.48221175499963753</v>
      </c>
      <c r="I37" s="5">
        <v>0.47599999999999998</v>
      </c>
      <c r="J37" s="11">
        <f t="shared" si="5"/>
        <v>0.25267895961981013</v>
      </c>
    </row>
    <row r="38" spans="1:10" x14ac:dyDescent="0.25">
      <c r="A38" s="2">
        <v>36</v>
      </c>
      <c r="B38" s="5">
        <v>-7.6834112405776978E-2</v>
      </c>
      <c r="C38" s="5">
        <f t="shared" si="9"/>
        <v>1.0005572618569147</v>
      </c>
      <c r="D38" s="5">
        <f t="shared" si="10"/>
        <v>5.5710664418629386E-4</v>
      </c>
      <c r="E38" s="5">
        <f t="shared" si="7"/>
        <v>-7.6778401741358346E-2</v>
      </c>
      <c r="F38" s="5">
        <f t="shared" si="6"/>
        <v>0.22953279537982746</v>
      </c>
      <c r="G38" s="5">
        <f t="shared" si="8"/>
        <v>0.22817668901614802</v>
      </c>
      <c r="H38" s="5">
        <f t="shared" si="4"/>
        <v>0.47936279205073112</v>
      </c>
      <c r="I38" s="5">
        <v>0.47599999999999998</v>
      </c>
      <c r="J38" s="11">
        <f t="shared" si="5"/>
        <v>0.25118610303458311</v>
      </c>
    </row>
    <row r="39" spans="1:10" x14ac:dyDescent="0.25">
      <c r="A39" s="2">
        <v>37</v>
      </c>
      <c r="B39" s="5">
        <v>8.3389295468805358E-3</v>
      </c>
      <c r="C39" s="5">
        <f t="shared" si="9"/>
        <v>0.9260950519207034</v>
      </c>
      <c r="D39" s="5">
        <f t="shared" si="10"/>
        <v>-7.6778401741358346E-2</v>
      </c>
      <c r="E39" s="5">
        <f t="shared" si="7"/>
        <v>6.6108937274470068E-4</v>
      </c>
      <c r="F39" s="5">
        <f t="shared" si="6"/>
        <v>0.22817668901614802</v>
      </c>
      <c r="G39" s="5">
        <f t="shared" si="8"/>
        <v>0.21057080309831158</v>
      </c>
      <c r="H39" s="5">
        <f t="shared" si="4"/>
        <v>0.44237563676115876</v>
      </c>
      <c r="I39" s="5">
        <v>0.47599999999999998</v>
      </c>
      <c r="J39" s="11">
        <f t="shared" si="5"/>
        <v>0.23180483366284718</v>
      </c>
    </row>
    <row r="40" spans="1:10" x14ac:dyDescent="0.25">
      <c r="A40" s="2">
        <v>38</v>
      </c>
      <c r="B40" s="5">
        <v>2.1136247596587054E-2</v>
      </c>
      <c r="C40" s="5">
        <f t="shared" si="9"/>
        <v>1.0006613079404858</v>
      </c>
      <c r="D40" s="5">
        <f t="shared" si="10"/>
        <v>6.6108937274470068E-4</v>
      </c>
      <c r="E40" s="5">
        <f t="shared" si="7"/>
        <v>2.1202356533861523E-2</v>
      </c>
      <c r="F40" s="5">
        <f t="shared" si="6"/>
        <v>0.21057080309831158</v>
      </c>
      <c r="G40" s="5">
        <f t="shared" si="8"/>
        <v>0.21857130080473017</v>
      </c>
      <c r="H40" s="5">
        <f t="shared" si="4"/>
        <v>0.45918340505195415</v>
      </c>
      <c r="I40" s="5">
        <v>0.47599999999999998</v>
      </c>
      <c r="J40" s="11">
        <f t="shared" si="5"/>
        <v>0.24061210424722401</v>
      </c>
    </row>
    <row r="41" spans="1:10" x14ac:dyDescent="0.25">
      <c r="A41" s="2">
        <v>39</v>
      </c>
      <c r="B41" s="5">
        <v>1.2986470210307743E-2</v>
      </c>
      <c r="C41" s="5">
        <f t="shared" si="9"/>
        <v>1.0214287235021968</v>
      </c>
      <c r="D41" s="5">
        <f t="shared" si="10"/>
        <v>2.1202356533861523E-2</v>
      </c>
      <c r="E41" s="5">
        <f t="shared" si="7"/>
        <v>1.5106705863693896E-2</v>
      </c>
      <c r="F41" s="5">
        <f t="shared" si="6"/>
        <v>0.21857130080473017</v>
      </c>
      <c r="G41" s="5">
        <f t="shared" si="8"/>
        <v>0.22730636012583244</v>
      </c>
      <c r="H41" s="5">
        <f t="shared" si="4"/>
        <v>0.47753437001225302</v>
      </c>
      <c r="I41" s="5">
        <v>0.47599999999999998</v>
      </c>
      <c r="J41" s="11">
        <f t="shared" si="5"/>
        <v>0.25022800988642063</v>
      </c>
    </row>
    <row r="42" spans="1:10" x14ac:dyDescent="0.25">
      <c r="A42" s="2">
        <v>40</v>
      </c>
      <c r="B42" s="5">
        <v>-1.8115224520443007E-2</v>
      </c>
      <c r="C42" s="5">
        <f t="shared" si="9"/>
        <v>1.0152213889113417</v>
      </c>
      <c r="D42" s="5">
        <f t="shared" si="10"/>
        <v>1.5106705863693896E-2</v>
      </c>
      <c r="E42" s="5">
        <f t="shared" si="7"/>
        <v>-1.6604553934073618E-2</v>
      </c>
      <c r="F42" s="5">
        <f t="shared" si="6"/>
        <v>0.22730636012583244</v>
      </c>
      <c r="G42" s="5">
        <f t="shared" si="8"/>
        <v>0.2303952417393508</v>
      </c>
      <c r="H42" s="5">
        <f t="shared" si="4"/>
        <v>0.4840236170994765</v>
      </c>
      <c r="I42" s="5">
        <v>0.47599999999999998</v>
      </c>
      <c r="J42" s="11">
        <f t="shared" si="5"/>
        <v>0.25362837536012572</v>
      </c>
    </row>
    <row r="43" spans="1:10" x14ac:dyDescent="0.25">
      <c r="A43" s="2">
        <v>41</v>
      </c>
      <c r="B43" s="5">
        <v>2.4764631234575063E-3</v>
      </c>
      <c r="C43" s="5">
        <f t="shared" si="9"/>
        <v>0.98353254181819316</v>
      </c>
      <c r="D43" s="5">
        <f t="shared" si="10"/>
        <v>-1.6604553934073618E-2</v>
      </c>
      <c r="E43" s="5">
        <f t="shared" si="7"/>
        <v>8.1600773005014436E-4</v>
      </c>
      <c r="F43" s="5">
        <f t="shared" si="6"/>
        <v>0.2303952417393508</v>
      </c>
      <c r="G43" s="5">
        <f t="shared" si="8"/>
        <v>0.22471519469014536</v>
      </c>
      <c r="H43" s="5">
        <f t="shared" si="4"/>
        <v>0.47209074514736421</v>
      </c>
      <c r="I43" s="5">
        <v>0.47599999999999998</v>
      </c>
      <c r="J43" s="11">
        <f t="shared" si="5"/>
        <v>0.24737555045721887</v>
      </c>
    </row>
    <row r="44" spans="1:10" x14ac:dyDescent="0.25">
      <c r="A44" s="2">
        <v>42</v>
      </c>
      <c r="B44" s="5">
        <v>2.5228291633538902E-2</v>
      </c>
      <c r="C44" s="5">
        <f t="shared" si="9"/>
        <v>1.0008163407549353</v>
      </c>
      <c r="D44" s="5">
        <f t="shared" si="10"/>
        <v>8.1600773005014436E-4</v>
      </c>
      <c r="E44" s="5">
        <f t="shared" si="7"/>
        <v>2.5309892406543917E-2</v>
      </c>
      <c r="F44" s="5">
        <f t="shared" si="6"/>
        <v>0.22471519469014536</v>
      </c>
      <c r="G44" s="5">
        <f t="shared" si="8"/>
        <v>0.22582788130747758</v>
      </c>
      <c r="H44" s="5">
        <f t="shared" si="4"/>
        <v>0.47442832207453273</v>
      </c>
      <c r="I44" s="5">
        <v>0.47599999999999998</v>
      </c>
      <c r="J44" s="11">
        <f t="shared" si="5"/>
        <v>0.24860044076705515</v>
      </c>
    </row>
    <row r="45" spans="1:10" x14ac:dyDescent="0.25">
      <c r="A45" s="2">
        <v>43</v>
      </c>
      <c r="B45" s="5">
        <v>-1.3297494660946541E-3</v>
      </c>
      <c r="C45" s="5">
        <f t="shared" si="9"/>
        <v>1.025632907131879</v>
      </c>
      <c r="D45" s="5">
        <f t="shared" si="10"/>
        <v>2.5309892406543917E-2</v>
      </c>
      <c r="E45" s="5">
        <f t="shared" si="7"/>
        <v>1.2012397745597377E-3</v>
      </c>
      <c r="F45" s="5">
        <f t="shared" si="6"/>
        <v>0.22582788130747758</v>
      </c>
      <c r="G45" s="5">
        <f t="shared" si="8"/>
        <v>0.23199983678151401</v>
      </c>
      <c r="H45" s="5">
        <f t="shared" si="4"/>
        <v>0.48739461508721432</v>
      </c>
      <c r="I45" s="5">
        <v>0.47599999999999998</v>
      </c>
      <c r="J45" s="11">
        <f t="shared" si="5"/>
        <v>0.25539477830570034</v>
      </c>
    </row>
    <row r="46" spans="1:10" x14ac:dyDescent="0.25">
      <c r="A46" s="2">
        <v>44</v>
      </c>
      <c r="B46" s="5">
        <v>2.7462192520033568E-4</v>
      </c>
      <c r="C46" s="5">
        <f t="shared" si="9"/>
        <v>1.001201961552038</v>
      </c>
      <c r="D46" s="5">
        <f t="shared" si="10"/>
        <v>1.2012397745597377E-3</v>
      </c>
      <c r="E46" s="5">
        <f t="shared" si="7"/>
        <v>3.9474590265630946E-4</v>
      </c>
      <c r="F46" s="5">
        <f t="shared" si="6"/>
        <v>0.23199983678151401</v>
      </c>
      <c r="G46" s="5">
        <f t="shared" si="8"/>
        <v>0.22954745611545446</v>
      </c>
      <c r="H46" s="5">
        <f t="shared" si="4"/>
        <v>0.48224255486440015</v>
      </c>
      <c r="I46" s="5">
        <v>0.47599999999999998</v>
      </c>
      <c r="J46" s="11">
        <f t="shared" si="5"/>
        <v>0.25269509874894569</v>
      </c>
    </row>
    <row r="47" spans="1:10" x14ac:dyDescent="0.25">
      <c r="A47" s="2">
        <v>45</v>
      </c>
      <c r="B47" s="5">
        <v>1.4370743883773685E-2</v>
      </c>
      <c r="C47" s="5">
        <f t="shared" si="9"/>
        <v>1.0003948238250731</v>
      </c>
      <c r="D47" s="5">
        <f t="shared" si="10"/>
        <v>3.9474590265630946E-4</v>
      </c>
      <c r="E47" s="5">
        <f t="shared" si="7"/>
        <v>1.4410218474039315E-2</v>
      </c>
      <c r="F47" s="5">
        <f t="shared" si="6"/>
        <v>0.22954745611545446</v>
      </c>
      <c r="G47" s="5">
        <f t="shared" si="8"/>
        <v>0.22814693084681789</v>
      </c>
      <c r="H47" s="5">
        <f t="shared" si="4"/>
        <v>0.47930027488827293</v>
      </c>
      <c r="I47" s="5">
        <v>0.47599999999999998</v>
      </c>
      <c r="J47" s="11">
        <f t="shared" si="5"/>
        <v>0.25115334404145501</v>
      </c>
    </row>
    <row r="48" spans="1:10" x14ac:dyDescent="0.25">
      <c r="A48" s="2">
        <v>46</v>
      </c>
      <c r="B48" s="5">
        <v>-3.1136551115196198E-4</v>
      </c>
      <c r="C48" s="5">
        <f t="shared" si="9"/>
        <v>1.0145145461983491</v>
      </c>
      <c r="D48" s="5">
        <f t="shared" si="10"/>
        <v>1.4410218474039315E-2</v>
      </c>
      <c r="E48" s="5">
        <f t="shared" si="7"/>
        <v>1.1296563362519696E-3</v>
      </c>
      <c r="F48" s="5">
        <f t="shared" si="6"/>
        <v>0.22814693084681789</v>
      </c>
      <c r="G48" s="5">
        <f t="shared" si="8"/>
        <v>0.2306601374466658</v>
      </c>
      <c r="H48" s="5">
        <f t="shared" si="4"/>
        <v>0.48458012068627271</v>
      </c>
      <c r="I48" s="5">
        <v>0.47599999999999998</v>
      </c>
      <c r="J48" s="11">
        <f t="shared" si="5"/>
        <v>0.25391998323960691</v>
      </c>
    </row>
    <row r="49" spans="1:10" x14ac:dyDescent="0.25">
      <c r="A49" s="2">
        <v>47</v>
      </c>
      <c r="B49" s="5">
        <v>4.3164391172467731E-3</v>
      </c>
      <c r="C49" s="5">
        <f t="shared" si="9"/>
        <v>1.0011302946383023</v>
      </c>
      <c r="D49" s="5">
        <f t="shared" si="10"/>
        <v>1.1296563362519696E-3</v>
      </c>
      <c r="E49" s="5">
        <f t="shared" si="7"/>
        <v>4.4294047508719701E-3</v>
      </c>
      <c r="F49" s="5">
        <f t="shared" si="6"/>
        <v>0.2306601374466658</v>
      </c>
      <c r="G49" s="5">
        <f t="shared" si="8"/>
        <v>0.22886734389833971</v>
      </c>
      <c r="H49" s="5">
        <f t="shared" si="4"/>
        <v>0.48081374768558766</v>
      </c>
      <c r="I49" s="5">
        <v>0.47599999999999998</v>
      </c>
      <c r="J49" s="11">
        <f t="shared" si="5"/>
        <v>0.25194640378724792</v>
      </c>
    </row>
    <row r="50" spans="1:10" x14ac:dyDescent="0.25">
      <c r="A50" s="2">
        <v>48</v>
      </c>
      <c r="B50" s="5">
        <v>3.8540065361303277E-3</v>
      </c>
      <c r="C50" s="5">
        <f t="shared" si="9"/>
        <v>1.0044392290640263</v>
      </c>
      <c r="D50" s="5">
        <f t="shared" si="10"/>
        <v>4.4294047508719701E-3</v>
      </c>
      <c r="E50" s="5">
        <f t="shared" si="7"/>
        <v>4.2969470112175249E-3</v>
      </c>
      <c r="F50" s="5">
        <f t="shared" si="6"/>
        <v>0.22886734389833971</v>
      </c>
      <c r="G50" s="5">
        <f t="shared" si="8"/>
        <v>0.22872968585345108</v>
      </c>
      <c r="H50" s="5">
        <f t="shared" si="4"/>
        <v>0.48052455011229223</v>
      </c>
      <c r="I50" s="5">
        <v>0.47599999999999998</v>
      </c>
      <c r="J50" s="11">
        <f t="shared" si="5"/>
        <v>0.25179486425884112</v>
      </c>
    </row>
    <row r="51" spans="1:10" x14ac:dyDescent="0.25">
      <c r="A51" s="2">
        <v>49</v>
      </c>
      <c r="B51" s="5">
        <v>3.8701546145603061E-2</v>
      </c>
      <c r="C51" s="5">
        <f t="shared" si="9"/>
        <v>1.0043061921252048</v>
      </c>
      <c r="D51" s="5">
        <f t="shared" si="10"/>
        <v>4.2969470112175249E-3</v>
      </c>
      <c r="E51" s="5">
        <f t="shared" si="7"/>
        <v>3.9131240846724813E-2</v>
      </c>
      <c r="F51" s="5">
        <f t="shared" si="6"/>
        <v>0.22872968585345108</v>
      </c>
      <c r="G51" s="5">
        <f t="shared" si="8"/>
        <v>0.22863060198482429</v>
      </c>
      <c r="H51" s="5">
        <f t="shared" si="4"/>
        <v>0.48031639072442078</v>
      </c>
      <c r="I51" s="5">
        <v>0.47599999999999998</v>
      </c>
      <c r="J51" s="11">
        <f t="shared" si="5"/>
        <v>0.25168578873959652</v>
      </c>
    </row>
    <row r="52" spans="1:10" x14ac:dyDescent="0.25">
      <c r="A52" s="2">
        <v>50</v>
      </c>
      <c r="B52" s="5">
        <v>8.7832859207992442E-3</v>
      </c>
      <c r="C52" s="5">
        <f t="shared" si="9"/>
        <v>1.0399069529638099</v>
      </c>
      <c r="D52" s="5">
        <f t="shared" si="10"/>
        <v>3.9131240846724813E-2</v>
      </c>
      <c r="E52" s="5">
        <f t="shared" si="7"/>
        <v>1.2696410005471725E-2</v>
      </c>
      <c r="F52" s="5">
        <f t="shared" si="6"/>
        <v>0.22863060198482429</v>
      </c>
      <c r="G52" s="5">
        <f t="shared" si="8"/>
        <v>0.2366838442953198</v>
      </c>
      <c r="H52" s="5">
        <f t="shared" si="4"/>
        <v>0.49723496700697434</v>
      </c>
      <c r="I52" s="5">
        <v>0.47599999999999998</v>
      </c>
      <c r="J52" s="11">
        <f t="shared" si="5"/>
        <v>0.26055112271165459</v>
      </c>
    </row>
    <row r="53" spans="1:10" x14ac:dyDescent="0.25">
      <c r="A53" s="2">
        <v>51</v>
      </c>
      <c r="B53" s="5">
        <v>-3.7480731407413259E-3</v>
      </c>
      <c r="C53" s="5">
        <f t="shared" si="9"/>
        <v>1.0127773516121847</v>
      </c>
      <c r="D53" s="5">
        <f t="shared" si="10"/>
        <v>1.2696410005471725E-2</v>
      </c>
      <c r="E53" s="5">
        <f t="shared" si="7"/>
        <v>-2.4784321401941532E-3</v>
      </c>
      <c r="F53" s="5">
        <f t="shared" si="6"/>
        <v>0.2366838442953198</v>
      </c>
      <c r="G53" s="5">
        <f t="shared" si="8"/>
        <v>0.2345336923295504</v>
      </c>
      <c r="H53" s="5">
        <f t="shared" si="4"/>
        <v>0.49271784102846722</v>
      </c>
      <c r="I53" s="5">
        <v>0.47599999999999998</v>
      </c>
      <c r="J53" s="11">
        <f t="shared" si="5"/>
        <v>0.25818414869891682</v>
      </c>
    </row>
    <row r="54" spans="1:10" x14ac:dyDescent="0.25">
      <c r="A54" s="2">
        <v>52</v>
      </c>
      <c r="B54" s="5">
        <v>5.1677943702088669E-3</v>
      </c>
      <c r="C54" s="5">
        <f t="shared" si="9"/>
        <v>0.99752463663696711</v>
      </c>
      <c r="D54" s="5">
        <f t="shared" si="10"/>
        <v>-2.4784321401941532E-3</v>
      </c>
      <c r="E54" s="5">
        <f t="shared" si="7"/>
        <v>4.9199511561894517E-3</v>
      </c>
      <c r="F54" s="5">
        <f t="shared" si="6"/>
        <v>0.2345336923295504</v>
      </c>
      <c r="G54" s="5">
        <f t="shared" si="8"/>
        <v>0.22994988871638003</v>
      </c>
      <c r="H54" s="5">
        <f t="shared" si="4"/>
        <v>0.48308800150500009</v>
      </c>
      <c r="I54" s="5">
        <v>0.47599999999999998</v>
      </c>
      <c r="J54" s="11">
        <f t="shared" si="5"/>
        <v>0.25313811278862003</v>
      </c>
    </row>
    <row r="55" spans="1:10" x14ac:dyDescent="0.25">
      <c r="A55" s="2">
        <v>53</v>
      </c>
      <c r="B55" s="5">
        <v>-1.0100416147906799E-2</v>
      </c>
      <c r="C55" s="5">
        <f t="shared" si="9"/>
        <v>1.0049320739889736</v>
      </c>
      <c r="D55" s="5">
        <f t="shared" si="10"/>
        <v>4.9199511561894517E-3</v>
      </c>
      <c r="E55" s="5">
        <f t="shared" si="7"/>
        <v>-9.6084210322878536E-3</v>
      </c>
      <c r="F55" s="5">
        <f t="shared" si="6"/>
        <v>0.22994988871638003</v>
      </c>
      <c r="G55" s="5">
        <f t="shared" si="8"/>
        <v>0.22938248969934219</v>
      </c>
      <c r="H55" s="5">
        <f t="shared" si="4"/>
        <v>0.48189598676332396</v>
      </c>
      <c r="I55" s="5">
        <v>0.47599999999999998</v>
      </c>
      <c r="J55" s="11">
        <f t="shared" si="5"/>
        <v>0.25251349706398174</v>
      </c>
    </row>
    <row r="56" spans="1:10" x14ac:dyDescent="0.25">
      <c r="A56" s="2">
        <v>54</v>
      </c>
      <c r="B56" s="5">
        <v>-1.0867506716749631E-2</v>
      </c>
      <c r="C56" s="5">
        <f t="shared" si="9"/>
        <v>0.99043759235515372</v>
      </c>
      <c r="D56" s="5">
        <f t="shared" si="10"/>
        <v>-9.6084210322878536E-3</v>
      </c>
      <c r="E56" s="5">
        <f t="shared" si="7"/>
        <v>-1.1828348819978416E-2</v>
      </c>
      <c r="F56" s="5">
        <f t="shared" si="6"/>
        <v>0.22938248969934219</v>
      </c>
      <c r="G56" s="5">
        <f t="shared" si="8"/>
        <v>0.22579493704507814</v>
      </c>
      <c r="H56" s="5">
        <f t="shared" si="4"/>
        <v>0.47435911143923981</v>
      </c>
      <c r="I56" s="5">
        <v>0.47599999999999998</v>
      </c>
      <c r="J56" s="11">
        <f t="shared" si="5"/>
        <v>0.24856417439416167</v>
      </c>
    </row>
    <row r="57" spans="1:10" x14ac:dyDescent="0.25">
      <c r="A57" s="2">
        <v>55</v>
      </c>
      <c r="B57" s="5">
        <v>-2.3176471586339176E-2</v>
      </c>
      <c r="C57" s="5">
        <f t="shared" si="9"/>
        <v>0.9882413310945577</v>
      </c>
      <c r="D57" s="5">
        <f t="shared" si="10"/>
        <v>-1.1828348819978416E-2</v>
      </c>
      <c r="E57" s="5">
        <f t="shared" si="7"/>
        <v>-2.4359306468337019E-2</v>
      </c>
      <c r="F57" s="5">
        <f t="shared" si="6"/>
        <v>0.22579493704507814</v>
      </c>
      <c r="G57" s="5">
        <f t="shared" si="8"/>
        <v>0.22352549530557425</v>
      </c>
      <c r="H57" s="5">
        <f t="shared" si="4"/>
        <v>0.46959137669238288</v>
      </c>
      <c r="I57" s="5">
        <v>0.47599999999999998</v>
      </c>
      <c r="J57" s="11">
        <f t="shared" si="5"/>
        <v>0.24606588138680863</v>
      </c>
    </row>
    <row r="58" spans="1:10" x14ac:dyDescent="0.25">
      <c r="A58" s="2">
        <v>56</v>
      </c>
      <c r="B58" s="5">
        <v>-7.7818640420446172E-4</v>
      </c>
      <c r="C58" s="5">
        <f t="shared" si="9"/>
        <v>0.97593498699969938</v>
      </c>
      <c r="D58" s="5">
        <f t="shared" si="10"/>
        <v>-2.4359306468337019E-2</v>
      </c>
      <c r="E58" s="5">
        <f t="shared" si="7"/>
        <v>-3.214117051038164E-3</v>
      </c>
      <c r="F58" s="5">
        <f t="shared" si="6"/>
        <v>0.22352549530557425</v>
      </c>
      <c r="G58" s="5">
        <f t="shared" si="8"/>
        <v>0.21962985420900596</v>
      </c>
      <c r="H58" s="5">
        <f t="shared" si="4"/>
        <v>0.46140725674160915</v>
      </c>
      <c r="I58" s="5">
        <v>0.47599999999999998</v>
      </c>
      <c r="J58" s="11">
        <f t="shared" si="5"/>
        <v>0.24177740253260324</v>
      </c>
    </row>
    <row r="59" spans="1:10" x14ac:dyDescent="0.25">
      <c r="A59" s="2">
        <v>57</v>
      </c>
      <c r="B59" s="5">
        <v>9.8129476100439206E-3</v>
      </c>
      <c r="C59" s="5">
        <f t="shared" si="9"/>
        <v>0.99679104269368257</v>
      </c>
      <c r="D59" s="5">
        <f t="shared" si="10"/>
        <v>-3.214117051038164E-3</v>
      </c>
      <c r="E59" s="5">
        <f t="shared" si="7"/>
        <v>9.4915359049401044E-3</v>
      </c>
      <c r="F59" s="5">
        <f t="shared" si="6"/>
        <v>0.21962985420900596</v>
      </c>
      <c r="G59" s="5">
        <f t="shared" si="8"/>
        <v>0.22236005155770724</v>
      </c>
      <c r="H59" s="5">
        <f t="shared" si="4"/>
        <v>0.46714296545736822</v>
      </c>
      <c r="I59" s="5">
        <v>0.47599999999999998</v>
      </c>
      <c r="J59" s="11">
        <f t="shared" si="5"/>
        <v>0.24478291389966095</v>
      </c>
    </row>
    <row r="60" spans="1:10" x14ac:dyDescent="0.25">
      <c r="A60" s="2">
        <v>58</v>
      </c>
      <c r="B60" s="5">
        <v>-1.7021557141561061E-2</v>
      </c>
      <c r="C60" s="5">
        <f t="shared" si="9"/>
        <v>1.0095367233849015</v>
      </c>
      <c r="D60" s="5">
        <f t="shared" si="10"/>
        <v>9.4915359049401044E-3</v>
      </c>
      <c r="E60" s="5">
        <f t="shared" si="7"/>
        <v>-1.6072403551067052E-2</v>
      </c>
      <c r="F60" s="5">
        <f t="shared" si="6"/>
        <v>0.22236005155770724</v>
      </c>
      <c r="G60" s="5">
        <f t="shared" si="8"/>
        <v>0.22659872266551145</v>
      </c>
      <c r="H60" s="5">
        <f t="shared" si="4"/>
        <v>0.47604773669225098</v>
      </c>
      <c r="I60" s="5">
        <v>0.47599999999999998</v>
      </c>
      <c r="J60" s="11">
        <f t="shared" si="5"/>
        <v>0.24944901402673952</v>
      </c>
    </row>
    <row r="61" spans="1:10" x14ac:dyDescent="0.25">
      <c r="A61" s="2">
        <v>59</v>
      </c>
      <c r="B61" s="5">
        <v>2.1886535250814632E-2</v>
      </c>
      <c r="C61" s="5">
        <f t="shared" si="9"/>
        <v>0.98405606832208137</v>
      </c>
      <c r="D61" s="5">
        <f t="shared" si="10"/>
        <v>-1.6072403551067052E-2</v>
      </c>
      <c r="E61" s="5">
        <f t="shared" si="7"/>
        <v>2.0279294895707928E-2</v>
      </c>
      <c r="F61" s="5">
        <f t="shared" si="6"/>
        <v>0.22659872266551145</v>
      </c>
      <c r="G61" s="5">
        <f t="shared" si="8"/>
        <v>0.22297466764429311</v>
      </c>
      <c r="H61" s="5">
        <f t="shared" si="4"/>
        <v>0.46843417572330481</v>
      </c>
      <c r="I61" s="5">
        <v>0.47599999999999998</v>
      </c>
      <c r="J61" s="11">
        <f t="shared" si="5"/>
        <v>0.24545950807901173</v>
      </c>
    </row>
    <row r="62" spans="1:10" x14ac:dyDescent="0.25">
      <c r="A62" s="2">
        <v>60</v>
      </c>
      <c r="B62" s="5">
        <v>-2.318843144166749E-2</v>
      </c>
      <c r="C62" s="5">
        <f t="shared" si="9"/>
        <v>1.0204863168480529</v>
      </c>
      <c r="D62" s="5">
        <f t="shared" si="10"/>
        <v>2.0279294895707928E-2</v>
      </c>
      <c r="E62" s="5">
        <f t="shared" si="7"/>
        <v>-2.1160501952096698E-2</v>
      </c>
      <c r="F62" s="5">
        <f t="shared" si="6"/>
        <v>0.22297466764429311</v>
      </c>
      <c r="G62" s="5">
        <f t="shared" si="8"/>
        <v>0.22937279212190145</v>
      </c>
      <c r="H62" s="5">
        <f t="shared" si="4"/>
        <v>0.48187561370147364</v>
      </c>
      <c r="I62" s="5">
        <v>0.47599999999999998</v>
      </c>
      <c r="J62" s="11">
        <f t="shared" si="5"/>
        <v>0.25250282157957221</v>
      </c>
    </row>
    <row r="63" spans="1:10" x14ac:dyDescent="0.25">
      <c r="A63" s="2">
        <v>61</v>
      </c>
      <c r="B63" s="5">
        <v>2.9706143322982825E-3</v>
      </c>
      <c r="C63" s="5">
        <f t="shared" si="9"/>
        <v>0.97906181062621078</v>
      </c>
      <c r="D63" s="5">
        <f t="shared" si="10"/>
        <v>-2.1160501952096698E-2</v>
      </c>
      <c r="E63" s="5">
        <f t="shared" si="7"/>
        <v>8.5456413708861253E-4</v>
      </c>
      <c r="F63" s="5">
        <f t="shared" si="6"/>
        <v>0.22937279212190145</v>
      </c>
      <c r="G63" s="5">
        <f t="shared" si="8"/>
        <v>0.22319682586167999</v>
      </c>
      <c r="H63" s="5">
        <f t="shared" si="4"/>
        <v>0.46890089466739493</v>
      </c>
      <c r="I63" s="5">
        <v>0.47599999999999998</v>
      </c>
      <c r="J63" s="11">
        <f t="shared" si="5"/>
        <v>0.24570406880571496</v>
      </c>
    </row>
    <row r="64" spans="1:10" x14ac:dyDescent="0.25">
      <c r="A64" s="2">
        <v>62</v>
      </c>
      <c r="B64" s="5">
        <v>-2.1634878066834062E-2</v>
      </c>
      <c r="C64" s="5">
        <f t="shared" si="9"/>
        <v>1.0008549293810549</v>
      </c>
      <c r="D64" s="5">
        <f t="shared" si="10"/>
        <v>8.5456413708861253E-4</v>
      </c>
      <c r="E64" s="5">
        <f t="shared" si="7"/>
        <v>-2.1549421653125202E-2</v>
      </c>
      <c r="F64" s="5">
        <f t="shared" si="6"/>
        <v>0.22319682586167999</v>
      </c>
      <c r="G64" s="5">
        <f t="shared" si="8"/>
        <v>0.22507232242492051</v>
      </c>
      <c r="H64" s="5">
        <f t="shared" si="4"/>
        <v>0.47284101349773217</v>
      </c>
      <c r="I64" s="5">
        <v>0.47599999999999998</v>
      </c>
      <c r="J64" s="11">
        <f t="shared" si="5"/>
        <v>0.24776869107281166</v>
      </c>
    </row>
    <row r="65" spans="1:10" x14ac:dyDescent="0.25">
      <c r="A65" s="2">
        <v>63</v>
      </c>
      <c r="B65" s="5">
        <v>6.267646313062869E-3</v>
      </c>
      <c r="C65" s="5">
        <f t="shared" si="9"/>
        <v>0.97868110823566223</v>
      </c>
      <c r="D65" s="5">
        <f t="shared" si="10"/>
        <v>-2.1549421653125202E-2</v>
      </c>
      <c r="E65" s="5">
        <f t="shared" si="7"/>
        <v>4.1127041477503484E-3</v>
      </c>
      <c r="F65" s="5">
        <f t="shared" si="6"/>
        <v>0.22507232242492051</v>
      </c>
      <c r="G65" s="5">
        <f t="shared" si="8"/>
        <v>0.22100861548767078</v>
      </c>
      <c r="H65" s="5">
        <f t="shared" si="4"/>
        <v>0.46430381404972859</v>
      </c>
      <c r="I65" s="5">
        <v>0.47599999999999998</v>
      </c>
      <c r="J65" s="11">
        <f t="shared" si="5"/>
        <v>0.24329519856205778</v>
      </c>
    </row>
    <row r="66" spans="1:10" x14ac:dyDescent="0.25">
      <c r="A66" s="2">
        <v>64</v>
      </c>
      <c r="B66" s="5">
        <v>-8.9672994363354519E-3</v>
      </c>
      <c r="C66" s="5">
        <f t="shared" si="9"/>
        <v>1.0041211729213271</v>
      </c>
      <c r="D66" s="5">
        <f t="shared" si="10"/>
        <v>4.1127041477503484E-3</v>
      </c>
      <c r="E66" s="5">
        <f t="shared" ref="E66:E97" si="11">$M$3*D66+B66</f>
        <v>-8.5560290215604164E-3</v>
      </c>
      <c r="F66" s="5">
        <f t="shared" si="6"/>
        <v>0.22100861548767078</v>
      </c>
      <c r="G66" s="5">
        <f t="shared" ref="G66:G101" si="12">F67</f>
        <v>0.22469720972178248</v>
      </c>
      <c r="H66" s="5">
        <f t="shared" si="4"/>
        <v>0.4720529616003834</v>
      </c>
      <c r="I66" s="5">
        <v>0.47599999999999998</v>
      </c>
      <c r="J66" s="11">
        <f t="shared" si="5"/>
        <v>0.2473557518786009</v>
      </c>
    </row>
    <row r="67" spans="1:10" x14ac:dyDescent="0.25">
      <c r="A67" s="2">
        <v>65</v>
      </c>
      <c r="B67" s="5">
        <v>1.4432180250878446E-2</v>
      </c>
      <c r="C67" s="5">
        <f t="shared" ref="C67:C98" si="13">EXP(D67)</f>
        <v>0.99148046962607506</v>
      </c>
      <c r="D67" s="5">
        <f t="shared" ref="D67:D102" si="14">E66</f>
        <v>-8.5560290215604164E-3</v>
      </c>
      <c r="E67" s="5">
        <f t="shared" si="11"/>
        <v>1.3576577348722405E-2</v>
      </c>
      <c r="F67" s="5">
        <f t="shared" si="6"/>
        <v>0.22469720972178248</v>
      </c>
      <c r="G67" s="5">
        <f t="shared" si="12"/>
        <v>0.2237123481072204</v>
      </c>
      <c r="H67" s="5">
        <f t="shared" ref="H67:H102" si="15">$C67*$F67^$M$1</f>
        <v>0.46998392459500093</v>
      </c>
      <c r="I67" s="5">
        <v>0.47599999999999998</v>
      </c>
      <c r="J67" s="11">
        <f t="shared" ref="J67:J102" si="16">(1-$M$1*$M$2)*$C67*$F67^$M$1</f>
        <v>0.2462715764877805</v>
      </c>
    </row>
    <row r="68" spans="1:10" x14ac:dyDescent="0.25">
      <c r="A68" s="2">
        <v>66</v>
      </c>
      <c r="B68" s="5">
        <v>-1.2330337995081209E-2</v>
      </c>
      <c r="C68" s="5">
        <f t="shared" si="13"/>
        <v>1.013669157574727</v>
      </c>
      <c r="D68" s="5">
        <f t="shared" si="14"/>
        <v>1.3576577348722405E-2</v>
      </c>
      <c r="E68" s="5">
        <f t="shared" si="11"/>
        <v>-1.0972680260208968E-2</v>
      </c>
      <c r="F68" s="5">
        <f t="shared" ref="F68:F102" si="17">$M$1*$M$2*$C67*$F67^$M$1</f>
        <v>0.2237123481072204</v>
      </c>
      <c r="G68" s="5">
        <f t="shared" si="12"/>
        <v>0.22821709004742755</v>
      </c>
      <c r="H68" s="5">
        <f t="shared" si="15"/>
        <v>0.47944766816686463</v>
      </c>
      <c r="I68" s="5">
        <v>0.47599999999999998</v>
      </c>
      <c r="J68" s="11">
        <f t="shared" si="16"/>
        <v>0.25123057811943705</v>
      </c>
    </row>
    <row r="69" spans="1:10" x14ac:dyDescent="0.25">
      <c r="A69" s="2">
        <v>67</v>
      </c>
      <c r="B69" s="5">
        <v>-4.7764615374035202E-3</v>
      </c>
      <c r="C69" s="5">
        <f t="shared" si="13"/>
        <v>0.98908730001392742</v>
      </c>
      <c r="D69" s="5">
        <f t="shared" si="14"/>
        <v>-1.0972680260208968E-2</v>
      </c>
      <c r="E69" s="5">
        <f t="shared" si="11"/>
        <v>-5.8737295634244168E-3</v>
      </c>
      <c r="F69" s="5">
        <f t="shared" si="17"/>
        <v>0.22821709004742755</v>
      </c>
      <c r="G69" s="5">
        <f t="shared" si="12"/>
        <v>0.22491357046027977</v>
      </c>
      <c r="H69" s="5">
        <f t="shared" si="15"/>
        <v>0.4725075009669743</v>
      </c>
      <c r="I69" s="5">
        <v>0.47599999999999998</v>
      </c>
      <c r="J69" s="11">
        <f t="shared" si="16"/>
        <v>0.24759393050669454</v>
      </c>
    </row>
    <row r="70" spans="1:10" x14ac:dyDescent="0.25">
      <c r="A70" s="2">
        <v>68</v>
      </c>
      <c r="B70" s="5">
        <v>-1.3823500921716914E-2</v>
      </c>
      <c r="C70" s="5">
        <f t="shared" si="13"/>
        <v>0.99414348706097599</v>
      </c>
      <c r="D70" s="5">
        <f t="shared" si="14"/>
        <v>-5.8737295634244168E-3</v>
      </c>
      <c r="E70" s="5">
        <f t="shared" si="11"/>
        <v>-1.4410873878059356E-2</v>
      </c>
      <c r="F70" s="5">
        <f t="shared" si="17"/>
        <v>0.22491357046027977</v>
      </c>
      <c r="G70" s="5">
        <f t="shared" si="12"/>
        <v>0.22442118662387209</v>
      </c>
      <c r="H70" s="5">
        <f t="shared" si="15"/>
        <v>0.47147308114258846</v>
      </c>
      <c r="I70" s="5">
        <v>0.47599999999999998</v>
      </c>
      <c r="J70" s="11">
        <f t="shared" si="16"/>
        <v>0.2470518945187164</v>
      </c>
    </row>
    <row r="71" spans="1:10" x14ac:dyDescent="0.25">
      <c r="A71" s="2">
        <v>69</v>
      </c>
      <c r="B71" s="5">
        <v>2.4347764338017441E-2</v>
      </c>
      <c r="C71" s="5">
        <f t="shared" si="13"/>
        <v>0.98569246576449132</v>
      </c>
      <c r="D71" s="5">
        <f t="shared" si="14"/>
        <v>-1.4410873878059356E-2</v>
      </c>
      <c r="E71" s="5">
        <f t="shared" si="11"/>
        <v>2.2906676950211508E-2</v>
      </c>
      <c r="F71" s="5">
        <f t="shared" si="17"/>
        <v>0.22442118662387209</v>
      </c>
      <c r="G71" s="5">
        <f t="shared" si="12"/>
        <v>0.22226972741578374</v>
      </c>
      <c r="H71" s="5">
        <f t="shared" si="15"/>
        <v>0.46695320885668856</v>
      </c>
      <c r="I71" s="5">
        <v>0.47599999999999998</v>
      </c>
      <c r="J71" s="11">
        <f t="shared" si="16"/>
        <v>0.24468348144090479</v>
      </c>
    </row>
    <row r="72" spans="1:10" x14ac:dyDescent="0.25">
      <c r="A72" s="2">
        <v>70</v>
      </c>
      <c r="B72" s="5">
        <v>-1.3747830962529406E-2</v>
      </c>
      <c r="C72" s="5">
        <f t="shared" si="13"/>
        <v>1.023171049648774</v>
      </c>
      <c r="D72" s="5">
        <f t="shared" si="14"/>
        <v>2.2906676950211508E-2</v>
      </c>
      <c r="E72" s="5">
        <f t="shared" si="11"/>
        <v>-1.1457163267508255E-2</v>
      </c>
      <c r="F72" s="5">
        <f t="shared" si="17"/>
        <v>0.22226972741578374</v>
      </c>
      <c r="G72" s="5">
        <f t="shared" si="12"/>
        <v>0.22961240874826561</v>
      </c>
      <c r="H72" s="5">
        <f t="shared" si="15"/>
        <v>0.48237900997534788</v>
      </c>
      <c r="I72" s="5">
        <v>0.47599999999999998</v>
      </c>
      <c r="J72" s="11">
        <f t="shared" si="16"/>
        <v>0.25276660122708233</v>
      </c>
    </row>
    <row r="73" spans="1:10" x14ac:dyDescent="0.25">
      <c r="A73" s="2">
        <v>71</v>
      </c>
      <c r="B73" s="5">
        <v>-2.3944721760926768E-4</v>
      </c>
      <c r="C73" s="5">
        <f t="shared" si="13"/>
        <v>0.98860822008674798</v>
      </c>
      <c r="D73" s="5">
        <f t="shared" si="14"/>
        <v>-1.1457163267508255E-2</v>
      </c>
      <c r="E73" s="5">
        <f t="shared" si="11"/>
        <v>-1.3851635443600933E-3</v>
      </c>
      <c r="F73" s="5">
        <f t="shared" si="17"/>
        <v>0.22961240874826561</v>
      </c>
      <c r="G73" s="5">
        <f t="shared" si="12"/>
        <v>0.22549081028609694</v>
      </c>
      <c r="H73" s="5">
        <f t="shared" si="15"/>
        <v>0.47372018967667429</v>
      </c>
      <c r="I73" s="5">
        <v>0.47599999999999998</v>
      </c>
      <c r="J73" s="11">
        <f t="shared" si="16"/>
        <v>0.24822937939057735</v>
      </c>
    </row>
    <row r="74" spans="1:10" x14ac:dyDescent="0.25">
      <c r="A74" s="2">
        <v>72</v>
      </c>
      <c r="B74" s="5">
        <v>1.1627389540080912E-2</v>
      </c>
      <c r="C74" s="5">
        <f t="shared" si="13"/>
        <v>0.9986157953518684</v>
      </c>
      <c r="D74" s="5">
        <f t="shared" si="14"/>
        <v>-1.3851635443600933E-3</v>
      </c>
      <c r="E74" s="5">
        <f t="shared" si="11"/>
        <v>1.1488873185644902E-2</v>
      </c>
      <c r="F74" s="5">
        <f t="shared" si="17"/>
        <v>0.22549081028609694</v>
      </c>
      <c r="G74" s="5">
        <f t="shared" si="12"/>
        <v>0.22571987830206588</v>
      </c>
      <c r="H74" s="5">
        <f t="shared" si="15"/>
        <v>0.47420142500434009</v>
      </c>
      <c r="I74" s="5">
        <v>0.47599999999999998</v>
      </c>
      <c r="J74" s="11">
        <f t="shared" si="16"/>
        <v>0.24848154670227424</v>
      </c>
    </row>
    <row r="75" spans="1:10" x14ac:dyDescent="0.25">
      <c r="A75" s="2">
        <v>73</v>
      </c>
      <c r="B75" s="5">
        <v>1.7808361008064821E-2</v>
      </c>
      <c r="C75" s="5">
        <f t="shared" si="13"/>
        <v>1.0115551237609079</v>
      </c>
      <c r="D75" s="5">
        <f t="shared" si="14"/>
        <v>1.1488873185644902E-2</v>
      </c>
      <c r="E75" s="5">
        <f t="shared" si="11"/>
        <v>1.895724832662931E-2</v>
      </c>
      <c r="F75" s="5">
        <f t="shared" si="17"/>
        <v>0.22571987830206588</v>
      </c>
      <c r="G75" s="5">
        <f t="shared" si="12"/>
        <v>0.22876069677018096</v>
      </c>
      <c r="H75" s="5">
        <f t="shared" si="15"/>
        <v>0.48058969909701882</v>
      </c>
      <c r="I75" s="5">
        <v>0.47599999999999998</v>
      </c>
      <c r="J75" s="11">
        <f t="shared" si="16"/>
        <v>0.25182900232683791</v>
      </c>
    </row>
    <row r="76" spans="1:10" x14ac:dyDescent="0.25">
      <c r="A76" s="2">
        <v>74</v>
      </c>
      <c r="B76" s="5">
        <v>9.4880761025706306E-3</v>
      </c>
      <c r="C76" s="5">
        <f t="shared" si="13"/>
        <v>1.0191380778278296</v>
      </c>
      <c r="D76" s="5">
        <f t="shared" si="14"/>
        <v>1.895724832662931E-2</v>
      </c>
      <c r="E76" s="5">
        <f t="shared" si="11"/>
        <v>1.1383800935233562E-2</v>
      </c>
      <c r="F76" s="5">
        <f t="shared" si="17"/>
        <v>0.22876069677018096</v>
      </c>
      <c r="G76" s="5">
        <f t="shared" si="12"/>
        <v>0.23202281225473725</v>
      </c>
      <c r="H76" s="5">
        <f t="shared" si="15"/>
        <v>0.4874428828881035</v>
      </c>
      <c r="I76" s="5">
        <v>0.47599999999999998</v>
      </c>
      <c r="J76" s="11">
        <f t="shared" si="16"/>
        <v>0.25542007063336625</v>
      </c>
    </row>
    <row r="77" spans="1:10" x14ac:dyDescent="0.25">
      <c r="A77" s="2">
        <v>75</v>
      </c>
      <c r="B77" s="5">
        <v>1.4866350284137297E-2</v>
      </c>
      <c r="C77" s="5">
        <f t="shared" si="13"/>
        <v>1.011448842971318</v>
      </c>
      <c r="D77" s="5">
        <f t="shared" si="14"/>
        <v>1.1383800935233562E-2</v>
      </c>
      <c r="E77" s="5">
        <f t="shared" si="11"/>
        <v>1.6004730377660654E-2</v>
      </c>
      <c r="F77" s="5">
        <f t="shared" si="17"/>
        <v>0.23202281225473725</v>
      </c>
      <c r="G77" s="5">
        <f t="shared" si="12"/>
        <v>0.23190826023318678</v>
      </c>
      <c r="H77" s="5">
        <f t="shared" si="15"/>
        <v>0.4872022273806445</v>
      </c>
      <c r="I77" s="5">
        <v>0.47599999999999998</v>
      </c>
      <c r="J77" s="11">
        <f t="shared" si="16"/>
        <v>0.25529396714745778</v>
      </c>
    </row>
    <row r="78" spans="1:10" x14ac:dyDescent="0.25">
      <c r="A78" s="2">
        <v>76</v>
      </c>
      <c r="B78" s="5">
        <v>-1.3788394426228479E-3</v>
      </c>
      <c r="C78" s="5">
        <f t="shared" si="13"/>
        <v>1.0161334920898972</v>
      </c>
      <c r="D78" s="5">
        <f t="shared" si="14"/>
        <v>1.6004730377660654E-2</v>
      </c>
      <c r="E78" s="5">
        <f t="shared" si="11"/>
        <v>2.2163359514321764E-4</v>
      </c>
      <c r="F78" s="5">
        <f t="shared" si="17"/>
        <v>0.23190826023318678</v>
      </c>
      <c r="G78" s="5">
        <f t="shared" si="12"/>
        <v>0.23292485174292582</v>
      </c>
      <c r="H78" s="5">
        <f t="shared" si="15"/>
        <v>0.48933792382967611</v>
      </c>
      <c r="I78" s="5">
        <v>0.47599999999999998</v>
      </c>
      <c r="J78" s="11">
        <f t="shared" si="16"/>
        <v>0.25641307208675029</v>
      </c>
    </row>
    <row r="79" spans="1:10" x14ac:dyDescent="0.25">
      <c r="A79" s="2">
        <v>77</v>
      </c>
      <c r="B79" s="5">
        <v>1.6586045603617094E-2</v>
      </c>
      <c r="C79" s="5">
        <f t="shared" si="13"/>
        <v>1.000221658157683</v>
      </c>
      <c r="D79" s="5">
        <f t="shared" si="14"/>
        <v>2.2163359514321764E-4</v>
      </c>
      <c r="E79" s="5">
        <f t="shared" si="11"/>
        <v>1.6608208963131418E-2</v>
      </c>
      <c r="F79" s="5">
        <f t="shared" si="17"/>
        <v>0.23292485174292582</v>
      </c>
      <c r="G79" s="5">
        <f t="shared" si="12"/>
        <v>0.22977941574551314</v>
      </c>
      <c r="H79" s="5">
        <f t="shared" si="15"/>
        <v>0.48272986501158227</v>
      </c>
      <c r="I79" s="5">
        <v>0.47599999999999998</v>
      </c>
      <c r="J79" s="11">
        <f t="shared" si="16"/>
        <v>0.25295044926606913</v>
      </c>
    </row>
    <row r="80" spans="1:10" x14ac:dyDescent="0.25">
      <c r="A80" s="2">
        <v>78</v>
      </c>
      <c r="B80" s="5">
        <v>-3.3431570045650005E-2</v>
      </c>
      <c r="C80" s="5">
        <f t="shared" si="13"/>
        <v>1.0167468919605804</v>
      </c>
      <c r="D80" s="5">
        <f t="shared" si="14"/>
        <v>1.6608208963131418E-2</v>
      </c>
      <c r="E80" s="5">
        <f t="shared" si="11"/>
        <v>-3.1770749149336863E-2</v>
      </c>
      <c r="F80" s="5">
        <f t="shared" si="17"/>
        <v>0.22977941574551314</v>
      </c>
      <c r="G80" s="5">
        <f t="shared" si="12"/>
        <v>0.23199325943389115</v>
      </c>
      <c r="H80" s="5">
        <f t="shared" si="15"/>
        <v>0.48738079713002347</v>
      </c>
      <c r="I80" s="5">
        <v>0.47599999999999998</v>
      </c>
      <c r="J80" s="11">
        <f t="shared" si="16"/>
        <v>0.25538753769613232</v>
      </c>
    </row>
    <row r="81" spans="1:10" x14ac:dyDescent="0.25">
      <c r="A81" s="2">
        <v>79</v>
      </c>
      <c r="B81" s="5">
        <v>5.5993041314650327E-3</v>
      </c>
      <c r="C81" s="5">
        <f t="shared" si="13"/>
        <v>0.96872863848934998</v>
      </c>
      <c r="D81" s="5">
        <f t="shared" si="14"/>
        <v>-3.1770749149336863E-2</v>
      </c>
      <c r="E81" s="5">
        <f t="shared" si="11"/>
        <v>2.4222292165313464E-3</v>
      </c>
      <c r="F81" s="5">
        <f t="shared" si="17"/>
        <v>0.23199325943389115</v>
      </c>
      <c r="G81" s="5">
        <f t="shared" si="12"/>
        <v>0.22209908788839283</v>
      </c>
      <c r="H81" s="5">
        <f t="shared" si="15"/>
        <v>0.46659472245460681</v>
      </c>
      <c r="I81" s="5">
        <v>0.47599999999999998</v>
      </c>
      <c r="J81" s="11">
        <f t="shared" si="16"/>
        <v>0.24449563456621395</v>
      </c>
    </row>
    <row r="82" spans="1:10" x14ac:dyDescent="0.25">
      <c r="A82" s="2">
        <v>80</v>
      </c>
      <c r="B82" s="5">
        <v>1.1994416126981378E-3</v>
      </c>
      <c r="C82" s="5">
        <f t="shared" si="13"/>
        <v>1.0024251651837701</v>
      </c>
      <c r="D82" s="5">
        <f t="shared" si="14"/>
        <v>2.4222292165313464E-3</v>
      </c>
      <c r="E82" s="5">
        <f t="shared" si="11"/>
        <v>1.4416645343512725E-3</v>
      </c>
      <c r="F82" s="5">
        <f t="shared" si="17"/>
        <v>0.22209908788839283</v>
      </c>
      <c r="G82" s="5">
        <f t="shared" si="12"/>
        <v>0.22487040444561823</v>
      </c>
      <c r="H82" s="5">
        <f t="shared" si="15"/>
        <v>0.47241681606222319</v>
      </c>
      <c r="I82" s="5">
        <v>0.47599999999999998</v>
      </c>
      <c r="J82" s="11">
        <f t="shared" si="16"/>
        <v>0.24754641161660496</v>
      </c>
    </row>
    <row r="83" spans="1:10" x14ac:dyDescent="0.25">
      <c r="A83" s="2">
        <v>81</v>
      </c>
      <c r="B83" s="5">
        <v>1.9132539819111116E-2</v>
      </c>
      <c r="C83" s="5">
        <f t="shared" si="13"/>
        <v>1.0014427042322378</v>
      </c>
      <c r="D83" s="5">
        <f t="shared" si="14"/>
        <v>1.4416645343512725E-3</v>
      </c>
      <c r="E83" s="5">
        <f t="shared" si="11"/>
        <v>1.9276706272546244E-2</v>
      </c>
      <c r="F83" s="5">
        <f t="shared" si="17"/>
        <v>0.22487040444561823</v>
      </c>
      <c r="G83" s="5">
        <f t="shared" si="12"/>
        <v>0.22604724074775082</v>
      </c>
      <c r="H83" s="5">
        <f t="shared" si="15"/>
        <v>0.4748891612347706</v>
      </c>
      <c r="I83" s="5">
        <v>0.47599999999999998</v>
      </c>
      <c r="J83" s="11">
        <f t="shared" si="16"/>
        <v>0.24884192048701981</v>
      </c>
    </row>
    <row r="84" spans="1:10" x14ac:dyDescent="0.25">
      <c r="A84" s="2">
        <v>82</v>
      </c>
      <c r="B84" s="5">
        <v>1.0632402336341329E-2</v>
      </c>
      <c r="C84" s="5">
        <f t="shared" si="13"/>
        <v>1.0194637015935586</v>
      </c>
      <c r="D84" s="5">
        <f t="shared" si="14"/>
        <v>1.9276706272546244E-2</v>
      </c>
      <c r="E84" s="5">
        <f t="shared" si="11"/>
        <v>1.2560072963595953E-2</v>
      </c>
      <c r="F84" s="5">
        <f t="shared" si="17"/>
        <v>0.22604724074775082</v>
      </c>
      <c r="G84" s="5">
        <f t="shared" si="12"/>
        <v>0.23071632478870463</v>
      </c>
      <c r="H84" s="5">
        <f t="shared" si="15"/>
        <v>0.48469816132080806</v>
      </c>
      <c r="I84" s="5">
        <v>0.47599999999999998</v>
      </c>
      <c r="J84" s="11">
        <f t="shared" si="16"/>
        <v>0.25398183653210343</v>
      </c>
    </row>
    <row r="85" spans="1:10" x14ac:dyDescent="0.25">
      <c r="A85" s="2">
        <v>83</v>
      </c>
      <c r="B85" s="5">
        <v>-4.7795992941246368E-3</v>
      </c>
      <c r="C85" s="5">
        <f t="shared" si="13"/>
        <v>1.0126392819562051</v>
      </c>
      <c r="D85" s="5">
        <f t="shared" si="14"/>
        <v>1.2560072963595953E-2</v>
      </c>
      <c r="E85" s="5">
        <f t="shared" si="11"/>
        <v>-3.5235919977650411E-3</v>
      </c>
      <c r="F85" s="5">
        <f t="shared" si="17"/>
        <v>0.23071632478870463</v>
      </c>
      <c r="G85" s="5">
        <f t="shared" si="12"/>
        <v>0.23152659543860821</v>
      </c>
      <c r="H85" s="5">
        <f t="shared" si="15"/>
        <v>0.48640041058531142</v>
      </c>
      <c r="I85" s="5">
        <v>0.47599999999999998</v>
      </c>
      <c r="J85" s="11">
        <f t="shared" si="16"/>
        <v>0.25487381514670315</v>
      </c>
    </row>
    <row r="86" spans="1:10" x14ac:dyDescent="0.25">
      <c r="A86" s="2">
        <v>84</v>
      </c>
      <c r="B86" s="5">
        <v>1.3854605640517548E-2</v>
      </c>
      <c r="C86" s="5">
        <f t="shared" si="13"/>
        <v>0.99648260856762616</v>
      </c>
      <c r="D86" s="5">
        <f t="shared" si="14"/>
        <v>-3.5235919977650411E-3</v>
      </c>
      <c r="E86" s="5">
        <f t="shared" si="11"/>
        <v>1.3502246440741043E-2</v>
      </c>
      <c r="F86" s="5">
        <f t="shared" si="17"/>
        <v>0.23152659543860821</v>
      </c>
      <c r="G86" s="5">
        <f t="shared" si="12"/>
        <v>0.22823230635402569</v>
      </c>
      <c r="H86" s="5">
        <f t="shared" si="15"/>
        <v>0.47947963519753301</v>
      </c>
      <c r="I86" s="5">
        <v>0.47599999999999998</v>
      </c>
      <c r="J86" s="11">
        <f t="shared" si="16"/>
        <v>0.25124732884350731</v>
      </c>
    </row>
    <row r="87" spans="1:10" x14ac:dyDescent="0.25">
      <c r="A87" s="2">
        <v>85</v>
      </c>
      <c r="B87" s="5">
        <v>4.0615077523398213E-3</v>
      </c>
      <c r="C87" s="5">
        <f t="shared" si="13"/>
        <v>1.0135938134260858</v>
      </c>
      <c r="D87" s="5">
        <f t="shared" si="14"/>
        <v>1.3502246440741043E-2</v>
      </c>
      <c r="E87" s="5">
        <f t="shared" si="11"/>
        <v>5.4117323964139258E-3</v>
      </c>
      <c r="F87" s="5">
        <f t="shared" si="17"/>
        <v>0.22823230635402569</v>
      </c>
      <c r="G87" s="5">
        <f t="shared" si="12"/>
        <v>0.23049391433258967</v>
      </c>
      <c r="H87" s="5">
        <f t="shared" si="15"/>
        <v>0.48423091246342365</v>
      </c>
      <c r="I87" s="5">
        <v>0.47599999999999998</v>
      </c>
      <c r="J87" s="11">
        <f t="shared" si="16"/>
        <v>0.253736998130834</v>
      </c>
    </row>
    <row r="88" spans="1:10" x14ac:dyDescent="0.25">
      <c r="A88" s="2">
        <v>86</v>
      </c>
      <c r="B88" s="5">
        <v>-1.5420664567500353E-2</v>
      </c>
      <c r="C88" s="5">
        <f t="shared" si="13"/>
        <v>1.0054264022713864</v>
      </c>
      <c r="D88" s="5">
        <f t="shared" si="14"/>
        <v>5.4117323964139258E-3</v>
      </c>
      <c r="E88" s="5">
        <f t="shared" si="11"/>
        <v>-1.487949132785896E-2</v>
      </c>
      <c r="F88" s="5">
        <f t="shared" si="17"/>
        <v>0.23049391433258967</v>
      </c>
      <c r="G88" s="5">
        <f t="shared" si="12"/>
        <v>0.2297666381626074</v>
      </c>
      <c r="H88" s="5">
        <f t="shared" si="15"/>
        <v>0.48270302135001553</v>
      </c>
      <c r="I88" s="5">
        <v>0.47599999999999998</v>
      </c>
      <c r="J88" s="11">
        <f t="shared" si="16"/>
        <v>0.25293638318740813</v>
      </c>
    </row>
    <row r="89" spans="1:10" x14ac:dyDescent="0.25">
      <c r="A89" s="2">
        <v>87</v>
      </c>
      <c r="B89" s="5">
        <v>-1.4169427231536247E-2</v>
      </c>
      <c r="C89" s="5">
        <f t="shared" si="13"/>
        <v>0.98523066128816716</v>
      </c>
      <c r="D89" s="5">
        <f t="shared" si="14"/>
        <v>-1.487949132785896E-2</v>
      </c>
      <c r="E89" s="5">
        <f t="shared" si="11"/>
        <v>-1.5657376364322143E-2</v>
      </c>
      <c r="F89" s="5">
        <f t="shared" si="17"/>
        <v>0.2297666381626074</v>
      </c>
      <c r="G89" s="5">
        <f t="shared" si="12"/>
        <v>0.22479588484356705</v>
      </c>
      <c r="H89" s="5">
        <f t="shared" si="15"/>
        <v>0.47226026227640144</v>
      </c>
      <c r="I89" s="5">
        <v>0.47599999999999998</v>
      </c>
      <c r="J89" s="11">
        <f t="shared" si="16"/>
        <v>0.24746437743283434</v>
      </c>
    </row>
    <row r="90" spans="1:10" x14ac:dyDescent="0.25">
      <c r="A90" s="2">
        <v>88</v>
      </c>
      <c r="B90" s="5">
        <v>-3.9551741792820394E-2</v>
      </c>
      <c r="C90" s="5">
        <f t="shared" si="13"/>
        <v>0.98446456310607333</v>
      </c>
      <c r="D90" s="5">
        <f t="shared" si="14"/>
        <v>-1.5657376364322143E-2</v>
      </c>
      <c r="E90" s="5">
        <f t="shared" si="11"/>
        <v>-4.1117479429252611E-2</v>
      </c>
      <c r="F90" s="5">
        <f t="shared" si="17"/>
        <v>0.22479588484356705</v>
      </c>
      <c r="G90" s="5">
        <f t="shared" si="12"/>
        <v>0.2221780848656302</v>
      </c>
      <c r="H90" s="5">
        <f t="shared" si="15"/>
        <v>0.46676068249081976</v>
      </c>
      <c r="I90" s="5">
        <v>0.47599999999999998</v>
      </c>
      <c r="J90" s="11">
        <f t="shared" si="16"/>
        <v>0.24458259762518958</v>
      </c>
    </row>
    <row r="91" spans="1:10" x14ac:dyDescent="0.25">
      <c r="A91" s="2">
        <v>89</v>
      </c>
      <c r="B91" s="5">
        <v>8.9098193711834028E-3</v>
      </c>
      <c r="C91" s="5">
        <f t="shared" si="13"/>
        <v>0.95971637639267393</v>
      </c>
      <c r="D91" s="5">
        <f t="shared" si="14"/>
        <v>-4.1117479429252611E-2</v>
      </c>
      <c r="E91" s="5">
        <f t="shared" si="11"/>
        <v>4.7980714282581417E-3</v>
      </c>
      <c r="F91" s="5">
        <f t="shared" si="17"/>
        <v>0.2221780848656302</v>
      </c>
      <c r="G91" s="5">
        <f t="shared" si="12"/>
        <v>0.21532798072646461</v>
      </c>
      <c r="H91" s="5">
        <f t="shared" si="15"/>
        <v>0.4523697074085391</v>
      </c>
      <c r="I91" s="5">
        <v>0.47599999999999998</v>
      </c>
      <c r="J91" s="11">
        <f t="shared" si="16"/>
        <v>0.23704172668207452</v>
      </c>
    </row>
    <row r="92" spans="1:10" x14ac:dyDescent="0.25">
      <c r="A92" s="2">
        <v>90</v>
      </c>
      <c r="B92" s="5">
        <v>7.2444890975020826E-3</v>
      </c>
      <c r="C92" s="5">
        <f t="shared" si="13"/>
        <v>1.0048096006048692</v>
      </c>
      <c r="D92" s="5">
        <f t="shared" si="14"/>
        <v>4.7980714282581417E-3</v>
      </c>
      <c r="E92" s="5">
        <f t="shared" si="11"/>
        <v>7.7242962403278968E-3</v>
      </c>
      <c r="F92" s="5">
        <f t="shared" si="17"/>
        <v>0.21532798072646461</v>
      </c>
      <c r="G92" s="5">
        <f t="shared" si="12"/>
        <v>0.22194274981928835</v>
      </c>
      <c r="H92" s="5">
        <f t="shared" si="15"/>
        <v>0.4662662811329587</v>
      </c>
      <c r="I92" s="5">
        <v>0.47599999999999998</v>
      </c>
      <c r="J92" s="11">
        <f t="shared" si="16"/>
        <v>0.24432353131367041</v>
      </c>
    </row>
    <row r="93" spans="1:10" x14ac:dyDescent="0.25">
      <c r="A93" s="2">
        <v>91</v>
      </c>
      <c r="B93" s="5">
        <v>1.2540112948045135E-2</v>
      </c>
      <c r="C93" s="5">
        <f t="shared" si="13"/>
        <v>1.0077542055764603</v>
      </c>
      <c r="D93" s="5">
        <f t="shared" si="14"/>
        <v>7.7242962403278968E-3</v>
      </c>
      <c r="E93" s="5">
        <f t="shared" si="11"/>
        <v>1.3312542572077923E-2</v>
      </c>
      <c r="F93" s="5">
        <f t="shared" si="17"/>
        <v>0.22194274981928835</v>
      </c>
      <c r="G93" s="5">
        <f t="shared" si="12"/>
        <v>0.22598626959889789</v>
      </c>
      <c r="H93" s="5">
        <f t="shared" si="15"/>
        <v>0.47476107058591993</v>
      </c>
      <c r="I93" s="5">
        <v>0.47599999999999998</v>
      </c>
      <c r="J93" s="11">
        <f t="shared" si="16"/>
        <v>0.24877480098702207</v>
      </c>
    </row>
    <row r="94" spans="1:10" x14ac:dyDescent="0.25">
      <c r="A94" s="2">
        <v>92</v>
      </c>
      <c r="B94" s="5">
        <v>1.1988004189333878E-2</v>
      </c>
      <c r="C94" s="5">
        <f t="shared" si="13"/>
        <v>1.0134015489956556</v>
      </c>
      <c r="D94" s="5">
        <f t="shared" si="14"/>
        <v>1.3312542572077923E-2</v>
      </c>
      <c r="E94" s="5">
        <f t="shared" si="11"/>
        <v>1.331925844654167E-2</v>
      </c>
      <c r="F94" s="5">
        <f t="shared" si="17"/>
        <v>0.22598626959889789</v>
      </c>
      <c r="G94" s="5">
        <f t="shared" si="12"/>
        <v>0.22931345782120738</v>
      </c>
      <c r="H94" s="5">
        <f t="shared" si="15"/>
        <v>0.48175096180925919</v>
      </c>
      <c r="I94" s="5">
        <v>0.47599999999999998</v>
      </c>
      <c r="J94" s="11">
        <f t="shared" si="16"/>
        <v>0.25243750398805181</v>
      </c>
    </row>
    <row r="95" spans="1:10" x14ac:dyDescent="0.25">
      <c r="A95" s="2">
        <v>93</v>
      </c>
      <c r="B95" s="5">
        <v>5.9214698922005482E-3</v>
      </c>
      <c r="C95" s="5">
        <f t="shared" si="13"/>
        <v>1.0134083548960939</v>
      </c>
      <c r="D95" s="5">
        <f t="shared" si="14"/>
        <v>1.331925844654167E-2</v>
      </c>
      <c r="E95" s="5">
        <f t="shared" si="11"/>
        <v>7.2533957368547154E-3</v>
      </c>
      <c r="F95" s="5">
        <f t="shared" si="17"/>
        <v>0.22931345782120738</v>
      </c>
      <c r="G95" s="5">
        <f t="shared" si="12"/>
        <v>0.23099692822427934</v>
      </c>
      <c r="H95" s="5">
        <f t="shared" si="15"/>
        <v>0.48528766433672132</v>
      </c>
      <c r="I95" s="5">
        <v>0.47599999999999998</v>
      </c>
      <c r="J95" s="11">
        <f t="shared" si="16"/>
        <v>0.25429073611244202</v>
      </c>
    </row>
    <row r="96" spans="1:10" x14ac:dyDescent="0.25">
      <c r="A96" s="2">
        <v>94</v>
      </c>
      <c r="B96" s="5">
        <v>1.8880200514104217E-2</v>
      </c>
      <c r="C96" s="5">
        <f t="shared" si="13"/>
        <v>1.00727976532952</v>
      </c>
      <c r="D96" s="5">
        <f t="shared" si="14"/>
        <v>7.2533957368547154E-3</v>
      </c>
      <c r="E96" s="5">
        <f t="shared" si="11"/>
        <v>1.960554008778969E-2</v>
      </c>
      <c r="F96" s="5">
        <f t="shared" si="17"/>
        <v>0.23099692822427934</v>
      </c>
      <c r="G96" s="5">
        <f t="shared" si="12"/>
        <v>0.23044121948352991</v>
      </c>
      <c r="H96" s="5">
        <f t="shared" si="15"/>
        <v>0.48412020899901242</v>
      </c>
      <c r="I96" s="5">
        <v>0.47599999999999998</v>
      </c>
      <c r="J96" s="11">
        <f t="shared" si="16"/>
        <v>0.25367898951548257</v>
      </c>
    </row>
    <row r="97" spans="1:10" x14ac:dyDescent="0.25">
      <c r="A97" s="2">
        <v>95</v>
      </c>
      <c r="B97" s="5">
        <v>6.1728997025056742E-3</v>
      </c>
      <c r="C97" s="5">
        <f t="shared" si="13"/>
        <v>1.0197989908562584</v>
      </c>
      <c r="D97" s="5">
        <f t="shared" si="14"/>
        <v>1.960554008778969E-2</v>
      </c>
      <c r="E97" s="5">
        <f t="shared" si="11"/>
        <v>8.1334537112846429E-3</v>
      </c>
      <c r="F97" s="5">
        <f t="shared" si="17"/>
        <v>0.23044121948352991</v>
      </c>
      <c r="G97" s="5">
        <f t="shared" si="12"/>
        <v>0.23302451514428466</v>
      </c>
      <c r="H97" s="5">
        <f t="shared" si="15"/>
        <v>0.48954730072328712</v>
      </c>
      <c r="I97" s="5">
        <v>0.47599999999999998</v>
      </c>
      <c r="J97" s="11">
        <f t="shared" si="16"/>
        <v>0.25652278557900249</v>
      </c>
    </row>
    <row r="98" spans="1:10" x14ac:dyDescent="0.25">
      <c r="A98" s="2">
        <v>96</v>
      </c>
      <c r="B98" s="5">
        <v>-1.5013984011602588E-2</v>
      </c>
      <c r="C98" s="5">
        <f t="shared" si="13"/>
        <v>1.0081666201040491</v>
      </c>
      <c r="D98" s="5">
        <f t="shared" si="14"/>
        <v>8.1334537112846429E-3</v>
      </c>
      <c r="E98" s="5">
        <f t="shared" ref="E98:E102" si="18">$M$3*D98+B98</f>
        <v>-1.4200638640474123E-2</v>
      </c>
      <c r="F98" s="5">
        <f t="shared" si="17"/>
        <v>0.23302451514428466</v>
      </c>
      <c r="G98" s="5">
        <f t="shared" si="12"/>
        <v>0.23165414384096125</v>
      </c>
      <c r="H98" s="5">
        <f t="shared" si="15"/>
        <v>0.48666836941378411</v>
      </c>
      <c r="I98" s="5">
        <v>0.47599999999999998</v>
      </c>
      <c r="J98" s="11">
        <f t="shared" si="16"/>
        <v>0.25501422557282288</v>
      </c>
    </row>
    <row r="99" spans="1:10" x14ac:dyDescent="0.25">
      <c r="A99" s="2">
        <v>97</v>
      </c>
      <c r="B99" s="5">
        <v>-2.0749757823068649E-2</v>
      </c>
      <c r="C99" s="5">
        <f t="shared" ref="C99:C102" si="19">EXP(D99)</f>
        <v>0.98589971483898309</v>
      </c>
      <c r="D99" s="5">
        <f t="shared" si="14"/>
        <v>-1.4200638640474123E-2</v>
      </c>
      <c r="E99" s="5">
        <f t="shared" si="18"/>
        <v>-2.2169821687116061E-2</v>
      </c>
      <c r="F99" s="5">
        <f t="shared" si="17"/>
        <v>0.23165414384096125</v>
      </c>
      <c r="G99" s="5">
        <f t="shared" si="12"/>
        <v>0.22587061292305888</v>
      </c>
      <c r="H99" s="5">
        <f t="shared" si="15"/>
        <v>0.4745180943761742</v>
      </c>
      <c r="I99" s="5">
        <v>0.47599999999999998</v>
      </c>
      <c r="J99" s="11">
        <f t="shared" si="16"/>
        <v>0.2486474814531153</v>
      </c>
    </row>
    <row r="100" spans="1:10" x14ac:dyDescent="0.25">
      <c r="A100" s="2">
        <v>98</v>
      </c>
      <c r="B100" s="5">
        <v>3.3470769267296419E-3</v>
      </c>
      <c r="C100" s="5">
        <f t="shared" si="19"/>
        <v>0.97807412274922378</v>
      </c>
      <c r="D100" s="5">
        <f t="shared" si="14"/>
        <v>-2.2169821687116061E-2</v>
      </c>
      <c r="E100" s="5">
        <f t="shared" si="18"/>
        <v>1.1300947580180358E-3</v>
      </c>
      <c r="F100" s="5">
        <f t="shared" si="17"/>
        <v>0.22587061292305888</v>
      </c>
      <c r="G100" s="5">
        <f t="shared" si="12"/>
        <v>0.22126289310728131</v>
      </c>
      <c r="H100" s="5">
        <f t="shared" si="15"/>
        <v>0.46483801072958264</v>
      </c>
      <c r="I100" s="5">
        <v>0.47599999999999998</v>
      </c>
      <c r="J100" s="11">
        <f t="shared" si="16"/>
        <v>0.2435751176223013</v>
      </c>
    </row>
    <row r="101" spans="1:10" x14ac:dyDescent="0.25">
      <c r="A101" s="2">
        <v>99</v>
      </c>
      <c r="B101" s="5">
        <v>-3.3924152376130223E-2</v>
      </c>
      <c r="C101" s="5">
        <f t="shared" si="19"/>
        <v>1.0011307335557105</v>
      </c>
      <c r="D101" s="5">
        <f t="shared" si="14"/>
        <v>1.1300947580180358E-3</v>
      </c>
      <c r="E101" s="5">
        <f t="shared" si="18"/>
        <v>-3.3811142900328418E-2</v>
      </c>
      <c r="F101" s="5">
        <f t="shared" si="17"/>
        <v>0.22126289310728131</v>
      </c>
      <c r="G101" s="5">
        <f t="shared" si="12"/>
        <v>0.22415686289611006</v>
      </c>
      <c r="H101" s="5">
        <f t="shared" si="15"/>
        <v>0.47091777919350858</v>
      </c>
      <c r="I101" s="5">
        <v>0.47599999999999998</v>
      </c>
      <c r="J101" s="11">
        <f t="shared" si="16"/>
        <v>0.24676091629739849</v>
      </c>
    </row>
    <row r="102" spans="1:10" ht="15.75" thickBot="1" x14ac:dyDescent="0.3">
      <c r="A102" s="3">
        <v>100</v>
      </c>
      <c r="B102" s="6">
        <v>-3.1443596526514739E-2</v>
      </c>
      <c r="C102" s="6">
        <f t="shared" si="19"/>
        <v>0.96675406576693779</v>
      </c>
      <c r="D102" s="6">
        <f t="shared" si="14"/>
        <v>-3.3811142900328418E-2</v>
      </c>
      <c r="E102" s="6">
        <f t="shared" si="18"/>
        <v>-3.4824710816547581E-2</v>
      </c>
      <c r="F102" s="6">
        <f t="shared" si="17"/>
        <v>0.22415686289611006</v>
      </c>
      <c r="G102" s="6"/>
      <c r="H102" s="6">
        <f t="shared" si="15"/>
        <v>0.45771171393357191</v>
      </c>
      <c r="I102" s="6">
        <v>0.47599999999999998</v>
      </c>
      <c r="J102" s="12">
        <f t="shared" si="16"/>
        <v>0.23984093810119167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1547-F88A-4DE8-800F-0341C9BFEB53}">
  <dimension ref="A1:M102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13" ht="15" customHeight="1" thickBot="1" x14ac:dyDescent="0.3">
      <c r="A1" s="4" t="s">
        <v>0</v>
      </c>
      <c r="B1" s="4" t="s">
        <v>6</v>
      </c>
      <c r="C1" s="4" t="s">
        <v>2</v>
      </c>
      <c r="D1" s="4" t="s">
        <v>5</v>
      </c>
      <c r="E1" s="4" t="s">
        <v>4</v>
      </c>
      <c r="F1" s="4" t="s">
        <v>3</v>
      </c>
      <c r="G1" s="4" t="s">
        <v>11</v>
      </c>
      <c r="H1" s="4" t="s">
        <v>1</v>
      </c>
      <c r="I1" s="4" t="s">
        <v>12</v>
      </c>
      <c r="J1" s="4" t="s">
        <v>10</v>
      </c>
      <c r="K1" s="2"/>
      <c r="L1" s="8" t="s">
        <v>8</v>
      </c>
      <c r="M1" s="9">
        <v>0.5</v>
      </c>
    </row>
    <row r="2" spans="1:13" ht="15.75" thickBot="1" x14ac:dyDescent="0.3">
      <c r="A2" s="2">
        <v>0</v>
      </c>
      <c r="B2" s="5">
        <f>2*0.02</f>
        <v>0.04</v>
      </c>
      <c r="C2" s="5">
        <v>1</v>
      </c>
      <c r="D2" s="5">
        <f>LN(C2)</f>
        <v>0</v>
      </c>
      <c r="E2" s="5">
        <f t="shared" ref="E2:E33" si="0">$M$3*D2+B2</f>
        <v>0.04</v>
      </c>
      <c r="F2" s="5">
        <f>($M$1*$M$2)^(1/(1-$M$1))</f>
        <v>0.22657599999999997</v>
      </c>
      <c r="G2" s="5">
        <f t="shared" ref="G2:G33" si="1">F3</f>
        <v>0.22657599999999997</v>
      </c>
      <c r="H2" s="5">
        <f>$C2*$F2^$M$1</f>
        <v>0.47599999999999998</v>
      </c>
      <c r="I2" s="5">
        <v>0.47599999999999998</v>
      </c>
      <c r="J2" s="11">
        <f>(1-$M$1*$M$2)*$C2*$F2^$M$1</f>
        <v>0.24942400000000001</v>
      </c>
      <c r="K2" s="2"/>
      <c r="L2" s="8" t="s">
        <v>9</v>
      </c>
      <c r="M2" s="10">
        <v>0.95199999999999996</v>
      </c>
    </row>
    <row r="3" spans="1:13" ht="15.75" thickBot="1" x14ac:dyDescent="0.3">
      <c r="A3" s="2">
        <v>1</v>
      </c>
      <c r="B3" s="5">
        <v>0</v>
      </c>
      <c r="C3" s="5">
        <f t="shared" ref="C3:C34" si="2">EXP(D3)</f>
        <v>1.0408107741923882</v>
      </c>
      <c r="D3" s="5">
        <f t="shared" ref="D3:D34" si="3">E2</f>
        <v>0.04</v>
      </c>
      <c r="E3" s="5">
        <f t="shared" si="0"/>
        <v>4.0000000000000001E-3</v>
      </c>
      <c r="F3" s="5">
        <f>$M$1*$M$2*$C2*$F2^$M$1</f>
        <v>0.22657599999999997</v>
      </c>
      <c r="G3" s="5">
        <f t="shared" si="1"/>
        <v>0.23582274197341452</v>
      </c>
      <c r="H3" s="5">
        <f t="shared" ref="H3:H66" si="4">$C3*$F3^$M$1</f>
        <v>0.49542592851557676</v>
      </c>
      <c r="I3" s="5">
        <v>0.47599999999999998</v>
      </c>
      <c r="J3" s="11">
        <f t="shared" ref="J3:J66" si="5">(1-$M$1*$M$2)*$C3*$F3^$M$1</f>
        <v>0.25960318654216225</v>
      </c>
      <c r="L3" s="8" t="s">
        <v>7</v>
      </c>
      <c r="M3" s="9">
        <v>0.1</v>
      </c>
    </row>
    <row r="4" spans="1:13" x14ac:dyDescent="0.25">
      <c r="A4" s="2">
        <v>2</v>
      </c>
      <c r="B4" s="5">
        <v>0</v>
      </c>
      <c r="C4" s="5">
        <f t="shared" si="2"/>
        <v>1.0040080106773419</v>
      </c>
      <c r="D4" s="5">
        <f t="shared" si="3"/>
        <v>4.0000000000000001E-3</v>
      </c>
      <c r="E4" s="5">
        <f t="shared" si="0"/>
        <v>4.0000000000000002E-4</v>
      </c>
      <c r="F4" s="5">
        <f t="shared" ref="F4:F67" si="6">$M$1*$M$2*$C3*$F3^$M$1</f>
        <v>0.23582274197341452</v>
      </c>
      <c r="G4" s="5">
        <f t="shared" si="1"/>
        <v>0.23207960306638542</v>
      </c>
      <c r="H4" s="5">
        <f t="shared" si="4"/>
        <v>0.48756219131593581</v>
      </c>
      <c r="I4" s="5">
        <v>0.47599999999999998</v>
      </c>
      <c r="J4" s="11">
        <f t="shared" si="5"/>
        <v>0.25548258824955039</v>
      </c>
    </row>
    <row r="5" spans="1:13" x14ac:dyDescent="0.25">
      <c r="A5" s="2">
        <v>3</v>
      </c>
      <c r="B5" s="5">
        <v>0</v>
      </c>
      <c r="C5" s="5">
        <f t="shared" si="2"/>
        <v>1.0004000800106678</v>
      </c>
      <c r="D5" s="5">
        <f t="shared" si="3"/>
        <v>4.0000000000000002E-4</v>
      </c>
      <c r="E5" s="5">
        <f t="shared" si="0"/>
        <v>4.0000000000000003E-5</v>
      </c>
      <c r="F5" s="5">
        <f t="shared" si="6"/>
        <v>0.23207960306638542</v>
      </c>
      <c r="G5" s="5">
        <f t="shared" si="1"/>
        <v>0.22940303378583879</v>
      </c>
      <c r="H5" s="5">
        <f t="shared" si="4"/>
        <v>0.48193914660890502</v>
      </c>
      <c r="I5" s="5">
        <v>0.47599999999999998</v>
      </c>
      <c r="J5" s="11">
        <f t="shared" si="5"/>
        <v>0.25253611282306626</v>
      </c>
    </row>
    <row r="6" spans="1:13" x14ac:dyDescent="0.25">
      <c r="A6" s="2">
        <v>4</v>
      </c>
      <c r="B6" s="5">
        <v>0</v>
      </c>
      <c r="C6" s="5">
        <f t="shared" si="2"/>
        <v>1.0000400008000108</v>
      </c>
      <c r="D6" s="5">
        <f t="shared" si="3"/>
        <v>4.0000000000000003E-5</v>
      </c>
      <c r="E6" s="5">
        <f t="shared" si="0"/>
        <v>4.0000000000000007E-6</v>
      </c>
      <c r="F6" s="5">
        <f t="shared" si="6"/>
        <v>0.22940303378583879</v>
      </c>
      <c r="G6" s="5">
        <f t="shared" si="1"/>
        <v>0.22799425459237874</v>
      </c>
      <c r="H6" s="5">
        <f t="shared" si="4"/>
        <v>0.4789795264545772</v>
      </c>
      <c r="I6" s="5">
        <v>0.47599999999999998</v>
      </c>
      <c r="J6" s="11">
        <f t="shared" si="5"/>
        <v>0.25098527186219843</v>
      </c>
    </row>
    <row r="7" spans="1:13" x14ac:dyDescent="0.25">
      <c r="A7" s="2">
        <v>5</v>
      </c>
      <c r="B7" s="5">
        <v>0</v>
      </c>
      <c r="C7" s="5">
        <f t="shared" si="2"/>
        <v>1.0000040000079999</v>
      </c>
      <c r="D7" s="5">
        <f t="shared" si="3"/>
        <v>4.0000000000000007E-6</v>
      </c>
      <c r="E7" s="5">
        <f t="shared" si="0"/>
        <v>4.0000000000000009E-7</v>
      </c>
      <c r="F7" s="5">
        <f t="shared" si="6"/>
        <v>0.22799425459237874</v>
      </c>
      <c r="G7" s="5">
        <f t="shared" si="1"/>
        <v>0.22728493019640716</v>
      </c>
      <c r="H7" s="5">
        <f t="shared" si="4"/>
        <v>0.47748934915211594</v>
      </c>
      <c r="I7" s="5">
        <v>0.47599999999999998</v>
      </c>
      <c r="J7" s="11">
        <f t="shared" si="5"/>
        <v>0.25020441895570877</v>
      </c>
    </row>
    <row r="8" spans="1:13" x14ac:dyDescent="0.25">
      <c r="A8" s="2">
        <v>6</v>
      </c>
      <c r="B8" s="5">
        <v>0</v>
      </c>
      <c r="C8" s="5">
        <f t="shared" si="2"/>
        <v>1.0000004000000799</v>
      </c>
      <c r="D8" s="5">
        <f t="shared" si="3"/>
        <v>4.0000000000000009E-7</v>
      </c>
      <c r="E8" s="5">
        <f t="shared" si="0"/>
        <v>4.0000000000000014E-8</v>
      </c>
      <c r="F8" s="5">
        <f t="shared" si="6"/>
        <v>0.22728493019640716</v>
      </c>
      <c r="G8" s="5">
        <f t="shared" si="1"/>
        <v>0.22693027903311161</v>
      </c>
      <c r="H8" s="5">
        <f t="shared" si="4"/>
        <v>0.47674428368300759</v>
      </c>
      <c r="I8" s="5">
        <v>0.47599999999999998</v>
      </c>
      <c r="J8" s="11">
        <f t="shared" si="5"/>
        <v>0.24981400464989598</v>
      </c>
    </row>
    <row r="9" spans="1:13" x14ac:dyDescent="0.25">
      <c r="A9" s="2">
        <v>7</v>
      </c>
      <c r="B9" s="5">
        <v>0</v>
      </c>
      <c r="C9" s="5">
        <f t="shared" si="2"/>
        <v>1.0000000400000009</v>
      </c>
      <c r="D9" s="5">
        <f t="shared" si="3"/>
        <v>4.0000000000000014E-8</v>
      </c>
      <c r="E9" s="5">
        <f t="shared" si="0"/>
        <v>4.0000000000000019E-9</v>
      </c>
      <c r="F9" s="5">
        <f t="shared" si="6"/>
        <v>0.22693027903311161</v>
      </c>
      <c r="G9" s="5">
        <f t="shared" si="1"/>
        <v>0.22675307939598716</v>
      </c>
      <c r="H9" s="5">
        <f t="shared" si="4"/>
        <v>0.47637201553778818</v>
      </c>
      <c r="I9" s="5">
        <v>0.47599999999999998</v>
      </c>
      <c r="J9" s="11">
        <f t="shared" si="5"/>
        <v>0.249618936141801</v>
      </c>
    </row>
    <row r="10" spans="1:13" x14ac:dyDescent="0.25">
      <c r="A10" s="2">
        <v>8</v>
      </c>
      <c r="B10" s="5">
        <v>0</v>
      </c>
      <c r="C10" s="5">
        <f t="shared" si="2"/>
        <v>1.0000000040000001</v>
      </c>
      <c r="D10" s="5">
        <f t="shared" si="3"/>
        <v>4.0000000000000019E-9</v>
      </c>
      <c r="E10" s="5">
        <f t="shared" si="0"/>
        <v>4.0000000000000022E-10</v>
      </c>
      <c r="F10" s="5">
        <f t="shared" si="6"/>
        <v>0.22675307939598716</v>
      </c>
      <c r="G10" s="5">
        <f t="shared" si="1"/>
        <v>0.22666452331196349</v>
      </c>
      <c r="H10" s="5">
        <f t="shared" si="4"/>
        <v>0.47618597334446111</v>
      </c>
      <c r="I10" s="5">
        <v>0.47599999999999998</v>
      </c>
      <c r="J10" s="11">
        <f t="shared" si="5"/>
        <v>0.24952145003249762</v>
      </c>
    </row>
    <row r="11" spans="1:13" x14ac:dyDescent="0.25">
      <c r="A11" s="2">
        <v>9</v>
      </c>
      <c r="B11" s="5">
        <v>0</v>
      </c>
      <c r="C11" s="5">
        <f t="shared" si="2"/>
        <v>1.0000000004</v>
      </c>
      <c r="D11" s="5">
        <f t="shared" si="3"/>
        <v>4.0000000000000022E-10</v>
      </c>
      <c r="E11" s="5">
        <f t="shared" si="0"/>
        <v>4.0000000000000023E-11</v>
      </c>
      <c r="F11" s="5">
        <f t="shared" si="6"/>
        <v>0.22666452331196349</v>
      </c>
      <c r="G11" s="5">
        <f t="shared" si="1"/>
        <v>0.2266202574242136</v>
      </c>
      <c r="H11" s="5">
        <f t="shared" si="4"/>
        <v>0.47609297778196136</v>
      </c>
      <c r="I11" s="5">
        <v>0.47599999999999998</v>
      </c>
      <c r="J11" s="11">
        <f t="shared" si="5"/>
        <v>0.24947272035774776</v>
      </c>
    </row>
    <row r="12" spans="1:13" x14ac:dyDescent="0.25">
      <c r="A12" s="2">
        <v>10</v>
      </c>
      <c r="B12" s="5">
        <v>0</v>
      </c>
      <c r="C12" s="5">
        <f t="shared" si="2"/>
        <v>1.00000000004</v>
      </c>
      <c r="D12" s="5">
        <f t="shared" si="3"/>
        <v>4.0000000000000023E-11</v>
      </c>
      <c r="E12" s="5">
        <f t="shared" si="0"/>
        <v>4.0000000000000023E-12</v>
      </c>
      <c r="F12" s="5">
        <f t="shared" si="6"/>
        <v>0.2266202574242136</v>
      </c>
      <c r="G12" s="5">
        <f t="shared" si="1"/>
        <v>0.22659812764066775</v>
      </c>
      <c r="H12" s="5">
        <f t="shared" si="4"/>
        <v>0.47604648664005833</v>
      </c>
      <c r="I12" s="5">
        <v>0.47599999999999998</v>
      </c>
      <c r="J12" s="11">
        <f t="shared" si="5"/>
        <v>0.24944835899939058</v>
      </c>
    </row>
    <row r="13" spans="1:13" x14ac:dyDescent="0.25">
      <c r="A13" s="2">
        <v>11</v>
      </c>
      <c r="B13" s="5">
        <v>0</v>
      </c>
      <c r="C13" s="5">
        <f t="shared" si="2"/>
        <v>1.0000000000039999</v>
      </c>
      <c r="D13" s="5">
        <f t="shared" si="3"/>
        <v>4.0000000000000023E-12</v>
      </c>
      <c r="E13" s="5">
        <f t="shared" si="0"/>
        <v>4.0000000000000026E-13</v>
      </c>
      <c r="F13" s="5">
        <f t="shared" si="6"/>
        <v>0.22659812764066775</v>
      </c>
      <c r="G13" s="5">
        <f t="shared" si="1"/>
        <v>0.22658706355112743</v>
      </c>
      <c r="H13" s="5">
        <f t="shared" si="4"/>
        <v>0.47602324275446939</v>
      </c>
      <c r="I13" s="5">
        <v>0.47599999999999998</v>
      </c>
      <c r="J13" s="11">
        <f t="shared" si="5"/>
        <v>0.24943617920334199</v>
      </c>
    </row>
    <row r="14" spans="1:13" x14ac:dyDescent="0.25">
      <c r="A14" s="2">
        <v>12</v>
      </c>
      <c r="B14" s="5">
        <v>0</v>
      </c>
      <c r="C14" s="5">
        <f t="shared" si="2"/>
        <v>1.0000000000003999</v>
      </c>
      <c r="D14" s="5">
        <f t="shared" si="3"/>
        <v>4.0000000000000026E-13</v>
      </c>
      <c r="E14" s="5">
        <f t="shared" si="0"/>
        <v>4.0000000000000032E-14</v>
      </c>
      <c r="F14" s="5">
        <f t="shared" si="6"/>
        <v>0.22658706355112743</v>
      </c>
      <c r="G14" s="5">
        <f t="shared" si="1"/>
        <v>0.22658153170812775</v>
      </c>
      <c r="H14" s="5">
        <f t="shared" si="4"/>
        <v>0.47601162123556251</v>
      </c>
      <c r="I14" s="5">
        <v>0.47599999999999998</v>
      </c>
      <c r="J14" s="11">
        <f t="shared" si="5"/>
        <v>0.24943008952743476</v>
      </c>
    </row>
    <row r="15" spans="1:13" x14ac:dyDescent="0.25">
      <c r="A15" s="2">
        <v>13</v>
      </c>
      <c r="B15" s="5">
        <v>0</v>
      </c>
      <c r="C15" s="5">
        <f t="shared" si="2"/>
        <v>1.00000000000004</v>
      </c>
      <c r="D15" s="5">
        <f t="shared" si="3"/>
        <v>4.0000000000000032E-14</v>
      </c>
      <c r="E15" s="5">
        <f t="shared" si="0"/>
        <v>4.0000000000000035E-15</v>
      </c>
      <c r="F15" s="5">
        <f t="shared" si="6"/>
        <v>0.22658153170812775</v>
      </c>
      <c r="G15" s="5">
        <f t="shared" si="1"/>
        <v>0.2265787658371915</v>
      </c>
      <c r="H15" s="5">
        <f t="shared" si="4"/>
        <v>0.4760058105823351</v>
      </c>
      <c r="I15" s="5">
        <v>0.47599999999999998</v>
      </c>
      <c r="J15" s="11">
        <f t="shared" si="5"/>
        <v>0.2494270447451436</v>
      </c>
    </row>
    <row r="16" spans="1:13" x14ac:dyDescent="0.25">
      <c r="A16" s="2">
        <v>14</v>
      </c>
      <c r="B16" s="5">
        <v>0</v>
      </c>
      <c r="C16" s="5">
        <f t="shared" si="2"/>
        <v>1.000000000000004</v>
      </c>
      <c r="D16" s="5">
        <f t="shared" si="3"/>
        <v>4.0000000000000035E-15</v>
      </c>
      <c r="E16" s="5">
        <f t="shared" si="0"/>
        <v>4.0000000000000039E-16</v>
      </c>
      <c r="F16" s="5">
        <f t="shared" si="6"/>
        <v>0.2265787658371915</v>
      </c>
      <c r="G16" s="5">
        <f t="shared" si="1"/>
        <v>0.22657738291437629</v>
      </c>
      <c r="H16" s="5">
        <f t="shared" si="4"/>
        <v>0.47600290528230316</v>
      </c>
      <c r="I16" s="5">
        <v>0.47599999999999998</v>
      </c>
      <c r="J16" s="11">
        <f t="shared" si="5"/>
        <v>0.24942552236792687</v>
      </c>
    </row>
    <row r="17" spans="1:10" x14ac:dyDescent="0.25">
      <c r="A17" s="2">
        <v>15</v>
      </c>
      <c r="B17" s="5">
        <v>0</v>
      </c>
      <c r="C17" s="5">
        <f t="shared" si="2"/>
        <v>1.0000000000000004</v>
      </c>
      <c r="D17" s="5">
        <f t="shared" si="3"/>
        <v>4.0000000000000039E-16</v>
      </c>
      <c r="E17" s="5">
        <f t="shared" si="0"/>
        <v>4.000000000000004E-17</v>
      </c>
      <c r="F17" s="5">
        <f t="shared" si="6"/>
        <v>0.22657738291437629</v>
      </c>
      <c r="G17" s="5">
        <f t="shared" si="1"/>
        <v>0.22657669145613316</v>
      </c>
      <c r="H17" s="5">
        <f t="shared" si="4"/>
        <v>0.47600145263893523</v>
      </c>
      <c r="I17" s="5">
        <v>0.47599999999999998</v>
      </c>
      <c r="J17" s="11">
        <f t="shared" si="5"/>
        <v>0.24942476118280205</v>
      </c>
    </row>
    <row r="18" spans="1:10" x14ac:dyDescent="0.25">
      <c r="A18" s="2">
        <v>16</v>
      </c>
      <c r="B18" s="5">
        <v>0</v>
      </c>
      <c r="C18" s="5">
        <f t="shared" si="2"/>
        <v>1</v>
      </c>
      <c r="D18" s="5">
        <f t="shared" si="3"/>
        <v>4.000000000000004E-17</v>
      </c>
      <c r="E18" s="5">
        <f t="shared" si="0"/>
        <v>4.0000000000000041E-18</v>
      </c>
      <c r="F18" s="5">
        <f t="shared" si="6"/>
        <v>0.22657669145613316</v>
      </c>
      <c r="G18" s="5">
        <f t="shared" si="1"/>
        <v>0.22657634572780277</v>
      </c>
      <c r="H18" s="5">
        <f t="shared" si="4"/>
        <v>0.47600072631891344</v>
      </c>
      <c r="I18" s="5">
        <v>0.47599999999999998</v>
      </c>
      <c r="J18" s="11">
        <f t="shared" si="5"/>
        <v>0.24942438059111066</v>
      </c>
    </row>
    <row r="19" spans="1:10" x14ac:dyDescent="0.25">
      <c r="A19" s="2">
        <v>17</v>
      </c>
      <c r="B19" s="5">
        <v>0</v>
      </c>
      <c r="C19" s="5">
        <f t="shared" si="2"/>
        <v>1</v>
      </c>
      <c r="D19" s="5">
        <f t="shared" si="3"/>
        <v>4.0000000000000041E-18</v>
      </c>
      <c r="E19" s="5">
        <f t="shared" si="0"/>
        <v>4.0000000000000042E-19</v>
      </c>
      <c r="F19" s="5">
        <f t="shared" si="6"/>
        <v>0.22657634572780277</v>
      </c>
      <c r="G19" s="5">
        <f t="shared" si="1"/>
        <v>0.22657617286383544</v>
      </c>
      <c r="H19" s="5">
        <f t="shared" si="4"/>
        <v>0.47600036315931815</v>
      </c>
      <c r="I19" s="5">
        <v>0.47599999999999998</v>
      </c>
      <c r="J19" s="11">
        <f t="shared" si="5"/>
        <v>0.24942419029548271</v>
      </c>
    </row>
    <row r="20" spans="1:10" x14ac:dyDescent="0.25">
      <c r="A20" s="2">
        <v>18</v>
      </c>
      <c r="B20" s="5">
        <v>0</v>
      </c>
      <c r="C20" s="5">
        <f t="shared" si="2"/>
        <v>1</v>
      </c>
      <c r="D20" s="5">
        <f t="shared" si="3"/>
        <v>4.0000000000000042E-19</v>
      </c>
      <c r="E20" s="5">
        <f t="shared" si="0"/>
        <v>4.0000000000000046E-20</v>
      </c>
      <c r="F20" s="5">
        <f t="shared" si="6"/>
        <v>0.22657617286383544</v>
      </c>
      <c r="G20" s="5">
        <f t="shared" si="1"/>
        <v>0.22657608643190122</v>
      </c>
      <c r="H20" s="5">
        <f t="shared" si="4"/>
        <v>0.47600018157962443</v>
      </c>
      <c r="I20" s="5">
        <v>0.47599999999999998</v>
      </c>
      <c r="J20" s="11">
        <f t="shared" si="5"/>
        <v>0.24942409514772321</v>
      </c>
    </row>
    <row r="21" spans="1:10" x14ac:dyDescent="0.25">
      <c r="A21" s="2">
        <v>19</v>
      </c>
      <c r="B21" s="5">
        <v>0</v>
      </c>
      <c r="C21" s="5">
        <f t="shared" si="2"/>
        <v>1</v>
      </c>
      <c r="D21" s="5">
        <f t="shared" si="3"/>
        <v>4.0000000000000046E-20</v>
      </c>
      <c r="E21" s="5">
        <f t="shared" si="0"/>
        <v>4.0000000000000049E-21</v>
      </c>
      <c r="F21" s="5">
        <f t="shared" si="6"/>
        <v>0.22657608643190122</v>
      </c>
      <c r="G21" s="5">
        <f t="shared" si="1"/>
        <v>0.22657604321594649</v>
      </c>
      <c r="H21" s="5">
        <f t="shared" si="4"/>
        <v>0.47600009078980354</v>
      </c>
      <c r="I21" s="5">
        <v>0.47599999999999998</v>
      </c>
      <c r="J21" s="11">
        <f t="shared" si="5"/>
        <v>0.24942404757385706</v>
      </c>
    </row>
    <row r="22" spans="1:10" x14ac:dyDescent="0.25">
      <c r="A22" s="2">
        <v>20</v>
      </c>
      <c r="B22" s="5">
        <v>0</v>
      </c>
      <c r="C22" s="5">
        <f t="shared" si="2"/>
        <v>1</v>
      </c>
      <c r="D22" s="5">
        <f t="shared" si="3"/>
        <v>4.0000000000000049E-21</v>
      </c>
      <c r="E22" s="5">
        <f t="shared" si="0"/>
        <v>4.0000000000000049E-22</v>
      </c>
      <c r="F22" s="5">
        <f t="shared" si="6"/>
        <v>0.22657604321594649</v>
      </c>
      <c r="G22" s="5">
        <f t="shared" si="1"/>
        <v>0.22657602160797219</v>
      </c>
      <c r="H22" s="5">
        <f t="shared" si="4"/>
        <v>0.4760000453948996</v>
      </c>
      <c r="I22" s="5">
        <v>0.47599999999999998</v>
      </c>
      <c r="J22" s="11">
        <f t="shared" si="5"/>
        <v>0.24942402378692741</v>
      </c>
    </row>
    <row r="23" spans="1:10" x14ac:dyDescent="0.25">
      <c r="A23" s="2">
        <v>21</v>
      </c>
      <c r="B23" s="5">
        <v>0</v>
      </c>
      <c r="C23" s="5">
        <f t="shared" si="2"/>
        <v>1</v>
      </c>
      <c r="D23" s="5">
        <f t="shared" si="3"/>
        <v>4.0000000000000049E-22</v>
      </c>
      <c r="E23" s="5">
        <f t="shared" si="0"/>
        <v>4.0000000000000051E-23</v>
      </c>
      <c r="F23" s="5">
        <f t="shared" si="6"/>
        <v>0.22657602160797219</v>
      </c>
      <c r="G23" s="5">
        <f t="shared" si="1"/>
        <v>0.22657601080398582</v>
      </c>
      <c r="H23" s="5">
        <f t="shared" si="4"/>
        <v>0.47600002269744923</v>
      </c>
      <c r="I23" s="5">
        <v>0.47599999999999998</v>
      </c>
      <c r="J23" s="11">
        <f t="shared" si="5"/>
        <v>0.24942401189346342</v>
      </c>
    </row>
    <row r="24" spans="1:10" x14ac:dyDescent="0.25">
      <c r="A24" s="2">
        <v>22</v>
      </c>
      <c r="B24" s="5">
        <v>0</v>
      </c>
      <c r="C24" s="5">
        <f t="shared" si="2"/>
        <v>1</v>
      </c>
      <c r="D24" s="5">
        <f t="shared" si="3"/>
        <v>4.0000000000000051E-23</v>
      </c>
      <c r="E24" s="5">
        <f t="shared" si="0"/>
        <v>4.0000000000000056E-24</v>
      </c>
      <c r="F24" s="5">
        <f t="shared" si="6"/>
        <v>0.22657601080398582</v>
      </c>
      <c r="G24" s="5">
        <f t="shared" si="1"/>
        <v>0.22657600540199282</v>
      </c>
      <c r="H24" s="5">
        <f t="shared" si="4"/>
        <v>0.47600001134872444</v>
      </c>
      <c r="I24" s="5">
        <v>0.47599999999999998</v>
      </c>
      <c r="J24" s="11">
        <f t="shared" si="5"/>
        <v>0.24942400594673161</v>
      </c>
    </row>
    <row r="25" spans="1:10" x14ac:dyDescent="0.25">
      <c r="A25" s="2">
        <v>23</v>
      </c>
      <c r="B25" s="5">
        <v>0</v>
      </c>
      <c r="C25" s="5">
        <f t="shared" si="2"/>
        <v>1</v>
      </c>
      <c r="D25" s="5">
        <f t="shared" si="3"/>
        <v>4.0000000000000056E-24</v>
      </c>
      <c r="E25" s="5">
        <f t="shared" si="0"/>
        <v>4.0000000000000057E-25</v>
      </c>
      <c r="F25" s="5">
        <f t="shared" si="6"/>
        <v>0.22657600540199282</v>
      </c>
      <c r="G25" s="5">
        <f t="shared" si="1"/>
        <v>0.2265760027009964</v>
      </c>
      <c r="H25" s="5">
        <f t="shared" si="4"/>
        <v>0.47600000567436218</v>
      </c>
      <c r="I25" s="5">
        <v>0.47599999999999998</v>
      </c>
      <c r="J25" s="11">
        <f t="shared" si="5"/>
        <v>0.24942400297336578</v>
      </c>
    </row>
    <row r="26" spans="1:10" x14ac:dyDescent="0.25">
      <c r="A26" s="2">
        <v>24</v>
      </c>
      <c r="B26" s="5">
        <v>0</v>
      </c>
      <c r="C26" s="5">
        <f t="shared" si="2"/>
        <v>1</v>
      </c>
      <c r="D26" s="5">
        <f t="shared" si="3"/>
        <v>4.0000000000000057E-25</v>
      </c>
      <c r="E26" s="5">
        <f t="shared" si="0"/>
        <v>4.0000000000000059E-26</v>
      </c>
      <c r="F26" s="5">
        <f t="shared" si="6"/>
        <v>0.2265760027009964</v>
      </c>
      <c r="G26" s="5">
        <f t="shared" si="1"/>
        <v>0.22657600135049819</v>
      </c>
      <c r="H26" s="5">
        <f t="shared" si="4"/>
        <v>0.47600000283718108</v>
      </c>
      <c r="I26" s="5">
        <v>0.47599999999999998</v>
      </c>
      <c r="J26" s="11">
        <f t="shared" si="5"/>
        <v>0.24942400148668289</v>
      </c>
    </row>
    <row r="27" spans="1:10" x14ac:dyDescent="0.25">
      <c r="A27" s="2">
        <v>25</v>
      </c>
      <c r="B27" s="5">
        <v>0</v>
      </c>
      <c r="C27" s="5">
        <f t="shared" si="2"/>
        <v>1</v>
      </c>
      <c r="D27" s="5">
        <f t="shared" si="3"/>
        <v>4.0000000000000059E-26</v>
      </c>
      <c r="E27" s="5">
        <f t="shared" si="0"/>
        <v>4.0000000000000059E-27</v>
      </c>
      <c r="F27" s="5">
        <f t="shared" si="6"/>
        <v>0.22657600135049819</v>
      </c>
      <c r="G27" s="5">
        <f t="shared" si="1"/>
        <v>0.22657600067524908</v>
      </c>
      <c r="H27" s="5">
        <f t="shared" si="4"/>
        <v>0.4760000014185905</v>
      </c>
      <c r="I27" s="5">
        <v>0.47599999999999998</v>
      </c>
      <c r="J27" s="11">
        <f t="shared" si="5"/>
        <v>0.24942400074334142</v>
      </c>
    </row>
    <row r="28" spans="1:10" x14ac:dyDescent="0.25">
      <c r="A28" s="2">
        <v>26</v>
      </c>
      <c r="B28" s="5">
        <v>0</v>
      </c>
      <c r="C28" s="5">
        <f t="shared" si="2"/>
        <v>1</v>
      </c>
      <c r="D28" s="5">
        <f t="shared" si="3"/>
        <v>4.0000000000000059E-27</v>
      </c>
      <c r="E28" s="5">
        <f t="shared" si="0"/>
        <v>4.0000000000000062E-28</v>
      </c>
      <c r="F28" s="5">
        <f t="shared" si="6"/>
        <v>0.22657600067524908</v>
      </c>
      <c r="G28" s="5">
        <f t="shared" si="1"/>
        <v>0.22657600033762454</v>
      </c>
      <c r="H28" s="5">
        <f t="shared" si="4"/>
        <v>0.47600000070929527</v>
      </c>
      <c r="I28" s="5">
        <v>0.47599999999999998</v>
      </c>
      <c r="J28" s="11">
        <f t="shared" si="5"/>
        <v>0.24942400037167073</v>
      </c>
    </row>
    <row r="29" spans="1:10" x14ac:dyDescent="0.25">
      <c r="A29" s="2">
        <v>27</v>
      </c>
      <c r="B29" s="5">
        <v>0</v>
      </c>
      <c r="C29" s="5">
        <f t="shared" si="2"/>
        <v>1</v>
      </c>
      <c r="D29" s="5">
        <f t="shared" si="3"/>
        <v>4.0000000000000062E-28</v>
      </c>
      <c r="E29" s="5">
        <f t="shared" si="0"/>
        <v>4.0000000000000065E-29</v>
      </c>
      <c r="F29" s="5">
        <f t="shared" si="6"/>
        <v>0.22657600033762454</v>
      </c>
      <c r="G29" s="5">
        <f t="shared" si="1"/>
        <v>0.22657600016881227</v>
      </c>
      <c r="H29" s="5">
        <f t="shared" si="4"/>
        <v>0.47600000035464762</v>
      </c>
      <c r="I29" s="5">
        <v>0.47599999999999998</v>
      </c>
      <c r="J29" s="11">
        <f t="shared" si="5"/>
        <v>0.24942400018583535</v>
      </c>
    </row>
    <row r="30" spans="1:10" x14ac:dyDescent="0.25">
      <c r="A30" s="2">
        <v>28</v>
      </c>
      <c r="B30" s="5">
        <v>0</v>
      </c>
      <c r="C30" s="5">
        <f t="shared" si="2"/>
        <v>1</v>
      </c>
      <c r="D30" s="5">
        <f t="shared" si="3"/>
        <v>4.0000000000000065E-29</v>
      </c>
      <c r="E30" s="5">
        <f t="shared" si="0"/>
        <v>4.0000000000000066E-30</v>
      </c>
      <c r="F30" s="5">
        <f t="shared" si="6"/>
        <v>0.22657600016881227</v>
      </c>
      <c r="G30" s="5">
        <f t="shared" si="1"/>
        <v>0.22657600008440612</v>
      </c>
      <c r="H30" s="5">
        <f t="shared" si="4"/>
        <v>0.4760000001773238</v>
      </c>
      <c r="I30" s="5">
        <v>0.47599999999999998</v>
      </c>
      <c r="J30" s="11">
        <f t="shared" si="5"/>
        <v>0.24942400009291768</v>
      </c>
    </row>
    <row r="31" spans="1:10" x14ac:dyDescent="0.25">
      <c r="A31" s="2">
        <v>29</v>
      </c>
      <c r="B31" s="5">
        <v>0</v>
      </c>
      <c r="C31" s="5">
        <f t="shared" si="2"/>
        <v>1</v>
      </c>
      <c r="D31" s="5">
        <f t="shared" si="3"/>
        <v>4.0000000000000066E-30</v>
      </c>
      <c r="E31" s="5">
        <f t="shared" si="0"/>
        <v>4.0000000000000065E-31</v>
      </c>
      <c r="F31" s="5">
        <f t="shared" si="6"/>
        <v>0.22657600008440612</v>
      </c>
      <c r="G31" s="5">
        <f t="shared" si="1"/>
        <v>0.22657600004220305</v>
      </c>
      <c r="H31" s="5">
        <f t="shared" si="4"/>
        <v>0.47600000008866189</v>
      </c>
      <c r="I31" s="5">
        <v>0.47599999999999998</v>
      </c>
      <c r="J31" s="11">
        <f t="shared" si="5"/>
        <v>0.24942400004645884</v>
      </c>
    </row>
    <row r="32" spans="1:10" x14ac:dyDescent="0.25">
      <c r="A32" s="2">
        <v>30</v>
      </c>
      <c r="B32" s="5">
        <v>0</v>
      </c>
      <c r="C32" s="5">
        <f t="shared" si="2"/>
        <v>1</v>
      </c>
      <c r="D32" s="5">
        <f t="shared" si="3"/>
        <v>4.0000000000000065E-31</v>
      </c>
      <c r="E32" s="5">
        <f t="shared" si="0"/>
        <v>4.0000000000000068E-32</v>
      </c>
      <c r="F32" s="5">
        <f t="shared" si="6"/>
        <v>0.22657600004220305</v>
      </c>
      <c r="G32" s="5">
        <f t="shared" si="1"/>
        <v>0.22657600002110151</v>
      </c>
      <c r="H32" s="5">
        <f t="shared" si="4"/>
        <v>0.47600000004433091</v>
      </c>
      <c r="I32" s="5">
        <v>0.47599999999999998</v>
      </c>
      <c r="J32" s="11">
        <f t="shared" si="5"/>
        <v>0.2494240000232294</v>
      </c>
    </row>
    <row r="33" spans="1:10" x14ac:dyDescent="0.25">
      <c r="A33" s="2">
        <v>31</v>
      </c>
      <c r="B33" s="5">
        <v>0</v>
      </c>
      <c r="C33" s="5">
        <f t="shared" si="2"/>
        <v>1</v>
      </c>
      <c r="D33" s="5">
        <f t="shared" si="3"/>
        <v>4.0000000000000068E-32</v>
      </c>
      <c r="E33" s="5">
        <f t="shared" si="0"/>
        <v>4.0000000000000071E-33</v>
      </c>
      <c r="F33" s="5">
        <f t="shared" si="6"/>
        <v>0.22657600002110151</v>
      </c>
      <c r="G33" s="5">
        <f t="shared" si="1"/>
        <v>0.22657600001055075</v>
      </c>
      <c r="H33" s="5">
        <f t="shared" si="4"/>
        <v>0.47600000002216547</v>
      </c>
      <c r="I33" s="5">
        <v>0.47599999999999998</v>
      </c>
      <c r="J33" s="11">
        <f t="shared" si="5"/>
        <v>0.24942400001161472</v>
      </c>
    </row>
    <row r="34" spans="1:10" x14ac:dyDescent="0.25">
      <c r="A34" s="2">
        <v>32</v>
      </c>
      <c r="B34" s="5">
        <v>0</v>
      </c>
      <c r="C34" s="5">
        <f t="shared" si="2"/>
        <v>1</v>
      </c>
      <c r="D34" s="5">
        <f t="shared" si="3"/>
        <v>4.0000000000000071E-33</v>
      </c>
      <c r="E34" s="5">
        <f t="shared" ref="E34:E65" si="7">$M$3*D34+B34</f>
        <v>4.0000000000000074E-34</v>
      </c>
      <c r="F34" s="5">
        <f t="shared" si="6"/>
        <v>0.22657600001055075</v>
      </c>
      <c r="G34" s="5">
        <f t="shared" ref="G34:G65" si="8">F35</f>
        <v>0.22657600000527536</v>
      </c>
      <c r="H34" s="5">
        <f t="shared" si="4"/>
        <v>0.47600000001108272</v>
      </c>
      <c r="I34" s="5">
        <v>0.47599999999999998</v>
      </c>
      <c r="J34" s="11">
        <f t="shared" si="5"/>
        <v>0.24942400000580736</v>
      </c>
    </row>
    <row r="35" spans="1:10" x14ac:dyDescent="0.25">
      <c r="A35" s="2">
        <v>33</v>
      </c>
      <c r="B35" s="5">
        <v>0</v>
      </c>
      <c r="C35" s="5">
        <f t="shared" ref="C35:C66" si="9">EXP(D35)</f>
        <v>1</v>
      </c>
      <c r="D35" s="5">
        <f t="shared" ref="D35:D66" si="10">E34</f>
        <v>4.0000000000000074E-34</v>
      </c>
      <c r="E35" s="5">
        <f t="shared" si="7"/>
        <v>4.0000000000000075E-35</v>
      </c>
      <c r="F35" s="5">
        <f t="shared" si="6"/>
        <v>0.22657600000527536</v>
      </c>
      <c r="G35" s="5">
        <f t="shared" si="8"/>
        <v>0.22657600000263767</v>
      </c>
      <c r="H35" s="5">
        <f t="shared" si="4"/>
        <v>0.47600000000554132</v>
      </c>
      <c r="I35" s="5">
        <v>0.47599999999999998</v>
      </c>
      <c r="J35" s="11">
        <f t="shared" si="5"/>
        <v>0.24942400000290366</v>
      </c>
    </row>
    <row r="36" spans="1:10" x14ac:dyDescent="0.25">
      <c r="A36" s="2">
        <v>34</v>
      </c>
      <c r="B36" s="5">
        <v>0</v>
      </c>
      <c r="C36" s="5">
        <f t="shared" si="9"/>
        <v>1</v>
      </c>
      <c r="D36" s="5">
        <f t="shared" si="10"/>
        <v>4.0000000000000075E-35</v>
      </c>
      <c r="E36" s="5">
        <f t="shared" si="7"/>
        <v>4.0000000000000078E-36</v>
      </c>
      <c r="F36" s="5">
        <f t="shared" si="6"/>
        <v>0.22657600000263767</v>
      </c>
      <c r="G36" s="5">
        <f t="shared" si="8"/>
        <v>0.22657600000131883</v>
      </c>
      <c r="H36" s="5">
        <f t="shared" si="4"/>
        <v>0.47600000000277065</v>
      </c>
      <c r="I36" s="5">
        <v>0.47599999999999998</v>
      </c>
      <c r="J36" s="11">
        <f t="shared" si="5"/>
        <v>0.24942400000145182</v>
      </c>
    </row>
    <row r="37" spans="1:10" x14ac:dyDescent="0.25">
      <c r="A37" s="2">
        <v>35</v>
      </c>
      <c r="B37" s="5">
        <v>0</v>
      </c>
      <c r="C37" s="5">
        <f t="shared" si="9"/>
        <v>1</v>
      </c>
      <c r="D37" s="5">
        <f t="shared" si="10"/>
        <v>4.0000000000000078E-36</v>
      </c>
      <c r="E37" s="5">
        <f t="shared" si="7"/>
        <v>4.0000000000000078E-37</v>
      </c>
      <c r="F37" s="5">
        <f t="shared" si="6"/>
        <v>0.22657600000131883</v>
      </c>
      <c r="G37" s="5">
        <f t="shared" si="8"/>
        <v>0.22657600000065939</v>
      </c>
      <c r="H37" s="5">
        <f t="shared" si="4"/>
        <v>0.47600000000138531</v>
      </c>
      <c r="I37" s="5">
        <v>0.47599999999999998</v>
      </c>
      <c r="J37" s="11">
        <f t="shared" si="5"/>
        <v>0.24942400000072593</v>
      </c>
    </row>
    <row r="38" spans="1:10" x14ac:dyDescent="0.25">
      <c r="A38" s="2">
        <v>36</v>
      </c>
      <c r="B38" s="5">
        <v>0</v>
      </c>
      <c r="C38" s="5">
        <f t="shared" si="9"/>
        <v>1</v>
      </c>
      <c r="D38" s="5">
        <f t="shared" si="10"/>
        <v>4.0000000000000078E-37</v>
      </c>
      <c r="E38" s="5">
        <f t="shared" si="7"/>
        <v>4.0000000000000082E-38</v>
      </c>
      <c r="F38" s="5">
        <f t="shared" si="6"/>
        <v>0.22657600000065939</v>
      </c>
      <c r="G38" s="5">
        <f t="shared" si="8"/>
        <v>0.22657600000032968</v>
      </c>
      <c r="H38" s="5">
        <f t="shared" si="4"/>
        <v>0.47600000000069265</v>
      </c>
      <c r="I38" s="5">
        <v>0.47599999999999998</v>
      </c>
      <c r="J38" s="11">
        <f t="shared" si="5"/>
        <v>0.24942400000036297</v>
      </c>
    </row>
    <row r="39" spans="1:10" x14ac:dyDescent="0.25">
      <c r="A39" s="2">
        <v>37</v>
      </c>
      <c r="B39" s="5">
        <v>0</v>
      </c>
      <c r="C39" s="5">
        <f t="shared" si="9"/>
        <v>1</v>
      </c>
      <c r="D39" s="5">
        <f t="shared" si="10"/>
        <v>4.0000000000000082E-38</v>
      </c>
      <c r="E39" s="5">
        <f t="shared" si="7"/>
        <v>4.0000000000000082E-39</v>
      </c>
      <c r="F39" s="5">
        <f t="shared" si="6"/>
        <v>0.22657600000032968</v>
      </c>
      <c r="G39" s="5">
        <f t="shared" si="8"/>
        <v>0.22657600000016484</v>
      </c>
      <c r="H39" s="5">
        <f t="shared" si="4"/>
        <v>0.47600000000034631</v>
      </c>
      <c r="I39" s="5">
        <v>0.47599999999999998</v>
      </c>
      <c r="J39" s="11">
        <f t="shared" si="5"/>
        <v>0.24942400000018147</v>
      </c>
    </row>
    <row r="40" spans="1:10" x14ac:dyDescent="0.25">
      <c r="A40" s="2">
        <v>38</v>
      </c>
      <c r="B40" s="5">
        <v>0</v>
      </c>
      <c r="C40" s="5">
        <f t="shared" si="9"/>
        <v>1</v>
      </c>
      <c r="D40" s="5">
        <f t="shared" si="10"/>
        <v>4.0000000000000082E-39</v>
      </c>
      <c r="E40" s="5">
        <f t="shared" si="7"/>
        <v>4.0000000000000087E-40</v>
      </c>
      <c r="F40" s="5">
        <f t="shared" si="6"/>
        <v>0.22657600000016484</v>
      </c>
      <c r="G40" s="5">
        <f t="shared" si="8"/>
        <v>0.22657600000008243</v>
      </c>
      <c r="H40" s="5">
        <f t="shared" si="4"/>
        <v>0.47600000000017317</v>
      </c>
      <c r="I40" s="5">
        <v>0.47599999999999998</v>
      </c>
      <c r="J40" s="11">
        <f t="shared" si="5"/>
        <v>0.24942400000009074</v>
      </c>
    </row>
    <row r="41" spans="1:10" x14ac:dyDescent="0.25">
      <c r="A41" s="2">
        <v>39</v>
      </c>
      <c r="B41" s="5">
        <v>0</v>
      </c>
      <c r="C41" s="5">
        <f t="shared" si="9"/>
        <v>1</v>
      </c>
      <c r="D41" s="5">
        <f t="shared" si="10"/>
        <v>4.0000000000000087E-40</v>
      </c>
      <c r="E41" s="5">
        <f t="shared" si="7"/>
        <v>4.0000000000000087E-41</v>
      </c>
      <c r="F41" s="5">
        <f t="shared" si="6"/>
        <v>0.22657600000008243</v>
      </c>
      <c r="G41" s="5">
        <f t="shared" si="8"/>
        <v>0.22657600000004119</v>
      </c>
      <c r="H41" s="5">
        <f t="shared" si="4"/>
        <v>0.47600000000008658</v>
      </c>
      <c r="I41" s="5">
        <v>0.47599999999999998</v>
      </c>
      <c r="J41" s="11">
        <f t="shared" si="5"/>
        <v>0.24942400000004539</v>
      </c>
    </row>
    <row r="42" spans="1:10" x14ac:dyDescent="0.25">
      <c r="A42" s="2">
        <v>40</v>
      </c>
      <c r="B42" s="5">
        <v>0</v>
      </c>
      <c r="C42" s="5">
        <f t="shared" si="9"/>
        <v>1</v>
      </c>
      <c r="D42" s="5">
        <f t="shared" si="10"/>
        <v>4.0000000000000087E-41</v>
      </c>
      <c r="E42" s="5">
        <f t="shared" si="7"/>
        <v>4.0000000000000091E-42</v>
      </c>
      <c r="F42" s="5">
        <f t="shared" si="6"/>
        <v>0.22657600000004119</v>
      </c>
      <c r="G42" s="5">
        <f t="shared" si="8"/>
        <v>0.22657600000002059</v>
      </c>
      <c r="H42" s="5">
        <f t="shared" si="4"/>
        <v>0.47600000000004328</v>
      </c>
      <c r="I42" s="5">
        <v>0.47599999999999998</v>
      </c>
      <c r="J42" s="11">
        <f t="shared" si="5"/>
        <v>0.24942400000002268</v>
      </c>
    </row>
    <row r="43" spans="1:10" x14ac:dyDescent="0.25">
      <c r="A43" s="2">
        <v>41</v>
      </c>
      <c r="B43" s="5">
        <v>0</v>
      </c>
      <c r="C43" s="5">
        <f t="shared" si="9"/>
        <v>1</v>
      </c>
      <c r="D43" s="5">
        <f t="shared" si="10"/>
        <v>4.0000000000000091E-42</v>
      </c>
      <c r="E43" s="5">
        <f t="shared" si="7"/>
        <v>4.0000000000000091E-43</v>
      </c>
      <c r="F43" s="5">
        <f t="shared" si="6"/>
        <v>0.22657600000002059</v>
      </c>
      <c r="G43" s="5">
        <f t="shared" si="8"/>
        <v>0.2265760000000103</v>
      </c>
      <c r="H43" s="5">
        <f t="shared" si="4"/>
        <v>0.47600000000002163</v>
      </c>
      <c r="I43" s="5">
        <v>0.47599999999999998</v>
      </c>
      <c r="J43" s="11">
        <f t="shared" si="5"/>
        <v>0.24942400000001133</v>
      </c>
    </row>
    <row r="44" spans="1:10" x14ac:dyDescent="0.25">
      <c r="A44" s="2">
        <v>42</v>
      </c>
      <c r="B44" s="5">
        <v>0</v>
      </c>
      <c r="C44" s="5">
        <f t="shared" si="9"/>
        <v>1</v>
      </c>
      <c r="D44" s="5">
        <f t="shared" si="10"/>
        <v>4.0000000000000091E-43</v>
      </c>
      <c r="E44" s="5">
        <f t="shared" si="7"/>
        <v>4.0000000000000093E-44</v>
      </c>
      <c r="F44" s="5">
        <f t="shared" si="6"/>
        <v>0.2265760000000103</v>
      </c>
      <c r="G44" s="5">
        <f t="shared" si="8"/>
        <v>0.22657600000000513</v>
      </c>
      <c r="H44" s="5">
        <f t="shared" si="4"/>
        <v>0.4760000000000108</v>
      </c>
      <c r="I44" s="5">
        <v>0.47599999999999998</v>
      </c>
      <c r="J44" s="11">
        <f t="shared" si="5"/>
        <v>0.24942400000000567</v>
      </c>
    </row>
    <row r="45" spans="1:10" x14ac:dyDescent="0.25">
      <c r="A45" s="2">
        <v>43</v>
      </c>
      <c r="B45" s="5">
        <v>0</v>
      </c>
      <c r="C45" s="5">
        <f t="shared" si="9"/>
        <v>1</v>
      </c>
      <c r="D45" s="5">
        <f t="shared" si="10"/>
        <v>4.0000000000000093E-44</v>
      </c>
      <c r="E45" s="5">
        <f t="shared" si="7"/>
        <v>4.0000000000000093E-45</v>
      </c>
      <c r="F45" s="5">
        <f t="shared" si="6"/>
        <v>0.22657600000000513</v>
      </c>
      <c r="G45" s="5">
        <f t="shared" si="8"/>
        <v>0.22657600000000258</v>
      </c>
      <c r="H45" s="5">
        <f t="shared" si="4"/>
        <v>0.47600000000000542</v>
      </c>
      <c r="I45" s="5">
        <v>0.47599999999999998</v>
      </c>
      <c r="J45" s="11">
        <f t="shared" si="5"/>
        <v>0.24942400000000284</v>
      </c>
    </row>
    <row r="46" spans="1:10" x14ac:dyDescent="0.25">
      <c r="A46" s="2">
        <v>44</v>
      </c>
      <c r="B46" s="5">
        <v>0</v>
      </c>
      <c r="C46" s="5">
        <f t="shared" si="9"/>
        <v>1</v>
      </c>
      <c r="D46" s="5">
        <f t="shared" si="10"/>
        <v>4.0000000000000093E-45</v>
      </c>
      <c r="E46" s="5">
        <f t="shared" si="7"/>
        <v>4.0000000000000094E-46</v>
      </c>
      <c r="F46" s="5">
        <f t="shared" si="6"/>
        <v>0.22657600000000258</v>
      </c>
      <c r="G46" s="5">
        <f t="shared" si="8"/>
        <v>0.22657600000000128</v>
      </c>
      <c r="H46" s="5">
        <f t="shared" si="4"/>
        <v>0.4760000000000027</v>
      </c>
      <c r="I46" s="5">
        <v>0.47599999999999998</v>
      </c>
      <c r="J46" s="11">
        <f t="shared" si="5"/>
        <v>0.24942400000000142</v>
      </c>
    </row>
    <row r="47" spans="1:10" x14ac:dyDescent="0.25">
      <c r="A47" s="2">
        <v>45</v>
      </c>
      <c r="B47" s="5">
        <v>0</v>
      </c>
      <c r="C47" s="5">
        <f t="shared" si="9"/>
        <v>1</v>
      </c>
      <c r="D47" s="5">
        <f t="shared" si="10"/>
        <v>4.0000000000000094E-46</v>
      </c>
      <c r="E47" s="5">
        <f t="shared" si="7"/>
        <v>4.0000000000000096E-47</v>
      </c>
      <c r="F47" s="5">
        <f t="shared" si="6"/>
        <v>0.22657600000000128</v>
      </c>
      <c r="G47" s="5">
        <f t="shared" si="8"/>
        <v>0.22657600000000064</v>
      </c>
      <c r="H47" s="5">
        <f t="shared" si="4"/>
        <v>0.47600000000000137</v>
      </c>
      <c r="I47" s="5">
        <v>0.47599999999999998</v>
      </c>
      <c r="J47" s="11">
        <f t="shared" si="5"/>
        <v>0.24942400000000073</v>
      </c>
    </row>
    <row r="48" spans="1:10" x14ac:dyDescent="0.25">
      <c r="A48" s="2">
        <v>46</v>
      </c>
      <c r="B48" s="5">
        <v>0</v>
      </c>
      <c r="C48" s="5">
        <f t="shared" si="9"/>
        <v>1</v>
      </c>
      <c r="D48" s="5">
        <f t="shared" si="10"/>
        <v>4.0000000000000096E-47</v>
      </c>
      <c r="E48" s="5">
        <f t="shared" si="7"/>
        <v>4.0000000000000096E-48</v>
      </c>
      <c r="F48" s="5">
        <f t="shared" si="6"/>
        <v>0.22657600000000064</v>
      </c>
      <c r="G48" s="5">
        <f t="shared" si="8"/>
        <v>0.2265760000000003</v>
      </c>
      <c r="H48" s="5">
        <f t="shared" si="4"/>
        <v>0.47600000000000064</v>
      </c>
      <c r="I48" s="5">
        <v>0.47599999999999998</v>
      </c>
      <c r="J48" s="11">
        <f t="shared" si="5"/>
        <v>0.24942400000000034</v>
      </c>
    </row>
    <row r="49" spans="1:10" x14ac:dyDescent="0.25">
      <c r="A49" s="2">
        <v>47</v>
      </c>
      <c r="B49" s="5">
        <v>0</v>
      </c>
      <c r="C49" s="5">
        <f t="shared" si="9"/>
        <v>1</v>
      </c>
      <c r="D49" s="5">
        <f t="shared" si="10"/>
        <v>4.0000000000000096E-48</v>
      </c>
      <c r="E49" s="5">
        <f t="shared" si="7"/>
        <v>4.0000000000000096E-49</v>
      </c>
      <c r="F49" s="5">
        <f t="shared" si="6"/>
        <v>0.2265760000000003</v>
      </c>
      <c r="G49" s="5">
        <f t="shared" si="8"/>
        <v>0.22657600000000014</v>
      </c>
      <c r="H49" s="5">
        <f t="shared" si="4"/>
        <v>0.47600000000000031</v>
      </c>
      <c r="I49" s="5">
        <v>0.47599999999999998</v>
      </c>
      <c r="J49" s="11">
        <f t="shared" si="5"/>
        <v>0.24942400000000017</v>
      </c>
    </row>
    <row r="50" spans="1:10" x14ac:dyDescent="0.25">
      <c r="A50" s="2">
        <v>48</v>
      </c>
      <c r="B50" s="5">
        <v>0</v>
      </c>
      <c r="C50" s="5">
        <f t="shared" si="9"/>
        <v>1</v>
      </c>
      <c r="D50" s="5">
        <f t="shared" si="10"/>
        <v>4.0000000000000096E-49</v>
      </c>
      <c r="E50" s="5">
        <f t="shared" si="7"/>
        <v>4.00000000000001E-50</v>
      </c>
      <c r="F50" s="5">
        <f t="shared" si="6"/>
        <v>0.22657600000000014</v>
      </c>
      <c r="G50" s="5">
        <f t="shared" si="8"/>
        <v>0.22657600000000006</v>
      </c>
      <c r="H50" s="5">
        <f t="shared" si="4"/>
        <v>0.47600000000000015</v>
      </c>
      <c r="I50" s="5">
        <v>0.47599999999999998</v>
      </c>
      <c r="J50" s="11">
        <f t="shared" si="5"/>
        <v>0.24942400000000009</v>
      </c>
    </row>
    <row r="51" spans="1:10" x14ac:dyDescent="0.25">
      <c r="A51" s="2">
        <v>49</v>
      </c>
      <c r="B51" s="5">
        <v>0</v>
      </c>
      <c r="C51" s="5">
        <f t="shared" si="9"/>
        <v>1</v>
      </c>
      <c r="D51" s="5">
        <f t="shared" si="10"/>
        <v>4.00000000000001E-50</v>
      </c>
      <c r="E51" s="5">
        <f t="shared" si="7"/>
        <v>4.0000000000000101E-51</v>
      </c>
      <c r="F51" s="5">
        <f t="shared" si="6"/>
        <v>0.22657600000000006</v>
      </c>
      <c r="G51" s="5">
        <f t="shared" si="8"/>
        <v>0.226576</v>
      </c>
      <c r="H51" s="5">
        <f t="shared" si="4"/>
        <v>0.47600000000000003</v>
      </c>
      <c r="I51" s="5">
        <v>0.47599999999999998</v>
      </c>
      <c r="J51" s="11">
        <f t="shared" si="5"/>
        <v>0.24942400000000003</v>
      </c>
    </row>
    <row r="52" spans="1:10" x14ac:dyDescent="0.25">
      <c r="A52" s="2">
        <v>50</v>
      </c>
      <c r="B52" s="5">
        <v>0</v>
      </c>
      <c r="C52" s="5">
        <f t="shared" si="9"/>
        <v>1</v>
      </c>
      <c r="D52" s="5">
        <f t="shared" si="10"/>
        <v>4.0000000000000101E-51</v>
      </c>
      <c r="E52" s="5">
        <f t="shared" si="7"/>
        <v>4.0000000000000104E-52</v>
      </c>
      <c r="F52" s="5">
        <f t="shared" si="6"/>
        <v>0.226576</v>
      </c>
      <c r="G52" s="5">
        <f t="shared" si="8"/>
        <v>0.22657599999999997</v>
      </c>
      <c r="H52" s="5">
        <f t="shared" si="4"/>
        <v>0.47599999999999998</v>
      </c>
      <c r="I52" s="5">
        <v>0.47599999999999998</v>
      </c>
      <c r="J52" s="11">
        <f t="shared" si="5"/>
        <v>0.24942400000000001</v>
      </c>
    </row>
    <row r="53" spans="1:10" x14ac:dyDescent="0.25">
      <c r="A53" s="2">
        <v>51</v>
      </c>
      <c r="B53" s="5">
        <v>0</v>
      </c>
      <c r="C53" s="5">
        <f t="shared" si="9"/>
        <v>1</v>
      </c>
      <c r="D53" s="5">
        <f t="shared" si="10"/>
        <v>4.0000000000000104E-52</v>
      </c>
      <c r="E53" s="5">
        <f t="shared" si="7"/>
        <v>4.0000000000000108E-53</v>
      </c>
      <c r="F53" s="5">
        <f t="shared" si="6"/>
        <v>0.22657599999999997</v>
      </c>
      <c r="G53" s="5">
        <f t="shared" si="8"/>
        <v>0.22657599999999997</v>
      </c>
      <c r="H53" s="5">
        <f t="shared" si="4"/>
        <v>0.47599999999999998</v>
      </c>
      <c r="I53" s="5">
        <v>0.47599999999999998</v>
      </c>
      <c r="J53" s="11">
        <f t="shared" si="5"/>
        <v>0.24942400000000001</v>
      </c>
    </row>
    <row r="54" spans="1:10" x14ac:dyDescent="0.25">
      <c r="A54" s="2">
        <v>52</v>
      </c>
      <c r="B54" s="5">
        <v>0</v>
      </c>
      <c r="C54" s="5">
        <f t="shared" si="9"/>
        <v>1</v>
      </c>
      <c r="D54" s="5">
        <f t="shared" si="10"/>
        <v>4.0000000000000108E-53</v>
      </c>
      <c r="E54" s="5">
        <f t="shared" si="7"/>
        <v>4.0000000000000111E-54</v>
      </c>
      <c r="F54" s="5">
        <f t="shared" si="6"/>
        <v>0.22657599999999997</v>
      </c>
      <c r="G54" s="5">
        <f t="shared" si="8"/>
        <v>0.22657599999999997</v>
      </c>
      <c r="H54" s="5">
        <f t="shared" si="4"/>
        <v>0.47599999999999998</v>
      </c>
      <c r="I54" s="5">
        <v>0.47599999999999998</v>
      </c>
      <c r="J54" s="11">
        <f t="shared" si="5"/>
        <v>0.24942400000000001</v>
      </c>
    </row>
    <row r="55" spans="1:10" x14ac:dyDescent="0.25">
      <c r="A55" s="2">
        <v>53</v>
      </c>
      <c r="B55" s="5">
        <v>0</v>
      </c>
      <c r="C55" s="5">
        <f t="shared" si="9"/>
        <v>1</v>
      </c>
      <c r="D55" s="5">
        <f t="shared" si="10"/>
        <v>4.0000000000000111E-54</v>
      </c>
      <c r="E55" s="5">
        <f t="shared" si="7"/>
        <v>4.0000000000000116E-55</v>
      </c>
      <c r="F55" s="5">
        <f t="shared" si="6"/>
        <v>0.22657599999999997</v>
      </c>
      <c r="G55" s="5">
        <f t="shared" si="8"/>
        <v>0.22657599999999997</v>
      </c>
      <c r="H55" s="5">
        <f t="shared" si="4"/>
        <v>0.47599999999999998</v>
      </c>
      <c r="I55" s="5">
        <v>0.47599999999999998</v>
      </c>
      <c r="J55" s="11">
        <f t="shared" si="5"/>
        <v>0.24942400000000001</v>
      </c>
    </row>
    <row r="56" spans="1:10" x14ac:dyDescent="0.25">
      <c r="A56" s="2">
        <v>54</v>
      </c>
      <c r="B56" s="5">
        <v>0</v>
      </c>
      <c r="C56" s="5">
        <f t="shared" si="9"/>
        <v>1</v>
      </c>
      <c r="D56" s="5">
        <f t="shared" si="10"/>
        <v>4.0000000000000116E-55</v>
      </c>
      <c r="E56" s="5">
        <f t="shared" si="7"/>
        <v>4.0000000000000119E-56</v>
      </c>
      <c r="F56" s="5">
        <f t="shared" si="6"/>
        <v>0.22657599999999997</v>
      </c>
      <c r="G56" s="5">
        <f t="shared" si="8"/>
        <v>0.22657599999999997</v>
      </c>
      <c r="H56" s="5">
        <f t="shared" si="4"/>
        <v>0.47599999999999998</v>
      </c>
      <c r="I56" s="5">
        <v>0.47599999999999998</v>
      </c>
      <c r="J56" s="11">
        <f t="shared" si="5"/>
        <v>0.24942400000000001</v>
      </c>
    </row>
    <row r="57" spans="1:10" x14ac:dyDescent="0.25">
      <c r="A57" s="2">
        <v>55</v>
      </c>
      <c r="B57" s="5">
        <v>0</v>
      </c>
      <c r="C57" s="5">
        <f t="shared" si="9"/>
        <v>1</v>
      </c>
      <c r="D57" s="5">
        <f t="shared" si="10"/>
        <v>4.0000000000000119E-56</v>
      </c>
      <c r="E57" s="5">
        <f t="shared" si="7"/>
        <v>4.0000000000000123E-57</v>
      </c>
      <c r="F57" s="5">
        <f t="shared" si="6"/>
        <v>0.22657599999999997</v>
      </c>
      <c r="G57" s="5">
        <f t="shared" si="8"/>
        <v>0.22657599999999997</v>
      </c>
      <c r="H57" s="5">
        <f t="shared" si="4"/>
        <v>0.47599999999999998</v>
      </c>
      <c r="I57" s="5">
        <v>0.47599999999999998</v>
      </c>
      <c r="J57" s="11">
        <f t="shared" si="5"/>
        <v>0.24942400000000001</v>
      </c>
    </row>
    <row r="58" spans="1:10" x14ac:dyDescent="0.25">
      <c r="A58" s="2">
        <v>56</v>
      </c>
      <c r="B58" s="5">
        <v>0</v>
      </c>
      <c r="C58" s="5">
        <f t="shared" si="9"/>
        <v>1</v>
      </c>
      <c r="D58" s="5">
        <f t="shared" si="10"/>
        <v>4.0000000000000123E-57</v>
      </c>
      <c r="E58" s="5">
        <f t="shared" si="7"/>
        <v>4.0000000000000128E-58</v>
      </c>
      <c r="F58" s="5">
        <f t="shared" si="6"/>
        <v>0.22657599999999997</v>
      </c>
      <c r="G58" s="5">
        <f t="shared" si="8"/>
        <v>0.22657599999999997</v>
      </c>
      <c r="H58" s="5">
        <f t="shared" si="4"/>
        <v>0.47599999999999998</v>
      </c>
      <c r="I58" s="5">
        <v>0.47599999999999998</v>
      </c>
      <c r="J58" s="11">
        <f t="shared" si="5"/>
        <v>0.24942400000000001</v>
      </c>
    </row>
    <row r="59" spans="1:10" x14ac:dyDescent="0.25">
      <c r="A59" s="2">
        <v>57</v>
      </c>
      <c r="B59" s="5">
        <v>0</v>
      </c>
      <c r="C59" s="5">
        <f t="shared" si="9"/>
        <v>1</v>
      </c>
      <c r="D59" s="5">
        <f t="shared" si="10"/>
        <v>4.0000000000000128E-58</v>
      </c>
      <c r="E59" s="5">
        <f t="shared" si="7"/>
        <v>4.0000000000000134E-59</v>
      </c>
      <c r="F59" s="5">
        <f t="shared" si="6"/>
        <v>0.22657599999999997</v>
      </c>
      <c r="G59" s="5">
        <f t="shared" si="8"/>
        <v>0.22657599999999997</v>
      </c>
      <c r="H59" s="5">
        <f t="shared" si="4"/>
        <v>0.47599999999999998</v>
      </c>
      <c r="I59" s="5">
        <v>0.47599999999999998</v>
      </c>
      <c r="J59" s="11">
        <f t="shared" si="5"/>
        <v>0.24942400000000001</v>
      </c>
    </row>
    <row r="60" spans="1:10" x14ac:dyDescent="0.25">
      <c r="A60" s="2">
        <v>58</v>
      </c>
      <c r="B60" s="5">
        <v>0</v>
      </c>
      <c r="C60" s="5">
        <f t="shared" si="9"/>
        <v>1</v>
      </c>
      <c r="D60" s="5">
        <f t="shared" si="10"/>
        <v>4.0000000000000134E-59</v>
      </c>
      <c r="E60" s="5">
        <f t="shared" si="7"/>
        <v>4.0000000000000137E-60</v>
      </c>
      <c r="F60" s="5">
        <f t="shared" si="6"/>
        <v>0.22657599999999997</v>
      </c>
      <c r="G60" s="5">
        <f t="shared" si="8"/>
        <v>0.22657599999999997</v>
      </c>
      <c r="H60" s="5">
        <f t="shared" si="4"/>
        <v>0.47599999999999998</v>
      </c>
      <c r="I60" s="5">
        <v>0.47599999999999998</v>
      </c>
      <c r="J60" s="11">
        <f t="shared" si="5"/>
        <v>0.24942400000000001</v>
      </c>
    </row>
    <row r="61" spans="1:10" x14ac:dyDescent="0.25">
      <c r="A61" s="2">
        <v>59</v>
      </c>
      <c r="B61" s="5">
        <v>0</v>
      </c>
      <c r="C61" s="5">
        <f t="shared" si="9"/>
        <v>1</v>
      </c>
      <c r="D61" s="5">
        <f t="shared" si="10"/>
        <v>4.0000000000000137E-60</v>
      </c>
      <c r="E61" s="5">
        <f t="shared" si="7"/>
        <v>4.000000000000014E-61</v>
      </c>
      <c r="F61" s="5">
        <f t="shared" si="6"/>
        <v>0.22657599999999997</v>
      </c>
      <c r="G61" s="5">
        <f t="shared" si="8"/>
        <v>0.22657599999999997</v>
      </c>
      <c r="H61" s="5">
        <f t="shared" si="4"/>
        <v>0.47599999999999998</v>
      </c>
      <c r="I61" s="5">
        <v>0.47599999999999998</v>
      </c>
      <c r="J61" s="11">
        <f t="shared" si="5"/>
        <v>0.24942400000000001</v>
      </c>
    </row>
    <row r="62" spans="1:10" x14ac:dyDescent="0.25">
      <c r="A62" s="2">
        <v>60</v>
      </c>
      <c r="B62" s="5">
        <v>0</v>
      </c>
      <c r="C62" s="5">
        <f t="shared" si="9"/>
        <v>1</v>
      </c>
      <c r="D62" s="5">
        <f t="shared" si="10"/>
        <v>4.000000000000014E-61</v>
      </c>
      <c r="E62" s="5">
        <f t="shared" si="7"/>
        <v>4.000000000000014E-62</v>
      </c>
      <c r="F62" s="5">
        <f t="shared" si="6"/>
        <v>0.22657599999999997</v>
      </c>
      <c r="G62" s="5">
        <f t="shared" si="8"/>
        <v>0.22657599999999997</v>
      </c>
      <c r="H62" s="5">
        <f t="shared" si="4"/>
        <v>0.47599999999999998</v>
      </c>
      <c r="I62" s="5">
        <v>0.47599999999999998</v>
      </c>
      <c r="J62" s="11">
        <f t="shared" si="5"/>
        <v>0.24942400000000001</v>
      </c>
    </row>
    <row r="63" spans="1:10" x14ac:dyDescent="0.25">
      <c r="A63" s="2">
        <v>61</v>
      </c>
      <c r="B63" s="5">
        <v>0</v>
      </c>
      <c r="C63" s="5">
        <f t="shared" si="9"/>
        <v>1</v>
      </c>
      <c r="D63" s="5">
        <f t="shared" si="10"/>
        <v>4.000000000000014E-62</v>
      </c>
      <c r="E63" s="5">
        <f t="shared" si="7"/>
        <v>4.0000000000000143E-63</v>
      </c>
      <c r="F63" s="5">
        <f t="shared" si="6"/>
        <v>0.22657599999999997</v>
      </c>
      <c r="G63" s="5">
        <f t="shared" si="8"/>
        <v>0.22657599999999997</v>
      </c>
      <c r="H63" s="5">
        <f t="shared" si="4"/>
        <v>0.47599999999999998</v>
      </c>
      <c r="I63" s="5">
        <v>0.47599999999999998</v>
      </c>
      <c r="J63" s="11">
        <f t="shared" si="5"/>
        <v>0.24942400000000001</v>
      </c>
    </row>
    <row r="64" spans="1:10" x14ac:dyDescent="0.25">
      <c r="A64" s="2">
        <v>62</v>
      </c>
      <c r="B64" s="5">
        <v>0</v>
      </c>
      <c r="C64" s="5">
        <f t="shared" si="9"/>
        <v>1</v>
      </c>
      <c r="D64" s="5">
        <f t="shared" si="10"/>
        <v>4.0000000000000143E-63</v>
      </c>
      <c r="E64" s="5">
        <f t="shared" si="7"/>
        <v>4.0000000000000147E-64</v>
      </c>
      <c r="F64" s="5">
        <f t="shared" si="6"/>
        <v>0.22657599999999997</v>
      </c>
      <c r="G64" s="5">
        <f t="shared" si="8"/>
        <v>0.22657599999999997</v>
      </c>
      <c r="H64" s="5">
        <f t="shared" si="4"/>
        <v>0.47599999999999998</v>
      </c>
      <c r="I64" s="5">
        <v>0.47599999999999998</v>
      </c>
      <c r="J64" s="11">
        <f t="shared" si="5"/>
        <v>0.24942400000000001</v>
      </c>
    </row>
    <row r="65" spans="1:10" x14ac:dyDescent="0.25">
      <c r="A65" s="2">
        <v>63</v>
      </c>
      <c r="B65" s="5">
        <v>0</v>
      </c>
      <c r="C65" s="5">
        <f t="shared" si="9"/>
        <v>1</v>
      </c>
      <c r="D65" s="5">
        <f t="shared" si="10"/>
        <v>4.0000000000000147E-64</v>
      </c>
      <c r="E65" s="5">
        <f t="shared" si="7"/>
        <v>4.0000000000000149E-65</v>
      </c>
      <c r="F65" s="5">
        <f t="shared" si="6"/>
        <v>0.22657599999999997</v>
      </c>
      <c r="G65" s="5">
        <f t="shared" si="8"/>
        <v>0.22657599999999997</v>
      </c>
      <c r="H65" s="5">
        <f t="shared" si="4"/>
        <v>0.47599999999999998</v>
      </c>
      <c r="I65" s="5">
        <v>0.47599999999999998</v>
      </c>
      <c r="J65" s="11">
        <f t="shared" si="5"/>
        <v>0.24942400000000001</v>
      </c>
    </row>
    <row r="66" spans="1:10" x14ac:dyDescent="0.25">
      <c r="A66" s="2">
        <v>64</v>
      </c>
      <c r="B66" s="5">
        <v>0</v>
      </c>
      <c r="C66" s="5">
        <f t="shared" si="9"/>
        <v>1</v>
      </c>
      <c r="D66" s="5">
        <f t="shared" si="10"/>
        <v>4.0000000000000149E-65</v>
      </c>
      <c r="E66" s="5">
        <f t="shared" ref="E66:E97" si="11">$M$3*D66+B66</f>
        <v>4.0000000000000152E-66</v>
      </c>
      <c r="F66" s="5">
        <f t="shared" si="6"/>
        <v>0.22657599999999997</v>
      </c>
      <c r="G66" s="5">
        <f t="shared" ref="G66:G101" si="12">F67</f>
        <v>0.22657599999999997</v>
      </c>
      <c r="H66" s="5">
        <f t="shared" si="4"/>
        <v>0.47599999999999998</v>
      </c>
      <c r="I66" s="5">
        <v>0.47599999999999998</v>
      </c>
      <c r="J66" s="11">
        <f t="shared" si="5"/>
        <v>0.24942400000000001</v>
      </c>
    </row>
    <row r="67" spans="1:10" x14ac:dyDescent="0.25">
      <c r="A67" s="2">
        <v>65</v>
      </c>
      <c r="B67" s="5">
        <v>0</v>
      </c>
      <c r="C67" s="5">
        <f t="shared" ref="C67:C98" si="13">EXP(D67)</f>
        <v>1</v>
      </c>
      <c r="D67" s="5">
        <f t="shared" ref="D67:D102" si="14">E66</f>
        <v>4.0000000000000152E-66</v>
      </c>
      <c r="E67" s="5">
        <f t="shared" si="11"/>
        <v>4.0000000000000156E-67</v>
      </c>
      <c r="F67" s="5">
        <f t="shared" si="6"/>
        <v>0.22657599999999997</v>
      </c>
      <c r="G67" s="5">
        <f t="shared" si="12"/>
        <v>0.22657599999999997</v>
      </c>
      <c r="H67" s="5">
        <f t="shared" ref="H67:H102" si="15">$C67*$F67^$M$1</f>
        <v>0.47599999999999998</v>
      </c>
      <c r="I67" s="5">
        <v>0.47599999999999998</v>
      </c>
      <c r="J67" s="11">
        <f t="shared" ref="J67:J102" si="16">(1-$M$1*$M$2)*$C67*$F67^$M$1</f>
        <v>0.24942400000000001</v>
      </c>
    </row>
    <row r="68" spans="1:10" x14ac:dyDescent="0.25">
      <c r="A68" s="2">
        <v>66</v>
      </c>
      <c r="B68" s="5">
        <v>0</v>
      </c>
      <c r="C68" s="5">
        <f t="shared" si="13"/>
        <v>1</v>
      </c>
      <c r="D68" s="5">
        <f t="shared" si="14"/>
        <v>4.0000000000000156E-67</v>
      </c>
      <c r="E68" s="5">
        <f t="shared" si="11"/>
        <v>4.0000000000000159E-68</v>
      </c>
      <c r="F68" s="5">
        <f t="shared" ref="F68:F102" si="17">$M$1*$M$2*$C67*$F67^$M$1</f>
        <v>0.22657599999999997</v>
      </c>
      <c r="G68" s="5">
        <f t="shared" si="12"/>
        <v>0.22657599999999997</v>
      </c>
      <c r="H68" s="5">
        <f t="shared" si="15"/>
        <v>0.47599999999999998</v>
      </c>
      <c r="I68" s="5">
        <v>0.47599999999999998</v>
      </c>
      <c r="J68" s="11">
        <f t="shared" si="16"/>
        <v>0.24942400000000001</v>
      </c>
    </row>
    <row r="69" spans="1:10" x14ac:dyDescent="0.25">
      <c r="A69" s="2">
        <v>67</v>
      </c>
      <c r="B69" s="5">
        <v>0</v>
      </c>
      <c r="C69" s="5">
        <f t="shared" si="13"/>
        <v>1</v>
      </c>
      <c r="D69" s="5">
        <f t="shared" si="14"/>
        <v>4.0000000000000159E-68</v>
      </c>
      <c r="E69" s="5">
        <f t="shared" si="11"/>
        <v>4.0000000000000163E-69</v>
      </c>
      <c r="F69" s="5">
        <f t="shared" si="17"/>
        <v>0.22657599999999997</v>
      </c>
      <c r="G69" s="5">
        <f t="shared" si="12"/>
        <v>0.22657599999999997</v>
      </c>
      <c r="H69" s="5">
        <f t="shared" si="15"/>
        <v>0.47599999999999998</v>
      </c>
      <c r="I69" s="5">
        <v>0.47599999999999998</v>
      </c>
      <c r="J69" s="11">
        <f t="shared" si="16"/>
        <v>0.24942400000000001</v>
      </c>
    </row>
    <row r="70" spans="1:10" x14ac:dyDescent="0.25">
      <c r="A70" s="2">
        <v>68</v>
      </c>
      <c r="B70" s="5">
        <v>0</v>
      </c>
      <c r="C70" s="5">
        <f t="shared" si="13"/>
        <v>1</v>
      </c>
      <c r="D70" s="5">
        <f t="shared" si="14"/>
        <v>4.0000000000000163E-69</v>
      </c>
      <c r="E70" s="5">
        <f t="shared" si="11"/>
        <v>4.0000000000000167E-70</v>
      </c>
      <c r="F70" s="5">
        <f t="shared" si="17"/>
        <v>0.22657599999999997</v>
      </c>
      <c r="G70" s="5">
        <f t="shared" si="12"/>
        <v>0.22657599999999997</v>
      </c>
      <c r="H70" s="5">
        <f t="shared" si="15"/>
        <v>0.47599999999999998</v>
      </c>
      <c r="I70" s="5">
        <v>0.47599999999999998</v>
      </c>
      <c r="J70" s="11">
        <f t="shared" si="16"/>
        <v>0.24942400000000001</v>
      </c>
    </row>
    <row r="71" spans="1:10" x14ac:dyDescent="0.25">
      <c r="A71" s="2">
        <v>69</v>
      </c>
      <c r="B71" s="5">
        <v>0</v>
      </c>
      <c r="C71" s="5">
        <f t="shared" si="13"/>
        <v>1</v>
      </c>
      <c r="D71" s="5">
        <f t="shared" si="14"/>
        <v>4.0000000000000167E-70</v>
      </c>
      <c r="E71" s="5">
        <f t="shared" si="11"/>
        <v>4.0000000000000166E-71</v>
      </c>
      <c r="F71" s="5">
        <f t="shared" si="17"/>
        <v>0.22657599999999997</v>
      </c>
      <c r="G71" s="5">
        <f t="shared" si="12"/>
        <v>0.22657599999999997</v>
      </c>
      <c r="H71" s="5">
        <f t="shared" si="15"/>
        <v>0.47599999999999998</v>
      </c>
      <c r="I71" s="5">
        <v>0.47599999999999998</v>
      </c>
      <c r="J71" s="11">
        <f t="shared" si="16"/>
        <v>0.24942400000000001</v>
      </c>
    </row>
    <row r="72" spans="1:10" x14ac:dyDescent="0.25">
      <c r="A72" s="2">
        <v>70</v>
      </c>
      <c r="B72" s="5">
        <v>0</v>
      </c>
      <c r="C72" s="5">
        <f t="shared" si="13"/>
        <v>1</v>
      </c>
      <c r="D72" s="5">
        <f t="shared" si="14"/>
        <v>4.0000000000000166E-71</v>
      </c>
      <c r="E72" s="5">
        <f t="shared" si="11"/>
        <v>4.000000000000017E-72</v>
      </c>
      <c r="F72" s="5">
        <f t="shared" si="17"/>
        <v>0.22657599999999997</v>
      </c>
      <c r="G72" s="5">
        <f t="shared" si="12"/>
        <v>0.22657599999999997</v>
      </c>
      <c r="H72" s="5">
        <f t="shared" si="15"/>
        <v>0.47599999999999998</v>
      </c>
      <c r="I72" s="5">
        <v>0.47599999999999998</v>
      </c>
      <c r="J72" s="11">
        <f t="shared" si="16"/>
        <v>0.24942400000000001</v>
      </c>
    </row>
    <row r="73" spans="1:10" x14ac:dyDescent="0.25">
      <c r="A73" s="2">
        <v>71</v>
      </c>
      <c r="B73" s="5">
        <v>0</v>
      </c>
      <c r="C73" s="5">
        <f t="shared" si="13"/>
        <v>1</v>
      </c>
      <c r="D73" s="5">
        <f t="shared" si="14"/>
        <v>4.000000000000017E-72</v>
      </c>
      <c r="E73" s="5">
        <f t="shared" si="11"/>
        <v>4.000000000000017E-73</v>
      </c>
      <c r="F73" s="5">
        <f t="shared" si="17"/>
        <v>0.22657599999999997</v>
      </c>
      <c r="G73" s="5">
        <f t="shared" si="12"/>
        <v>0.22657599999999997</v>
      </c>
      <c r="H73" s="5">
        <f t="shared" si="15"/>
        <v>0.47599999999999998</v>
      </c>
      <c r="I73" s="5">
        <v>0.47599999999999998</v>
      </c>
      <c r="J73" s="11">
        <f t="shared" si="16"/>
        <v>0.24942400000000001</v>
      </c>
    </row>
    <row r="74" spans="1:10" x14ac:dyDescent="0.25">
      <c r="A74" s="2">
        <v>72</v>
      </c>
      <c r="B74" s="5">
        <v>0</v>
      </c>
      <c r="C74" s="5">
        <f t="shared" si="13"/>
        <v>1</v>
      </c>
      <c r="D74" s="5">
        <f t="shared" si="14"/>
        <v>4.000000000000017E-73</v>
      </c>
      <c r="E74" s="5">
        <f t="shared" si="11"/>
        <v>4.0000000000000171E-74</v>
      </c>
      <c r="F74" s="5">
        <f t="shared" si="17"/>
        <v>0.22657599999999997</v>
      </c>
      <c r="G74" s="5">
        <f t="shared" si="12"/>
        <v>0.22657599999999997</v>
      </c>
      <c r="H74" s="5">
        <f t="shared" si="15"/>
        <v>0.47599999999999998</v>
      </c>
      <c r="I74" s="5">
        <v>0.47599999999999998</v>
      </c>
      <c r="J74" s="11">
        <f t="shared" si="16"/>
        <v>0.24942400000000001</v>
      </c>
    </row>
    <row r="75" spans="1:10" x14ac:dyDescent="0.25">
      <c r="A75" s="2">
        <v>73</v>
      </c>
      <c r="B75" s="5">
        <v>0</v>
      </c>
      <c r="C75" s="5">
        <f t="shared" si="13"/>
        <v>1</v>
      </c>
      <c r="D75" s="5">
        <f t="shared" si="14"/>
        <v>4.0000000000000171E-74</v>
      </c>
      <c r="E75" s="5">
        <f t="shared" si="11"/>
        <v>4.0000000000000175E-75</v>
      </c>
      <c r="F75" s="5">
        <f t="shared" si="17"/>
        <v>0.22657599999999997</v>
      </c>
      <c r="G75" s="5">
        <f t="shared" si="12"/>
        <v>0.22657599999999997</v>
      </c>
      <c r="H75" s="5">
        <f t="shared" si="15"/>
        <v>0.47599999999999998</v>
      </c>
      <c r="I75" s="5">
        <v>0.47599999999999998</v>
      </c>
      <c r="J75" s="11">
        <f t="shared" si="16"/>
        <v>0.24942400000000001</v>
      </c>
    </row>
    <row r="76" spans="1:10" x14ac:dyDescent="0.25">
      <c r="A76" s="2">
        <v>74</v>
      </c>
      <c r="B76" s="5">
        <v>0</v>
      </c>
      <c r="C76" s="5">
        <f t="shared" si="13"/>
        <v>1</v>
      </c>
      <c r="D76" s="5">
        <f t="shared" si="14"/>
        <v>4.0000000000000175E-75</v>
      </c>
      <c r="E76" s="5">
        <f t="shared" si="11"/>
        <v>4.0000000000000175E-76</v>
      </c>
      <c r="F76" s="5">
        <f t="shared" si="17"/>
        <v>0.22657599999999997</v>
      </c>
      <c r="G76" s="5">
        <f t="shared" si="12"/>
        <v>0.22657599999999997</v>
      </c>
      <c r="H76" s="5">
        <f t="shared" si="15"/>
        <v>0.47599999999999998</v>
      </c>
      <c r="I76" s="5">
        <v>0.47599999999999998</v>
      </c>
      <c r="J76" s="11">
        <f t="shared" si="16"/>
        <v>0.24942400000000001</v>
      </c>
    </row>
    <row r="77" spans="1:10" x14ac:dyDescent="0.25">
      <c r="A77" s="2">
        <v>75</v>
      </c>
      <c r="B77" s="5">
        <v>0</v>
      </c>
      <c r="C77" s="5">
        <f t="shared" si="13"/>
        <v>1</v>
      </c>
      <c r="D77" s="5">
        <f t="shared" si="14"/>
        <v>4.0000000000000175E-76</v>
      </c>
      <c r="E77" s="5">
        <f t="shared" si="11"/>
        <v>4.0000000000000173E-77</v>
      </c>
      <c r="F77" s="5">
        <f t="shared" si="17"/>
        <v>0.22657599999999997</v>
      </c>
      <c r="G77" s="5">
        <f t="shared" si="12"/>
        <v>0.22657599999999997</v>
      </c>
      <c r="H77" s="5">
        <f t="shared" si="15"/>
        <v>0.47599999999999998</v>
      </c>
      <c r="I77" s="5">
        <v>0.47599999999999998</v>
      </c>
      <c r="J77" s="11">
        <f t="shared" si="16"/>
        <v>0.24942400000000001</v>
      </c>
    </row>
    <row r="78" spans="1:10" x14ac:dyDescent="0.25">
      <c r="A78" s="2">
        <v>76</v>
      </c>
      <c r="B78" s="5">
        <v>0</v>
      </c>
      <c r="C78" s="5">
        <f t="shared" si="13"/>
        <v>1</v>
      </c>
      <c r="D78" s="5">
        <f t="shared" si="14"/>
        <v>4.0000000000000173E-77</v>
      </c>
      <c r="E78" s="5">
        <f t="shared" si="11"/>
        <v>4.0000000000000177E-78</v>
      </c>
      <c r="F78" s="5">
        <f t="shared" si="17"/>
        <v>0.22657599999999997</v>
      </c>
      <c r="G78" s="5">
        <f t="shared" si="12"/>
        <v>0.22657599999999997</v>
      </c>
      <c r="H78" s="5">
        <f t="shared" si="15"/>
        <v>0.47599999999999998</v>
      </c>
      <c r="I78" s="5">
        <v>0.47599999999999998</v>
      </c>
      <c r="J78" s="11">
        <f t="shared" si="16"/>
        <v>0.24942400000000001</v>
      </c>
    </row>
    <row r="79" spans="1:10" x14ac:dyDescent="0.25">
      <c r="A79" s="2">
        <v>77</v>
      </c>
      <c r="B79" s="5">
        <v>0</v>
      </c>
      <c r="C79" s="5">
        <f t="shared" si="13"/>
        <v>1</v>
      </c>
      <c r="D79" s="5">
        <f t="shared" si="14"/>
        <v>4.0000000000000177E-78</v>
      </c>
      <c r="E79" s="5">
        <f t="shared" si="11"/>
        <v>4.000000000000018E-79</v>
      </c>
      <c r="F79" s="5">
        <f t="shared" si="17"/>
        <v>0.22657599999999997</v>
      </c>
      <c r="G79" s="5">
        <f t="shared" si="12"/>
        <v>0.22657599999999997</v>
      </c>
      <c r="H79" s="5">
        <f t="shared" si="15"/>
        <v>0.47599999999999998</v>
      </c>
      <c r="I79" s="5">
        <v>0.47599999999999998</v>
      </c>
      <c r="J79" s="11">
        <f t="shared" si="16"/>
        <v>0.24942400000000001</v>
      </c>
    </row>
    <row r="80" spans="1:10" x14ac:dyDescent="0.25">
      <c r="A80" s="2">
        <v>78</v>
      </c>
      <c r="B80" s="5">
        <v>0</v>
      </c>
      <c r="C80" s="5">
        <f t="shared" si="13"/>
        <v>1</v>
      </c>
      <c r="D80" s="5">
        <f t="shared" si="14"/>
        <v>4.000000000000018E-79</v>
      </c>
      <c r="E80" s="5">
        <f t="shared" si="11"/>
        <v>4.0000000000000178E-80</v>
      </c>
      <c r="F80" s="5">
        <f t="shared" si="17"/>
        <v>0.22657599999999997</v>
      </c>
      <c r="G80" s="5">
        <f t="shared" si="12"/>
        <v>0.22657599999999997</v>
      </c>
      <c r="H80" s="5">
        <f t="shared" si="15"/>
        <v>0.47599999999999998</v>
      </c>
      <c r="I80" s="5">
        <v>0.47599999999999998</v>
      </c>
      <c r="J80" s="11">
        <f t="shared" si="16"/>
        <v>0.24942400000000001</v>
      </c>
    </row>
    <row r="81" spans="1:10" x14ac:dyDescent="0.25">
      <c r="A81" s="2">
        <v>79</v>
      </c>
      <c r="B81" s="5">
        <v>0</v>
      </c>
      <c r="C81" s="5">
        <f t="shared" si="13"/>
        <v>1</v>
      </c>
      <c r="D81" s="5">
        <f t="shared" si="14"/>
        <v>4.0000000000000178E-80</v>
      </c>
      <c r="E81" s="5">
        <f t="shared" si="11"/>
        <v>4.0000000000000181E-81</v>
      </c>
      <c r="F81" s="5">
        <f t="shared" si="17"/>
        <v>0.22657599999999997</v>
      </c>
      <c r="G81" s="5">
        <f t="shared" si="12"/>
        <v>0.22657599999999997</v>
      </c>
      <c r="H81" s="5">
        <f t="shared" si="15"/>
        <v>0.47599999999999998</v>
      </c>
      <c r="I81" s="5">
        <v>0.47599999999999998</v>
      </c>
      <c r="J81" s="11">
        <f t="shared" si="16"/>
        <v>0.24942400000000001</v>
      </c>
    </row>
    <row r="82" spans="1:10" x14ac:dyDescent="0.25">
      <c r="A82" s="2">
        <v>80</v>
      </c>
      <c r="B82" s="5">
        <v>0</v>
      </c>
      <c r="C82" s="5">
        <f t="shared" si="13"/>
        <v>1</v>
      </c>
      <c r="D82" s="5">
        <f t="shared" si="14"/>
        <v>4.0000000000000181E-81</v>
      </c>
      <c r="E82" s="5">
        <f t="shared" si="11"/>
        <v>4.0000000000000186E-82</v>
      </c>
      <c r="F82" s="5">
        <f t="shared" si="17"/>
        <v>0.22657599999999997</v>
      </c>
      <c r="G82" s="5">
        <f t="shared" si="12"/>
        <v>0.22657599999999997</v>
      </c>
      <c r="H82" s="5">
        <f t="shared" si="15"/>
        <v>0.47599999999999998</v>
      </c>
      <c r="I82" s="5">
        <v>0.47599999999999998</v>
      </c>
      <c r="J82" s="11">
        <f t="shared" si="16"/>
        <v>0.24942400000000001</v>
      </c>
    </row>
    <row r="83" spans="1:10" x14ac:dyDescent="0.25">
      <c r="A83" s="2">
        <v>81</v>
      </c>
      <c r="B83" s="5">
        <v>0</v>
      </c>
      <c r="C83" s="5">
        <f t="shared" si="13"/>
        <v>1</v>
      </c>
      <c r="D83" s="5">
        <f t="shared" si="14"/>
        <v>4.0000000000000186E-82</v>
      </c>
      <c r="E83" s="5">
        <f t="shared" si="11"/>
        <v>4.0000000000000192E-83</v>
      </c>
      <c r="F83" s="5">
        <f t="shared" si="17"/>
        <v>0.22657599999999997</v>
      </c>
      <c r="G83" s="5">
        <f t="shared" si="12"/>
        <v>0.22657599999999997</v>
      </c>
      <c r="H83" s="5">
        <f t="shared" si="15"/>
        <v>0.47599999999999998</v>
      </c>
      <c r="I83" s="5">
        <v>0.47599999999999998</v>
      </c>
      <c r="J83" s="11">
        <f t="shared" si="16"/>
        <v>0.24942400000000001</v>
      </c>
    </row>
    <row r="84" spans="1:10" x14ac:dyDescent="0.25">
      <c r="A84" s="2">
        <v>82</v>
      </c>
      <c r="B84" s="5">
        <v>0</v>
      </c>
      <c r="C84" s="5">
        <f t="shared" si="13"/>
        <v>1</v>
      </c>
      <c r="D84" s="5">
        <f t="shared" si="14"/>
        <v>4.0000000000000192E-83</v>
      </c>
      <c r="E84" s="5">
        <f t="shared" si="11"/>
        <v>4.0000000000000193E-84</v>
      </c>
      <c r="F84" s="5">
        <f t="shared" si="17"/>
        <v>0.22657599999999997</v>
      </c>
      <c r="G84" s="5">
        <f t="shared" si="12"/>
        <v>0.22657599999999997</v>
      </c>
      <c r="H84" s="5">
        <f t="shared" si="15"/>
        <v>0.47599999999999998</v>
      </c>
      <c r="I84" s="5">
        <v>0.47599999999999998</v>
      </c>
      <c r="J84" s="11">
        <f t="shared" si="16"/>
        <v>0.24942400000000001</v>
      </c>
    </row>
    <row r="85" spans="1:10" x14ac:dyDescent="0.25">
      <c r="A85" s="2">
        <v>83</v>
      </c>
      <c r="B85" s="5">
        <v>0</v>
      </c>
      <c r="C85" s="5">
        <f t="shared" si="13"/>
        <v>1</v>
      </c>
      <c r="D85" s="5">
        <f t="shared" si="14"/>
        <v>4.0000000000000193E-84</v>
      </c>
      <c r="E85" s="5">
        <f t="shared" si="11"/>
        <v>4.0000000000000193E-85</v>
      </c>
      <c r="F85" s="5">
        <f t="shared" si="17"/>
        <v>0.22657599999999997</v>
      </c>
      <c r="G85" s="5">
        <f t="shared" si="12"/>
        <v>0.22657599999999997</v>
      </c>
      <c r="H85" s="5">
        <f t="shared" si="15"/>
        <v>0.47599999999999998</v>
      </c>
      <c r="I85" s="5">
        <v>0.47599999999999998</v>
      </c>
      <c r="J85" s="11">
        <f t="shared" si="16"/>
        <v>0.24942400000000001</v>
      </c>
    </row>
    <row r="86" spans="1:10" x14ac:dyDescent="0.25">
      <c r="A86" s="2">
        <v>84</v>
      </c>
      <c r="B86" s="5">
        <v>0</v>
      </c>
      <c r="C86" s="5">
        <f t="shared" si="13"/>
        <v>1</v>
      </c>
      <c r="D86" s="5">
        <f t="shared" si="14"/>
        <v>4.0000000000000193E-85</v>
      </c>
      <c r="E86" s="5">
        <f t="shared" si="11"/>
        <v>4.0000000000000196E-86</v>
      </c>
      <c r="F86" s="5">
        <f t="shared" si="17"/>
        <v>0.22657599999999997</v>
      </c>
      <c r="G86" s="5">
        <f t="shared" si="12"/>
        <v>0.22657599999999997</v>
      </c>
      <c r="H86" s="5">
        <f t="shared" si="15"/>
        <v>0.47599999999999998</v>
      </c>
      <c r="I86" s="5">
        <v>0.47599999999999998</v>
      </c>
      <c r="J86" s="11">
        <f t="shared" si="16"/>
        <v>0.24942400000000001</v>
      </c>
    </row>
    <row r="87" spans="1:10" x14ac:dyDescent="0.25">
      <c r="A87" s="2">
        <v>85</v>
      </c>
      <c r="B87" s="5">
        <v>0</v>
      </c>
      <c r="C87" s="5">
        <f t="shared" si="13"/>
        <v>1</v>
      </c>
      <c r="D87" s="5">
        <f t="shared" si="14"/>
        <v>4.0000000000000196E-86</v>
      </c>
      <c r="E87" s="5">
        <f t="shared" si="11"/>
        <v>4.0000000000000197E-87</v>
      </c>
      <c r="F87" s="5">
        <f t="shared" si="17"/>
        <v>0.22657599999999997</v>
      </c>
      <c r="G87" s="5">
        <f t="shared" si="12"/>
        <v>0.22657599999999997</v>
      </c>
      <c r="H87" s="5">
        <f t="shared" si="15"/>
        <v>0.47599999999999998</v>
      </c>
      <c r="I87" s="5">
        <v>0.47599999999999998</v>
      </c>
      <c r="J87" s="11">
        <f t="shared" si="16"/>
        <v>0.24942400000000001</v>
      </c>
    </row>
    <row r="88" spans="1:10" x14ac:dyDescent="0.25">
      <c r="A88" s="2">
        <v>86</v>
      </c>
      <c r="B88" s="5">
        <v>0</v>
      </c>
      <c r="C88" s="5">
        <f t="shared" si="13"/>
        <v>1</v>
      </c>
      <c r="D88" s="5">
        <f t="shared" si="14"/>
        <v>4.0000000000000197E-87</v>
      </c>
      <c r="E88" s="5">
        <f t="shared" si="11"/>
        <v>4.0000000000000198E-88</v>
      </c>
      <c r="F88" s="5">
        <f t="shared" si="17"/>
        <v>0.22657599999999997</v>
      </c>
      <c r="G88" s="5">
        <f t="shared" si="12"/>
        <v>0.22657599999999997</v>
      </c>
      <c r="H88" s="5">
        <f t="shared" si="15"/>
        <v>0.47599999999999998</v>
      </c>
      <c r="I88" s="5">
        <v>0.47599999999999998</v>
      </c>
      <c r="J88" s="11">
        <f t="shared" si="16"/>
        <v>0.24942400000000001</v>
      </c>
    </row>
    <row r="89" spans="1:10" x14ac:dyDescent="0.25">
      <c r="A89" s="2">
        <v>87</v>
      </c>
      <c r="B89" s="5">
        <v>0</v>
      </c>
      <c r="C89" s="5">
        <f t="shared" si="13"/>
        <v>1</v>
      </c>
      <c r="D89" s="5">
        <f t="shared" si="14"/>
        <v>4.0000000000000198E-88</v>
      </c>
      <c r="E89" s="5">
        <f t="shared" si="11"/>
        <v>4.0000000000000204E-89</v>
      </c>
      <c r="F89" s="5">
        <f t="shared" si="17"/>
        <v>0.22657599999999997</v>
      </c>
      <c r="G89" s="5">
        <f t="shared" si="12"/>
        <v>0.22657599999999997</v>
      </c>
      <c r="H89" s="5">
        <f t="shared" si="15"/>
        <v>0.47599999999999998</v>
      </c>
      <c r="I89" s="5">
        <v>0.47599999999999998</v>
      </c>
      <c r="J89" s="11">
        <f t="shared" si="16"/>
        <v>0.24942400000000001</v>
      </c>
    </row>
    <row r="90" spans="1:10" x14ac:dyDescent="0.25">
      <c r="A90" s="2">
        <v>88</v>
      </c>
      <c r="B90" s="5">
        <v>0</v>
      </c>
      <c r="C90" s="5">
        <f t="shared" si="13"/>
        <v>1</v>
      </c>
      <c r="D90" s="5">
        <f t="shared" si="14"/>
        <v>4.0000000000000204E-89</v>
      </c>
      <c r="E90" s="5">
        <f t="shared" si="11"/>
        <v>4.0000000000000209E-90</v>
      </c>
      <c r="F90" s="5">
        <f t="shared" si="17"/>
        <v>0.22657599999999997</v>
      </c>
      <c r="G90" s="5">
        <f t="shared" si="12"/>
        <v>0.22657599999999997</v>
      </c>
      <c r="H90" s="5">
        <f t="shared" si="15"/>
        <v>0.47599999999999998</v>
      </c>
      <c r="I90" s="5">
        <v>0.47599999999999998</v>
      </c>
      <c r="J90" s="11">
        <f t="shared" si="16"/>
        <v>0.24942400000000001</v>
      </c>
    </row>
    <row r="91" spans="1:10" x14ac:dyDescent="0.25">
      <c r="A91" s="2">
        <v>89</v>
      </c>
      <c r="B91" s="5">
        <v>0</v>
      </c>
      <c r="C91" s="5">
        <f t="shared" si="13"/>
        <v>1</v>
      </c>
      <c r="D91" s="5">
        <f t="shared" si="14"/>
        <v>4.0000000000000209E-90</v>
      </c>
      <c r="E91" s="5">
        <f t="shared" si="11"/>
        <v>4.0000000000000213E-91</v>
      </c>
      <c r="F91" s="5">
        <f t="shared" si="17"/>
        <v>0.22657599999999997</v>
      </c>
      <c r="G91" s="5">
        <f t="shared" si="12"/>
        <v>0.22657599999999997</v>
      </c>
      <c r="H91" s="5">
        <f t="shared" si="15"/>
        <v>0.47599999999999998</v>
      </c>
      <c r="I91" s="5">
        <v>0.47599999999999998</v>
      </c>
      <c r="J91" s="11">
        <f t="shared" si="16"/>
        <v>0.24942400000000001</v>
      </c>
    </row>
    <row r="92" spans="1:10" x14ac:dyDescent="0.25">
      <c r="A92" s="2">
        <v>90</v>
      </c>
      <c r="B92" s="5">
        <v>0</v>
      </c>
      <c r="C92" s="5">
        <f t="shared" si="13"/>
        <v>1</v>
      </c>
      <c r="D92" s="5">
        <f t="shared" si="14"/>
        <v>4.0000000000000213E-91</v>
      </c>
      <c r="E92" s="5">
        <f t="shared" si="11"/>
        <v>4.0000000000000218E-92</v>
      </c>
      <c r="F92" s="5">
        <f t="shared" si="17"/>
        <v>0.22657599999999997</v>
      </c>
      <c r="G92" s="5">
        <f t="shared" si="12"/>
        <v>0.22657599999999997</v>
      </c>
      <c r="H92" s="5">
        <f t="shared" si="15"/>
        <v>0.47599999999999998</v>
      </c>
      <c r="I92" s="5">
        <v>0.47599999999999998</v>
      </c>
      <c r="J92" s="11">
        <f t="shared" si="16"/>
        <v>0.24942400000000001</v>
      </c>
    </row>
    <row r="93" spans="1:10" x14ac:dyDescent="0.25">
      <c r="A93" s="2">
        <v>91</v>
      </c>
      <c r="B93" s="5">
        <v>0</v>
      </c>
      <c r="C93" s="5">
        <f t="shared" si="13"/>
        <v>1</v>
      </c>
      <c r="D93" s="5">
        <f t="shared" si="14"/>
        <v>4.0000000000000218E-92</v>
      </c>
      <c r="E93" s="5">
        <f t="shared" si="11"/>
        <v>4.0000000000000218E-93</v>
      </c>
      <c r="F93" s="5">
        <f t="shared" si="17"/>
        <v>0.22657599999999997</v>
      </c>
      <c r="G93" s="5">
        <f t="shared" si="12"/>
        <v>0.22657599999999997</v>
      </c>
      <c r="H93" s="5">
        <f t="shared" si="15"/>
        <v>0.47599999999999998</v>
      </c>
      <c r="I93" s="5">
        <v>0.47599999999999998</v>
      </c>
      <c r="J93" s="11">
        <f t="shared" si="16"/>
        <v>0.24942400000000001</v>
      </c>
    </row>
    <row r="94" spans="1:10" x14ac:dyDescent="0.25">
      <c r="A94" s="2">
        <v>92</v>
      </c>
      <c r="B94" s="5">
        <v>0</v>
      </c>
      <c r="C94" s="5">
        <f t="shared" si="13"/>
        <v>1</v>
      </c>
      <c r="D94" s="5">
        <f t="shared" si="14"/>
        <v>4.0000000000000218E-93</v>
      </c>
      <c r="E94" s="5">
        <f t="shared" si="11"/>
        <v>4.0000000000000222E-94</v>
      </c>
      <c r="F94" s="5">
        <f t="shared" si="17"/>
        <v>0.22657599999999997</v>
      </c>
      <c r="G94" s="5">
        <f t="shared" si="12"/>
        <v>0.22657599999999997</v>
      </c>
      <c r="H94" s="5">
        <f t="shared" si="15"/>
        <v>0.47599999999999998</v>
      </c>
      <c r="I94" s="5">
        <v>0.47599999999999998</v>
      </c>
      <c r="J94" s="11">
        <f t="shared" si="16"/>
        <v>0.24942400000000001</v>
      </c>
    </row>
    <row r="95" spans="1:10" x14ac:dyDescent="0.25">
      <c r="A95" s="2">
        <v>93</v>
      </c>
      <c r="B95" s="5">
        <v>0</v>
      </c>
      <c r="C95" s="5">
        <f t="shared" si="13"/>
        <v>1</v>
      </c>
      <c r="D95" s="5">
        <f t="shared" si="14"/>
        <v>4.0000000000000222E-94</v>
      </c>
      <c r="E95" s="5">
        <f t="shared" si="11"/>
        <v>4.0000000000000226E-95</v>
      </c>
      <c r="F95" s="5">
        <f t="shared" si="17"/>
        <v>0.22657599999999997</v>
      </c>
      <c r="G95" s="5">
        <f t="shared" si="12"/>
        <v>0.22657599999999997</v>
      </c>
      <c r="H95" s="5">
        <f t="shared" si="15"/>
        <v>0.47599999999999998</v>
      </c>
      <c r="I95" s="5">
        <v>0.47599999999999998</v>
      </c>
      <c r="J95" s="11">
        <f t="shared" si="16"/>
        <v>0.24942400000000001</v>
      </c>
    </row>
    <row r="96" spans="1:10" x14ac:dyDescent="0.25">
      <c r="A96" s="2">
        <v>94</v>
      </c>
      <c r="B96" s="5">
        <v>0</v>
      </c>
      <c r="C96" s="5">
        <f t="shared" si="13"/>
        <v>1</v>
      </c>
      <c r="D96" s="5">
        <f t="shared" si="14"/>
        <v>4.0000000000000226E-95</v>
      </c>
      <c r="E96" s="5">
        <f t="shared" si="11"/>
        <v>4.0000000000000229E-96</v>
      </c>
      <c r="F96" s="5">
        <f t="shared" si="17"/>
        <v>0.22657599999999997</v>
      </c>
      <c r="G96" s="5">
        <f t="shared" si="12"/>
        <v>0.22657599999999997</v>
      </c>
      <c r="H96" s="5">
        <f t="shared" si="15"/>
        <v>0.47599999999999998</v>
      </c>
      <c r="I96" s="5">
        <v>0.47599999999999998</v>
      </c>
      <c r="J96" s="11">
        <f t="shared" si="16"/>
        <v>0.24942400000000001</v>
      </c>
    </row>
    <row r="97" spans="1:10" x14ac:dyDescent="0.25">
      <c r="A97" s="2">
        <v>95</v>
      </c>
      <c r="B97" s="5">
        <v>0</v>
      </c>
      <c r="C97" s="5">
        <f t="shared" si="13"/>
        <v>1</v>
      </c>
      <c r="D97" s="5">
        <f t="shared" si="14"/>
        <v>4.0000000000000229E-96</v>
      </c>
      <c r="E97" s="5">
        <f t="shared" si="11"/>
        <v>4.000000000000023E-97</v>
      </c>
      <c r="F97" s="5">
        <f t="shared" si="17"/>
        <v>0.22657599999999997</v>
      </c>
      <c r="G97" s="5">
        <f t="shared" si="12"/>
        <v>0.22657599999999997</v>
      </c>
      <c r="H97" s="5">
        <f t="shared" si="15"/>
        <v>0.47599999999999998</v>
      </c>
      <c r="I97" s="5">
        <v>0.47599999999999998</v>
      </c>
      <c r="J97" s="11">
        <f t="shared" si="16"/>
        <v>0.24942400000000001</v>
      </c>
    </row>
    <row r="98" spans="1:10" x14ac:dyDescent="0.25">
      <c r="A98" s="2">
        <v>96</v>
      </c>
      <c r="B98" s="5">
        <v>0</v>
      </c>
      <c r="C98" s="5">
        <f t="shared" si="13"/>
        <v>1</v>
      </c>
      <c r="D98" s="5">
        <f t="shared" si="14"/>
        <v>4.000000000000023E-97</v>
      </c>
      <c r="E98" s="5">
        <f t="shared" ref="E98:E102" si="18">$M$3*D98+B98</f>
        <v>4.0000000000000231E-98</v>
      </c>
      <c r="F98" s="5">
        <f t="shared" si="17"/>
        <v>0.22657599999999997</v>
      </c>
      <c r="G98" s="5">
        <f t="shared" si="12"/>
        <v>0.22657599999999997</v>
      </c>
      <c r="H98" s="5">
        <f t="shared" si="15"/>
        <v>0.47599999999999998</v>
      </c>
      <c r="I98" s="5">
        <v>0.47599999999999998</v>
      </c>
      <c r="J98" s="11">
        <f t="shared" si="16"/>
        <v>0.24942400000000001</v>
      </c>
    </row>
    <row r="99" spans="1:10" x14ac:dyDescent="0.25">
      <c r="A99" s="2">
        <v>97</v>
      </c>
      <c r="B99" s="5">
        <v>0</v>
      </c>
      <c r="C99" s="5">
        <f t="shared" ref="C99:C102" si="19">EXP(D99)</f>
        <v>1</v>
      </c>
      <c r="D99" s="5">
        <f t="shared" si="14"/>
        <v>4.0000000000000231E-98</v>
      </c>
      <c r="E99" s="5">
        <f t="shared" si="18"/>
        <v>4.0000000000000236E-99</v>
      </c>
      <c r="F99" s="5">
        <f t="shared" si="17"/>
        <v>0.22657599999999997</v>
      </c>
      <c r="G99" s="5">
        <f t="shared" si="12"/>
        <v>0.22657599999999997</v>
      </c>
      <c r="H99" s="5">
        <f t="shared" si="15"/>
        <v>0.47599999999999998</v>
      </c>
      <c r="I99" s="5">
        <v>0.47599999999999998</v>
      </c>
      <c r="J99" s="11">
        <f t="shared" si="16"/>
        <v>0.24942400000000001</v>
      </c>
    </row>
    <row r="100" spans="1:10" x14ac:dyDescent="0.25">
      <c r="A100" s="2">
        <v>98</v>
      </c>
      <c r="B100" s="5">
        <v>0</v>
      </c>
      <c r="C100" s="5">
        <f t="shared" si="19"/>
        <v>1</v>
      </c>
      <c r="D100" s="5">
        <f t="shared" si="14"/>
        <v>4.0000000000000236E-99</v>
      </c>
      <c r="E100" s="5">
        <f t="shared" si="18"/>
        <v>4.0000000000000239E-100</v>
      </c>
      <c r="F100" s="5">
        <f t="shared" si="17"/>
        <v>0.22657599999999997</v>
      </c>
      <c r="G100" s="5">
        <f t="shared" si="12"/>
        <v>0.22657599999999997</v>
      </c>
      <c r="H100" s="5">
        <f t="shared" si="15"/>
        <v>0.47599999999999998</v>
      </c>
      <c r="I100" s="5">
        <v>0.47599999999999998</v>
      </c>
      <c r="J100" s="11">
        <f t="shared" si="16"/>
        <v>0.24942400000000001</v>
      </c>
    </row>
    <row r="101" spans="1:10" x14ac:dyDescent="0.25">
      <c r="A101" s="2">
        <v>99</v>
      </c>
      <c r="B101" s="5">
        <v>0</v>
      </c>
      <c r="C101" s="5">
        <f t="shared" si="19"/>
        <v>1</v>
      </c>
      <c r="D101" s="5">
        <f t="shared" si="14"/>
        <v>4.0000000000000239E-100</v>
      </c>
      <c r="E101" s="5">
        <f t="shared" si="18"/>
        <v>4.0000000000000243E-101</v>
      </c>
      <c r="F101" s="5">
        <f t="shared" si="17"/>
        <v>0.22657599999999997</v>
      </c>
      <c r="G101" s="5">
        <f t="shared" si="12"/>
        <v>0.22657599999999997</v>
      </c>
      <c r="H101" s="5">
        <f t="shared" si="15"/>
        <v>0.47599999999999998</v>
      </c>
      <c r="I101" s="5">
        <v>0.47599999999999998</v>
      </c>
      <c r="J101" s="11">
        <f t="shared" si="16"/>
        <v>0.24942400000000001</v>
      </c>
    </row>
    <row r="102" spans="1:10" ht="15.75" thickBot="1" x14ac:dyDescent="0.3">
      <c r="A102" s="3">
        <v>100</v>
      </c>
      <c r="B102" s="6">
        <v>0</v>
      </c>
      <c r="C102" s="6">
        <f t="shared" si="19"/>
        <v>1</v>
      </c>
      <c r="D102" s="6">
        <f t="shared" si="14"/>
        <v>4.0000000000000243E-101</v>
      </c>
      <c r="E102" s="6">
        <f t="shared" si="18"/>
        <v>4.0000000000000243E-102</v>
      </c>
      <c r="F102" s="6">
        <f t="shared" si="17"/>
        <v>0.22657599999999997</v>
      </c>
      <c r="G102" s="6"/>
      <c r="H102" s="6">
        <f t="shared" si="15"/>
        <v>0.47599999999999998</v>
      </c>
      <c r="I102" s="6">
        <v>0.47599999999999998</v>
      </c>
      <c r="J102" s="12">
        <f t="shared" si="16"/>
        <v>0.24942400000000001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2E78-0DC3-4183-9810-9885D593D792}">
  <dimension ref="A1:M102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13" ht="15" customHeight="1" thickBot="1" x14ac:dyDescent="0.3">
      <c r="A1" s="4" t="s">
        <v>0</v>
      </c>
      <c r="B1" s="4" t="s">
        <v>6</v>
      </c>
      <c r="C1" s="4" t="s">
        <v>2</v>
      </c>
      <c r="D1" s="4" t="s">
        <v>5</v>
      </c>
      <c r="E1" s="4" t="s">
        <v>4</v>
      </c>
      <c r="F1" s="4" t="s">
        <v>3</v>
      </c>
      <c r="G1" s="4" t="s">
        <v>11</v>
      </c>
      <c r="H1" s="4" t="s">
        <v>1</v>
      </c>
      <c r="I1" s="4" t="s">
        <v>12</v>
      </c>
      <c r="J1" s="4" t="s">
        <v>10</v>
      </c>
      <c r="K1" s="2"/>
      <c r="L1" s="8" t="s">
        <v>8</v>
      </c>
      <c r="M1" s="9">
        <v>0.5</v>
      </c>
    </row>
    <row r="2" spans="1:13" ht="15.75" thickBot="1" x14ac:dyDescent="0.3">
      <c r="A2" s="2">
        <v>0</v>
      </c>
      <c r="B2" s="7">
        <v>1.3633734852191992E-2</v>
      </c>
      <c r="C2" s="5">
        <v>1</v>
      </c>
      <c r="D2" s="5">
        <f>LN(C2)</f>
        <v>0</v>
      </c>
      <c r="E2" s="5">
        <f t="shared" ref="E2:E33" si="0">$M$3*D2+B2</f>
        <v>1.3633734852191992E-2</v>
      </c>
      <c r="F2" s="5">
        <f>($M$1*$M$2)^(1/(1-$M$1))</f>
        <v>0.22657599999999997</v>
      </c>
      <c r="G2" s="5">
        <f t="shared" ref="G2:G33" si="1">F3</f>
        <v>0.22657599999999997</v>
      </c>
      <c r="H2" s="5">
        <f>$C2*$F2^$M$1</f>
        <v>0.47599999999999998</v>
      </c>
      <c r="I2" s="5">
        <v>0.47599999999999998</v>
      </c>
      <c r="J2" s="11">
        <f>(1-$M$1*$M$2)*$C2*$F2^$M$1</f>
        <v>0.24942400000000001</v>
      </c>
      <c r="K2" s="2"/>
      <c r="L2" s="8" t="s">
        <v>9</v>
      </c>
      <c r="M2" s="10">
        <v>0.95199999999999996</v>
      </c>
    </row>
    <row r="3" spans="1:13" ht="15.75" thickBot="1" x14ac:dyDescent="0.3">
      <c r="A3" s="2">
        <v>1</v>
      </c>
      <c r="B3" s="5">
        <v>-3.1672243494540453E-3</v>
      </c>
      <c r="C3" s="5">
        <f t="shared" ref="C3:C34" si="2">EXP(D3)</f>
        <v>1.0137270980289681</v>
      </c>
      <c r="D3" s="5">
        <f t="shared" ref="D3:D34" si="3">E2</f>
        <v>1.3633734852191992E-2</v>
      </c>
      <c r="E3" s="5">
        <f t="shared" si="0"/>
        <v>9.1031370175187476E-3</v>
      </c>
      <c r="F3" s="5">
        <f>$M$1*$M$2*$C2*$F2^$M$1</f>
        <v>0.22657599999999997</v>
      </c>
      <c r="G3" s="5">
        <f t="shared" si="1"/>
        <v>0.22968623096301147</v>
      </c>
      <c r="H3" s="5">
        <f t="shared" ref="H3:H66" si="4">$C3*$F3^$M$1</f>
        <v>0.48253409866178881</v>
      </c>
      <c r="I3" s="5">
        <v>0.47599999999999998</v>
      </c>
      <c r="J3" s="11">
        <f t="shared" ref="J3:J66" si="5">(1-$M$1*$M$2)*$C3*$F3^$M$1</f>
        <v>0.25284786769877737</v>
      </c>
      <c r="L3" s="8" t="s">
        <v>7</v>
      </c>
      <c r="M3" s="9">
        <v>0.9</v>
      </c>
    </row>
    <row r="4" spans="1:13" x14ac:dyDescent="0.25">
      <c r="A4" s="2">
        <v>2</v>
      </c>
      <c r="B4" s="5">
        <v>-6.6694337874650955E-2</v>
      </c>
      <c r="C4" s="5">
        <f t="shared" si="2"/>
        <v>1.0091446965810431</v>
      </c>
      <c r="D4" s="5">
        <f t="shared" si="3"/>
        <v>9.1031370175187476E-3</v>
      </c>
      <c r="E4" s="5">
        <f t="shared" si="0"/>
        <v>-5.8501514558884082E-2</v>
      </c>
      <c r="F4" s="5">
        <f t="shared" ref="F4:F67" si="6">$M$1*$M$2*$C3*$F3^$M$1</f>
        <v>0.22968623096301147</v>
      </c>
      <c r="G4" s="5">
        <f t="shared" si="1"/>
        <v>0.23021195635442013</v>
      </c>
      <c r="H4" s="5">
        <f t="shared" si="4"/>
        <v>0.4836385637697902</v>
      </c>
      <c r="I4" s="5">
        <v>0.47599999999999998</v>
      </c>
      <c r="J4" s="11">
        <f t="shared" si="5"/>
        <v>0.25342660741537004</v>
      </c>
    </row>
    <row r="5" spans="1:13" x14ac:dyDescent="0.25">
      <c r="A5" s="2">
        <v>3</v>
      </c>
      <c r="B5" s="5">
        <v>-1.8069158613798209E-2</v>
      </c>
      <c r="C5" s="5">
        <f t="shared" si="2"/>
        <v>0.94317681190176517</v>
      </c>
      <c r="D5" s="5">
        <f t="shared" si="3"/>
        <v>-5.8501514558884082E-2</v>
      </c>
      <c r="E5" s="5">
        <f t="shared" si="0"/>
        <v>-7.0720521716793883E-2</v>
      </c>
      <c r="F5" s="5">
        <f t="shared" si="6"/>
        <v>0.23021195635442013</v>
      </c>
      <c r="G5" s="5">
        <f t="shared" si="1"/>
        <v>0.21540907982292312</v>
      </c>
      <c r="H5" s="5">
        <f t="shared" si="4"/>
        <v>0.4525400836616032</v>
      </c>
      <c r="I5" s="5">
        <v>0.47599999999999998</v>
      </c>
      <c r="J5" s="11">
        <f t="shared" si="5"/>
        <v>0.23713100383868008</v>
      </c>
    </row>
    <row r="6" spans="1:13" x14ac:dyDescent="0.25">
      <c r="A6" s="2">
        <v>4</v>
      </c>
      <c r="B6" s="5">
        <v>-8.3389295468805358E-3</v>
      </c>
      <c r="C6" s="5">
        <f t="shared" si="2"/>
        <v>0.93172225187882929</v>
      </c>
      <c r="D6" s="5">
        <f t="shared" si="3"/>
        <v>-7.0720521716793883E-2</v>
      </c>
      <c r="E6" s="5">
        <f t="shared" si="0"/>
        <v>-7.198739909199503E-2</v>
      </c>
      <c r="F6" s="5">
        <f t="shared" si="6"/>
        <v>0.21540907982292312</v>
      </c>
      <c r="G6" s="5">
        <f t="shared" si="1"/>
        <v>0.20583793823905386</v>
      </c>
      <c r="H6" s="5">
        <f t="shared" si="4"/>
        <v>0.43243264335935688</v>
      </c>
      <c r="I6" s="5">
        <v>0.47599999999999998</v>
      </c>
      <c r="J6" s="11">
        <f t="shared" si="5"/>
        <v>0.22659470512030302</v>
      </c>
    </row>
    <row r="7" spans="1:13" x14ac:dyDescent="0.25">
      <c r="A7" s="2">
        <v>5</v>
      </c>
      <c r="B7" s="5">
        <v>-1.0635949365678243E-2</v>
      </c>
      <c r="C7" s="5">
        <f t="shared" si="2"/>
        <v>0.93054262141929611</v>
      </c>
      <c r="D7" s="5">
        <f t="shared" si="3"/>
        <v>-7.198739909199503E-2</v>
      </c>
      <c r="E7" s="5">
        <f t="shared" si="0"/>
        <v>-7.542460854847377E-2</v>
      </c>
      <c r="F7" s="5">
        <f t="shared" si="6"/>
        <v>0.20583793823905386</v>
      </c>
      <c r="G7" s="5">
        <f t="shared" si="1"/>
        <v>0.20095829348832683</v>
      </c>
      <c r="H7" s="5">
        <f t="shared" si="4"/>
        <v>0.42218128884102279</v>
      </c>
      <c r="I7" s="5">
        <v>0.47599999999999998</v>
      </c>
      <c r="J7" s="11">
        <f t="shared" si="5"/>
        <v>0.22122299535269596</v>
      </c>
    </row>
    <row r="8" spans="1:13" x14ac:dyDescent="0.25">
      <c r="A8" s="2">
        <v>6</v>
      </c>
      <c r="B8" s="5">
        <v>-3.4532968129497021E-2</v>
      </c>
      <c r="C8" s="5">
        <f t="shared" si="2"/>
        <v>0.92734964213419002</v>
      </c>
      <c r="D8" s="5">
        <f t="shared" si="3"/>
        <v>-7.542460854847377E-2</v>
      </c>
      <c r="E8" s="5">
        <f t="shared" si="0"/>
        <v>-0.10241511582312342</v>
      </c>
      <c r="F8" s="5">
        <f t="shared" si="6"/>
        <v>0.20095829348832683</v>
      </c>
      <c r="G8" s="5">
        <f t="shared" si="1"/>
        <v>0.19788069565932351</v>
      </c>
      <c r="H8" s="5">
        <f t="shared" si="4"/>
        <v>0.41571574718345278</v>
      </c>
      <c r="I8" s="5">
        <v>0.47599999999999998</v>
      </c>
      <c r="J8" s="11">
        <f t="shared" si="5"/>
        <v>0.21783505152412927</v>
      </c>
    </row>
    <row r="9" spans="1:13" x14ac:dyDescent="0.25">
      <c r="A9" s="2">
        <v>7</v>
      </c>
      <c r="B9" s="5">
        <v>1.3771068552159704E-2</v>
      </c>
      <c r="C9" s="5">
        <f t="shared" si="2"/>
        <v>0.90265476760800989</v>
      </c>
      <c r="D9" s="5">
        <f t="shared" si="3"/>
        <v>-0.10241511582312342</v>
      </c>
      <c r="E9" s="5">
        <f t="shared" si="0"/>
        <v>-7.8402535688651367E-2</v>
      </c>
      <c r="F9" s="5">
        <f t="shared" si="6"/>
        <v>0.19788069565932351</v>
      </c>
      <c r="G9" s="5">
        <f t="shared" si="1"/>
        <v>0.19113065463631188</v>
      </c>
      <c r="H9" s="5">
        <f t="shared" si="4"/>
        <v>0.40153498873174764</v>
      </c>
      <c r="I9" s="5">
        <v>0.47599999999999998</v>
      </c>
      <c r="J9" s="11">
        <f t="shared" si="5"/>
        <v>0.21040433409543574</v>
      </c>
    </row>
    <row r="10" spans="1:13" x14ac:dyDescent="0.25">
      <c r="A10" s="2">
        <v>8</v>
      </c>
      <c r="B10" s="5">
        <v>2.0074958229088224E-2</v>
      </c>
      <c r="C10" s="5">
        <f t="shared" si="2"/>
        <v>0.92459217027936491</v>
      </c>
      <c r="D10" s="5">
        <f t="shared" si="3"/>
        <v>-7.8402535688651367E-2</v>
      </c>
      <c r="E10" s="5">
        <f t="shared" si="0"/>
        <v>-5.0487323890698002E-2</v>
      </c>
      <c r="F10" s="5">
        <f t="shared" si="6"/>
        <v>0.19113065463631188</v>
      </c>
      <c r="G10" s="5">
        <f t="shared" si="1"/>
        <v>0.19240765108385458</v>
      </c>
      <c r="H10" s="5">
        <f t="shared" si="4"/>
        <v>0.40421775437784579</v>
      </c>
      <c r="I10" s="5">
        <v>0.47599999999999998</v>
      </c>
      <c r="J10" s="11">
        <f t="shared" si="5"/>
        <v>0.21181010329399119</v>
      </c>
    </row>
    <row r="11" spans="1:13" x14ac:dyDescent="0.25">
      <c r="A11" s="2">
        <v>9</v>
      </c>
      <c r="B11" s="5">
        <v>-1.5932391761452891E-2</v>
      </c>
      <c r="C11" s="5">
        <f t="shared" si="2"/>
        <v>0.95076598060943174</v>
      </c>
      <c r="D11" s="5">
        <f t="shared" si="3"/>
        <v>-5.0487323890698002E-2</v>
      </c>
      <c r="E11" s="5">
        <f t="shared" si="0"/>
        <v>-6.1370983263081096E-2</v>
      </c>
      <c r="F11" s="5">
        <f t="shared" si="6"/>
        <v>0.19240765108385458</v>
      </c>
      <c r="G11" s="5">
        <f t="shared" si="1"/>
        <v>0.19851428114301609</v>
      </c>
      <c r="H11" s="5">
        <f t="shared" si="4"/>
        <v>0.4170468091239834</v>
      </c>
      <c r="I11" s="5">
        <v>0.47599999999999998</v>
      </c>
      <c r="J11" s="11">
        <f t="shared" si="5"/>
        <v>0.21853252798096731</v>
      </c>
    </row>
    <row r="12" spans="1:13" x14ac:dyDescent="0.25">
      <c r="A12" s="2">
        <v>10</v>
      </c>
      <c r="B12" s="5">
        <v>1.5091154637048021E-2</v>
      </c>
      <c r="C12" s="5">
        <f t="shared" si="2"/>
        <v>0.94047427483461377</v>
      </c>
      <c r="D12" s="5">
        <f t="shared" si="3"/>
        <v>-6.1370983263081096E-2</v>
      </c>
      <c r="E12" s="5">
        <f t="shared" si="0"/>
        <v>-4.0142730299724969E-2</v>
      </c>
      <c r="F12" s="5">
        <f t="shared" si="6"/>
        <v>0.19851428114301609</v>
      </c>
      <c r="G12" s="5">
        <f t="shared" si="1"/>
        <v>0.19945721514408837</v>
      </c>
      <c r="H12" s="5">
        <f t="shared" si="4"/>
        <v>0.41902776290774868</v>
      </c>
      <c r="I12" s="5">
        <v>0.47599999999999998</v>
      </c>
      <c r="J12" s="11">
        <f t="shared" si="5"/>
        <v>0.21957054776366031</v>
      </c>
    </row>
    <row r="13" spans="1:13" x14ac:dyDescent="0.25">
      <c r="A13" s="2">
        <v>11</v>
      </c>
      <c r="B13" s="5">
        <v>1.9963863451266661E-2</v>
      </c>
      <c r="C13" s="5">
        <f t="shared" si="2"/>
        <v>0.96065231517380645</v>
      </c>
      <c r="D13" s="5">
        <f t="shared" si="3"/>
        <v>-4.0142730299724969E-2</v>
      </c>
      <c r="E13" s="5">
        <f t="shared" si="0"/>
        <v>-1.6164593818485812E-2</v>
      </c>
      <c r="F13" s="5">
        <f t="shared" si="6"/>
        <v>0.19945721514408837</v>
      </c>
      <c r="G13" s="5">
        <f t="shared" si="1"/>
        <v>0.20421990131334591</v>
      </c>
      <c r="H13" s="5">
        <f t="shared" si="4"/>
        <v>0.42903340612047464</v>
      </c>
      <c r="I13" s="5">
        <v>0.47599999999999998</v>
      </c>
      <c r="J13" s="11">
        <f t="shared" si="5"/>
        <v>0.22481350480712872</v>
      </c>
    </row>
    <row r="14" spans="1:13" x14ac:dyDescent="0.25">
      <c r="A14" s="2">
        <v>12</v>
      </c>
      <c r="B14" s="5">
        <v>3.4277718441444449E-3</v>
      </c>
      <c r="C14" s="5">
        <f t="shared" si="2"/>
        <v>0.98396535211162783</v>
      </c>
      <c r="D14" s="5">
        <f t="shared" si="3"/>
        <v>-1.6164593818485812E-2</v>
      </c>
      <c r="E14" s="5">
        <f t="shared" si="0"/>
        <v>-1.1120362592492786E-2</v>
      </c>
      <c r="F14" s="5">
        <f t="shared" si="6"/>
        <v>0.20421990131334591</v>
      </c>
      <c r="G14" s="5">
        <f t="shared" si="1"/>
        <v>0.21165853694794323</v>
      </c>
      <c r="H14" s="5">
        <f t="shared" si="4"/>
        <v>0.44466079190744379</v>
      </c>
      <c r="I14" s="5">
        <v>0.47599999999999998</v>
      </c>
      <c r="J14" s="11">
        <f t="shared" si="5"/>
        <v>0.23300225495950058</v>
      </c>
    </row>
    <row r="15" spans="1:13" x14ac:dyDescent="0.25">
      <c r="A15" s="2">
        <v>13</v>
      </c>
      <c r="B15" s="5">
        <v>3.3346623240504414E-3</v>
      </c>
      <c r="C15" s="5">
        <f t="shared" si="2"/>
        <v>0.9889412400801304</v>
      </c>
      <c r="D15" s="5">
        <f t="shared" si="3"/>
        <v>-1.1120362592492786E-2</v>
      </c>
      <c r="E15" s="5">
        <f t="shared" si="0"/>
        <v>-6.6736640091930657E-3</v>
      </c>
      <c r="F15" s="5">
        <f t="shared" si="6"/>
        <v>0.21165853694794323</v>
      </c>
      <c r="G15" s="5">
        <f t="shared" si="1"/>
        <v>0.21656852343341323</v>
      </c>
      <c r="H15" s="5">
        <f t="shared" si="4"/>
        <v>0.45497588956599422</v>
      </c>
      <c r="I15" s="5">
        <v>0.47599999999999998</v>
      </c>
      <c r="J15" s="11">
        <f t="shared" si="5"/>
        <v>0.23840736613258101</v>
      </c>
    </row>
    <row r="16" spans="1:13" x14ac:dyDescent="0.25">
      <c r="A16" s="2">
        <v>14</v>
      </c>
      <c r="B16" s="5">
        <v>8.4324710769578815E-3</v>
      </c>
      <c r="C16" s="5">
        <f t="shared" si="2"/>
        <v>0.99334855543062539</v>
      </c>
      <c r="D16" s="5">
        <f t="shared" si="3"/>
        <v>-6.6736640091930657E-3</v>
      </c>
      <c r="E16" s="5">
        <f t="shared" si="0"/>
        <v>2.4261734686841221E-3</v>
      </c>
      <c r="F16" s="5">
        <f t="shared" si="6"/>
        <v>0.21656852343341323</v>
      </c>
      <c r="G16" s="5">
        <f t="shared" si="1"/>
        <v>0.22004235535148026</v>
      </c>
      <c r="H16" s="5">
        <f t="shared" si="4"/>
        <v>0.46227385578042068</v>
      </c>
      <c r="I16" s="5">
        <v>0.47599999999999998</v>
      </c>
      <c r="J16" s="11">
        <f t="shared" si="5"/>
        <v>0.24223150042894048</v>
      </c>
    </row>
    <row r="17" spans="1:10" x14ac:dyDescent="0.25">
      <c r="A17" s="2">
        <v>15</v>
      </c>
      <c r="B17" s="5">
        <v>1.0828534868778661E-2</v>
      </c>
      <c r="C17" s="5">
        <f t="shared" si="2"/>
        <v>1.0024291190091832</v>
      </c>
      <c r="D17" s="5">
        <f t="shared" si="3"/>
        <v>2.4261734686841221E-3</v>
      </c>
      <c r="E17" s="5">
        <f t="shared" si="0"/>
        <v>1.3012090990594371E-2</v>
      </c>
      <c r="F17" s="5">
        <f t="shared" si="6"/>
        <v>0.22004235535148026</v>
      </c>
      <c r="G17" s="5">
        <f t="shared" si="1"/>
        <v>0.22382766750902802</v>
      </c>
      <c r="H17" s="5">
        <f t="shared" si="4"/>
        <v>0.47022619224585721</v>
      </c>
      <c r="I17" s="5">
        <v>0.47599999999999998</v>
      </c>
      <c r="J17" s="11">
        <f t="shared" si="5"/>
        <v>0.24639852473682922</v>
      </c>
    </row>
    <row r="18" spans="1:10" x14ac:dyDescent="0.25">
      <c r="A18" s="2">
        <v>16</v>
      </c>
      <c r="B18" s="5">
        <v>-1.3512362784240395E-2</v>
      </c>
      <c r="C18" s="5">
        <f t="shared" si="2"/>
        <v>1.0130971166334646</v>
      </c>
      <c r="D18" s="5">
        <f t="shared" si="3"/>
        <v>1.3012090990594371E-2</v>
      </c>
      <c r="E18" s="5">
        <f t="shared" si="0"/>
        <v>-1.801480892705461E-3</v>
      </c>
      <c r="F18" s="5">
        <f t="shared" si="6"/>
        <v>0.22382766750902802</v>
      </c>
      <c r="G18" s="5">
        <f t="shared" si="1"/>
        <v>0.22814708095321659</v>
      </c>
      <c r="H18" s="5">
        <f t="shared" si="4"/>
        <v>0.47930059023785004</v>
      </c>
      <c r="I18" s="5">
        <v>0.47599999999999998</v>
      </c>
      <c r="J18" s="11">
        <f t="shared" si="5"/>
        <v>0.25115350928463342</v>
      </c>
    </row>
    <row r="19" spans="1:10" x14ac:dyDescent="0.25">
      <c r="A19" s="2">
        <v>17</v>
      </c>
      <c r="B19" s="5">
        <v>-2.7559053705772385E-2</v>
      </c>
      <c r="C19" s="5">
        <f t="shared" si="2"/>
        <v>0.99820014080003561</v>
      </c>
      <c r="D19" s="5">
        <f t="shared" si="3"/>
        <v>-1.801480892705461E-3</v>
      </c>
      <c r="E19" s="5">
        <f t="shared" si="0"/>
        <v>-2.91803865092073E-2</v>
      </c>
      <c r="F19" s="5">
        <f t="shared" si="6"/>
        <v>0.22814708095321659</v>
      </c>
      <c r="G19" s="5">
        <f t="shared" si="1"/>
        <v>0.22695096712253726</v>
      </c>
      <c r="H19" s="5">
        <f t="shared" si="4"/>
        <v>0.47678774605575053</v>
      </c>
      <c r="I19" s="5">
        <v>0.47599999999999998</v>
      </c>
      <c r="J19" s="11">
        <f t="shared" si="5"/>
        <v>0.24983677893321332</v>
      </c>
    </row>
    <row r="20" spans="1:10" x14ac:dyDescent="0.25">
      <c r="A20" s="2">
        <v>18</v>
      </c>
      <c r="B20" s="5">
        <v>-1.3903263607062399E-2</v>
      </c>
      <c r="C20" s="5">
        <f t="shared" si="2"/>
        <v>0.97124124984524529</v>
      </c>
      <c r="D20" s="5">
        <f t="shared" si="3"/>
        <v>-2.91803865092073E-2</v>
      </c>
      <c r="E20" s="5">
        <f t="shared" si="0"/>
        <v>-4.0165611465348972E-2</v>
      </c>
      <c r="F20" s="5">
        <f t="shared" si="6"/>
        <v>0.22695096712253726</v>
      </c>
      <c r="G20" s="5">
        <f t="shared" si="1"/>
        <v>0.22024197391835987</v>
      </c>
      <c r="H20" s="5">
        <f t="shared" si="4"/>
        <v>0.46269322251756279</v>
      </c>
      <c r="I20" s="5">
        <v>0.47599999999999998</v>
      </c>
      <c r="J20" s="11">
        <f t="shared" si="5"/>
        <v>0.24245124859920292</v>
      </c>
    </row>
    <row r="21" spans="1:10" x14ac:dyDescent="0.25">
      <c r="A21" s="2">
        <v>19</v>
      </c>
      <c r="B21" s="5">
        <v>-2.598526407382451E-2</v>
      </c>
      <c r="C21" s="5">
        <f t="shared" si="2"/>
        <v>0.9606303345805477</v>
      </c>
      <c r="D21" s="5">
        <f t="shared" si="3"/>
        <v>-4.0165611465348972E-2</v>
      </c>
      <c r="E21" s="5">
        <f t="shared" si="0"/>
        <v>-6.2134314392638584E-2</v>
      </c>
      <c r="F21" s="5">
        <f t="shared" si="6"/>
        <v>0.22024197391835987</v>
      </c>
      <c r="G21" s="5">
        <f t="shared" si="1"/>
        <v>0.21459188500398585</v>
      </c>
      <c r="H21" s="5">
        <f t="shared" si="4"/>
        <v>0.45082328782349967</v>
      </c>
      <c r="I21" s="5">
        <v>0.47599999999999998</v>
      </c>
      <c r="J21" s="11">
        <f t="shared" si="5"/>
        <v>0.23623140281951385</v>
      </c>
    </row>
    <row r="22" spans="1:10" x14ac:dyDescent="0.25">
      <c r="A22" s="2">
        <v>20</v>
      </c>
      <c r="B22" s="5">
        <v>-2.7770147426053882E-2</v>
      </c>
      <c r="C22" s="5">
        <f t="shared" si="2"/>
        <v>0.93975665546952958</v>
      </c>
      <c r="D22" s="5">
        <f t="shared" si="3"/>
        <v>-6.2134314392638584E-2</v>
      </c>
      <c r="E22" s="5">
        <f t="shared" si="0"/>
        <v>-8.3691030379428599E-2</v>
      </c>
      <c r="F22" s="5">
        <f t="shared" si="6"/>
        <v>0.21459188500398585</v>
      </c>
      <c r="G22" s="5">
        <f t="shared" si="1"/>
        <v>0.20721873119683176</v>
      </c>
      <c r="H22" s="5">
        <f t="shared" si="4"/>
        <v>0.43533346890090707</v>
      </c>
      <c r="I22" s="5">
        <v>0.47599999999999998</v>
      </c>
      <c r="J22" s="11">
        <f t="shared" si="5"/>
        <v>0.22811473770407531</v>
      </c>
    </row>
    <row r="23" spans="1:10" x14ac:dyDescent="0.25">
      <c r="A23" s="2">
        <v>21</v>
      </c>
      <c r="B23" s="5">
        <v>-6.8294184529804625E-3</v>
      </c>
      <c r="C23" s="5">
        <f t="shared" si="2"/>
        <v>0.91971537631145939</v>
      </c>
      <c r="D23" s="5">
        <f t="shared" si="3"/>
        <v>-8.3691030379428599E-2</v>
      </c>
      <c r="E23" s="5">
        <f t="shared" si="0"/>
        <v>-8.2151345794466202E-2</v>
      </c>
      <c r="F23" s="5">
        <f t="shared" si="6"/>
        <v>0.20721873119683176</v>
      </c>
      <c r="G23" s="5">
        <f t="shared" si="1"/>
        <v>0.19928513497793202</v>
      </c>
      <c r="H23" s="5">
        <f t="shared" si="4"/>
        <v>0.41866624995363871</v>
      </c>
      <c r="I23" s="5">
        <v>0.47599999999999998</v>
      </c>
      <c r="J23" s="11">
        <f t="shared" si="5"/>
        <v>0.21938111497570667</v>
      </c>
    </row>
    <row r="24" spans="1:10" x14ac:dyDescent="0.25">
      <c r="A24" s="2">
        <v>22</v>
      </c>
      <c r="B24" s="5">
        <v>8.1274492913507856E-3</v>
      </c>
      <c r="C24" s="5">
        <f t="shared" si="2"/>
        <v>0.92113253861042832</v>
      </c>
      <c r="D24" s="5">
        <f t="shared" si="3"/>
        <v>-8.2151345794466202E-2</v>
      </c>
      <c r="E24" s="5">
        <f t="shared" si="0"/>
        <v>-6.5808761923668802E-2</v>
      </c>
      <c r="F24" s="5">
        <f t="shared" si="6"/>
        <v>0.19928513497793202</v>
      </c>
      <c r="G24" s="5">
        <f t="shared" si="1"/>
        <v>0.19573411616082684</v>
      </c>
      <c r="H24" s="5">
        <f t="shared" si="4"/>
        <v>0.41120612638829168</v>
      </c>
      <c r="I24" s="5">
        <v>0.47599999999999998</v>
      </c>
      <c r="J24" s="11">
        <f t="shared" si="5"/>
        <v>0.21547201022746487</v>
      </c>
    </row>
    <row r="25" spans="1:10" x14ac:dyDescent="0.25">
      <c r="A25" s="2">
        <v>23</v>
      </c>
      <c r="B25" s="5">
        <v>-1.2837608664995059E-2</v>
      </c>
      <c r="C25" s="5">
        <f t="shared" si="2"/>
        <v>0.93630990527648139</v>
      </c>
      <c r="D25" s="5">
        <f t="shared" si="3"/>
        <v>-6.5808761923668802E-2</v>
      </c>
      <c r="E25" s="5">
        <f t="shared" si="0"/>
        <v>-7.2065494396296975E-2</v>
      </c>
      <c r="F25" s="5">
        <f t="shared" si="6"/>
        <v>0.19573411616082684</v>
      </c>
      <c r="G25" s="5">
        <f t="shared" si="1"/>
        <v>0.19717862560330732</v>
      </c>
      <c r="H25" s="5">
        <f t="shared" si="4"/>
        <v>0.41424081009098179</v>
      </c>
      <c r="I25" s="5">
        <v>0.47599999999999998</v>
      </c>
      <c r="J25" s="11">
        <f t="shared" si="5"/>
        <v>0.21706218448767448</v>
      </c>
    </row>
    <row r="26" spans="1:10" x14ac:dyDescent="0.25">
      <c r="A26" s="2">
        <v>24</v>
      </c>
      <c r="B26" s="5">
        <v>1.714051904855296E-2</v>
      </c>
      <c r="C26" s="5">
        <f t="shared" si="2"/>
        <v>0.9304699532476689</v>
      </c>
      <c r="D26" s="5">
        <f t="shared" si="3"/>
        <v>-7.2065494396296975E-2</v>
      </c>
      <c r="E26" s="5">
        <f t="shared" si="0"/>
        <v>-4.7718425908114315E-2</v>
      </c>
      <c r="F26" s="5">
        <f t="shared" si="6"/>
        <v>0.19717862560330732</v>
      </c>
      <c r="G26" s="5">
        <f t="shared" si="1"/>
        <v>0.19667050082722362</v>
      </c>
      <c r="H26" s="5">
        <f t="shared" si="4"/>
        <v>0.41317332106559584</v>
      </c>
      <c r="I26" s="5">
        <v>0.47599999999999998</v>
      </c>
      <c r="J26" s="11">
        <f t="shared" si="5"/>
        <v>0.21650282023837222</v>
      </c>
    </row>
    <row r="27" spans="1:10" x14ac:dyDescent="0.25">
      <c r="A27" s="2">
        <v>25</v>
      </c>
      <c r="B27" s="5">
        <v>-1.2330337995081209E-2</v>
      </c>
      <c r="C27" s="5">
        <f t="shared" si="2"/>
        <v>0.95340220264570819</v>
      </c>
      <c r="D27" s="5">
        <f t="shared" si="3"/>
        <v>-4.7718425908114315E-2</v>
      </c>
      <c r="E27" s="5">
        <f t="shared" si="0"/>
        <v>-5.5276921312384091E-2</v>
      </c>
      <c r="F27" s="5">
        <f t="shared" si="6"/>
        <v>0.19667050082722362</v>
      </c>
      <c r="G27" s="5">
        <f t="shared" si="1"/>
        <v>0.20125779746561745</v>
      </c>
      <c r="H27" s="5">
        <f t="shared" si="4"/>
        <v>0.42281049887734762</v>
      </c>
      <c r="I27" s="5">
        <v>0.47599999999999998</v>
      </c>
      <c r="J27" s="11">
        <f t="shared" si="5"/>
        <v>0.22155270141173017</v>
      </c>
    </row>
    <row r="28" spans="1:10" x14ac:dyDescent="0.25">
      <c r="A28" s="2">
        <v>26</v>
      </c>
      <c r="B28" s="5">
        <v>6.7499968281481415E-3</v>
      </c>
      <c r="C28" s="5">
        <f t="shared" si="2"/>
        <v>0.94622308233161323</v>
      </c>
      <c r="D28" s="5">
        <f t="shared" si="3"/>
        <v>-5.5276921312384091E-2</v>
      </c>
      <c r="E28" s="5">
        <f t="shared" si="0"/>
        <v>-4.2999232352997539E-2</v>
      </c>
      <c r="F28" s="5">
        <f t="shared" si="6"/>
        <v>0.20125779746561745</v>
      </c>
      <c r="G28" s="5">
        <f t="shared" si="1"/>
        <v>0.2020583715621479</v>
      </c>
      <c r="H28" s="5">
        <f t="shared" si="4"/>
        <v>0.42449237723140315</v>
      </c>
      <c r="I28" s="5">
        <v>0.47599999999999998</v>
      </c>
      <c r="J28" s="11">
        <f t="shared" si="5"/>
        <v>0.22243400566925528</v>
      </c>
    </row>
    <row r="29" spans="1:10" x14ac:dyDescent="0.25">
      <c r="A29" s="2">
        <v>27</v>
      </c>
      <c r="B29" s="5">
        <v>7.0829628384672105E-3</v>
      </c>
      <c r="C29" s="5">
        <f t="shared" si="2"/>
        <v>0.95791212540512016</v>
      </c>
      <c r="D29" s="5">
        <f t="shared" si="3"/>
        <v>-4.2999232352997539E-2</v>
      </c>
      <c r="E29" s="5">
        <f t="shared" si="0"/>
        <v>-3.1616346279230573E-2</v>
      </c>
      <c r="F29" s="5">
        <f t="shared" si="6"/>
        <v>0.2020583715621479</v>
      </c>
      <c r="G29" s="5">
        <f t="shared" si="1"/>
        <v>0.20496091333097891</v>
      </c>
      <c r="H29" s="5">
        <f t="shared" si="4"/>
        <v>0.43059015405667844</v>
      </c>
      <c r="I29" s="5">
        <v>0.47599999999999998</v>
      </c>
      <c r="J29" s="11">
        <f t="shared" si="5"/>
        <v>0.22562924072569951</v>
      </c>
    </row>
    <row r="30" spans="1:10" x14ac:dyDescent="0.25">
      <c r="A30" s="2">
        <v>28</v>
      </c>
      <c r="B30" s="5">
        <v>1.2297050488996319E-2</v>
      </c>
      <c r="C30" s="5">
        <f t="shared" si="2"/>
        <v>0.96887822451944594</v>
      </c>
      <c r="D30" s="5">
        <f t="shared" si="3"/>
        <v>-3.1616346279230573E-2</v>
      </c>
      <c r="E30" s="5">
        <f t="shared" si="0"/>
        <v>-1.6157661162311196E-2</v>
      </c>
      <c r="F30" s="5">
        <f t="shared" si="6"/>
        <v>0.20496091333097891</v>
      </c>
      <c r="G30" s="5">
        <f t="shared" si="1"/>
        <v>0.20879095071915393</v>
      </c>
      <c r="H30" s="5">
        <f t="shared" si="4"/>
        <v>0.43863645109065952</v>
      </c>
      <c r="I30" s="5">
        <v>0.47599999999999998</v>
      </c>
      <c r="J30" s="11">
        <f t="shared" si="5"/>
        <v>0.22984550037150561</v>
      </c>
    </row>
    <row r="31" spans="1:10" x14ac:dyDescent="0.25">
      <c r="A31" s="2">
        <v>29</v>
      </c>
      <c r="B31" s="5">
        <v>-3.9881342672742903E-3</v>
      </c>
      <c r="C31" s="5">
        <f t="shared" si="2"/>
        <v>0.98397217362874734</v>
      </c>
      <c r="D31" s="5">
        <f t="shared" si="3"/>
        <v>-1.6157661162311196E-2</v>
      </c>
      <c r="E31" s="5">
        <f t="shared" si="0"/>
        <v>-1.8530029313354367E-2</v>
      </c>
      <c r="F31" s="5">
        <f t="shared" si="6"/>
        <v>0.20879095071915393</v>
      </c>
      <c r="G31" s="5">
        <f t="shared" si="1"/>
        <v>0.21401568599525689</v>
      </c>
      <c r="H31" s="5">
        <f t="shared" si="4"/>
        <v>0.44961278570432117</v>
      </c>
      <c r="I31" s="5">
        <v>0.47599999999999998</v>
      </c>
      <c r="J31" s="11">
        <f t="shared" si="5"/>
        <v>0.23559709970906431</v>
      </c>
    </row>
    <row r="32" spans="1:10" x14ac:dyDescent="0.25">
      <c r="A32" s="2">
        <v>30</v>
      </c>
      <c r="B32" s="5">
        <v>-3.335144356242381E-2</v>
      </c>
      <c r="C32" s="5">
        <f t="shared" si="2"/>
        <v>0.98164059615612176</v>
      </c>
      <c r="D32" s="5">
        <f t="shared" si="3"/>
        <v>-1.8530029313354367E-2</v>
      </c>
      <c r="E32" s="5">
        <f t="shared" si="0"/>
        <v>-5.0028469944442738E-2</v>
      </c>
      <c r="F32" s="5">
        <f t="shared" si="6"/>
        <v>0.21401568599525689</v>
      </c>
      <c r="G32" s="5">
        <f t="shared" si="1"/>
        <v>0.21616345143363977</v>
      </c>
      <c r="H32" s="5">
        <f t="shared" si="4"/>
        <v>0.45412489796983146</v>
      </c>
      <c r="I32" s="5">
        <v>0.47599999999999998</v>
      </c>
      <c r="J32" s="11">
        <f t="shared" si="5"/>
        <v>0.2379614465361917</v>
      </c>
    </row>
    <row r="33" spans="1:10" x14ac:dyDescent="0.25">
      <c r="A33" s="2">
        <v>31</v>
      </c>
      <c r="B33" s="5">
        <v>1.5246178008965217E-2</v>
      </c>
      <c r="C33" s="5">
        <f t="shared" si="2"/>
        <v>0.95120234343734622</v>
      </c>
      <c r="D33" s="5">
        <f t="shared" si="3"/>
        <v>-5.0028469944442738E-2</v>
      </c>
      <c r="E33" s="5">
        <f t="shared" si="0"/>
        <v>-2.9779444941033247E-2</v>
      </c>
      <c r="F33" s="5">
        <f t="shared" si="6"/>
        <v>0.21616345143363977</v>
      </c>
      <c r="G33" s="5">
        <f t="shared" si="1"/>
        <v>0.21050915952404442</v>
      </c>
      <c r="H33" s="5">
        <f t="shared" si="4"/>
        <v>0.44224613345387481</v>
      </c>
      <c r="I33" s="5">
        <v>0.47599999999999998</v>
      </c>
      <c r="J33" s="11">
        <f t="shared" si="5"/>
        <v>0.23173697392983039</v>
      </c>
    </row>
    <row r="34" spans="1:10" x14ac:dyDescent="0.25">
      <c r="A34" s="2">
        <v>32</v>
      </c>
      <c r="B34" s="5">
        <v>-2.0525658328551799E-2</v>
      </c>
      <c r="C34" s="5">
        <f t="shared" si="2"/>
        <v>0.97065959382555478</v>
      </c>
      <c r="D34" s="5">
        <f t="shared" si="3"/>
        <v>-2.9779444941033247E-2</v>
      </c>
      <c r="E34" s="5">
        <f t="shared" ref="E34:E65" si="7">$M$3*D34+B34</f>
        <v>-4.7327158775481722E-2</v>
      </c>
      <c r="F34" s="5">
        <f t="shared" si="6"/>
        <v>0.21050915952404442</v>
      </c>
      <c r="G34" s="5">
        <f t="shared" ref="G34:G65" si="8">F35</f>
        <v>0.21198708488793841</v>
      </c>
      <c r="H34" s="5">
        <f t="shared" si="4"/>
        <v>0.4453510186721395</v>
      </c>
      <c r="I34" s="5">
        <v>0.47599999999999998</v>
      </c>
      <c r="J34" s="11">
        <f t="shared" si="5"/>
        <v>0.23336393378420109</v>
      </c>
    </row>
    <row r="35" spans="1:10" x14ac:dyDescent="0.25">
      <c r="A35" s="2">
        <v>33</v>
      </c>
      <c r="B35" s="5">
        <v>8.2522319644340314E-3</v>
      </c>
      <c r="C35" s="5">
        <f t="shared" ref="C35:C66" si="9">EXP(D35)</f>
        <v>0.95377531057945875</v>
      </c>
      <c r="D35" s="5">
        <f t="shared" ref="D35:D66" si="10">E34</f>
        <v>-4.7327158775481722E-2</v>
      </c>
      <c r="E35" s="5">
        <f t="shared" si="7"/>
        <v>-3.4342210933499519E-2</v>
      </c>
      <c r="F35" s="5">
        <f t="shared" si="6"/>
        <v>0.21198708488793841</v>
      </c>
      <c r="G35" s="5">
        <f t="shared" si="8"/>
        <v>0.20902957146163337</v>
      </c>
      <c r="H35" s="5">
        <f t="shared" si="4"/>
        <v>0.43913775517149867</v>
      </c>
      <c r="I35" s="5">
        <v>0.47599999999999998</v>
      </c>
      <c r="J35" s="11">
        <f t="shared" si="5"/>
        <v>0.23010818370986533</v>
      </c>
    </row>
    <row r="36" spans="1:10" x14ac:dyDescent="0.25">
      <c r="A36" s="2">
        <v>34</v>
      </c>
      <c r="B36" s="5">
        <v>1.4436159290198702E-2</v>
      </c>
      <c r="C36" s="5">
        <f t="shared" si="9"/>
        <v>0.96624078989093909</v>
      </c>
      <c r="D36" s="5">
        <f t="shared" si="10"/>
        <v>-3.4342210933499519E-2</v>
      </c>
      <c r="E36" s="5">
        <f t="shared" si="7"/>
        <v>-1.6471830549950866E-2</v>
      </c>
      <c r="F36" s="5">
        <f t="shared" si="6"/>
        <v>0.20902957146163337</v>
      </c>
      <c r="G36" s="5">
        <f t="shared" si="8"/>
        <v>0.21027913658307884</v>
      </c>
      <c r="H36" s="5">
        <f t="shared" si="4"/>
        <v>0.44176289198125807</v>
      </c>
      <c r="I36" s="5">
        <v>0.47599999999999998</v>
      </c>
      <c r="J36" s="11">
        <f t="shared" si="5"/>
        <v>0.23148375539817928</v>
      </c>
    </row>
    <row r="37" spans="1:10" x14ac:dyDescent="0.25">
      <c r="A37" s="2">
        <v>35</v>
      </c>
      <c r="B37" s="5">
        <v>-9.4969436759129167E-4</v>
      </c>
      <c r="C37" s="5">
        <f t="shared" si="9"/>
        <v>0.98366308824862847</v>
      </c>
      <c r="D37" s="5">
        <f t="shared" si="10"/>
        <v>-1.6471830549950866E-2</v>
      </c>
      <c r="E37" s="5">
        <f t="shared" si="7"/>
        <v>-1.5774341862547073E-2</v>
      </c>
      <c r="F37" s="5">
        <f t="shared" si="6"/>
        <v>0.21027913658307884</v>
      </c>
      <c r="G37" s="5">
        <f t="shared" si="8"/>
        <v>0.21470957889526715</v>
      </c>
      <c r="H37" s="5">
        <f t="shared" si="4"/>
        <v>0.45107054389762008</v>
      </c>
      <c r="I37" s="5">
        <v>0.47599999999999998</v>
      </c>
      <c r="J37" s="11">
        <f t="shared" si="5"/>
        <v>0.23636096500235293</v>
      </c>
    </row>
    <row r="38" spans="1:10" x14ac:dyDescent="0.25">
      <c r="A38" s="2">
        <v>36</v>
      </c>
      <c r="B38" s="5">
        <v>-7.6834112405776978E-2</v>
      </c>
      <c r="C38" s="5">
        <f t="shared" si="9"/>
        <v>0.98434942145189663</v>
      </c>
      <c r="D38" s="5">
        <f t="shared" si="10"/>
        <v>-1.5774341862547073E-2</v>
      </c>
      <c r="E38" s="5">
        <f t="shared" si="7"/>
        <v>-9.1031020082069342E-2</v>
      </c>
      <c r="F38" s="5">
        <f t="shared" si="6"/>
        <v>0.21470957889526715</v>
      </c>
      <c r="G38" s="5">
        <f t="shared" si="8"/>
        <v>0.21711106273519845</v>
      </c>
      <c r="H38" s="5">
        <f t="shared" si="4"/>
        <v>0.45611567801512282</v>
      </c>
      <c r="I38" s="5">
        <v>0.47599999999999998</v>
      </c>
      <c r="J38" s="11">
        <f t="shared" si="5"/>
        <v>0.23900461527992434</v>
      </c>
    </row>
    <row r="39" spans="1:10" x14ac:dyDescent="0.25">
      <c r="A39" s="2">
        <v>37</v>
      </c>
      <c r="B39" s="5">
        <v>8.3389295468805358E-3</v>
      </c>
      <c r="C39" s="5">
        <f t="shared" si="9"/>
        <v>0.91298938945421204</v>
      </c>
      <c r="D39" s="5">
        <f t="shared" si="10"/>
        <v>-9.1031020082069342E-2</v>
      </c>
      <c r="E39" s="5">
        <f t="shared" si="7"/>
        <v>-7.3588988526981869E-2</v>
      </c>
      <c r="F39" s="5">
        <f t="shared" si="6"/>
        <v>0.21711106273519845</v>
      </c>
      <c r="G39" s="5">
        <f t="shared" si="8"/>
        <v>0.20249469949756191</v>
      </c>
      <c r="H39" s="5">
        <f t="shared" si="4"/>
        <v>0.42540903255790319</v>
      </c>
      <c r="I39" s="5">
        <v>0.47599999999999998</v>
      </c>
      <c r="J39" s="11">
        <f t="shared" si="5"/>
        <v>0.22291433306034128</v>
      </c>
    </row>
    <row r="40" spans="1:10" x14ac:dyDescent="0.25">
      <c r="A40" s="2">
        <v>38</v>
      </c>
      <c r="B40" s="5">
        <v>2.1136247596587054E-2</v>
      </c>
      <c r="C40" s="5">
        <f t="shared" si="9"/>
        <v>0.92905346701332558</v>
      </c>
      <c r="D40" s="5">
        <f t="shared" si="10"/>
        <v>-7.3588988526981869E-2</v>
      </c>
      <c r="E40" s="5">
        <f t="shared" si="7"/>
        <v>-4.5093842077696636E-2</v>
      </c>
      <c r="F40" s="5">
        <f t="shared" si="6"/>
        <v>0.20249469949756191</v>
      </c>
      <c r="G40" s="5">
        <f t="shared" si="8"/>
        <v>0.19900064813023358</v>
      </c>
      <c r="H40" s="5">
        <f t="shared" si="4"/>
        <v>0.41806858850889406</v>
      </c>
      <c r="I40" s="5">
        <v>0.47599999999999998</v>
      </c>
      <c r="J40" s="11">
        <f t="shared" si="5"/>
        <v>0.21906794037866051</v>
      </c>
    </row>
    <row r="41" spans="1:10" x14ac:dyDescent="0.25">
      <c r="A41" s="2">
        <v>39</v>
      </c>
      <c r="B41" s="5">
        <v>1.2986470210307743E-2</v>
      </c>
      <c r="C41" s="5">
        <f t="shared" si="9"/>
        <v>0.9559077732524176</v>
      </c>
      <c r="D41" s="5">
        <f t="shared" si="10"/>
        <v>-4.5093842077696636E-2</v>
      </c>
      <c r="E41" s="5">
        <f t="shared" si="7"/>
        <v>-2.7597987659619232E-2</v>
      </c>
      <c r="F41" s="5">
        <f t="shared" si="6"/>
        <v>0.19900064813023358</v>
      </c>
      <c r="G41" s="5">
        <f t="shared" si="8"/>
        <v>0.2029785713241071</v>
      </c>
      <c r="H41" s="5">
        <f t="shared" si="4"/>
        <v>0.42642557000862841</v>
      </c>
      <c r="I41" s="5">
        <v>0.47599999999999998</v>
      </c>
      <c r="J41" s="11">
        <f t="shared" si="5"/>
        <v>0.22344699868452131</v>
      </c>
    </row>
    <row r="42" spans="1:10" x14ac:dyDescent="0.25">
      <c r="A42" s="2">
        <v>40</v>
      </c>
      <c r="B42" s="5">
        <v>-1.8115224520443007E-2</v>
      </c>
      <c r="C42" s="5">
        <f t="shared" si="9"/>
        <v>0.97277935751062294</v>
      </c>
      <c r="D42" s="5">
        <f t="shared" si="10"/>
        <v>-2.7597987659619232E-2</v>
      </c>
      <c r="E42" s="5">
        <f t="shared" si="7"/>
        <v>-4.2953413414100319E-2</v>
      </c>
      <c r="F42" s="5">
        <f t="shared" si="6"/>
        <v>0.2029785713241071</v>
      </c>
      <c r="G42" s="5">
        <f t="shared" si="8"/>
        <v>0.20861541428614144</v>
      </c>
      <c r="H42" s="5">
        <f t="shared" si="4"/>
        <v>0.4382676770717257</v>
      </c>
      <c r="I42" s="5">
        <v>0.47599999999999998</v>
      </c>
      <c r="J42" s="11">
        <f t="shared" si="5"/>
        <v>0.22965226278558432</v>
      </c>
    </row>
    <row r="43" spans="1:10" x14ac:dyDescent="0.25">
      <c r="A43" s="2">
        <v>41</v>
      </c>
      <c r="B43" s="5">
        <v>2.4764631234575063E-3</v>
      </c>
      <c r="C43" s="5">
        <f t="shared" si="9"/>
        <v>0.95795601692778676</v>
      </c>
      <c r="D43" s="5">
        <f t="shared" si="10"/>
        <v>-4.2953413414100319E-2</v>
      </c>
      <c r="E43" s="5">
        <f t="shared" si="7"/>
        <v>-3.618160894923278E-2</v>
      </c>
      <c r="F43" s="5">
        <f t="shared" si="6"/>
        <v>0.20861541428614144</v>
      </c>
      <c r="G43" s="5">
        <f t="shared" si="8"/>
        <v>0.20826952168521706</v>
      </c>
      <c r="H43" s="5">
        <f t="shared" si="4"/>
        <v>0.43754101194373335</v>
      </c>
      <c r="I43" s="5">
        <v>0.47599999999999998</v>
      </c>
      <c r="J43" s="11">
        <f t="shared" si="5"/>
        <v>0.22927149025851629</v>
      </c>
    </row>
    <row r="44" spans="1:10" x14ac:dyDescent="0.25">
      <c r="A44" s="2">
        <v>42</v>
      </c>
      <c r="B44" s="5">
        <v>2.5228291633538902E-2</v>
      </c>
      <c r="C44" s="5">
        <f t="shared" si="9"/>
        <v>0.96446512207986468</v>
      </c>
      <c r="D44" s="5">
        <f t="shared" si="10"/>
        <v>-3.618160894923278E-2</v>
      </c>
      <c r="E44" s="5">
        <f t="shared" si="7"/>
        <v>-7.3351564207706013E-3</v>
      </c>
      <c r="F44" s="5">
        <f t="shared" si="6"/>
        <v>0.20826952168521706</v>
      </c>
      <c r="G44" s="5">
        <f t="shared" si="8"/>
        <v>0.20951076345389891</v>
      </c>
      <c r="H44" s="5">
        <f t="shared" si="4"/>
        <v>0.44014866271827502</v>
      </c>
      <c r="I44" s="5">
        <v>0.47599999999999998</v>
      </c>
      <c r="J44" s="11">
        <f t="shared" si="5"/>
        <v>0.23063789926437611</v>
      </c>
    </row>
    <row r="45" spans="1:10" x14ac:dyDescent="0.25">
      <c r="A45" s="2">
        <v>43</v>
      </c>
      <c r="B45" s="5">
        <v>-1.3297494660946541E-3</v>
      </c>
      <c r="C45" s="5">
        <f t="shared" si="9"/>
        <v>0.99269168018210519</v>
      </c>
      <c r="D45" s="5">
        <f t="shared" si="10"/>
        <v>-7.3351564207706013E-3</v>
      </c>
      <c r="E45" s="5">
        <f t="shared" si="7"/>
        <v>-7.9313902447881966E-3</v>
      </c>
      <c r="F45" s="5">
        <f t="shared" si="6"/>
        <v>0.20951076345389891</v>
      </c>
      <c r="G45" s="5">
        <f t="shared" si="8"/>
        <v>0.21628405556077968</v>
      </c>
      <c r="H45" s="5">
        <f t="shared" si="4"/>
        <v>0.45437826798483133</v>
      </c>
      <c r="I45" s="5">
        <v>0.47599999999999998</v>
      </c>
      <c r="J45" s="11">
        <f t="shared" si="5"/>
        <v>0.23809421242405163</v>
      </c>
    </row>
    <row r="46" spans="1:10" x14ac:dyDescent="0.25">
      <c r="A46" s="2">
        <v>44</v>
      </c>
      <c r="B46" s="5">
        <v>2.7462192520033568E-4</v>
      </c>
      <c r="C46" s="5">
        <f t="shared" si="9"/>
        <v>0.99209998023884849</v>
      </c>
      <c r="D46" s="5">
        <f t="shared" si="10"/>
        <v>-7.9313902447881966E-3</v>
      </c>
      <c r="E46" s="5">
        <f t="shared" si="7"/>
        <v>-6.8636292951090418E-3</v>
      </c>
      <c r="F46" s="5">
        <f t="shared" si="6"/>
        <v>0.21628405556077968</v>
      </c>
      <c r="G46" s="5">
        <f t="shared" si="8"/>
        <v>0.21962139507755124</v>
      </c>
      <c r="H46" s="5">
        <f t="shared" si="4"/>
        <v>0.46138948545704045</v>
      </c>
      <c r="I46" s="5">
        <v>0.47599999999999998</v>
      </c>
      <c r="J46" s="11">
        <f t="shared" si="5"/>
        <v>0.24176809037948924</v>
      </c>
    </row>
    <row r="47" spans="1:10" x14ac:dyDescent="0.25">
      <c r="A47" s="2">
        <v>45</v>
      </c>
      <c r="B47" s="5">
        <v>1.4370743883773685E-2</v>
      </c>
      <c r="C47" s="5">
        <f t="shared" si="9"/>
        <v>0.9931598716105341</v>
      </c>
      <c r="D47" s="5">
        <f t="shared" si="10"/>
        <v>-6.8636292951090418E-3</v>
      </c>
      <c r="E47" s="5">
        <f t="shared" si="7"/>
        <v>8.193477518175547E-3</v>
      </c>
      <c r="F47" s="5">
        <f t="shared" si="6"/>
        <v>0.21962139507755124</v>
      </c>
      <c r="G47" s="5">
        <f t="shared" si="8"/>
        <v>0.22154575824236972</v>
      </c>
      <c r="H47" s="5">
        <f t="shared" si="4"/>
        <v>0.46543226521506242</v>
      </c>
      <c r="I47" s="5">
        <v>0.47599999999999998</v>
      </c>
      <c r="J47" s="11">
        <f t="shared" si="5"/>
        <v>0.24388650697269276</v>
      </c>
    </row>
    <row r="48" spans="1:10" x14ac:dyDescent="0.25">
      <c r="A48" s="2">
        <v>46</v>
      </c>
      <c r="B48" s="5">
        <v>-3.1136551115196198E-4</v>
      </c>
      <c r="C48" s="5">
        <f t="shared" si="9"/>
        <v>1.0082271359187447</v>
      </c>
      <c r="D48" s="5">
        <f t="shared" si="10"/>
        <v>8.193477518175547E-3</v>
      </c>
      <c r="E48" s="5">
        <f t="shared" si="7"/>
        <v>7.0627642552060308E-3</v>
      </c>
      <c r="F48" s="5">
        <f t="shared" si="6"/>
        <v>0.22154575824236972</v>
      </c>
      <c r="G48" s="5">
        <f t="shared" si="8"/>
        <v>0.22589002551602111</v>
      </c>
      <c r="H48" s="5">
        <f t="shared" si="4"/>
        <v>0.47455887713449818</v>
      </c>
      <c r="I48" s="5">
        <v>0.47599999999999998</v>
      </c>
      <c r="J48" s="11">
        <f t="shared" si="5"/>
        <v>0.24866885161847704</v>
      </c>
    </row>
    <row r="49" spans="1:10" x14ac:dyDescent="0.25">
      <c r="A49" s="2">
        <v>47</v>
      </c>
      <c r="B49" s="5">
        <v>4.3164391172467731E-3</v>
      </c>
      <c r="C49" s="5">
        <f t="shared" si="9"/>
        <v>1.0070877643967131</v>
      </c>
      <c r="D49" s="5">
        <f t="shared" si="10"/>
        <v>7.0627642552060308E-3</v>
      </c>
      <c r="E49" s="5">
        <f t="shared" si="7"/>
        <v>1.0672926946932202E-2</v>
      </c>
      <c r="F49" s="5">
        <f t="shared" si="6"/>
        <v>0.22589002551602111</v>
      </c>
      <c r="G49" s="5">
        <f t="shared" si="8"/>
        <v>0.22783623721027299</v>
      </c>
      <c r="H49" s="5">
        <f t="shared" si="4"/>
        <v>0.47864755716443913</v>
      </c>
      <c r="I49" s="5">
        <v>0.47599999999999998</v>
      </c>
      <c r="J49" s="11">
        <f t="shared" si="5"/>
        <v>0.25081131995416606</v>
      </c>
    </row>
    <row r="50" spans="1:10" x14ac:dyDescent="0.25">
      <c r="A50" s="2">
        <v>48</v>
      </c>
      <c r="B50" s="5">
        <v>3.8540065361303277E-3</v>
      </c>
      <c r="C50" s="5">
        <f t="shared" si="9"/>
        <v>1.0107300858015082</v>
      </c>
      <c r="D50" s="5">
        <f t="shared" si="10"/>
        <v>1.0672926946932202E-2</v>
      </c>
      <c r="E50" s="5">
        <f t="shared" si="7"/>
        <v>1.3459640788369309E-2</v>
      </c>
      <c r="F50" s="5">
        <f t="shared" si="6"/>
        <v>0.22783623721027299</v>
      </c>
      <c r="G50" s="5">
        <f t="shared" si="8"/>
        <v>0.22964317661024114</v>
      </c>
      <c r="H50" s="5">
        <f t="shared" si="4"/>
        <v>0.48244364834084275</v>
      </c>
      <c r="I50" s="5">
        <v>0.47599999999999998</v>
      </c>
      <c r="J50" s="11">
        <f t="shared" si="5"/>
        <v>0.25280047173060166</v>
      </c>
    </row>
    <row r="51" spans="1:10" x14ac:dyDescent="0.25">
      <c r="A51" s="2">
        <v>49</v>
      </c>
      <c r="B51" s="5">
        <v>3.8701546145603061E-2</v>
      </c>
      <c r="C51" s="5">
        <f t="shared" si="9"/>
        <v>1.0135506295203707</v>
      </c>
      <c r="D51" s="5">
        <f t="shared" si="10"/>
        <v>1.3459640788369309E-2</v>
      </c>
      <c r="E51" s="5">
        <f t="shared" si="7"/>
        <v>5.0815222855135442E-2</v>
      </c>
      <c r="F51" s="5">
        <f t="shared" si="6"/>
        <v>0.22964317661024114</v>
      </c>
      <c r="G51" s="5">
        <f t="shared" si="8"/>
        <v>0.23119539172883355</v>
      </c>
      <c r="H51" s="5">
        <f t="shared" si="4"/>
        <v>0.48570460447233937</v>
      </c>
      <c r="I51" s="5">
        <v>0.47599999999999998</v>
      </c>
      <c r="J51" s="11">
        <f t="shared" si="5"/>
        <v>0.25450921274350585</v>
      </c>
    </row>
    <row r="52" spans="1:10" x14ac:dyDescent="0.25">
      <c r="A52" s="2">
        <v>50</v>
      </c>
      <c r="B52" s="5">
        <v>8.7832859207992442E-3</v>
      </c>
      <c r="C52" s="5">
        <f t="shared" si="9"/>
        <v>1.0521284660269172</v>
      </c>
      <c r="D52" s="5">
        <f t="shared" si="10"/>
        <v>5.0815222855135442E-2</v>
      </c>
      <c r="E52" s="5">
        <f t="shared" si="7"/>
        <v>5.4516986490421145E-2</v>
      </c>
      <c r="F52" s="5">
        <f t="shared" si="6"/>
        <v>0.23119539172883355</v>
      </c>
      <c r="G52" s="5">
        <f t="shared" si="8"/>
        <v>0.24080489466522728</v>
      </c>
      <c r="H52" s="5">
        <f t="shared" si="4"/>
        <v>0.50589263585131794</v>
      </c>
      <c r="I52" s="5">
        <v>0.47599999999999998</v>
      </c>
      <c r="J52" s="11">
        <f t="shared" si="5"/>
        <v>0.26508774118609063</v>
      </c>
    </row>
    <row r="53" spans="1:10" x14ac:dyDescent="0.25">
      <c r="A53" s="2">
        <v>51</v>
      </c>
      <c r="B53" s="5">
        <v>-3.7480731407413259E-3</v>
      </c>
      <c r="C53" s="5">
        <f t="shared" si="9"/>
        <v>1.0560304145118924</v>
      </c>
      <c r="D53" s="5">
        <f t="shared" si="10"/>
        <v>5.4516986490421145E-2</v>
      </c>
      <c r="E53" s="5">
        <f t="shared" si="7"/>
        <v>4.5317214700637702E-2</v>
      </c>
      <c r="F53" s="5">
        <f t="shared" si="6"/>
        <v>0.24080489466522728</v>
      </c>
      <c r="G53" s="5">
        <f t="shared" si="8"/>
        <v>0.24666982985545968</v>
      </c>
      <c r="H53" s="5">
        <f t="shared" si="4"/>
        <v>0.51821392826777246</v>
      </c>
      <c r="I53" s="5">
        <v>0.47599999999999998</v>
      </c>
      <c r="J53" s="11">
        <f t="shared" si="5"/>
        <v>0.27154409841231275</v>
      </c>
    </row>
    <row r="54" spans="1:10" x14ac:dyDescent="0.25">
      <c r="A54" s="2">
        <v>52</v>
      </c>
      <c r="B54" s="5">
        <v>5.1677943702088669E-3</v>
      </c>
      <c r="C54" s="5">
        <f t="shared" si="9"/>
        <v>1.0463597279570855</v>
      </c>
      <c r="D54" s="5">
        <f t="shared" si="10"/>
        <v>4.5317214700637702E-2</v>
      </c>
      <c r="E54" s="5">
        <f t="shared" si="7"/>
        <v>4.5953287600782801E-2</v>
      </c>
      <c r="F54" s="5">
        <f t="shared" si="6"/>
        <v>0.24666982985545968</v>
      </c>
      <c r="G54" s="5">
        <f t="shared" si="8"/>
        <v>0.24736940595255333</v>
      </c>
      <c r="H54" s="5">
        <f t="shared" si="4"/>
        <v>0.51968362595074236</v>
      </c>
      <c r="I54" s="5">
        <v>0.47599999999999998</v>
      </c>
      <c r="J54" s="11">
        <f t="shared" si="5"/>
        <v>0.272314219998189</v>
      </c>
    </row>
    <row r="55" spans="1:10" x14ac:dyDescent="0.25">
      <c r="A55" s="2">
        <v>53</v>
      </c>
      <c r="B55" s="5">
        <v>-1.0100416147906799E-2</v>
      </c>
      <c r="C55" s="5">
        <f t="shared" si="9"/>
        <v>1.0470255007414082</v>
      </c>
      <c r="D55" s="5">
        <f t="shared" si="10"/>
        <v>4.5953287600782801E-2</v>
      </c>
      <c r="E55" s="5">
        <f t="shared" si="7"/>
        <v>3.1257542692797721E-2</v>
      </c>
      <c r="F55" s="5">
        <f t="shared" si="6"/>
        <v>0.24736940595255333</v>
      </c>
      <c r="G55" s="5">
        <f t="shared" si="8"/>
        <v>0.24787755573288092</v>
      </c>
      <c r="H55" s="5">
        <f t="shared" si="4"/>
        <v>0.52075116750605244</v>
      </c>
      <c r="I55" s="5">
        <v>0.47599999999999998</v>
      </c>
      <c r="J55" s="11">
        <f t="shared" si="5"/>
        <v>0.27287361177317149</v>
      </c>
    </row>
    <row r="56" spans="1:10" x14ac:dyDescent="0.25">
      <c r="A56" s="2">
        <v>54</v>
      </c>
      <c r="B56" s="5">
        <v>-1.0867506716749631E-2</v>
      </c>
      <c r="C56" s="5">
        <f t="shared" si="9"/>
        <v>1.0317511896520206</v>
      </c>
      <c r="D56" s="5">
        <f t="shared" si="10"/>
        <v>3.1257542692797721E-2</v>
      </c>
      <c r="E56" s="5">
        <f t="shared" si="7"/>
        <v>1.726428170676832E-2</v>
      </c>
      <c r="F56" s="5">
        <f t="shared" si="6"/>
        <v>0.24787755573288092</v>
      </c>
      <c r="G56" s="5">
        <f t="shared" si="8"/>
        <v>0.24451220016911832</v>
      </c>
      <c r="H56" s="5">
        <f t="shared" si="4"/>
        <v>0.51368109279226537</v>
      </c>
      <c r="I56" s="5">
        <v>0.47599999999999998</v>
      </c>
      <c r="J56" s="11">
        <f t="shared" si="5"/>
        <v>0.26916889262314708</v>
      </c>
    </row>
    <row r="57" spans="1:10" x14ac:dyDescent="0.25">
      <c r="A57" s="2">
        <v>55</v>
      </c>
      <c r="B57" s="5">
        <v>-2.3176471586339176E-2</v>
      </c>
      <c r="C57" s="5">
        <f t="shared" si="9"/>
        <v>1.017414170751352</v>
      </c>
      <c r="D57" s="5">
        <f t="shared" si="10"/>
        <v>1.726428170676832E-2</v>
      </c>
      <c r="E57" s="5">
        <f t="shared" si="7"/>
        <v>-7.6386180502476878E-3</v>
      </c>
      <c r="F57" s="5">
        <f t="shared" si="6"/>
        <v>0.24451220016911832</v>
      </c>
      <c r="G57" s="5">
        <f t="shared" si="8"/>
        <v>0.23947214361534075</v>
      </c>
      <c r="H57" s="5">
        <f t="shared" si="4"/>
        <v>0.50309273868769067</v>
      </c>
      <c r="I57" s="5">
        <v>0.47599999999999998</v>
      </c>
      <c r="J57" s="11">
        <f t="shared" si="5"/>
        <v>0.26362059507234992</v>
      </c>
    </row>
    <row r="58" spans="1:10" x14ac:dyDescent="0.25">
      <c r="A58" s="2">
        <v>56</v>
      </c>
      <c r="B58" s="5">
        <v>-7.7818640420446172E-4</v>
      </c>
      <c r="C58" s="5">
        <f t="shared" si="9"/>
        <v>0.99239048205061808</v>
      </c>
      <c r="D58" s="5">
        <f t="shared" si="10"/>
        <v>-7.6386180502476878E-3</v>
      </c>
      <c r="E58" s="5">
        <f t="shared" si="7"/>
        <v>-7.652942649427381E-3</v>
      </c>
      <c r="F58" s="5">
        <f t="shared" si="6"/>
        <v>0.23947214361534075</v>
      </c>
      <c r="G58" s="5">
        <f t="shared" si="8"/>
        <v>0.23116231970042381</v>
      </c>
      <c r="H58" s="5">
        <f t="shared" si="4"/>
        <v>0.48563512542105841</v>
      </c>
      <c r="I58" s="5">
        <v>0.47599999999999998</v>
      </c>
      <c r="J58" s="11">
        <f t="shared" si="5"/>
        <v>0.25447280572063463</v>
      </c>
    </row>
    <row r="59" spans="1:10" x14ac:dyDescent="0.25">
      <c r="A59" s="2">
        <v>57</v>
      </c>
      <c r="B59" s="5">
        <v>9.8129476100439206E-3</v>
      </c>
      <c r="C59" s="5">
        <f t="shared" si="9"/>
        <v>0.99237626655654876</v>
      </c>
      <c r="D59" s="5">
        <f t="shared" si="10"/>
        <v>-7.652942649427381E-3</v>
      </c>
      <c r="E59" s="5">
        <f t="shared" si="7"/>
        <v>2.9252992255592771E-3</v>
      </c>
      <c r="F59" s="5">
        <f t="shared" si="6"/>
        <v>0.23116231970042381</v>
      </c>
      <c r="G59" s="5">
        <f t="shared" si="8"/>
        <v>0.22711292149467061</v>
      </c>
      <c r="H59" s="5">
        <f t="shared" si="4"/>
        <v>0.47712798633334158</v>
      </c>
      <c r="I59" s="5">
        <v>0.47599999999999998</v>
      </c>
      <c r="J59" s="11">
        <f t="shared" si="5"/>
        <v>0.25001506483867098</v>
      </c>
    </row>
    <row r="60" spans="1:10" x14ac:dyDescent="0.25">
      <c r="A60" s="2">
        <v>58</v>
      </c>
      <c r="B60" s="5">
        <v>-1.7021557141561061E-2</v>
      </c>
      <c r="C60" s="5">
        <f t="shared" si="9"/>
        <v>1.0029295820885391</v>
      </c>
      <c r="D60" s="5">
        <f t="shared" si="10"/>
        <v>2.9252992255592771E-3</v>
      </c>
      <c r="E60" s="5">
        <f t="shared" si="7"/>
        <v>-1.4388787838557711E-2</v>
      </c>
      <c r="F60" s="5">
        <f t="shared" si="6"/>
        <v>0.22711292149467061</v>
      </c>
      <c r="G60" s="5">
        <f t="shared" si="8"/>
        <v>0.2275088608950637</v>
      </c>
      <c r="H60" s="5">
        <f t="shared" si="4"/>
        <v>0.47795979179635234</v>
      </c>
      <c r="I60" s="5">
        <v>0.47599999999999998</v>
      </c>
      <c r="J60" s="11">
        <f t="shared" si="5"/>
        <v>0.25045093090128862</v>
      </c>
    </row>
    <row r="61" spans="1:10" x14ac:dyDescent="0.25">
      <c r="A61" s="2">
        <v>59</v>
      </c>
      <c r="B61" s="5">
        <v>2.1886535250814632E-2</v>
      </c>
      <c r="C61" s="5">
        <f t="shared" si="9"/>
        <v>0.98571423604763542</v>
      </c>
      <c r="D61" s="5">
        <f t="shared" si="10"/>
        <v>-1.4388787838557711E-2</v>
      </c>
      <c r="E61" s="5">
        <f t="shared" si="7"/>
        <v>8.9366261961126917E-3</v>
      </c>
      <c r="F61" s="5">
        <f t="shared" si="6"/>
        <v>0.2275088608950637</v>
      </c>
      <c r="G61" s="5">
        <f t="shared" si="8"/>
        <v>0.22379848361128135</v>
      </c>
      <c r="H61" s="5">
        <f t="shared" si="4"/>
        <v>0.47016488153630542</v>
      </c>
      <c r="I61" s="5">
        <v>0.47599999999999998</v>
      </c>
      <c r="J61" s="11">
        <f t="shared" si="5"/>
        <v>0.24636639792502407</v>
      </c>
    </row>
    <row r="62" spans="1:10" x14ac:dyDescent="0.25">
      <c r="A62" s="2">
        <v>60</v>
      </c>
      <c r="B62" s="5">
        <v>-2.318843144166749E-2</v>
      </c>
      <c r="C62" s="5">
        <f t="shared" si="9"/>
        <v>1.0089766770576205</v>
      </c>
      <c r="D62" s="5">
        <f t="shared" si="10"/>
        <v>8.9366261961126917E-3</v>
      </c>
      <c r="E62" s="5">
        <f t="shared" si="7"/>
        <v>-1.5145467865166067E-2</v>
      </c>
      <c r="F62" s="5">
        <f t="shared" si="6"/>
        <v>0.22379848361128135</v>
      </c>
      <c r="G62" s="5">
        <f t="shared" si="8"/>
        <v>0.22720435414701104</v>
      </c>
      <c r="H62" s="5">
        <f t="shared" si="4"/>
        <v>0.47732007173741819</v>
      </c>
      <c r="I62" s="5">
        <v>0.47599999999999998</v>
      </c>
      <c r="J62" s="11">
        <f t="shared" si="5"/>
        <v>0.25011571759040713</v>
      </c>
    </row>
    <row r="63" spans="1:10" x14ac:dyDescent="0.25">
      <c r="A63" s="2">
        <v>61</v>
      </c>
      <c r="B63" s="5">
        <v>2.9706143322982825E-3</v>
      </c>
      <c r="C63" s="5">
        <f t="shared" si="9"/>
        <v>0.98496864789468119</v>
      </c>
      <c r="D63" s="5">
        <f t="shared" si="10"/>
        <v>-1.5145467865166067E-2</v>
      </c>
      <c r="E63" s="5">
        <f t="shared" si="7"/>
        <v>-1.0660306746351178E-2</v>
      </c>
      <c r="F63" s="5">
        <f t="shared" si="6"/>
        <v>0.22720435414701104</v>
      </c>
      <c r="G63" s="5">
        <f t="shared" si="8"/>
        <v>0.22347949668017197</v>
      </c>
      <c r="H63" s="5">
        <f t="shared" si="4"/>
        <v>0.46949474092473104</v>
      </c>
      <c r="I63" s="5">
        <v>0.47599999999999998</v>
      </c>
      <c r="J63" s="11">
        <f t="shared" si="5"/>
        <v>0.24601524424455909</v>
      </c>
    </row>
    <row r="64" spans="1:10" x14ac:dyDescent="0.25">
      <c r="A64" s="2">
        <v>62</v>
      </c>
      <c r="B64" s="5">
        <v>-2.1634878066834062E-2</v>
      </c>
      <c r="C64" s="5">
        <f t="shared" si="9"/>
        <v>0.98939631295056063</v>
      </c>
      <c r="D64" s="5">
        <f t="shared" si="10"/>
        <v>-1.0660306746351178E-2</v>
      </c>
      <c r="E64" s="5">
        <f t="shared" si="7"/>
        <v>-3.1229154138550125E-2</v>
      </c>
      <c r="F64" s="5">
        <f t="shared" si="6"/>
        <v>0.22347949668017197</v>
      </c>
      <c r="G64" s="5">
        <f t="shared" si="8"/>
        <v>0.22263635473948049</v>
      </c>
      <c r="H64" s="5">
        <f t="shared" si="4"/>
        <v>0.46772343432663971</v>
      </c>
      <c r="I64" s="5">
        <v>0.47599999999999998</v>
      </c>
      <c r="J64" s="11">
        <f t="shared" si="5"/>
        <v>0.2450870795871592</v>
      </c>
    </row>
    <row r="65" spans="1:10" x14ac:dyDescent="0.25">
      <c r="A65" s="2">
        <v>63</v>
      </c>
      <c r="B65" s="5">
        <v>6.267646313062869E-3</v>
      </c>
      <c r="C65" s="5">
        <f t="shared" si="9"/>
        <v>0.96925343918865414</v>
      </c>
      <c r="D65" s="5">
        <f t="shared" si="10"/>
        <v>-3.1229154138550125E-2</v>
      </c>
      <c r="E65" s="5">
        <f t="shared" si="7"/>
        <v>-2.1838592411632243E-2</v>
      </c>
      <c r="F65" s="5">
        <f t="shared" si="6"/>
        <v>0.22263635473948049</v>
      </c>
      <c r="G65" s="5">
        <f t="shared" si="8"/>
        <v>0.21769193751168656</v>
      </c>
      <c r="H65" s="5">
        <f t="shared" si="4"/>
        <v>0.45733600317581208</v>
      </c>
      <c r="I65" s="5">
        <v>0.47599999999999998</v>
      </c>
      <c r="J65" s="11">
        <f t="shared" si="5"/>
        <v>0.23964406566412552</v>
      </c>
    </row>
    <row r="66" spans="1:10" x14ac:dyDescent="0.25">
      <c r="A66" s="2">
        <v>64</v>
      </c>
      <c r="B66" s="5">
        <v>-8.9672994363354519E-3</v>
      </c>
      <c r="C66" s="5">
        <f t="shared" si="9"/>
        <v>0.97839814319183727</v>
      </c>
      <c r="D66" s="5">
        <f t="shared" si="10"/>
        <v>-2.1838592411632243E-2</v>
      </c>
      <c r="E66" s="5">
        <f t="shared" ref="E66:E97" si="11">$M$3*D66+B66</f>
        <v>-2.862203260680447E-2</v>
      </c>
      <c r="F66" s="5">
        <f t="shared" si="6"/>
        <v>0.21769193751168656</v>
      </c>
      <c r="G66" s="5">
        <f t="shared" ref="G66:G101" si="12">F67</f>
        <v>0.21729200381467187</v>
      </c>
      <c r="H66" s="5">
        <f t="shared" si="4"/>
        <v>0.4564958063333443</v>
      </c>
      <c r="I66" s="5">
        <v>0.47599999999999998</v>
      </c>
      <c r="J66" s="11">
        <f t="shared" si="5"/>
        <v>0.2392038025186724</v>
      </c>
    </row>
    <row r="67" spans="1:10" x14ac:dyDescent="0.25">
      <c r="A67" s="2">
        <v>65</v>
      </c>
      <c r="B67" s="5">
        <v>1.4432180250878446E-2</v>
      </c>
      <c r="C67" s="5">
        <f t="shared" ref="C67:C98" si="13">EXP(D67)</f>
        <v>0.97178369761209193</v>
      </c>
      <c r="D67" s="5">
        <f t="shared" ref="D67:D102" si="14">E66</f>
        <v>-2.862203260680447E-2</v>
      </c>
      <c r="E67" s="5">
        <f t="shared" si="11"/>
        <v>-1.1327649095245577E-2</v>
      </c>
      <c r="F67" s="5">
        <f t="shared" si="6"/>
        <v>0.21729200381467187</v>
      </c>
      <c r="G67" s="5">
        <f t="shared" si="12"/>
        <v>0.21562466334209751</v>
      </c>
      <c r="H67" s="5">
        <f t="shared" ref="H67:H102" si="15">$C67*$F67^$M$1</f>
        <v>0.45299299021449058</v>
      </c>
      <c r="I67" s="5">
        <v>0.47599999999999998</v>
      </c>
      <c r="J67" s="11">
        <f t="shared" ref="J67:J102" si="16">(1-$M$1*$M$2)*$C67*$F67^$M$1</f>
        <v>0.23736832687239307</v>
      </c>
    </row>
    <row r="68" spans="1:10" x14ac:dyDescent="0.25">
      <c r="A68" s="2">
        <v>66</v>
      </c>
      <c r="B68" s="5">
        <v>-1.2330337995081209E-2</v>
      </c>
      <c r="C68" s="5">
        <f t="shared" si="13"/>
        <v>0.98873626715384055</v>
      </c>
      <c r="D68" s="5">
        <f t="shared" si="14"/>
        <v>-1.1327649095245577E-2</v>
      </c>
      <c r="E68" s="5">
        <f t="shared" si="11"/>
        <v>-2.2525222180802228E-2</v>
      </c>
      <c r="F68" s="5">
        <f t="shared" ref="F68:F102" si="17">$M$1*$M$2*$C67*$F67^$M$1</f>
        <v>0.21562466334209751</v>
      </c>
      <c r="G68" s="5">
        <f t="shared" si="12"/>
        <v>0.21854286611379037</v>
      </c>
      <c r="H68" s="5">
        <f t="shared" si="15"/>
        <v>0.45912366830628232</v>
      </c>
      <c r="I68" s="5">
        <v>0.47599999999999998</v>
      </c>
      <c r="J68" s="11">
        <f t="shared" si="16"/>
        <v>0.24058080219249198</v>
      </c>
    </row>
    <row r="69" spans="1:10" x14ac:dyDescent="0.25">
      <c r="A69" s="2">
        <v>67</v>
      </c>
      <c r="B69" s="5">
        <v>-4.7764615374035202E-3</v>
      </c>
      <c r="C69" s="5">
        <f t="shared" si="13"/>
        <v>0.97772657648585204</v>
      </c>
      <c r="D69" s="5">
        <f t="shared" si="14"/>
        <v>-2.2525222180802228E-2</v>
      </c>
      <c r="E69" s="5">
        <f t="shared" si="11"/>
        <v>-2.5049161500125525E-2</v>
      </c>
      <c r="F69" s="5">
        <f t="shared" si="17"/>
        <v>0.21854286611379037</v>
      </c>
      <c r="G69" s="5">
        <f t="shared" si="12"/>
        <v>0.21756683311113478</v>
      </c>
      <c r="H69" s="5">
        <f t="shared" si="15"/>
        <v>0.457073178804905</v>
      </c>
      <c r="I69" s="5">
        <v>0.47599999999999998</v>
      </c>
      <c r="J69" s="11">
        <f t="shared" si="16"/>
        <v>0.23950634569377025</v>
      </c>
    </row>
    <row r="70" spans="1:10" x14ac:dyDescent="0.25">
      <c r="A70" s="2">
        <v>68</v>
      </c>
      <c r="B70" s="5">
        <v>-1.3823500921716914E-2</v>
      </c>
      <c r="C70" s="5">
        <f t="shared" si="13"/>
        <v>0.97526196550854116</v>
      </c>
      <c r="D70" s="5">
        <f t="shared" si="14"/>
        <v>-2.5049161500125525E-2</v>
      </c>
      <c r="E70" s="5">
        <f t="shared" si="11"/>
        <v>-3.6367746271829884E-2</v>
      </c>
      <c r="F70" s="5">
        <f t="shared" si="17"/>
        <v>0.21756683311113478</v>
      </c>
      <c r="G70" s="5">
        <f t="shared" si="12"/>
        <v>0.21653324543401939</v>
      </c>
      <c r="H70" s="5">
        <f t="shared" si="15"/>
        <v>0.45490177612188953</v>
      </c>
      <c r="I70" s="5">
        <v>0.47599999999999998</v>
      </c>
      <c r="J70" s="11">
        <f t="shared" si="16"/>
        <v>0.23836853068787012</v>
      </c>
    </row>
    <row r="71" spans="1:10" x14ac:dyDescent="0.25">
      <c r="A71" s="2">
        <v>69</v>
      </c>
      <c r="B71" s="5">
        <v>2.4347764338017441E-2</v>
      </c>
      <c r="C71" s="5">
        <f t="shared" si="13"/>
        <v>0.96428561583122696</v>
      </c>
      <c r="D71" s="5">
        <f t="shared" si="14"/>
        <v>-3.6367746271829884E-2</v>
      </c>
      <c r="E71" s="5">
        <f t="shared" si="11"/>
        <v>-8.3832073066294546E-3</v>
      </c>
      <c r="F71" s="5">
        <f t="shared" si="17"/>
        <v>0.21653324543401939</v>
      </c>
      <c r="G71" s="5">
        <f t="shared" si="12"/>
        <v>0.21358705804825501</v>
      </c>
      <c r="H71" s="5">
        <f t="shared" si="15"/>
        <v>0.44871230682406521</v>
      </c>
      <c r="I71" s="5">
        <v>0.47599999999999998</v>
      </c>
      <c r="J71" s="11">
        <f t="shared" si="16"/>
        <v>0.23512524877581018</v>
      </c>
    </row>
    <row r="72" spans="1:10" x14ac:dyDescent="0.25">
      <c r="A72" s="2">
        <v>70</v>
      </c>
      <c r="B72" s="5">
        <v>-1.3747830962529406E-2</v>
      </c>
      <c r="C72" s="5">
        <f t="shared" si="13"/>
        <v>0.99165183378845412</v>
      </c>
      <c r="D72" s="5">
        <f t="shared" si="14"/>
        <v>-8.3832073066294546E-3</v>
      </c>
      <c r="E72" s="5">
        <f t="shared" si="11"/>
        <v>-2.1292717538495917E-2</v>
      </c>
      <c r="F72" s="5">
        <f t="shared" si="17"/>
        <v>0.21358705804825501</v>
      </c>
      <c r="G72" s="5">
        <f t="shared" si="12"/>
        <v>0.21814920716983063</v>
      </c>
      <c r="H72" s="5">
        <f t="shared" si="15"/>
        <v>0.45829665371813161</v>
      </c>
      <c r="I72" s="5">
        <v>0.47599999999999998</v>
      </c>
      <c r="J72" s="11">
        <f t="shared" si="16"/>
        <v>0.24014744654830097</v>
      </c>
    </row>
    <row r="73" spans="1:10" x14ac:dyDescent="0.25">
      <c r="A73" s="2">
        <v>71</v>
      </c>
      <c r="B73" s="5">
        <v>-2.3944721760926768E-4</v>
      </c>
      <c r="C73" s="5">
        <f t="shared" si="13"/>
        <v>0.97893237195189142</v>
      </c>
      <c r="D73" s="5">
        <f t="shared" si="14"/>
        <v>-2.1292717538495917E-2</v>
      </c>
      <c r="E73" s="5">
        <f t="shared" si="11"/>
        <v>-1.9402893002255592E-2</v>
      </c>
      <c r="F73" s="5">
        <f t="shared" si="17"/>
        <v>0.21814920716983063</v>
      </c>
      <c r="G73" s="5">
        <f t="shared" si="12"/>
        <v>0.21763887005918142</v>
      </c>
      <c r="H73" s="5">
        <f t="shared" si="15"/>
        <v>0.45722451693105343</v>
      </c>
      <c r="I73" s="5">
        <v>0.47599999999999998</v>
      </c>
      <c r="J73" s="11">
        <f t="shared" si="16"/>
        <v>0.239585646871872</v>
      </c>
    </row>
    <row r="74" spans="1:10" x14ac:dyDescent="0.25">
      <c r="A74" s="2">
        <v>72</v>
      </c>
      <c r="B74" s="5">
        <v>1.1627389540080912E-2</v>
      </c>
      <c r="C74" s="5">
        <f t="shared" si="13"/>
        <v>0.98078413156698385</v>
      </c>
      <c r="D74" s="5">
        <f t="shared" si="14"/>
        <v>-1.9402893002255592E-2</v>
      </c>
      <c r="E74" s="5">
        <f t="shared" si="11"/>
        <v>-5.8352141619491225E-3</v>
      </c>
      <c r="F74" s="5">
        <f t="shared" si="17"/>
        <v>0.21763887005918142</v>
      </c>
      <c r="G74" s="5">
        <f t="shared" si="12"/>
        <v>0.21779535571437292</v>
      </c>
      <c r="H74" s="5">
        <f t="shared" si="15"/>
        <v>0.45755326830750614</v>
      </c>
      <c r="I74" s="5">
        <v>0.47599999999999998</v>
      </c>
      <c r="J74" s="11">
        <f t="shared" si="16"/>
        <v>0.23975791259313323</v>
      </c>
    </row>
    <row r="75" spans="1:10" x14ac:dyDescent="0.25">
      <c r="A75" s="2">
        <v>73</v>
      </c>
      <c r="B75" s="5">
        <v>1.7808361008064821E-2</v>
      </c>
      <c r="C75" s="5">
        <f t="shared" si="13"/>
        <v>0.99418177763388782</v>
      </c>
      <c r="D75" s="5">
        <f t="shared" si="14"/>
        <v>-5.8352141619491225E-3</v>
      </c>
      <c r="E75" s="5">
        <f t="shared" si="11"/>
        <v>1.2556668262310611E-2</v>
      </c>
      <c r="F75" s="5">
        <f t="shared" si="17"/>
        <v>0.21779535571437292</v>
      </c>
      <c r="G75" s="5">
        <f t="shared" si="12"/>
        <v>0.22084982461400476</v>
      </c>
      <c r="H75" s="5">
        <f t="shared" si="15"/>
        <v>0.46397021977732095</v>
      </c>
      <c r="I75" s="5">
        <v>0.47599999999999998</v>
      </c>
      <c r="J75" s="11">
        <f t="shared" si="16"/>
        <v>0.24312039516331616</v>
      </c>
    </row>
    <row r="76" spans="1:10" x14ac:dyDescent="0.25">
      <c r="A76" s="2">
        <v>74</v>
      </c>
      <c r="B76" s="5">
        <v>9.4880761025706306E-3</v>
      </c>
      <c r="C76" s="5">
        <f t="shared" si="13"/>
        <v>1.0126358342278097</v>
      </c>
      <c r="D76" s="5">
        <f t="shared" si="14"/>
        <v>1.2556668262310611E-2</v>
      </c>
      <c r="E76" s="5">
        <f t="shared" si="11"/>
        <v>2.0789077538650183E-2</v>
      </c>
      <c r="F76" s="5">
        <f t="shared" si="17"/>
        <v>0.22084982461400476</v>
      </c>
      <c r="G76" s="5">
        <f t="shared" si="12"/>
        <v>0.2265211583600456</v>
      </c>
      <c r="H76" s="5">
        <f t="shared" si="15"/>
        <v>0.47588478647068405</v>
      </c>
      <c r="I76" s="5">
        <v>0.47599999999999998</v>
      </c>
      <c r="J76" s="11">
        <f t="shared" si="16"/>
        <v>0.24936362811063842</v>
      </c>
    </row>
    <row r="77" spans="1:10" x14ac:dyDescent="0.25">
      <c r="A77" s="2">
        <v>75</v>
      </c>
      <c r="B77" s="5">
        <v>1.4866350284137297E-2</v>
      </c>
      <c r="C77" s="5">
        <f t="shared" si="13"/>
        <v>1.0210066756834242</v>
      </c>
      <c r="D77" s="5">
        <f t="shared" si="14"/>
        <v>2.0789077538650183E-2</v>
      </c>
      <c r="E77" s="5">
        <f t="shared" si="11"/>
        <v>3.3576520068922464E-2</v>
      </c>
      <c r="F77" s="5">
        <f t="shared" si="17"/>
        <v>0.2265211583600456</v>
      </c>
      <c r="G77" s="5">
        <f t="shared" si="12"/>
        <v>0.23130761001506761</v>
      </c>
      <c r="H77" s="5">
        <f t="shared" si="15"/>
        <v>0.48594035717451178</v>
      </c>
      <c r="I77" s="5">
        <v>0.47599999999999998</v>
      </c>
      <c r="J77" s="11">
        <f t="shared" si="16"/>
        <v>0.25463274715944423</v>
      </c>
    </row>
    <row r="78" spans="1:10" x14ac:dyDescent="0.25">
      <c r="A78" s="2">
        <v>76</v>
      </c>
      <c r="B78" s="5">
        <v>-1.3788394426228479E-3</v>
      </c>
      <c r="C78" s="5">
        <f t="shared" si="13"/>
        <v>1.0341465736658186</v>
      </c>
      <c r="D78" s="5">
        <f t="shared" si="14"/>
        <v>3.3576520068922464E-2</v>
      </c>
      <c r="E78" s="5">
        <f t="shared" si="11"/>
        <v>2.8840028619407369E-2</v>
      </c>
      <c r="F78" s="5">
        <f t="shared" si="17"/>
        <v>0.23130761001506761</v>
      </c>
      <c r="G78" s="5">
        <f t="shared" si="12"/>
        <v>0.23674674177917576</v>
      </c>
      <c r="H78" s="5">
        <f t="shared" si="15"/>
        <v>0.49736710457810041</v>
      </c>
      <c r="I78" s="5">
        <v>0.47599999999999998</v>
      </c>
      <c r="J78" s="11">
        <f t="shared" si="16"/>
        <v>0.26062036279892459</v>
      </c>
    </row>
    <row r="79" spans="1:10" x14ac:dyDescent="0.25">
      <c r="A79" s="2">
        <v>77</v>
      </c>
      <c r="B79" s="5">
        <v>1.6586045603617094E-2</v>
      </c>
      <c r="C79" s="5">
        <f t="shared" si="13"/>
        <v>1.0292599291727558</v>
      </c>
      <c r="D79" s="5">
        <f t="shared" si="14"/>
        <v>2.8840028619407369E-2</v>
      </c>
      <c r="E79" s="5">
        <f t="shared" si="11"/>
        <v>4.2542071361083726E-2</v>
      </c>
      <c r="F79" s="5">
        <f t="shared" si="17"/>
        <v>0.23674674177917576</v>
      </c>
      <c r="G79" s="5">
        <f t="shared" si="12"/>
        <v>0.23838230971046986</v>
      </c>
      <c r="H79" s="5">
        <f t="shared" si="15"/>
        <v>0.50080317166065103</v>
      </c>
      <c r="I79" s="5">
        <v>0.47599999999999998</v>
      </c>
      <c r="J79" s="11">
        <f t="shared" si="16"/>
        <v>0.26242086195018111</v>
      </c>
    </row>
    <row r="80" spans="1:10" x14ac:dyDescent="0.25">
      <c r="A80" s="2">
        <v>78</v>
      </c>
      <c r="B80" s="5">
        <v>-3.3431570045650005E-2</v>
      </c>
      <c r="C80" s="5">
        <f t="shared" si="13"/>
        <v>1.0434599552307822</v>
      </c>
      <c r="D80" s="5">
        <f t="shared" si="14"/>
        <v>4.2542071361083726E-2</v>
      </c>
      <c r="E80" s="5">
        <f t="shared" si="11"/>
        <v>4.8562941793253503E-3</v>
      </c>
      <c r="F80" s="5">
        <f t="shared" si="17"/>
        <v>0.23838230971046986</v>
      </c>
      <c r="G80" s="5">
        <f t="shared" si="12"/>
        <v>0.24250447169892592</v>
      </c>
      <c r="H80" s="5">
        <f t="shared" si="15"/>
        <v>0.50946317583807965</v>
      </c>
      <c r="I80" s="5">
        <v>0.47599999999999998</v>
      </c>
      <c r="J80" s="11">
        <f t="shared" si="16"/>
        <v>0.26695870413915379</v>
      </c>
    </row>
    <row r="81" spans="1:10" x14ac:dyDescent="0.25">
      <c r="A81" s="2">
        <v>79</v>
      </c>
      <c r="B81" s="5">
        <v>5.5993041314650327E-3</v>
      </c>
      <c r="C81" s="5">
        <f t="shared" si="13"/>
        <v>1.0048681050872448</v>
      </c>
      <c r="D81" s="5">
        <f t="shared" si="14"/>
        <v>4.8562941793253503E-3</v>
      </c>
      <c r="E81" s="5">
        <f t="shared" si="11"/>
        <v>9.9699688928578493E-3</v>
      </c>
      <c r="F81" s="5">
        <f t="shared" si="17"/>
        <v>0.24250447169892592</v>
      </c>
      <c r="G81" s="5">
        <f t="shared" si="12"/>
        <v>0.23554608492658374</v>
      </c>
      <c r="H81" s="5">
        <f t="shared" si="15"/>
        <v>0.49484471623231879</v>
      </c>
      <c r="I81" s="5">
        <v>0.47599999999999998</v>
      </c>
      <c r="J81" s="11">
        <f t="shared" si="16"/>
        <v>0.25929863130573505</v>
      </c>
    </row>
    <row r="82" spans="1:10" x14ac:dyDescent="0.25">
      <c r="A82" s="2">
        <v>80</v>
      </c>
      <c r="B82" s="5">
        <v>1.1994416126981378E-3</v>
      </c>
      <c r="C82" s="5">
        <f t="shared" si="13"/>
        <v>1.0100198346148426</v>
      </c>
      <c r="D82" s="5">
        <f t="shared" si="14"/>
        <v>9.9699688928578493E-3</v>
      </c>
      <c r="E82" s="5">
        <f t="shared" si="11"/>
        <v>1.0172413616270203E-2</v>
      </c>
      <c r="F82" s="5">
        <f t="shared" si="17"/>
        <v>0.23554608492658374</v>
      </c>
      <c r="G82" s="5">
        <f t="shared" si="12"/>
        <v>0.23333226683176014</v>
      </c>
      <c r="H82" s="5">
        <f t="shared" si="15"/>
        <v>0.49019383788184906</v>
      </c>
      <c r="I82" s="5">
        <v>0.47599999999999998</v>
      </c>
      <c r="J82" s="11">
        <f t="shared" si="16"/>
        <v>0.25686157105008894</v>
      </c>
    </row>
    <row r="83" spans="1:10" x14ac:dyDescent="0.25">
      <c r="A83" s="2">
        <v>81</v>
      </c>
      <c r="B83" s="5">
        <v>1.9132539819111116E-2</v>
      </c>
      <c r="C83" s="5">
        <f t="shared" si="13"/>
        <v>1.0102243284995576</v>
      </c>
      <c r="D83" s="5">
        <f t="shared" si="14"/>
        <v>1.0172413616270203E-2</v>
      </c>
      <c r="E83" s="5">
        <f t="shared" si="11"/>
        <v>2.8287712073754301E-2</v>
      </c>
      <c r="F83" s="5">
        <f t="shared" si="17"/>
        <v>0.23333226683176014</v>
      </c>
      <c r="G83" s="5">
        <f t="shared" si="12"/>
        <v>0.23228019178779455</v>
      </c>
      <c r="H83" s="5">
        <f t="shared" si="15"/>
        <v>0.4879835961928457</v>
      </c>
      <c r="I83" s="5">
        <v>0.47599999999999998</v>
      </c>
      <c r="J83" s="11">
        <f t="shared" si="16"/>
        <v>0.25570340440505118</v>
      </c>
    </row>
    <row r="84" spans="1:10" x14ac:dyDescent="0.25">
      <c r="A84" s="2">
        <v>82</v>
      </c>
      <c r="B84" s="5">
        <v>1.0632402336341329E-2</v>
      </c>
      <c r="C84" s="5">
        <f t="shared" si="13"/>
        <v>1.0286916088449034</v>
      </c>
      <c r="D84" s="5">
        <f t="shared" si="14"/>
        <v>2.8287712073754301E-2</v>
      </c>
      <c r="E84" s="5">
        <f t="shared" si="11"/>
        <v>3.60913432027202E-2</v>
      </c>
      <c r="F84" s="5">
        <f t="shared" si="17"/>
        <v>0.23228019178779455</v>
      </c>
      <c r="G84" s="5">
        <f t="shared" si="12"/>
        <v>0.23599252006969107</v>
      </c>
      <c r="H84" s="5">
        <f t="shared" si="15"/>
        <v>0.49578260518842665</v>
      </c>
      <c r="I84" s="5">
        <v>0.47599999999999998</v>
      </c>
      <c r="J84" s="11">
        <f t="shared" si="16"/>
        <v>0.25979008511873558</v>
      </c>
    </row>
    <row r="85" spans="1:10" x14ac:dyDescent="0.25">
      <c r="A85" s="2">
        <v>83</v>
      </c>
      <c r="B85" s="5">
        <v>-4.7795992941246368E-3</v>
      </c>
      <c r="C85" s="5">
        <f t="shared" si="13"/>
        <v>1.0367505422809034</v>
      </c>
      <c r="D85" s="5">
        <f t="shared" si="14"/>
        <v>3.60913432027202E-2</v>
      </c>
      <c r="E85" s="5">
        <f t="shared" si="11"/>
        <v>2.7702609588323546E-2</v>
      </c>
      <c r="F85" s="5">
        <f t="shared" si="17"/>
        <v>0.23599252006969107</v>
      </c>
      <c r="G85" s="5">
        <f t="shared" si="12"/>
        <v>0.23973439257474158</v>
      </c>
      <c r="H85" s="5">
        <f t="shared" si="15"/>
        <v>0.5036436818797092</v>
      </c>
      <c r="I85" s="5">
        <v>0.47599999999999998</v>
      </c>
      <c r="J85" s="11">
        <f t="shared" si="16"/>
        <v>0.2639092893049676</v>
      </c>
    </row>
    <row r="86" spans="1:10" x14ac:dyDescent="0.25">
      <c r="A86" s="2">
        <v>84</v>
      </c>
      <c r="B86" s="5">
        <v>1.3854605640517548E-2</v>
      </c>
      <c r="C86" s="5">
        <f t="shared" si="13"/>
        <v>1.0280898948771615</v>
      </c>
      <c r="D86" s="5">
        <f t="shared" si="14"/>
        <v>2.7702609588323546E-2</v>
      </c>
      <c r="E86" s="5">
        <f t="shared" si="11"/>
        <v>3.8786954270008736E-2</v>
      </c>
      <c r="F86" s="5">
        <f t="shared" si="17"/>
        <v>0.23973439257474158</v>
      </c>
      <c r="G86" s="5">
        <f t="shared" si="12"/>
        <v>0.2396090485533845</v>
      </c>
      <c r="H86" s="5">
        <f t="shared" si="15"/>
        <v>0.50338035410374893</v>
      </c>
      <c r="I86" s="5">
        <v>0.47599999999999998</v>
      </c>
      <c r="J86" s="11">
        <f t="shared" si="16"/>
        <v>0.26377130555036449</v>
      </c>
    </row>
    <row r="87" spans="1:10" x14ac:dyDescent="0.25">
      <c r="A87" s="2">
        <v>85</v>
      </c>
      <c r="B87" s="5">
        <v>4.0615077523398213E-3</v>
      </c>
      <c r="C87" s="5">
        <f t="shared" si="13"/>
        <v>1.039548988583572</v>
      </c>
      <c r="D87" s="5">
        <f t="shared" si="14"/>
        <v>3.8786954270008736E-2</v>
      </c>
      <c r="E87" s="5">
        <f t="shared" si="11"/>
        <v>3.8969766595347684E-2</v>
      </c>
      <c r="F87" s="5">
        <f t="shared" si="17"/>
        <v>0.2396090485533845</v>
      </c>
      <c r="G87" s="5">
        <f t="shared" si="12"/>
        <v>0.24221638617855262</v>
      </c>
      <c r="H87" s="5">
        <f t="shared" si="15"/>
        <v>0.50885795415662316</v>
      </c>
      <c r="I87" s="5">
        <v>0.47599999999999998</v>
      </c>
      <c r="J87" s="11">
        <f t="shared" si="16"/>
        <v>0.26664156797807054</v>
      </c>
    </row>
    <row r="88" spans="1:10" x14ac:dyDescent="0.25">
      <c r="A88" s="2">
        <v>86</v>
      </c>
      <c r="B88" s="5">
        <v>-1.5420664567500353E-2</v>
      </c>
      <c r="C88" s="5">
        <f t="shared" si="13"/>
        <v>1.0397390483235809</v>
      </c>
      <c r="D88" s="5">
        <f t="shared" si="14"/>
        <v>3.8969766595347684E-2</v>
      </c>
      <c r="E88" s="5">
        <f t="shared" si="11"/>
        <v>1.965212536831256E-2</v>
      </c>
      <c r="F88" s="5">
        <f t="shared" si="17"/>
        <v>0.24221638617855262</v>
      </c>
      <c r="G88" s="5">
        <f t="shared" si="12"/>
        <v>0.24357519978601794</v>
      </c>
      <c r="H88" s="5">
        <f t="shared" si="15"/>
        <v>0.5117126045924747</v>
      </c>
      <c r="I88" s="5">
        <v>0.47599999999999998</v>
      </c>
      <c r="J88" s="11">
        <f t="shared" si="16"/>
        <v>0.26813740480645676</v>
      </c>
    </row>
    <row r="89" spans="1:10" x14ac:dyDescent="0.25">
      <c r="A89" s="2">
        <v>87</v>
      </c>
      <c r="B89" s="5">
        <v>-1.4169427231536247E-2</v>
      </c>
      <c r="C89" s="5">
        <f t="shared" si="13"/>
        <v>1.0198464995849195</v>
      </c>
      <c r="D89" s="5">
        <f t="shared" si="14"/>
        <v>1.965212536831256E-2</v>
      </c>
      <c r="E89" s="5">
        <f t="shared" si="11"/>
        <v>3.5174855999450597E-3</v>
      </c>
      <c r="F89" s="5">
        <f t="shared" si="17"/>
        <v>0.24357519978601794</v>
      </c>
      <c r="G89" s="5">
        <f t="shared" si="12"/>
        <v>0.23958426733464533</v>
      </c>
      <c r="H89" s="5">
        <f t="shared" si="15"/>
        <v>0.50332829271984314</v>
      </c>
      <c r="I89" s="5">
        <v>0.47599999999999998</v>
      </c>
      <c r="J89" s="11">
        <f t="shared" si="16"/>
        <v>0.26374402538519781</v>
      </c>
    </row>
    <row r="90" spans="1:10" x14ac:dyDescent="0.25">
      <c r="A90" s="2">
        <v>88</v>
      </c>
      <c r="B90" s="5">
        <v>-3.9551741792820394E-2</v>
      </c>
      <c r="C90" s="5">
        <f t="shared" si="13"/>
        <v>1.0035236792122695</v>
      </c>
      <c r="D90" s="5">
        <f t="shared" si="14"/>
        <v>3.5174855999450597E-3</v>
      </c>
      <c r="E90" s="5">
        <f t="shared" si="11"/>
        <v>-3.6386004752869842E-2</v>
      </c>
      <c r="F90" s="5">
        <f t="shared" si="17"/>
        <v>0.23958426733464533</v>
      </c>
      <c r="G90" s="5">
        <f t="shared" si="12"/>
        <v>0.23381034640272574</v>
      </c>
      <c r="H90" s="5">
        <f t="shared" si="15"/>
        <v>0.49119820672841547</v>
      </c>
      <c r="I90" s="5">
        <v>0.47599999999999998</v>
      </c>
      <c r="J90" s="11">
        <f t="shared" si="16"/>
        <v>0.25738786032568972</v>
      </c>
    </row>
    <row r="91" spans="1:10" x14ac:dyDescent="0.25">
      <c r="A91" s="2">
        <v>89</v>
      </c>
      <c r="B91" s="5">
        <v>8.9098193711834028E-3</v>
      </c>
      <c r="C91" s="5">
        <f t="shared" si="13"/>
        <v>0.96426800960132519</v>
      </c>
      <c r="D91" s="5">
        <f t="shared" si="14"/>
        <v>-3.6386004752869842E-2</v>
      </c>
      <c r="E91" s="5">
        <f t="shared" si="11"/>
        <v>-2.3837584906399457E-2</v>
      </c>
      <c r="F91" s="5">
        <f t="shared" si="17"/>
        <v>0.23381034640272574</v>
      </c>
      <c r="G91" s="5">
        <f t="shared" si="12"/>
        <v>0.22194050725648765</v>
      </c>
      <c r="H91" s="5">
        <f t="shared" si="15"/>
        <v>0.46626156986657075</v>
      </c>
      <c r="I91" s="5">
        <v>0.47599999999999998</v>
      </c>
      <c r="J91" s="11">
        <f t="shared" si="16"/>
        <v>0.24432106261008305</v>
      </c>
    </row>
    <row r="92" spans="1:10" x14ac:dyDescent="0.25">
      <c r="A92" s="2">
        <v>90</v>
      </c>
      <c r="B92" s="5">
        <v>7.2444890975020826E-3</v>
      </c>
      <c r="C92" s="5">
        <f t="shared" si="13"/>
        <v>0.97644428617009338</v>
      </c>
      <c r="D92" s="5">
        <f t="shared" si="14"/>
        <v>-2.3837584906399457E-2</v>
      </c>
      <c r="E92" s="5">
        <f t="shared" si="11"/>
        <v>-1.420933731825743E-2</v>
      </c>
      <c r="F92" s="5">
        <f t="shared" si="17"/>
        <v>0.22194050725648765</v>
      </c>
      <c r="G92" s="5">
        <f t="shared" si="12"/>
        <v>0.21896399505248268</v>
      </c>
      <c r="H92" s="5">
        <f t="shared" si="15"/>
        <v>0.46000839296740065</v>
      </c>
      <c r="I92" s="5">
        <v>0.47599999999999998</v>
      </c>
      <c r="J92" s="11">
        <f t="shared" si="16"/>
        <v>0.24104439791491791</v>
      </c>
    </row>
    <row r="93" spans="1:10" x14ac:dyDescent="0.25">
      <c r="A93" s="2">
        <v>91</v>
      </c>
      <c r="B93" s="5">
        <v>1.2540112948045135E-2</v>
      </c>
      <c r="C93" s="5">
        <f t="shared" si="13"/>
        <v>0.98589113885233703</v>
      </c>
      <c r="D93" s="5">
        <f t="shared" si="14"/>
        <v>-1.420933731825743E-2</v>
      </c>
      <c r="E93" s="5">
        <f t="shared" si="11"/>
        <v>-2.4829063838655192E-4</v>
      </c>
      <c r="F93" s="5">
        <f t="shared" si="17"/>
        <v>0.21896399505248268</v>
      </c>
      <c r="G93" s="5">
        <f t="shared" si="12"/>
        <v>0.21959491035911669</v>
      </c>
      <c r="H93" s="5">
        <f t="shared" si="15"/>
        <v>0.46133384529226196</v>
      </c>
      <c r="I93" s="5">
        <v>0.47599999999999998</v>
      </c>
      <c r="J93" s="11">
        <f t="shared" si="16"/>
        <v>0.2417389349331453</v>
      </c>
    </row>
    <row r="94" spans="1:10" x14ac:dyDescent="0.25">
      <c r="A94" s="2">
        <v>92</v>
      </c>
      <c r="B94" s="5">
        <v>1.1988004189333878E-2</v>
      </c>
      <c r="C94" s="5">
        <f t="shared" si="13"/>
        <v>0.99975174018318302</v>
      </c>
      <c r="D94" s="5">
        <f t="shared" si="14"/>
        <v>-2.4829063838655192E-4</v>
      </c>
      <c r="E94" s="5">
        <f t="shared" si="11"/>
        <v>1.1764542614785982E-2</v>
      </c>
      <c r="F94" s="5">
        <f t="shared" si="17"/>
        <v>0.21959491035911669</v>
      </c>
      <c r="G94" s="5">
        <f t="shared" si="12"/>
        <v>0.22300276942960268</v>
      </c>
      <c r="H94" s="5">
        <f t="shared" si="15"/>
        <v>0.46849321308740055</v>
      </c>
      <c r="I94" s="5">
        <v>0.47599999999999998</v>
      </c>
      <c r="J94" s="11">
        <f t="shared" si="16"/>
        <v>0.24549044365779793</v>
      </c>
    </row>
    <row r="95" spans="1:10" x14ac:dyDescent="0.25">
      <c r="A95" s="2">
        <v>93</v>
      </c>
      <c r="B95" s="5">
        <v>5.9214698922005482E-3</v>
      </c>
      <c r="C95" s="5">
        <f t="shared" si="13"/>
        <v>1.0118340170238271</v>
      </c>
      <c r="D95" s="5">
        <f t="shared" si="14"/>
        <v>1.1764542614785982E-2</v>
      </c>
      <c r="E95" s="5">
        <f t="shared" si="11"/>
        <v>1.6509558245507934E-2</v>
      </c>
      <c r="F95" s="5">
        <f t="shared" si="17"/>
        <v>0.22300276942960268</v>
      </c>
      <c r="G95" s="5">
        <f t="shared" si="12"/>
        <v>0.2274423620192666</v>
      </c>
      <c r="H95" s="5">
        <f t="shared" si="15"/>
        <v>0.47782008827577016</v>
      </c>
      <c r="I95" s="5">
        <v>0.47599999999999998</v>
      </c>
      <c r="J95" s="11">
        <f t="shared" si="16"/>
        <v>0.25037772625650362</v>
      </c>
    </row>
    <row r="96" spans="1:10" x14ac:dyDescent="0.25">
      <c r="A96" s="2">
        <v>94</v>
      </c>
      <c r="B96" s="5">
        <v>1.8880200514104217E-2</v>
      </c>
      <c r="C96" s="5">
        <f t="shared" si="13"/>
        <v>1.0166465940973564</v>
      </c>
      <c r="D96" s="5">
        <f t="shared" si="14"/>
        <v>1.6509558245507934E-2</v>
      </c>
      <c r="E96" s="5">
        <f t="shared" si="11"/>
        <v>3.373880293506136E-2</v>
      </c>
      <c r="F96" s="5">
        <f t="shared" si="17"/>
        <v>0.2274423620192666</v>
      </c>
      <c r="G96" s="5">
        <f t="shared" si="12"/>
        <v>0.23078769052185838</v>
      </c>
      <c r="H96" s="5">
        <f t="shared" si="15"/>
        <v>0.48484808933163531</v>
      </c>
      <c r="I96" s="5">
        <v>0.47599999999999998</v>
      </c>
      <c r="J96" s="11">
        <f t="shared" si="16"/>
        <v>0.25406039880977688</v>
      </c>
    </row>
    <row r="97" spans="1:10" x14ac:dyDescent="0.25">
      <c r="A97" s="2">
        <v>95</v>
      </c>
      <c r="B97" s="5">
        <v>6.1728997025056742E-3</v>
      </c>
      <c r="C97" s="5">
        <f t="shared" si="13"/>
        <v>1.0343144115540392</v>
      </c>
      <c r="D97" s="5">
        <f t="shared" si="14"/>
        <v>3.373880293506136E-2</v>
      </c>
      <c r="E97" s="5">
        <f t="shared" si="11"/>
        <v>3.6537822344060902E-2</v>
      </c>
      <c r="F97" s="5">
        <f t="shared" si="17"/>
        <v>0.23078769052185838</v>
      </c>
      <c r="G97" s="5">
        <f t="shared" si="12"/>
        <v>0.23651889932084369</v>
      </c>
      <c r="H97" s="5">
        <f t="shared" si="15"/>
        <v>0.49688844395135229</v>
      </c>
      <c r="I97" s="5">
        <v>0.47599999999999998</v>
      </c>
      <c r="J97" s="11">
        <f t="shared" si="16"/>
        <v>0.2603695446305086</v>
      </c>
    </row>
    <row r="98" spans="1:10" x14ac:dyDescent="0.25">
      <c r="A98" s="2">
        <v>96</v>
      </c>
      <c r="B98" s="5">
        <v>-1.5013984011602588E-2</v>
      </c>
      <c r="C98" s="5">
        <f t="shared" si="13"/>
        <v>1.037213533122991</v>
      </c>
      <c r="D98" s="5">
        <f t="shared" si="14"/>
        <v>3.6537822344060902E-2</v>
      </c>
      <c r="E98" s="5">
        <f t="shared" ref="E98:E102" si="18">$M$3*D98+B98</f>
        <v>1.7870056098052228E-2</v>
      </c>
      <c r="F98" s="5">
        <f t="shared" si="17"/>
        <v>0.23651889932084369</v>
      </c>
      <c r="G98" s="5">
        <f t="shared" si="12"/>
        <v>0.24010878602183294</v>
      </c>
      <c r="H98" s="5">
        <f t="shared" si="15"/>
        <v>0.5044302227349432</v>
      </c>
      <c r="I98" s="5">
        <v>0.47599999999999998</v>
      </c>
      <c r="J98" s="11">
        <f t="shared" si="16"/>
        <v>0.2643214367131102</v>
      </c>
    </row>
    <row r="99" spans="1:10" x14ac:dyDescent="0.25">
      <c r="A99" s="2">
        <v>97</v>
      </c>
      <c r="B99" s="5">
        <v>-2.0749757823068649E-2</v>
      </c>
      <c r="C99" s="5">
        <f t="shared" ref="C99:C102" si="19">EXP(D99)</f>
        <v>1.0180306809155042</v>
      </c>
      <c r="D99" s="5">
        <f t="shared" si="14"/>
        <v>1.7870056098052228E-2</v>
      </c>
      <c r="E99" s="5">
        <f t="shared" si="18"/>
        <v>-4.6667073348216417E-3</v>
      </c>
      <c r="F99" s="5">
        <f t="shared" si="17"/>
        <v>0.24010878602183294</v>
      </c>
      <c r="G99" s="5">
        <f t="shared" si="12"/>
        <v>0.23744982041917195</v>
      </c>
      <c r="H99" s="5">
        <f t="shared" si="15"/>
        <v>0.49884416054447894</v>
      </c>
      <c r="I99" s="5">
        <v>0.47599999999999998</v>
      </c>
      <c r="J99" s="11">
        <f t="shared" si="16"/>
        <v>0.26139434012530693</v>
      </c>
    </row>
    <row r="100" spans="1:10" x14ac:dyDescent="0.25">
      <c r="A100" s="2">
        <v>98</v>
      </c>
      <c r="B100" s="5">
        <v>3.3470769267296419E-3</v>
      </c>
      <c r="C100" s="5">
        <f t="shared" si="19"/>
        <v>0.99534416482488197</v>
      </c>
      <c r="D100" s="5">
        <f t="shared" si="14"/>
        <v>-4.6667073348216417E-3</v>
      </c>
      <c r="E100" s="5">
        <f t="shared" si="18"/>
        <v>-8.5295967460983623E-4</v>
      </c>
      <c r="F100" s="5">
        <f t="shared" si="17"/>
        <v>0.23744982041917195</v>
      </c>
      <c r="G100" s="5">
        <f t="shared" si="12"/>
        <v>0.23086928089052433</v>
      </c>
      <c r="H100" s="5">
        <f t="shared" si="15"/>
        <v>0.4850194976691688</v>
      </c>
      <c r="I100" s="5">
        <v>0.47599999999999998</v>
      </c>
      <c r="J100" s="11">
        <f t="shared" si="16"/>
        <v>0.25415021677864447</v>
      </c>
    </row>
    <row r="101" spans="1:10" x14ac:dyDescent="0.25">
      <c r="A101" s="2">
        <v>99</v>
      </c>
      <c r="B101" s="5">
        <v>-3.3924152376130223E-2</v>
      </c>
      <c r="C101" s="5">
        <f t="shared" si="19"/>
        <v>0.99914740399208835</v>
      </c>
      <c r="D101" s="5">
        <f t="shared" si="14"/>
        <v>-8.5295967460983623E-4</v>
      </c>
      <c r="E101" s="5">
        <f t="shared" si="18"/>
        <v>-3.4691816083279078E-2</v>
      </c>
      <c r="F101" s="5">
        <f t="shared" si="17"/>
        <v>0.23086928089052433</v>
      </c>
      <c r="G101" s="5">
        <f t="shared" si="12"/>
        <v>0.22851756732355832</v>
      </c>
      <c r="H101" s="5">
        <f t="shared" si="15"/>
        <v>0.48007892294865195</v>
      </c>
      <c r="I101" s="5">
        <v>0.47599999999999998</v>
      </c>
      <c r="J101" s="11">
        <f t="shared" si="16"/>
        <v>0.25156135562509363</v>
      </c>
    </row>
    <row r="102" spans="1:10" ht="15.75" thickBot="1" x14ac:dyDescent="0.3">
      <c r="A102" s="3">
        <v>100</v>
      </c>
      <c r="B102" s="6">
        <v>-3.1443596526514739E-2</v>
      </c>
      <c r="C102" s="6">
        <f t="shared" si="19"/>
        <v>0.96590304617677714</v>
      </c>
      <c r="D102" s="6">
        <f t="shared" si="14"/>
        <v>-3.4691816083279078E-2</v>
      </c>
      <c r="E102" s="6">
        <f t="shared" si="18"/>
        <v>-6.2666231001465914E-2</v>
      </c>
      <c r="F102" s="6">
        <f t="shared" si="17"/>
        <v>0.22851756732355832</v>
      </c>
      <c r="G102" s="6"/>
      <c r="H102" s="6">
        <f t="shared" si="15"/>
        <v>0.46173556986887038</v>
      </c>
      <c r="I102" s="6">
        <v>0.47599999999999998</v>
      </c>
      <c r="J102" s="12">
        <f t="shared" si="16"/>
        <v>0.24194943861128806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86ED-F242-48D3-AE2F-0A3FAE289563}">
  <dimension ref="A1:M102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13" ht="15" customHeight="1" thickBot="1" x14ac:dyDescent="0.3">
      <c r="A1" s="4" t="s">
        <v>0</v>
      </c>
      <c r="B1" s="4" t="s">
        <v>6</v>
      </c>
      <c r="C1" s="4" t="s">
        <v>2</v>
      </c>
      <c r="D1" s="4" t="s">
        <v>5</v>
      </c>
      <c r="E1" s="4" t="s">
        <v>4</v>
      </c>
      <c r="F1" s="4" t="s">
        <v>3</v>
      </c>
      <c r="G1" s="4" t="s">
        <v>11</v>
      </c>
      <c r="H1" s="4" t="s">
        <v>1</v>
      </c>
      <c r="I1" s="4" t="s">
        <v>12</v>
      </c>
      <c r="J1" s="4" t="s">
        <v>10</v>
      </c>
      <c r="K1" s="2"/>
      <c r="L1" s="8" t="s">
        <v>8</v>
      </c>
      <c r="M1" s="9">
        <v>0.5</v>
      </c>
    </row>
    <row r="2" spans="1:13" ht="15.75" thickBot="1" x14ac:dyDescent="0.3">
      <c r="A2" s="2">
        <v>0</v>
      </c>
      <c r="B2" s="5">
        <f>2*0.02</f>
        <v>0.04</v>
      </c>
      <c r="C2" s="5">
        <v>1</v>
      </c>
      <c r="D2" s="5">
        <f>LN(C2)</f>
        <v>0</v>
      </c>
      <c r="E2" s="5">
        <f t="shared" ref="E2:E33" si="0">$M$3*D2+B2</f>
        <v>0.04</v>
      </c>
      <c r="F2" s="5">
        <f>($M$1*$M$2)^(1/(1-$M$1))</f>
        <v>0.22657599999999997</v>
      </c>
      <c r="G2" s="5">
        <f t="shared" ref="G2:G33" si="1">F3</f>
        <v>0.22657599999999997</v>
      </c>
      <c r="H2" s="5">
        <f>$C2*$F2^$M$1</f>
        <v>0.47599999999999998</v>
      </c>
      <c r="I2" s="5">
        <v>0.47599999999999998</v>
      </c>
      <c r="J2" s="11">
        <f>(1-$M$1*$M$2)*$C2*$F2^$M$1</f>
        <v>0.24942400000000001</v>
      </c>
      <c r="K2" s="2"/>
      <c r="L2" s="8" t="s">
        <v>9</v>
      </c>
      <c r="M2" s="10">
        <v>0.95199999999999996</v>
      </c>
    </row>
    <row r="3" spans="1:13" ht="15.75" thickBot="1" x14ac:dyDescent="0.3">
      <c r="A3" s="2">
        <v>1</v>
      </c>
      <c r="B3" s="5">
        <v>0</v>
      </c>
      <c r="C3" s="5">
        <f t="shared" ref="C3:C34" si="2">EXP(D3)</f>
        <v>1.0408107741923882</v>
      </c>
      <c r="D3" s="5">
        <f t="shared" ref="D3:D34" si="3">E2</f>
        <v>0.04</v>
      </c>
      <c r="E3" s="5">
        <f t="shared" si="0"/>
        <v>3.6000000000000004E-2</v>
      </c>
      <c r="F3" s="5">
        <f>$M$1*$M$2*$C2*$F2^$M$1</f>
        <v>0.22657599999999997</v>
      </c>
      <c r="G3" s="5">
        <f t="shared" si="1"/>
        <v>0.23582274197341452</v>
      </c>
      <c r="H3" s="5">
        <f t="shared" ref="H3:H66" si="4">$C3*$F3^$M$1</f>
        <v>0.49542592851557676</v>
      </c>
      <c r="I3" s="5">
        <v>0.47599999999999998</v>
      </c>
      <c r="J3" s="11">
        <f t="shared" ref="J3:J66" si="5">(1-$M$1*$M$2)*$C3*$F3^$M$1</f>
        <v>0.25960318654216225</v>
      </c>
      <c r="L3" s="8" t="s">
        <v>7</v>
      </c>
      <c r="M3" s="9">
        <v>0.9</v>
      </c>
    </row>
    <row r="4" spans="1:13" x14ac:dyDescent="0.25">
      <c r="A4" s="2">
        <v>2</v>
      </c>
      <c r="B4" s="5">
        <v>0</v>
      </c>
      <c r="C4" s="5">
        <f t="shared" si="2"/>
        <v>1.0366558464909237</v>
      </c>
      <c r="D4" s="5">
        <f t="shared" si="3"/>
        <v>3.6000000000000004E-2</v>
      </c>
      <c r="E4" s="5">
        <f t="shared" si="0"/>
        <v>3.2400000000000005E-2</v>
      </c>
      <c r="F4" s="5">
        <f t="shared" ref="F4:F67" si="6">$M$1*$M$2*$C3*$F3^$M$1</f>
        <v>0.23582274197341452</v>
      </c>
      <c r="G4" s="5">
        <f t="shared" si="1"/>
        <v>0.23962625279030636</v>
      </c>
      <c r="H4" s="5">
        <f t="shared" si="4"/>
        <v>0.50341649745862682</v>
      </c>
      <c r="I4" s="5">
        <v>0.47599999999999998</v>
      </c>
      <c r="J4" s="11">
        <f t="shared" si="5"/>
        <v>0.26379024466832052</v>
      </c>
    </row>
    <row r="5" spans="1:13" x14ac:dyDescent="0.25">
      <c r="A5" s="2">
        <v>3</v>
      </c>
      <c r="B5" s="5">
        <v>0</v>
      </c>
      <c r="C5" s="5">
        <f t="shared" si="2"/>
        <v>1.0329305949196554</v>
      </c>
      <c r="D5" s="5">
        <f t="shared" si="3"/>
        <v>3.2400000000000005E-2</v>
      </c>
      <c r="E5" s="5">
        <f t="shared" si="0"/>
        <v>2.9160000000000005E-2</v>
      </c>
      <c r="F5" s="5">
        <f t="shared" si="6"/>
        <v>0.23962625279030636</v>
      </c>
      <c r="G5" s="5">
        <f t="shared" si="1"/>
        <v>0.24068293129051005</v>
      </c>
      <c r="H5" s="5">
        <f t="shared" si="4"/>
        <v>0.50563641027418083</v>
      </c>
      <c r="I5" s="5">
        <v>0.47599999999999998</v>
      </c>
      <c r="J5" s="11">
        <f t="shared" si="5"/>
        <v>0.26495347898367078</v>
      </c>
    </row>
    <row r="6" spans="1:13" x14ac:dyDescent="0.25">
      <c r="A6" s="2">
        <v>4</v>
      </c>
      <c r="B6" s="5">
        <v>0</v>
      </c>
      <c r="C6" s="5">
        <f t="shared" si="2"/>
        <v>1.0295893155875844</v>
      </c>
      <c r="D6" s="5">
        <f t="shared" si="3"/>
        <v>2.9160000000000005E-2</v>
      </c>
      <c r="E6" s="5">
        <f t="shared" si="0"/>
        <v>2.6244000000000007E-2</v>
      </c>
      <c r="F6" s="5">
        <f t="shared" si="6"/>
        <v>0.24068293129051005</v>
      </c>
      <c r="G6" s="5">
        <f t="shared" si="1"/>
        <v>0.2404327511581863</v>
      </c>
      <c r="H6" s="5">
        <f t="shared" si="4"/>
        <v>0.50511082176089561</v>
      </c>
      <c r="I6" s="5">
        <v>0.47599999999999998</v>
      </c>
      <c r="J6" s="11">
        <f t="shared" si="5"/>
        <v>0.26467807060270931</v>
      </c>
    </row>
    <row r="7" spans="1:13" x14ac:dyDescent="0.25">
      <c r="A7" s="2">
        <v>5</v>
      </c>
      <c r="B7" s="5">
        <v>0</v>
      </c>
      <c r="C7" s="5">
        <f t="shared" si="2"/>
        <v>1.0265914062194721</v>
      </c>
      <c r="D7" s="5">
        <f t="shared" si="3"/>
        <v>2.6244000000000007E-2</v>
      </c>
      <c r="E7" s="5">
        <f t="shared" si="0"/>
        <v>2.3619600000000008E-2</v>
      </c>
      <c r="F7" s="5">
        <f t="shared" si="6"/>
        <v>0.2404327511581863</v>
      </c>
      <c r="G7" s="5">
        <f t="shared" si="1"/>
        <v>0.2396080418871174</v>
      </c>
      <c r="H7" s="5">
        <f t="shared" si="4"/>
        <v>0.50337823925865</v>
      </c>
      <c r="I7" s="5">
        <v>0.47599999999999998</v>
      </c>
      <c r="J7" s="11">
        <f t="shared" si="5"/>
        <v>0.26377019737153262</v>
      </c>
    </row>
    <row r="8" spans="1:13" x14ac:dyDescent="0.25">
      <c r="A8" s="2">
        <v>6</v>
      </c>
      <c r="B8" s="5">
        <v>0</v>
      </c>
      <c r="C8" s="5">
        <f t="shared" si="2"/>
        <v>1.0239007519538348</v>
      </c>
      <c r="D8" s="5">
        <f t="shared" si="3"/>
        <v>2.3619600000000008E-2</v>
      </c>
      <c r="E8" s="5">
        <f t="shared" si="0"/>
        <v>2.1257640000000008E-2</v>
      </c>
      <c r="F8" s="5">
        <f t="shared" si="6"/>
        <v>0.2396080418871174</v>
      </c>
      <c r="G8" s="5">
        <f t="shared" si="1"/>
        <v>0.23856982373669913</v>
      </c>
      <c r="H8" s="5">
        <f t="shared" si="4"/>
        <v>0.50119710869054446</v>
      </c>
      <c r="I8" s="5">
        <v>0.47599999999999998</v>
      </c>
      <c r="J8" s="11">
        <f t="shared" si="5"/>
        <v>0.2626272849538453</v>
      </c>
    </row>
    <row r="9" spans="1:13" x14ac:dyDescent="0.25">
      <c r="A9" s="2">
        <v>7</v>
      </c>
      <c r="B9" s="5">
        <v>0</v>
      </c>
      <c r="C9" s="5">
        <f t="shared" si="2"/>
        <v>1.0214851931833508</v>
      </c>
      <c r="D9" s="5">
        <f t="shared" si="3"/>
        <v>2.1257640000000008E-2</v>
      </c>
      <c r="E9" s="5">
        <f t="shared" si="0"/>
        <v>1.9131876000000009E-2</v>
      </c>
      <c r="F9" s="5">
        <f t="shared" si="6"/>
        <v>0.23856982373669913</v>
      </c>
      <c r="G9" s="5">
        <f t="shared" si="1"/>
        <v>0.23749079610477164</v>
      </c>
      <c r="H9" s="5">
        <f t="shared" si="4"/>
        <v>0.4989302439175875</v>
      </c>
      <c r="I9" s="5">
        <v>0.47599999999999998</v>
      </c>
      <c r="J9" s="11">
        <f t="shared" si="5"/>
        <v>0.26143944781281586</v>
      </c>
    </row>
    <row r="10" spans="1:13" x14ac:dyDescent="0.25">
      <c r="A10" s="2">
        <v>8</v>
      </c>
      <c r="B10" s="5">
        <v>0</v>
      </c>
      <c r="C10" s="5">
        <f t="shared" si="2"/>
        <v>1.019316063079327</v>
      </c>
      <c r="D10" s="5">
        <f t="shared" si="3"/>
        <v>1.9131876000000009E-2</v>
      </c>
      <c r="E10" s="5">
        <f t="shared" si="0"/>
        <v>1.7218688400000008E-2</v>
      </c>
      <c r="F10" s="5">
        <f t="shared" si="6"/>
        <v>0.23749079610477164</v>
      </c>
      <c r="G10" s="5">
        <f t="shared" si="1"/>
        <v>0.23644994239861591</v>
      </c>
      <c r="H10" s="5">
        <f t="shared" si="4"/>
        <v>0.49674357646768053</v>
      </c>
      <c r="I10" s="5">
        <v>0.47599999999999998</v>
      </c>
      <c r="J10" s="11">
        <f t="shared" si="5"/>
        <v>0.26029363406906458</v>
      </c>
    </row>
    <row r="11" spans="1:13" x14ac:dyDescent="0.25">
      <c r="A11" s="2">
        <v>9</v>
      </c>
      <c r="B11" s="5">
        <v>0</v>
      </c>
      <c r="C11" s="5">
        <f t="shared" si="2"/>
        <v>1.0173677845324129</v>
      </c>
      <c r="D11" s="5">
        <f t="shared" si="3"/>
        <v>1.7218688400000008E-2</v>
      </c>
      <c r="E11" s="5">
        <f t="shared" si="0"/>
        <v>1.5496819560000008E-2</v>
      </c>
      <c r="F11" s="5">
        <f t="shared" si="6"/>
        <v>0.23644994239861591</v>
      </c>
      <c r="G11" s="5">
        <f t="shared" si="1"/>
        <v>0.23548027827174123</v>
      </c>
      <c r="H11" s="5">
        <f t="shared" si="4"/>
        <v>0.49470646695743958</v>
      </c>
      <c r="I11" s="5">
        <v>0.47599999999999998</v>
      </c>
      <c r="J11" s="11">
        <f t="shared" si="5"/>
        <v>0.2592261886856983</v>
      </c>
    </row>
    <row r="12" spans="1:13" x14ac:dyDescent="0.25">
      <c r="A12" s="2">
        <v>10</v>
      </c>
      <c r="B12" s="5">
        <v>0</v>
      </c>
      <c r="C12" s="5">
        <f t="shared" si="2"/>
        <v>1.0156175179425955</v>
      </c>
      <c r="D12" s="5">
        <f t="shared" si="3"/>
        <v>1.5496819560000008E-2</v>
      </c>
      <c r="E12" s="5">
        <f t="shared" si="0"/>
        <v>1.3947137604000008E-2</v>
      </c>
      <c r="F12" s="5">
        <f t="shared" si="6"/>
        <v>0.23548027827174123</v>
      </c>
      <c r="G12" s="5">
        <f t="shared" si="1"/>
        <v>0.23459265268265933</v>
      </c>
      <c r="H12" s="5">
        <f t="shared" si="4"/>
        <v>0.49284170731651122</v>
      </c>
      <c r="I12" s="5">
        <v>0.47599999999999998</v>
      </c>
      <c r="J12" s="11">
        <f t="shared" si="5"/>
        <v>0.25824905463385189</v>
      </c>
    </row>
    <row r="13" spans="1:13" x14ac:dyDescent="0.25">
      <c r="A13" s="2">
        <v>11</v>
      </c>
      <c r="B13" s="5">
        <v>0</v>
      </c>
      <c r="C13" s="5">
        <f t="shared" si="2"/>
        <v>1.014044852681063</v>
      </c>
      <c r="D13" s="5">
        <f t="shared" si="3"/>
        <v>1.3947137604000008E-2</v>
      </c>
      <c r="E13" s="5">
        <f t="shared" si="0"/>
        <v>1.2552423843600008E-2</v>
      </c>
      <c r="F13" s="5">
        <f t="shared" si="6"/>
        <v>0.23459265268265933</v>
      </c>
      <c r="G13" s="5">
        <f t="shared" si="1"/>
        <v>0.23378751820166316</v>
      </c>
      <c r="H13" s="5">
        <f t="shared" si="4"/>
        <v>0.49115024832282178</v>
      </c>
      <c r="I13" s="5">
        <v>0.47599999999999998</v>
      </c>
      <c r="J13" s="11">
        <f t="shared" si="5"/>
        <v>0.25736273012115862</v>
      </c>
    </row>
    <row r="14" spans="1:13" x14ac:dyDescent="0.25">
      <c r="A14" s="2">
        <v>12</v>
      </c>
      <c r="B14" s="5">
        <v>0</v>
      </c>
      <c r="C14" s="5">
        <f t="shared" si="2"/>
        <v>1.0126315361864491</v>
      </c>
      <c r="D14" s="5">
        <f t="shared" si="3"/>
        <v>1.2552423843600008E-2</v>
      </c>
      <c r="E14" s="5">
        <f t="shared" si="0"/>
        <v>1.1297181459240007E-2</v>
      </c>
      <c r="F14" s="5">
        <f t="shared" si="6"/>
        <v>0.23378751820166316</v>
      </c>
      <c r="G14" s="5">
        <f t="shared" si="1"/>
        <v>0.23306070801898698</v>
      </c>
      <c r="H14" s="5">
        <f t="shared" si="4"/>
        <v>0.48962333617434239</v>
      </c>
      <c r="I14" s="5">
        <v>0.47599999999999998</v>
      </c>
      <c r="J14" s="11">
        <f t="shared" si="5"/>
        <v>0.25656262815535547</v>
      </c>
    </row>
    <row r="15" spans="1:13" x14ac:dyDescent="0.25">
      <c r="A15" s="2">
        <v>13</v>
      </c>
      <c r="B15" s="5">
        <v>0</v>
      </c>
      <c r="C15" s="5">
        <f t="shared" si="2"/>
        <v>1.0113612355968529</v>
      </c>
      <c r="D15" s="5">
        <f t="shared" si="3"/>
        <v>1.1297181459240007E-2</v>
      </c>
      <c r="E15" s="5">
        <f t="shared" si="0"/>
        <v>1.0167463313316007E-2</v>
      </c>
      <c r="F15" s="5">
        <f t="shared" si="6"/>
        <v>0.23306070801898698</v>
      </c>
      <c r="G15" s="5">
        <f t="shared" si="1"/>
        <v>0.23240624136126681</v>
      </c>
      <c r="H15" s="5">
        <f t="shared" si="4"/>
        <v>0.48824840622114879</v>
      </c>
      <c r="I15" s="5">
        <v>0.47599999999999998</v>
      </c>
      <c r="J15" s="11">
        <f t="shared" si="5"/>
        <v>0.25584216485988198</v>
      </c>
    </row>
    <row r="16" spans="1:13" x14ac:dyDescent="0.25">
      <c r="A16" s="2">
        <v>14</v>
      </c>
      <c r="B16" s="5">
        <v>0</v>
      </c>
      <c r="C16" s="5">
        <f t="shared" si="2"/>
        <v>1.0102193275954578</v>
      </c>
      <c r="D16" s="5">
        <f t="shared" si="3"/>
        <v>1.0167463313316007E-2</v>
      </c>
      <c r="E16" s="5">
        <f t="shared" si="0"/>
        <v>9.1507169819844067E-3</v>
      </c>
      <c r="F16" s="5">
        <f t="shared" si="6"/>
        <v>0.23240624136126681</v>
      </c>
      <c r="G16" s="5">
        <f t="shared" si="1"/>
        <v>0.23181766093859799</v>
      </c>
      <c r="H16" s="5">
        <f t="shared" si="4"/>
        <v>0.4870118927281471</v>
      </c>
      <c r="I16" s="5">
        <v>0.47599999999999998</v>
      </c>
      <c r="J16" s="11">
        <f t="shared" si="5"/>
        <v>0.25519423178954909</v>
      </c>
    </row>
    <row r="17" spans="1:10" x14ac:dyDescent="0.25">
      <c r="A17" s="2">
        <v>15</v>
      </c>
      <c r="B17" s="5">
        <v>0</v>
      </c>
      <c r="C17" s="5">
        <f t="shared" si="2"/>
        <v>1.009192712792143</v>
      </c>
      <c r="D17" s="5">
        <f t="shared" si="3"/>
        <v>9.1507169819844067E-3</v>
      </c>
      <c r="E17" s="5">
        <f t="shared" si="0"/>
        <v>8.2356452837859667E-3</v>
      </c>
      <c r="F17" s="5">
        <f t="shared" si="6"/>
        <v>0.23181766093859799</v>
      </c>
      <c r="G17" s="5">
        <f t="shared" si="1"/>
        <v>0.23128864846660394</v>
      </c>
      <c r="H17" s="5">
        <f t="shared" si="4"/>
        <v>0.48590052198866374</v>
      </c>
      <c r="I17" s="5">
        <v>0.47599999999999998</v>
      </c>
      <c r="J17" s="11">
        <f t="shared" si="5"/>
        <v>0.25461187352205983</v>
      </c>
    </row>
    <row r="18" spans="1:10" x14ac:dyDescent="0.25">
      <c r="A18" s="2">
        <v>16</v>
      </c>
      <c r="B18" s="5">
        <v>0</v>
      </c>
      <c r="C18" s="5">
        <f t="shared" si="2"/>
        <v>1.0082696515006815</v>
      </c>
      <c r="D18" s="5">
        <f t="shared" si="3"/>
        <v>8.2356452837859667E-3</v>
      </c>
      <c r="E18" s="5">
        <f t="shared" si="0"/>
        <v>7.41208075540737E-3</v>
      </c>
      <c r="F18" s="5">
        <f t="shared" si="6"/>
        <v>0.23128864846660394</v>
      </c>
      <c r="G18" s="5">
        <f t="shared" si="1"/>
        <v>0.23081328773613985</v>
      </c>
      <c r="H18" s="5">
        <f t="shared" si="4"/>
        <v>0.48490186499189042</v>
      </c>
      <c r="I18" s="5">
        <v>0.47599999999999998</v>
      </c>
      <c r="J18" s="11">
        <f t="shared" si="5"/>
        <v>0.25408857725575063</v>
      </c>
    </row>
    <row r="19" spans="1:10" x14ac:dyDescent="0.25">
      <c r="A19" s="2">
        <v>17</v>
      </c>
      <c r="B19" s="5">
        <v>0</v>
      </c>
      <c r="C19" s="5">
        <f t="shared" si="2"/>
        <v>1.0074396182205629</v>
      </c>
      <c r="D19" s="5">
        <f t="shared" si="3"/>
        <v>7.41208075540737E-3</v>
      </c>
      <c r="E19" s="5">
        <f t="shared" si="0"/>
        <v>6.670872679866633E-3</v>
      </c>
      <c r="F19" s="5">
        <f t="shared" si="6"/>
        <v>0.23081328773613985</v>
      </c>
      <c r="G19" s="5">
        <f t="shared" si="1"/>
        <v>0.23038615785000546</v>
      </c>
      <c r="H19" s="5">
        <f t="shared" si="4"/>
        <v>0.48400453329833082</v>
      </c>
      <c r="I19" s="5">
        <v>0.47599999999999998</v>
      </c>
      <c r="J19" s="11">
        <f t="shared" si="5"/>
        <v>0.25361837544832533</v>
      </c>
    </row>
    <row r="20" spans="1:10" x14ac:dyDescent="0.25">
      <c r="A20" s="2">
        <v>18</v>
      </c>
      <c r="B20" s="5">
        <v>0</v>
      </c>
      <c r="C20" s="5">
        <f t="shared" si="2"/>
        <v>1.0066931725098867</v>
      </c>
      <c r="D20" s="5">
        <f t="shared" si="3"/>
        <v>6.670872679866633E-3</v>
      </c>
      <c r="E20" s="5">
        <f t="shared" si="0"/>
        <v>6.0037854118799696E-3</v>
      </c>
      <c r="F20" s="5">
        <f t="shared" si="6"/>
        <v>0.23038615785000546</v>
      </c>
      <c r="G20" s="5">
        <f t="shared" si="1"/>
        <v>0.23000234661399135</v>
      </c>
      <c r="H20" s="5">
        <f t="shared" si="4"/>
        <v>0.48319820717225076</v>
      </c>
      <c r="I20" s="5">
        <v>0.47599999999999998</v>
      </c>
      <c r="J20" s="11">
        <f t="shared" si="5"/>
        <v>0.25319586055825943</v>
      </c>
    </row>
    <row r="21" spans="1:10" x14ac:dyDescent="0.25">
      <c r="A21" s="2">
        <v>19</v>
      </c>
      <c r="B21" s="5">
        <v>0</v>
      </c>
      <c r="C21" s="5">
        <f t="shared" si="2"/>
        <v>1.0060218442538977</v>
      </c>
      <c r="D21" s="5">
        <f t="shared" si="3"/>
        <v>6.0037854118799696E-3</v>
      </c>
      <c r="E21" s="5">
        <f t="shared" si="0"/>
        <v>5.4034068706919729E-3</v>
      </c>
      <c r="F21" s="5">
        <f t="shared" si="6"/>
        <v>0.23000234661399135</v>
      </c>
      <c r="G21" s="5">
        <f t="shared" si="1"/>
        <v>0.22965742818400584</v>
      </c>
      <c r="H21" s="5">
        <f t="shared" si="4"/>
        <v>0.48247358862186102</v>
      </c>
      <c r="I21" s="5">
        <v>0.47599999999999998</v>
      </c>
      <c r="J21" s="11">
        <f t="shared" si="5"/>
        <v>0.25281616043785521</v>
      </c>
    </row>
    <row r="22" spans="1:10" x14ac:dyDescent="0.25">
      <c r="A22" s="2">
        <v>20</v>
      </c>
      <c r="B22" s="5">
        <v>0</v>
      </c>
      <c r="C22" s="5">
        <f t="shared" si="2"/>
        <v>1.005418031602858</v>
      </c>
      <c r="D22" s="5">
        <f t="shared" si="3"/>
        <v>5.4034068706919729E-3</v>
      </c>
      <c r="E22" s="5">
        <f t="shared" si="0"/>
        <v>4.8630661836227759E-3</v>
      </c>
      <c r="F22" s="5">
        <f t="shared" si="6"/>
        <v>0.22965742818400584</v>
      </c>
      <c r="G22" s="5">
        <f t="shared" si="1"/>
        <v>0.22934742637009989</v>
      </c>
      <c r="H22" s="5">
        <f t="shared" si="4"/>
        <v>0.48182232430693256</v>
      </c>
      <c r="I22" s="5">
        <v>0.47599999999999998</v>
      </c>
      <c r="J22" s="11">
        <f t="shared" si="5"/>
        <v>0.25247489793683264</v>
      </c>
    </row>
    <row r="23" spans="1:10" x14ac:dyDescent="0.25">
      <c r="A23" s="2">
        <v>21</v>
      </c>
      <c r="B23" s="5">
        <v>0</v>
      </c>
      <c r="C23" s="5">
        <f t="shared" si="2"/>
        <v>1.0048749100814125</v>
      </c>
      <c r="D23" s="5">
        <f t="shared" si="3"/>
        <v>4.8630661836227759E-3</v>
      </c>
      <c r="E23" s="5">
        <f t="shared" si="0"/>
        <v>4.3767595652604982E-3</v>
      </c>
      <c r="F23" s="5">
        <f t="shared" si="6"/>
        <v>0.22934742637009989</v>
      </c>
      <c r="G23" s="5">
        <f t="shared" si="1"/>
        <v>0.22906877379378365</v>
      </c>
      <c r="H23" s="5">
        <f t="shared" si="4"/>
        <v>0.48123691973483962</v>
      </c>
      <c r="I23" s="5">
        <v>0.47599999999999998</v>
      </c>
      <c r="J23" s="11">
        <f t="shared" si="5"/>
        <v>0.25216814594105597</v>
      </c>
    </row>
    <row r="24" spans="1:10" x14ac:dyDescent="0.25">
      <c r="A24" s="2">
        <v>22</v>
      </c>
      <c r="B24" s="5">
        <v>0</v>
      </c>
      <c r="C24" s="5">
        <f t="shared" si="2"/>
        <v>1.0043863515662617</v>
      </c>
      <c r="D24" s="5">
        <f t="shared" si="3"/>
        <v>4.3767595652604982E-3</v>
      </c>
      <c r="E24" s="5">
        <f t="shared" si="0"/>
        <v>3.9390836087344486E-3</v>
      </c>
      <c r="F24" s="5">
        <f t="shared" si="6"/>
        <v>0.22906877379378365</v>
      </c>
      <c r="G24" s="5">
        <f t="shared" si="1"/>
        <v>0.22881827158900331</v>
      </c>
      <c r="H24" s="5">
        <f t="shared" si="4"/>
        <v>0.48071065459874651</v>
      </c>
      <c r="I24" s="5">
        <v>0.47599999999999998</v>
      </c>
      <c r="J24" s="11">
        <f t="shared" si="5"/>
        <v>0.25189238300974315</v>
      </c>
    </row>
    <row r="25" spans="1:10" x14ac:dyDescent="0.25">
      <c r="A25" s="2">
        <v>23</v>
      </c>
      <c r="B25" s="5">
        <v>0</v>
      </c>
      <c r="C25" s="5">
        <f t="shared" si="2"/>
        <v>1.0039468519953316</v>
      </c>
      <c r="D25" s="5">
        <f t="shared" si="3"/>
        <v>3.9390836087344486E-3</v>
      </c>
      <c r="E25" s="5">
        <f t="shared" si="0"/>
        <v>3.5451752478610037E-3</v>
      </c>
      <c r="F25" s="5">
        <f t="shared" si="6"/>
        <v>0.22881827158900331</v>
      </c>
      <c r="G25" s="5">
        <f t="shared" si="1"/>
        <v>0.2285930516528589</v>
      </c>
      <c r="H25" s="5">
        <f t="shared" si="4"/>
        <v>0.48023750347239264</v>
      </c>
      <c r="I25" s="5">
        <v>0.47599999999999998</v>
      </c>
      <c r="J25" s="11">
        <f t="shared" si="5"/>
        <v>0.25164445181953371</v>
      </c>
    </row>
    <row r="26" spans="1:10" x14ac:dyDescent="0.25">
      <c r="A26" s="2">
        <v>24</v>
      </c>
      <c r="B26" s="5">
        <v>0</v>
      </c>
      <c r="C26" s="5">
        <f t="shared" si="2"/>
        <v>1.0035514668143348</v>
      </c>
      <c r="D26" s="5">
        <f t="shared" si="3"/>
        <v>3.5451752478610037E-3</v>
      </c>
      <c r="E26" s="5">
        <f t="shared" si="0"/>
        <v>3.1906577230749033E-3</v>
      </c>
      <c r="F26" s="5">
        <f t="shared" si="6"/>
        <v>0.2285930516528589</v>
      </c>
      <c r="G26" s="5">
        <f t="shared" si="1"/>
        <v>0.22839054216234814</v>
      </c>
      <c r="H26" s="5">
        <f t="shared" si="4"/>
        <v>0.47981206336627763</v>
      </c>
      <c r="I26" s="5">
        <v>0.47599999999999998</v>
      </c>
      <c r="J26" s="11">
        <f t="shared" si="5"/>
        <v>0.25142152120392952</v>
      </c>
    </row>
    <row r="27" spans="1:10" x14ac:dyDescent="0.25">
      <c r="A27" s="2">
        <v>25</v>
      </c>
      <c r="B27" s="5">
        <v>0</v>
      </c>
      <c r="C27" s="5">
        <f t="shared" si="2"/>
        <v>1.0031957532893891</v>
      </c>
      <c r="D27" s="5">
        <f t="shared" si="3"/>
        <v>3.1906577230749033E-3</v>
      </c>
      <c r="E27" s="5">
        <f t="shared" si="0"/>
        <v>2.8715919507674129E-3</v>
      </c>
      <c r="F27" s="5">
        <f t="shared" si="6"/>
        <v>0.22839054216234814</v>
      </c>
      <c r="G27" s="5">
        <f t="shared" si="1"/>
        <v>0.22820843647019898</v>
      </c>
      <c r="H27" s="5">
        <f t="shared" si="4"/>
        <v>0.479429488382771</v>
      </c>
      <c r="I27" s="5">
        <v>0.47599999999999998</v>
      </c>
      <c r="J27" s="11">
        <f t="shared" si="5"/>
        <v>0.25122105191257205</v>
      </c>
    </row>
    <row r="28" spans="1:10" x14ac:dyDescent="0.25">
      <c r="A28" s="2">
        <v>26</v>
      </c>
      <c r="B28" s="5">
        <v>0</v>
      </c>
      <c r="C28" s="5">
        <f t="shared" si="2"/>
        <v>1.0028757189203119</v>
      </c>
      <c r="D28" s="5">
        <f t="shared" si="3"/>
        <v>2.8715919507674129E-3</v>
      </c>
      <c r="E28" s="5">
        <f t="shared" si="0"/>
        <v>2.5844327556906717E-3</v>
      </c>
      <c r="F28" s="5">
        <f t="shared" si="6"/>
        <v>0.22820843647019898</v>
      </c>
      <c r="G28" s="5">
        <f t="shared" si="1"/>
        <v>0.22804466522537498</v>
      </c>
      <c r="H28" s="5">
        <f t="shared" si="4"/>
        <v>0.47908543114574575</v>
      </c>
      <c r="I28" s="5">
        <v>0.47599999999999998</v>
      </c>
      <c r="J28" s="11">
        <f t="shared" si="5"/>
        <v>0.25104076592037078</v>
      </c>
    </row>
    <row r="29" spans="1:10" x14ac:dyDescent="0.25">
      <c r="A29" s="2">
        <v>27</v>
      </c>
      <c r="B29" s="5">
        <v>0</v>
      </c>
      <c r="C29" s="5">
        <f t="shared" si="2"/>
        <v>1.0025877752809154</v>
      </c>
      <c r="D29" s="5">
        <f t="shared" si="3"/>
        <v>2.5844327556906717E-3</v>
      </c>
      <c r="E29" s="5">
        <f t="shared" si="0"/>
        <v>2.3259894801216045E-3</v>
      </c>
      <c r="F29" s="5">
        <f t="shared" si="6"/>
        <v>0.22804466522537498</v>
      </c>
      <c r="G29" s="5">
        <f t="shared" si="1"/>
        <v>0.2278973714585629</v>
      </c>
      <c r="H29" s="5">
        <f t="shared" si="4"/>
        <v>0.4787759904591658</v>
      </c>
      <c r="I29" s="5">
        <v>0.47599999999999998</v>
      </c>
      <c r="J29" s="11">
        <f t="shared" si="5"/>
        <v>0.25087861900060288</v>
      </c>
    </row>
    <row r="30" spans="1:10" x14ac:dyDescent="0.25">
      <c r="A30" s="2">
        <v>28</v>
      </c>
      <c r="B30" s="5">
        <v>0</v>
      </c>
      <c r="C30" s="5">
        <f t="shared" si="2"/>
        <v>1.0023286966922278</v>
      </c>
      <c r="D30" s="5">
        <f t="shared" si="3"/>
        <v>2.3259894801216045E-3</v>
      </c>
      <c r="E30" s="5">
        <f t="shared" si="0"/>
        <v>2.0933905321094443E-3</v>
      </c>
      <c r="F30" s="5">
        <f t="shared" si="6"/>
        <v>0.2278973714585629</v>
      </c>
      <c r="G30" s="5">
        <f t="shared" si="1"/>
        <v>0.22776488834432099</v>
      </c>
      <c r="H30" s="5">
        <f t="shared" si="4"/>
        <v>0.47849766458890969</v>
      </c>
      <c r="I30" s="5">
        <v>0.47599999999999998</v>
      </c>
      <c r="J30" s="11">
        <f t="shared" si="5"/>
        <v>0.25073277624458867</v>
      </c>
    </row>
    <row r="31" spans="1:10" x14ac:dyDescent="0.25">
      <c r="A31" s="2">
        <v>29</v>
      </c>
      <c r="B31" s="5">
        <v>0</v>
      </c>
      <c r="C31" s="5">
        <f t="shared" si="2"/>
        <v>1.0020955832038418</v>
      </c>
      <c r="D31" s="5">
        <f t="shared" si="3"/>
        <v>2.0933905321094443E-3</v>
      </c>
      <c r="E31" s="5">
        <f t="shared" si="0"/>
        <v>1.8840514788984999E-3</v>
      </c>
      <c r="F31" s="5">
        <f t="shared" si="6"/>
        <v>0.22776488834432099</v>
      </c>
      <c r="G31" s="5">
        <f t="shared" si="1"/>
        <v>0.22764571935765615</v>
      </c>
      <c r="H31" s="5">
        <f t="shared" si="4"/>
        <v>0.47824730957490791</v>
      </c>
      <c r="I31" s="5">
        <v>0.47599999999999998</v>
      </c>
      <c r="J31" s="11">
        <f t="shared" si="5"/>
        <v>0.25060159021725176</v>
      </c>
    </row>
    <row r="32" spans="1:10" x14ac:dyDescent="0.25">
      <c r="A32" s="2">
        <v>30</v>
      </c>
      <c r="B32" s="5">
        <v>0</v>
      </c>
      <c r="C32" s="5">
        <f t="shared" si="2"/>
        <v>1.0018858274190319</v>
      </c>
      <c r="D32" s="5">
        <f t="shared" si="3"/>
        <v>1.8840514788984999E-3</v>
      </c>
      <c r="E32" s="5">
        <f t="shared" si="0"/>
        <v>1.69564633100865E-3</v>
      </c>
      <c r="F32" s="5">
        <f t="shared" si="6"/>
        <v>0.22764571935765615</v>
      </c>
      <c r="G32" s="5">
        <f t="shared" si="1"/>
        <v>0.22753852056328491</v>
      </c>
      <c r="H32" s="5">
        <f t="shared" si="4"/>
        <v>0.47802210202370782</v>
      </c>
      <c r="I32" s="5">
        <v>0.47599999999999998</v>
      </c>
      <c r="J32" s="11">
        <f t="shared" si="5"/>
        <v>0.25048358146042293</v>
      </c>
    </row>
    <row r="33" spans="1:10" x14ac:dyDescent="0.25">
      <c r="A33" s="2">
        <v>31</v>
      </c>
      <c r="B33" s="5">
        <v>0</v>
      </c>
      <c r="C33" s="5">
        <f t="shared" si="2"/>
        <v>1.0016970847521516</v>
      </c>
      <c r="D33" s="5">
        <f t="shared" si="3"/>
        <v>1.69564633100865E-3</v>
      </c>
      <c r="E33" s="5">
        <f t="shared" si="0"/>
        <v>1.526081697907785E-3</v>
      </c>
      <c r="F33" s="5">
        <f t="shared" si="6"/>
        <v>0.22753852056328491</v>
      </c>
      <c r="G33" s="5">
        <f t="shared" si="1"/>
        <v>0.22744208480105163</v>
      </c>
      <c r="H33" s="5">
        <f t="shared" si="4"/>
        <v>0.47781950588456229</v>
      </c>
      <c r="I33" s="5">
        <v>0.47599999999999998</v>
      </c>
      <c r="J33" s="11">
        <f t="shared" si="5"/>
        <v>0.25037742108351063</v>
      </c>
    </row>
    <row r="34" spans="1:10" x14ac:dyDescent="0.25">
      <c r="A34" s="2">
        <v>32</v>
      </c>
      <c r="B34" s="5">
        <v>0</v>
      </c>
      <c r="C34" s="5">
        <f t="shared" si="2"/>
        <v>1.0015272467531633</v>
      </c>
      <c r="D34" s="5">
        <f t="shared" si="3"/>
        <v>1.526081697907785E-3</v>
      </c>
      <c r="E34" s="5">
        <f t="shared" ref="E34:E65" si="7">$M$3*D34+B34</f>
        <v>1.3734735281170066E-3</v>
      </c>
      <c r="F34" s="5">
        <f t="shared" si="6"/>
        <v>0.22744208480105163</v>
      </c>
      <c r="G34" s="5">
        <f t="shared" ref="G34:G65" si="8">F35</f>
        <v>0.22735532755649171</v>
      </c>
      <c r="H34" s="5">
        <f t="shared" si="4"/>
        <v>0.47763724276573888</v>
      </c>
      <c r="I34" s="5">
        <v>0.47599999999999998</v>
      </c>
      <c r="J34" s="11">
        <f t="shared" si="5"/>
        <v>0.2502819152092472</v>
      </c>
    </row>
    <row r="35" spans="1:10" x14ac:dyDescent="0.25">
      <c r="A35" s="2">
        <v>33</v>
      </c>
      <c r="B35" s="5">
        <v>0</v>
      </c>
      <c r="C35" s="5">
        <f t="shared" ref="C35:C66" si="9">EXP(D35)</f>
        <v>1.0013744171748584</v>
      </c>
      <c r="D35" s="5">
        <f t="shared" ref="D35:D66" si="10">E34</f>
        <v>1.3734735281170066E-3</v>
      </c>
      <c r="E35" s="5">
        <f t="shared" si="7"/>
        <v>1.236126175305306E-3</v>
      </c>
      <c r="F35" s="5">
        <f t="shared" si="6"/>
        <v>0.22735532755649171</v>
      </c>
      <c r="G35" s="5">
        <f t="shared" si="8"/>
        <v>0.22727727432944123</v>
      </c>
      <c r="H35" s="5">
        <f t="shared" si="4"/>
        <v>0.47747326539798579</v>
      </c>
      <c r="I35" s="5">
        <v>0.47599999999999998</v>
      </c>
      <c r="J35" s="11">
        <f t="shared" si="5"/>
        <v>0.25019599106854457</v>
      </c>
    </row>
    <row r="36" spans="1:10" x14ac:dyDescent="0.25">
      <c r="A36" s="2">
        <v>34</v>
      </c>
      <c r="B36" s="5">
        <v>0</v>
      </c>
      <c r="C36" s="5">
        <f t="shared" si="9"/>
        <v>1.0012368904941651</v>
      </c>
      <c r="D36" s="5">
        <f t="shared" si="10"/>
        <v>1.236126175305306E-3</v>
      </c>
      <c r="E36" s="5">
        <f t="shared" si="7"/>
        <v>1.1125135577747755E-3</v>
      </c>
      <c r="F36" s="5">
        <f t="shared" si="6"/>
        <v>0.22727727432944123</v>
      </c>
      <c r="G36" s="5">
        <f t="shared" si="8"/>
        <v>0.22720704933522934</v>
      </c>
      <c r="H36" s="5">
        <f t="shared" si="4"/>
        <v>0.47732573389754068</v>
      </c>
      <c r="I36" s="5">
        <v>0.47599999999999998</v>
      </c>
      <c r="J36" s="11">
        <f t="shared" si="5"/>
        <v>0.25011868456231134</v>
      </c>
    </row>
    <row r="37" spans="1:10" x14ac:dyDescent="0.25">
      <c r="A37" s="2">
        <v>35</v>
      </c>
      <c r="B37" s="5">
        <v>0</v>
      </c>
      <c r="C37" s="5">
        <f t="shared" si="9"/>
        <v>1.0011131326305371</v>
      </c>
      <c r="D37" s="5">
        <f t="shared" si="10"/>
        <v>1.1125135577747755E-3</v>
      </c>
      <c r="E37" s="5">
        <f t="shared" si="7"/>
        <v>1.001262201997298E-3</v>
      </c>
      <c r="F37" s="5">
        <f t="shared" si="6"/>
        <v>0.22720704933522934</v>
      </c>
      <c r="G37" s="5">
        <f t="shared" si="8"/>
        <v>0.22714386539222009</v>
      </c>
      <c r="H37" s="5">
        <f t="shared" si="4"/>
        <v>0.47719299452147079</v>
      </c>
      <c r="I37" s="5">
        <v>0.47599999999999998</v>
      </c>
      <c r="J37" s="11">
        <f t="shared" si="5"/>
        <v>0.2500491291292507</v>
      </c>
    </row>
    <row r="38" spans="1:10" x14ac:dyDescent="0.25">
      <c r="A38" s="2">
        <v>36</v>
      </c>
      <c r="B38" s="5">
        <v>0</v>
      </c>
      <c r="C38" s="5">
        <f t="shared" si="9"/>
        <v>1.0010017636323363</v>
      </c>
      <c r="D38" s="5">
        <f t="shared" si="10"/>
        <v>1.001262201997298E-3</v>
      </c>
      <c r="E38" s="5">
        <f t="shared" si="7"/>
        <v>9.0113598179756822E-4</v>
      </c>
      <c r="F38" s="5">
        <f t="shared" si="6"/>
        <v>0.22714386539222009</v>
      </c>
      <c r="G38" s="5">
        <f t="shared" si="8"/>
        <v>0.22708701486642457</v>
      </c>
      <c r="H38" s="5">
        <f t="shared" si="4"/>
        <v>0.47707356064374912</v>
      </c>
      <c r="I38" s="5">
        <v>0.47599999999999998</v>
      </c>
      <c r="J38" s="11">
        <f t="shared" si="5"/>
        <v>0.24998654577732457</v>
      </c>
    </row>
    <row r="39" spans="1:10" x14ac:dyDescent="0.25">
      <c r="A39" s="2">
        <v>37</v>
      </c>
      <c r="B39" s="5">
        <v>0</v>
      </c>
      <c r="C39" s="5">
        <f t="shared" si="9"/>
        <v>1.0009015421268146</v>
      </c>
      <c r="D39" s="5">
        <f t="shared" si="10"/>
        <v>9.0113598179756822E-4</v>
      </c>
      <c r="E39" s="5">
        <f t="shared" si="7"/>
        <v>8.1102238361781146E-4</v>
      </c>
      <c r="F39" s="5">
        <f t="shared" si="6"/>
        <v>0.22708701486642457</v>
      </c>
      <c r="G39" s="5">
        <f t="shared" si="8"/>
        <v>0.2270358615587931</v>
      </c>
      <c r="H39" s="5">
        <f t="shared" si="4"/>
        <v>0.47696609571175025</v>
      </c>
      <c r="I39" s="5">
        <v>0.47599999999999998</v>
      </c>
      <c r="J39" s="11">
        <f t="shared" si="5"/>
        <v>0.24993023415295712</v>
      </c>
    </row>
    <row r="40" spans="1:10" x14ac:dyDescent="0.25">
      <c r="A40" s="2">
        <v>38</v>
      </c>
      <c r="B40" s="5">
        <v>0</v>
      </c>
      <c r="C40" s="5">
        <f t="shared" si="9"/>
        <v>1.0008113513511985</v>
      </c>
      <c r="D40" s="5">
        <f t="shared" si="10"/>
        <v>8.1102238361781146E-4</v>
      </c>
      <c r="E40" s="5">
        <f t="shared" si="7"/>
        <v>7.299201452560303E-4</v>
      </c>
      <c r="F40" s="5">
        <f t="shared" si="6"/>
        <v>0.2270358615587931</v>
      </c>
      <c r="G40" s="5">
        <f t="shared" si="8"/>
        <v>0.22698983343386128</v>
      </c>
      <c r="H40" s="5">
        <f t="shared" si="4"/>
        <v>0.47686939797029682</v>
      </c>
      <c r="I40" s="5">
        <v>0.47599999999999998</v>
      </c>
      <c r="J40" s="11">
        <f t="shared" si="5"/>
        <v>0.24987956453643553</v>
      </c>
    </row>
    <row r="41" spans="1:10" x14ac:dyDescent="0.25">
      <c r="A41" s="2">
        <v>39</v>
      </c>
      <c r="B41" s="5">
        <v>0</v>
      </c>
      <c r="C41" s="5">
        <f t="shared" si="9"/>
        <v>1.0007301866017919</v>
      </c>
      <c r="D41" s="5">
        <f t="shared" si="10"/>
        <v>7.299201452560303E-4</v>
      </c>
      <c r="E41" s="5">
        <f t="shared" si="7"/>
        <v>6.5692813073042733E-4</v>
      </c>
      <c r="F41" s="5">
        <f t="shared" si="6"/>
        <v>0.22698983343386128</v>
      </c>
      <c r="G41" s="5">
        <f t="shared" si="8"/>
        <v>0.22694841609988789</v>
      </c>
      <c r="H41" s="5">
        <f t="shared" si="4"/>
        <v>0.47678238676447038</v>
      </c>
      <c r="I41" s="5">
        <v>0.47599999999999998</v>
      </c>
      <c r="J41" s="11">
        <f t="shared" si="5"/>
        <v>0.24983397066458252</v>
      </c>
    </row>
    <row r="42" spans="1:10" x14ac:dyDescent="0.25">
      <c r="A42" s="2">
        <v>40</v>
      </c>
      <c r="B42" s="5">
        <v>0</v>
      </c>
      <c r="C42" s="5">
        <f t="shared" si="9"/>
        <v>1.0006571439552727</v>
      </c>
      <c r="D42" s="5">
        <f t="shared" si="10"/>
        <v>6.5692813073042733E-4</v>
      </c>
      <c r="E42" s="5">
        <f t="shared" si="7"/>
        <v>5.9123531765738462E-4</v>
      </c>
      <c r="F42" s="5">
        <f t="shared" si="6"/>
        <v>0.22694841609988789</v>
      </c>
      <c r="G42" s="5">
        <f t="shared" si="8"/>
        <v>0.22691114696069536</v>
      </c>
      <c r="H42" s="5">
        <f t="shared" si="4"/>
        <v>0.4767040902535617</v>
      </c>
      <c r="I42" s="5">
        <v>0.47599999999999998</v>
      </c>
      <c r="J42" s="11">
        <f t="shared" si="5"/>
        <v>0.24979294329286639</v>
      </c>
    </row>
    <row r="43" spans="1:10" x14ac:dyDescent="0.25">
      <c r="A43" s="2">
        <v>41</v>
      </c>
      <c r="B43" s="5">
        <v>0</v>
      </c>
      <c r="C43" s="5">
        <f t="shared" si="9"/>
        <v>1.0005914101317082</v>
      </c>
      <c r="D43" s="5">
        <f t="shared" si="10"/>
        <v>5.9123531765738462E-4</v>
      </c>
      <c r="E43" s="5">
        <f t="shared" si="7"/>
        <v>5.3211178589164618E-4</v>
      </c>
      <c r="F43" s="5">
        <f t="shared" si="6"/>
        <v>0.22691114696069536</v>
      </c>
      <c r="G43" s="5">
        <f t="shared" si="8"/>
        <v>0.22687760996828521</v>
      </c>
      <c r="H43" s="5">
        <f t="shared" si="4"/>
        <v>0.47663363438715384</v>
      </c>
      <c r="I43" s="5">
        <v>0.47599999999999998</v>
      </c>
      <c r="J43" s="11">
        <f t="shared" si="5"/>
        <v>0.24975602441886863</v>
      </c>
    </row>
    <row r="44" spans="1:10" x14ac:dyDescent="0.25">
      <c r="A44" s="2">
        <v>42</v>
      </c>
      <c r="B44" s="5">
        <v>0</v>
      </c>
      <c r="C44" s="5">
        <f t="shared" si="9"/>
        <v>1.0005322533824819</v>
      </c>
      <c r="D44" s="5">
        <f t="shared" si="10"/>
        <v>5.3211178589164618E-4</v>
      </c>
      <c r="E44" s="5">
        <f t="shared" si="7"/>
        <v>4.7890060730248156E-4</v>
      </c>
      <c r="F44" s="5">
        <f t="shared" si="6"/>
        <v>0.22687760996828521</v>
      </c>
      <c r="G44" s="5">
        <f t="shared" si="8"/>
        <v>0.22684743091310897</v>
      </c>
      <c r="H44" s="5">
        <f t="shared" si="4"/>
        <v>0.47657023301073315</v>
      </c>
      <c r="I44" s="5">
        <v>0.47599999999999998</v>
      </c>
      <c r="J44" s="11">
        <f t="shared" si="5"/>
        <v>0.24972280209762421</v>
      </c>
    </row>
    <row r="45" spans="1:10" x14ac:dyDescent="0.25">
      <c r="A45" s="2">
        <v>43</v>
      </c>
      <c r="B45" s="5">
        <v>0</v>
      </c>
      <c r="C45" s="5">
        <f t="shared" si="9"/>
        <v>1.0004790152985061</v>
      </c>
      <c r="D45" s="5">
        <f t="shared" si="10"/>
        <v>4.7890060730248156E-4</v>
      </c>
      <c r="E45" s="5">
        <f t="shared" si="7"/>
        <v>4.3101054657223339E-4</v>
      </c>
      <c r="F45" s="5">
        <f t="shared" si="6"/>
        <v>0.22684743091310897</v>
      </c>
      <c r="G45" s="5">
        <f t="shared" si="8"/>
        <v>0.22682027319576759</v>
      </c>
      <c r="H45" s="5">
        <f t="shared" si="4"/>
        <v>0.47651317898270501</v>
      </c>
      <c r="I45" s="5">
        <v>0.47599999999999998</v>
      </c>
      <c r="J45" s="11">
        <f t="shared" si="5"/>
        <v>0.24969290578693742</v>
      </c>
    </row>
    <row r="46" spans="1:10" x14ac:dyDescent="0.25">
      <c r="A46" s="2">
        <v>44</v>
      </c>
      <c r="B46" s="5">
        <v>0</v>
      </c>
      <c r="C46" s="5">
        <f t="shared" si="9"/>
        <v>1.0004311034449642</v>
      </c>
      <c r="D46" s="5">
        <f t="shared" si="10"/>
        <v>4.3101054657223339E-4</v>
      </c>
      <c r="E46" s="5">
        <f t="shared" si="7"/>
        <v>3.8790949191501006E-4</v>
      </c>
      <c r="F46" s="5">
        <f t="shared" si="6"/>
        <v>0.22682027319576759</v>
      </c>
      <c r="G46" s="5">
        <f t="shared" si="8"/>
        <v>0.22679583403000389</v>
      </c>
      <c r="H46" s="5">
        <f t="shared" si="4"/>
        <v>0.47646183619748717</v>
      </c>
      <c r="I46" s="5">
        <v>0.47599999999999998</v>
      </c>
      <c r="J46" s="11">
        <f t="shared" si="5"/>
        <v>0.2496660021674833</v>
      </c>
    </row>
    <row r="47" spans="1:10" x14ac:dyDescent="0.25">
      <c r="A47" s="2">
        <v>45</v>
      </c>
      <c r="B47" s="5">
        <v>0</v>
      </c>
      <c r="C47" s="5">
        <f t="shared" si="9"/>
        <v>1.0003879847385313</v>
      </c>
      <c r="D47" s="5">
        <f t="shared" si="10"/>
        <v>3.8790949191501006E-4</v>
      </c>
      <c r="E47" s="5">
        <f t="shared" si="7"/>
        <v>3.4911854272350908E-4</v>
      </c>
      <c r="F47" s="5">
        <f t="shared" si="6"/>
        <v>0.22679583403000389</v>
      </c>
      <c r="G47" s="5">
        <f t="shared" si="8"/>
        <v>0.22677384103224657</v>
      </c>
      <c r="H47" s="5">
        <f t="shared" si="4"/>
        <v>0.47641563242068613</v>
      </c>
      <c r="I47" s="5">
        <v>0.47599999999999998</v>
      </c>
      <c r="J47" s="11">
        <f t="shared" si="5"/>
        <v>0.24964179138843953</v>
      </c>
    </row>
    <row r="48" spans="1:10" x14ac:dyDescent="0.25">
      <c r="A48" s="2">
        <v>46</v>
      </c>
      <c r="B48" s="5">
        <v>0</v>
      </c>
      <c r="C48" s="5">
        <f t="shared" si="9"/>
        <v>1.0003491794916946</v>
      </c>
      <c r="D48" s="5">
        <f t="shared" si="10"/>
        <v>3.4911854272350908E-4</v>
      </c>
      <c r="E48" s="5">
        <f t="shared" si="7"/>
        <v>3.142066884511582E-4</v>
      </c>
      <c r="F48" s="5">
        <f t="shared" si="6"/>
        <v>0.22677384103224657</v>
      </c>
      <c r="G48" s="5">
        <f t="shared" si="8"/>
        <v>0.22675404915774602</v>
      </c>
      <c r="H48" s="5">
        <f t="shared" si="4"/>
        <v>0.47637405285240764</v>
      </c>
      <c r="I48" s="5">
        <v>0.47599999999999998</v>
      </c>
      <c r="J48" s="11">
        <f t="shared" si="5"/>
        <v>0.24962000369466161</v>
      </c>
    </row>
    <row r="49" spans="1:10" x14ac:dyDescent="0.25">
      <c r="A49" s="2">
        <v>47</v>
      </c>
      <c r="B49" s="5">
        <v>0</v>
      </c>
      <c r="C49" s="5">
        <f t="shared" si="9"/>
        <v>1.0003142560565432</v>
      </c>
      <c r="D49" s="5">
        <f t="shared" si="10"/>
        <v>3.142066884511582E-4</v>
      </c>
      <c r="E49" s="5">
        <f t="shared" si="7"/>
        <v>2.8278601960604242E-4</v>
      </c>
      <c r="F49" s="5">
        <f t="shared" si="6"/>
        <v>0.22675404915774602</v>
      </c>
      <c r="G49" s="5">
        <f t="shared" si="8"/>
        <v>0.22673623794758585</v>
      </c>
      <c r="H49" s="5">
        <f t="shared" si="4"/>
        <v>0.47633663434366774</v>
      </c>
      <c r="I49" s="5">
        <v>0.47599999999999998</v>
      </c>
      <c r="J49" s="11">
        <f t="shared" si="5"/>
        <v>0.24960039639608189</v>
      </c>
    </row>
    <row r="50" spans="1:10" x14ac:dyDescent="0.25">
      <c r="A50" s="2">
        <v>48</v>
      </c>
      <c r="B50" s="5">
        <v>0</v>
      </c>
      <c r="C50" s="5">
        <f t="shared" si="9"/>
        <v>1.0002828260073418</v>
      </c>
      <c r="D50" s="5">
        <f t="shared" si="10"/>
        <v>2.8278601960604242E-4</v>
      </c>
      <c r="E50" s="5">
        <f t="shared" si="7"/>
        <v>2.5450741764543821E-4</v>
      </c>
      <c r="F50" s="5">
        <f t="shared" si="6"/>
        <v>0.22673623794758585</v>
      </c>
      <c r="G50" s="5">
        <f t="shared" si="8"/>
        <v>0.22672020905462856</v>
      </c>
      <c r="H50" s="5">
        <f t="shared" si="4"/>
        <v>0.47630296019879947</v>
      </c>
      <c r="I50" s="5">
        <v>0.47599999999999998</v>
      </c>
      <c r="J50" s="11">
        <f t="shared" si="5"/>
        <v>0.24958275114417092</v>
      </c>
    </row>
    <row r="51" spans="1:10" x14ac:dyDescent="0.25">
      <c r="A51" s="2">
        <v>49</v>
      </c>
      <c r="B51" s="5">
        <v>0</v>
      </c>
      <c r="C51" s="5">
        <f t="shared" si="9"/>
        <v>1.0002545398074061</v>
      </c>
      <c r="D51" s="5">
        <f t="shared" si="10"/>
        <v>2.5450741764543821E-4</v>
      </c>
      <c r="E51" s="5">
        <f t="shared" si="7"/>
        <v>2.2905667588089438E-4</v>
      </c>
      <c r="F51" s="5">
        <f t="shared" si="6"/>
        <v>0.22672020905462856</v>
      </c>
      <c r="G51" s="5">
        <f t="shared" si="8"/>
        <v>0.22670578401980962</v>
      </c>
      <c r="H51" s="5">
        <f t="shared" si="4"/>
        <v>0.47627265550380171</v>
      </c>
      <c r="I51" s="5">
        <v>0.47599999999999998</v>
      </c>
      <c r="J51" s="11">
        <f t="shared" si="5"/>
        <v>0.24956687148399212</v>
      </c>
    </row>
    <row r="52" spans="1:10" x14ac:dyDescent="0.25">
      <c r="A52" s="2">
        <v>50</v>
      </c>
      <c r="B52" s="5">
        <v>0</v>
      </c>
      <c r="C52" s="5">
        <f t="shared" si="9"/>
        <v>1.0002290829113645</v>
      </c>
      <c r="D52" s="5">
        <f t="shared" si="10"/>
        <v>2.2905667588089438E-4</v>
      </c>
      <c r="E52" s="5">
        <f t="shared" si="7"/>
        <v>2.0615100829280496E-4</v>
      </c>
      <c r="F52" s="5">
        <f t="shared" si="6"/>
        <v>0.22670578401980962</v>
      </c>
      <c r="G52" s="5">
        <f t="shared" si="8"/>
        <v>0.226692802273185</v>
      </c>
      <c r="H52" s="5">
        <f t="shared" si="4"/>
        <v>0.47624538292685931</v>
      </c>
      <c r="I52" s="5">
        <v>0.47599999999999998</v>
      </c>
      <c r="J52" s="11">
        <f t="shared" si="5"/>
        <v>0.24955258065367425</v>
      </c>
    </row>
    <row r="53" spans="1:10" x14ac:dyDescent="0.25">
      <c r="A53" s="2">
        <v>51</v>
      </c>
      <c r="B53" s="5">
        <v>0</v>
      </c>
      <c r="C53" s="5">
        <f t="shared" si="9"/>
        <v>1.0002061722588722</v>
      </c>
      <c r="D53" s="5">
        <f t="shared" si="10"/>
        <v>2.0615100829280496E-4</v>
      </c>
      <c r="E53" s="5">
        <f t="shared" si="7"/>
        <v>1.8553590746352445E-4</v>
      </c>
      <c r="F53" s="5">
        <f t="shared" si="6"/>
        <v>0.226692802273185</v>
      </c>
      <c r="G53" s="5">
        <f t="shared" si="8"/>
        <v>0.2266811193368034</v>
      </c>
      <c r="H53" s="5">
        <f t="shared" si="4"/>
        <v>0.47622083894286432</v>
      </c>
      <c r="I53" s="5">
        <v>0.47599999999999998</v>
      </c>
      <c r="J53" s="11">
        <f t="shared" si="5"/>
        <v>0.24953971960606092</v>
      </c>
    </row>
    <row r="54" spans="1:10" x14ac:dyDescent="0.25">
      <c r="A54" s="2">
        <v>52</v>
      </c>
      <c r="B54" s="5">
        <v>0</v>
      </c>
      <c r="C54" s="5">
        <f t="shared" si="9"/>
        <v>1.0001855531203145</v>
      </c>
      <c r="D54" s="5">
        <f t="shared" si="10"/>
        <v>1.8553590746352445E-4</v>
      </c>
      <c r="E54" s="5">
        <f t="shared" si="7"/>
        <v>1.66982316717172E-4</v>
      </c>
      <c r="F54" s="5">
        <f t="shared" si="6"/>
        <v>0.2266811193368034</v>
      </c>
      <c r="G54" s="5">
        <f t="shared" si="8"/>
        <v>0.22667060520885354</v>
      </c>
      <c r="H54" s="5">
        <f t="shared" si="4"/>
        <v>0.47619875043876797</v>
      </c>
      <c r="I54" s="5">
        <v>0.47599999999999998</v>
      </c>
      <c r="J54" s="11">
        <f t="shared" si="5"/>
        <v>0.24952814522991443</v>
      </c>
    </row>
    <row r="55" spans="1:10" x14ac:dyDescent="0.25">
      <c r="A55" s="2">
        <v>53</v>
      </c>
      <c r="B55" s="5">
        <v>0</v>
      </c>
      <c r="C55" s="5">
        <f t="shared" si="9"/>
        <v>1.0001669962590403</v>
      </c>
      <c r="D55" s="5">
        <f t="shared" si="10"/>
        <v>1.66982316717172E-4</v>
      </c>
      <c r="E55" s="5">
        <f t="shared" si="7"/>
        <v>1.502840850454548E-4</v>
      </c>
      <c r="F55" s="5">
        <f t="shared" si="6"/>
        <v>0.22667060520885354</v>
      </c>
      <c r="G55" s="5">
        <f t="shared" si="8"/>
        <v>0.22666114291066208</v>
      </c>
      <c r="H55" s="5">
        <f t="shared" si="4"/>
        <v>0.47617887166105488</v>
      </c>
      <c r="I55" s="5">
        <v>0.47599999999999998</v>
      </c>
      <c r="J55" s="11">
        <f t="shared" si="5"/>
        <v>0.24951772875039274</v>
      </c>
    </row>
    <row r="56" spans="1:10" x14ac:dyDescent="0.25">
      <c r="A56" s="2">
        <v>54</v>
      </c>
      <c r="B56" s="5">
        <v>0</v>
      </c>
      <c r="C56" s="5">
        <f t="shared" si="9"/>
        <v>1.0001502953782644</v>
      </c>
      <c r="D56" s="5">
        <f t="shared" si="10"/>
        <v>1.502840850454548E-4</v>
      </c>
      <c r="E56" s="5">
        <f t="shared" si="7"/>
        <v>1.3525567654090932E-4</v>
      </c>
      <c r="F56" s="5">
        <f t="shared" si="6"/>
        <v>0.22666114291066208</v>
      </c>
      <c r="G56" s="5">
        <f t="shared" si="8"/>
        <v>0.22665262718001603</v>
      </c>
      <c r="H56" s="5">
        <f t="shared" si="4"/>
        <v>0.47616098147062197</v>
      </c>
      <c r="I56" s="5">
        <v>0.47599999999999998</v>
      </c>
      <c r="J56" s="11">
        <f t="shared" si="5"/>
        <v>0.24950835429060589</v>
      </c>
    </row>
    <row r="57" spans="1:10" x14ac:dyDescent="0.25">
      <c r="A57" s="2">
        <v>55</v>
      </c>
      <c r="B57" s="5">
        <v>0</v>
      </c>
      <c r="C57" s="5">
        <f t="shared" si="9"/>
        <v>1.0001352648240023</v>
      </c>
      <c r="D57" s="5">
        <f t="shared" si="10"/>
        <v>1.3525567654090932E-4</v>
      </c>
      <c r="E57" s="5">
        <f t="shared" si="7"/>
        <v>1.2173010888681839E-4</v>
      </c>
      <c r="F57" s="5">
        <f t="shared" si="6"/>
        <v>0.22665262718001603</v>
      </c>
      <c r="G57" s="5">
        <f t="shared" si="8"/>
        <v>0.22664496329598247</v>
      </c>
      <c r="H57" s="5">
        <f t="shared" si="4"/>
        <v>0.47614488087391277</v>
      </c>
      <c r="I57" s="5">
        <v>0.47599999999999998</v>
      </c>
      <c r="J57" s="11">
        <f t="shared" si="5"/>
        <v>0.2494999175779303</v>
      </c>
    </row>
    <row r="58" spans="1:10" x14ac:dyDescent="0.25">
      <c r="A58" s="2">
        <v>56</v>
      </c>
      <c r="B58" s="5">
        <v>0</v>
      </c>
      <c r="C58" s="5">
        <f t="shared" si="9"/>
        <v>1.0001217375182971</v>
      </c>
      <c r="D58" s="5">
        <f t="shared" si="10"/>
        <v>1.2173010888681839E-4</v>
      </c>
      <c r="E58" s="5">
        <f t="shared" si="7"/>
        <v>1.0955709799813655E-4</v>
      </c>
      <c r="F58" s="5">
        <f t="shared" si="6"/>
        <v>0.22664496329598247</v>
      </c>
      <c r="G58" s="5">
        <f t="shared" si="8"/>
        <v>0.22663806602191858</v>
      </c>
      <c r="H58" s="5">
        <f t="shared" si="4"/>
        <v>0.47613039080234998</v>
      </c>
      <c r="I58" s="5">
        <v>0.47599999999999998</v>
      </c>
      <c r="J58" s="11">
        <f t="shared" si="5"/>
        <v>0.2494923247804314</v>
      </c>
    </row>
    <row r="59" spans="1:10" x14ac:dyDescent="0.25">
      <c r="A59" s="2">
        <v>57</v>
      </c>
      <c r="B59" s="5">
        <v>0</v>
      </c>
      <c r="C59" s="5">
        <f t="shared" si="9"/>
        <v>1.0001095630995962</v>
      </c>
      <c r="D59" s="5">
        <f t="shared" si="10"/>
        <v>1.0955709799813655E-4</v>
      </c>
      <c r="E59" s="5">
        <f t="shared" si="7"/>
        <v>9.8601388198322893E-5</v>
      </c>
      <c r="F59" s="5">
        <f t="shared" si="6"/>
        <v>0.22663806602191858</v>
      </c>
      <c r="G59" s="5">
        <f t="shared" si="8"/>
        <v>0.22663185865472432</v>
      </c>
      <c r="H59" s="5">
        <f t="shared" si="4"/>
        <v>0.47611735011496709</v>
      </c>
      <c r="I59" s="5">
        <v>0.47599999999999998</v>
      </c>
      <c r="J59" s="11">
        <f t="shared" si="5"/>
        <v>0.24948549146024276</v>
      </c>
    </row>
    <row r="60" spans="1:10" x14ac:dyDescent="0.25">
      <c r="A60" s="2">
        <v>58</v>
      </c>
      <c r="B60" s="5">
        <v>0</v>
      </c>
      <c r="C60" s="5">
        <f t="shared" si="9"/>
        <v>1.000098606249475</v>
      </c>
      <c r="D60" s="5">
        <f t="shared" si="10"/>
        <v>9.8601388198322893E-5</v>
      </c>
      <c r="E60" s="5">
        <f t="shared" si="7"/>
        <v>8.8741249378490605E-5</v>
      </c>
      <c r="F60" s="5">
        <f t="shared" si="6"/>
        <v>0.22663185865472432</v>
      </c>
      <c r="G60" s="5">
        <f t="shared" si="8"/>
        <v>0.22662627216961065</v>
      </c>
      <c r="H60" s="5">
        <f t="shared" si="4"/>
        <v>0.47610561380170313</v>
      </c>
      <c r="I60" s="5">
        <v>0.47599999999999998</v>
      </c>
      <c r="J60" s="11">
        <f t="shared" si="5"/>
        <v>0.24947934163209246</v>
      </c>
    </row>
    <row r="61" spans="1:10" x14ac:dyDescent="0.25">
      <c r="A61" s="2">
        <v>59</v>
      </c>
      <c r="B61" s="5">
        <v>0</v>
      </c>
      <c r="C61" s="5">
        <f t="shared" si="9"/>
        <v>1.0000887451869995</v>
      </c>
      <c r="D61" s="5">
        <f t="shared" si="10"/>
        <v>8.8741249378490605E-5</v>
      </c>
      <c r="E61" s="5">
        <f t="shared" si="7"/>
        <v>7.9867124440641547E-5</v>
      </c>
      <c r="F61" s="5">
        <f t="shared" si="6"/>
        <v>0.22662627216961065</v>
      </c>
      <c r="G61" s="5">
        <f t="shared" si="8"/>
        <v>0.22662124445074802</v>
      </c>
      <c r="H61" s="5">
        <f t="shared" si="4"/>
        <v>0.47609505136711772</v>
      </c>
      <c r="I61" s="5">
        <v>0.47599999999999998</v>
      </c>
      <c r="J61" s="11">
        <f t="shared" si="5"/>
        <v>0.24947380691636969</v>
      </c>
    </row>
    <row r="62" spans="1:10" x14ac:dyDescent="0.25">
      <c r="A62" s="2">
        <v>60</v>
      </c>
      <c r="B62" s="5">
        <v>0</v>
      </c>
      <c r="C62" s="5">
        <f t="shared" si="9"/>
        <v>1.0000798703139044</v>
      </c>
      <c r="D62" s="5">
        <f t="shared" si="10"/>
        <v>7.9867124440641547E-5</v>
      </c>
      <c r="E62" s="5">
        <f t="shared" si="7"/>
        <v>7.1880411996577394E-5</v>
      </c>
      <c r="F62" s="5">
        <f t="shared" si="6"/>
        <v>0.22662124445074802</v>
      </c>
      <c r="G62" s="5">
        <f t="shared" si="8"/>
        <v>0.22661671959913871</v>
      </c>
      <c r="H62" s="5">
        <f t="shared" si="4"/>
        <v>0.47608554537634185</v>
      </c>
      <c r="I62" s="5">
        <v>0.47599999999999998</v>
      </c>
      <c r="J62" s="11">
        <f t="shared" si="5"/>
        <v>0.24946882577720311</v>
      </c>
    </row>
    <row r="63" spans="1:10" x14ac:dyDescent="0.25">
      <c r="A63" s="2">
        <v>61</v>
      </c>
      <c r="B63" s="5">
        <v>0</v>
      </c>
      <c r="C63" s="5">
        <f t="shared" si="9"/>
        <v>1.0000718829954554</v>
      </c>
      <c r="D63" s="5">
        <f t="shared" si="10"/>
        <v>7.1880411996577394E-5</v>
      </c>
      <c r="E63" s="5">
        <f t="shared" si="7"/>
        <v>6.4692370796919655E-5</v>
      </c>
      <c r="F63" s="5">
        <f t="shared" si="6"/>
        <v>0.22661671959913871</v>
      </c>
      <c r="G63" s="5">
        <f t="shared" si="8"/>
        <v>0.22661264730993602</v>
      </c>
      <c r="H63" s="5">
        <f t="shared" si="4"/>
        <v>0.47607699014692445</v>
      </c>
      <c r="I63" s="5">
        <v>0.47599999999999998</v>
      </c>
      <c r="J63" s="11">
        <f t="shared" si="5"/>
        <v>0.24946434283698843</v>
      </c>
    </row>
    <row r="64" spans="1:10" x14ac:dyDescent="0.25">
      <c r="A64" s="2">
        <v>62</v>
      </c>
      <c r="B64" s="5">
        <v>0</v>
      </c>
      <c r="C64" s="5">
        <f t="shared" si="9"/>
        <v>1.0000646944633935</v>
      </c>
      <c r="D64" s="5">
        <f t="shared" si="10"/>
        <v>6.4692370796919655E-5</v>
      </c>
      <c r="E64" s="5">
        <f t="shared" si="7"/>
        <v>5.8223133717227688E-5</v>
      </c>
      <c r="F64" s="5">
        <f t="shared" si="6"/>
        <v>0.22661264730993602</v>
      </c>
      <c r="G64" s="5">
        <f t="shared" si="8"/>
        <v>0.22660898231222151</v>
      </c>
      <c r="H64" s="5">
        <f t="shared" si="4"/>
        <v>0.47606929057189395</v>
      </c>
      <c r="I64" s="5">
        <v>0.47599999999999998</v>
      </c>
      <c r="J64" s="11">
        <f t="shared" si="5"/>
        <v>0.24946030825967244</v>
      </c>
    </row>
    <row r="65" spans="1:10" x14ac:dyDescent="0.25">
      <c r="A65" s="2">
        <v>63</v>
      </c>
      <c r="B65" s="5">
        <v>0</v>
      </c>
      <c r="C65" s="5">
        <f t="shared" si="9"/>
        <v>1.0000582248287169</v>
      </c>
      <c r="D65" s="5">
        <f t="shared" si="10"/>
        <v>5.8223133717227688E-5</v>
      </c>
      <c r="E65" s="5">
        <f t="shared" si="7"/>
        <v>5.2400820345504918E-5</v>
      </c>
      <c r="F65" s="5">
        <f t="shared" si="6"/>
        <v>0.22660898231222151</v>
      </c>
      <c r="G65" s="5">
        <f t="shared" si="8"/>
        <v>0.22660568386495764</v>
      </c>
      <c r="H65" s="5">
        <f t="shared" si="4"/>
        <v>0.47606236106083544</v>
      </c>
      <c r="I65" s="5">
        <v>0.47599999999999998</v>
      </c>
      <c r="J65" s="11">
        <f t="shared" si="5"/>
        <v>0.2494566771958778</v>
      </c>
    </row>
    <row r="66" spans="1:10" x14ac:dyDescent="0.25">
      <c r="A66" s="2">
        <v>64</v>
      </c>
      <c r="B66" s="5">
        <v>0</v>
      </c>
      <c r="C66" s="5">
        <f t="shared" si="9"/>
        <v>1.0000524021932924</v>
      </c>
      <c r="D66" s="5">
        <f t="shared" si="10"/>
        <v>5.2400820345504918E-5</v>
      </c>
      <c r="E66" s="5">
        <f t="shared" ref="E66:E97" si="11">$M$3*D66+B66</f>
        <v>4.7160738310954429E-5</v>
      </c>
      <c r="F66" s="5">
        <f t="shared" si="6"/>
        <v>0.22660568386495764</v>
      </c>
      <c r="G66" s="5">
        <f t="shared" ref="G66:G101" si="12">F67</f>
        <v>0.22660271530346968</v>
      </c>
      <c r="H66" s="5">
        <f t="shared" si="4"/>
        <v>0.47605612458712121</v>
      </c>
      <c r="I66" s="5">
        <v>0.47599999999999998</v>
      </c>
      <c r="J66" s="11">
        <f t="shared" si="5"/>
        <v>0.24945340928365153</v>
      </c>
    </row>
    <row r="67" spans="1:10" x14ac:dyDescent="0.25">
      <c r="A67" s="2">
        <v>65</v>
      </c>
      <c r="B67" s="5">
        <v>0</v>
      </c>
      <c r="C67" s="5">
        <f t="shared" ref="C67:C98" si="13">EXP(D67)</f>
        <v>1.0000471618503961</v>
      </c>
      <c r="D67" s="5">
        <f t="shared" ref="D67:D102" si="14">E66</f>
        <v>4.7160738310954429E-5</v>
      </c>
      <c r="E67" s="5">
        <f t="shared" si="11"/>
        <v>4.244466447985899E-5</v>
      </c>
      <c r="F67" s="5">
        <f t="shared" si="6"/>
        <v>0.22660271530346968</v>
      </c>
      <c r="G67" s="5">
        <f t="shared" si="12"/>
        <v>0.22660004363138023</v>
      </c>
      <c r="H67" s="5">
        <f t="shared" ref="H67:H102" si="15">$C67*$F67^$M$1</f>
        <v>0.47605051183063074</v>
      </c>
      <c r="I67" s="5">
        <v>0.47599999999999998</v>
      </c>
      <c r="J67" s="11">
        <f t="shared" ref="J67:J102" si="16">(1-$M$1*$M$2)*$C67*$F67^$M$1</f>
        <v>0.24945046819925054</v>
      </c>
    </row>
    <row r="68" spans="1:10" x14ac:dyDescent="0.25">
      <c r="A68" s="2">
        <v>66</v>
      </c>
      <c r="B68" s="5">
        <v>0</v>
      </c>
      <c r="C68" s="5">
        <f t="shared" si="13"/>
        <v>1.0000424455652674</v>
      </c>
      <c r="D68" s="5">
        <f t="shared" si="14"/>
        <v>4.244466447985899E-5</v>
      </c>
      <c r="E68" s="5">
        <f t="shared" si="11"/>
        <v>3.8200198031873093E-5</v>
      </c>
      <c r="F68" s="5">
        <f t="shared" ref="F68:F102" si="17">$M$1*$M$2*$C67*$F67^$M$1</f>
        <v>0.22660004363138023</v>
      </c>
      <c r="G68" s="5">
        <f t="shared" si="12"/>
        <v>0.22659763915343165</v>
      </c>
      <c r="H68" s="5">
        <f t="shared" si="15"/>
        <v>0.47604546040636903</v>
      </c>
      <c r="I68" s="5">
        <v>0.47599999999999998</v>
      </c>
      <c r="J68" s="11">
        <f t="shared" si="16"/>
        <v>0.24944782125293738</v>
      </c>
    </row>
    <row r="69" spans="1:10" x14ac:dyDescent="0.25">
      <c r="A69" s="2">
        <v>67</v>
      </c>
      <c r="B69" s="5">
        <v>0</v>
      </c>
      <c r="C69" s="5">
        <f t="shared" si="13"/>
        <v>1.0000382009276687</v>
      </c>
      <c r="D69" s="5">
        <f t="shared" si="14"/>
        <v>3.8200198031873093E-5</v>
      </c>
      <c r="E69" s="5">
        <f t="shared" si="11"/>
        <v>3.4380178228685783E-5</v>
      </c>
      <c r="F69" s="5">
        <f t="shared" si="17"/>
        <v>0.22659763915343165</v>
      </c>
      <c r="G69" s="5">
        <f t="shared" si="12"/>
        <v>0.22659547514509254</v>
      </c>
      <c r="H69" s="5">
        <f t="shared" si="15"/>
        <v>0.47604091417036248</v>
      </c>
      <c r="I69" s="5">
        <v>0.47599999999999998</v>
      </c>
      <c r="J69" s="11">
        <f t="shared" si="16"/>
        <v>0.24944543902526994</v>
      </c>
    </row>
    <row r="70" spans="1:10" x14ac:dyDescent="0.25">
      <c r="A70" s="2">
        <v>68</v>
      </c>
      <c r="B70" s="5">
        <v>0</v>
      </c>
      <c r="C70" s="5">
        <f t="shared" si="13"/>
        <v>1.0000343807692338</v>
      </c>
      <c r="D70" s="5">
        <f t="shared" si="14"/>
        <v>3.4380178228685783E-5</v>
      </c>
      <c r="E70" s="5">
        <f t="shared" si="11"/>
        <v>3.0942160405817206E-5</v>
      </c>
      <c r="F70" s="5">
        <f t="shared" si="17"/>
        <v>0.22659547514509254</v>
      </c>
      <c r="G70" s="5">
        <f t="shared" si="12"/>
        <v>0.22659352755525702</v>
      </c>
      <c r="H70" s="5">
        <f t="shared" si="15"/>
        <v>0.47603682259507785</v>
      </c>
      <c r="I70" s="5">
        <v>0.47599999999999998</v>
      </c>
      <c r="J70" s="11">
        <f t="shared" si="16"/>
        <v>0.24944329503982077</v>
      </c>
    </row>
    <row r="71" spans="1:10" x14ac:dyDescent="0.25">
      <c r="A71" s="2">
        <v>69</v>
      </c>
      <c r="B71" s="5">
        <v>0</v>
      </c>
      <c r="C71" s="5">
        <f t="shared" si="13"/>
        <v>1.0000309426391194</v>
      </c>
      <c r="D71" s="5">
        <f t="shared" si="14"/>
        <v>3.0942160405817206E-5</v>
      </c>
      <c r="E71" s="5">
        <f t="shared" si="11"/>
        <v>2.7847944365235486E-5</v>
      </c>
      <c r="F71" s="5">
        <f t="shared" si="17"/>
        <v>0.22659352755525702</v>
      </c>
      <c r="G71" s="5">
        <f t="shared" si="12"/>
        <v>0.22659177473871739</v>
      </c>
      <c r="H71" s="5">
        <f t="shared" si="15"/>
        <v>0.47603314020738952</v>
      </c>
      <c r="I71" s="5">
        <v>0.47599999999999998</v>
      </c>
      <c r="J71" s="11">
        <f t="shared" si="16"/>
        <v>0.2494413654686721</v>
      </c>
    </row>
    <row r="72" spans="1:10" x14ac:dyDescent="0.25">
      <c r="A72" s="2">
        <v>70</v>
      </c>
      <c r="B72" s="5">
        <v>0</v>
      </c>
      <c r="C72" s="5">
        <f t="shared" si="13"/>
        <v>1.0000278483321228</v>
      </c>
      <c r="D72" s="5">
        <f t="shared" si="14"/>
        <v>2.7847944365235486E-5</v>
      </c>
      <c r="E72" s="5">
        <f t="shared" si="11"/>
        <v>2.5063149928711939E-5</v>
      </c>
      <c r="F72" s="5">
        <f t="shared" si="17"/>
        <v>0.22659177473871739</v>
      </c>
      <c r="G72" s="5">
        <f t="shared" si="12"/>
        <v>0.22659019721542462</v>
      </c>
      <c r="H72" s="5">
        <f t="shared" si="15"/>
        <v>0.47602982608282485</v>
      </c>
      <c r="I72" s="5">
        <v>0.47599999999999998</v>
      </c>
      <c r="J72" s="11">
        <f t="shared" si="16"/>
        <v>0.2494396288674002</v>
      </c>
    </row>
    <row r="73" spans="1:10" x14ac:dyDescent="0.25">
      <c r="A73" s="2">
        <v>71</v>
      </c>
      <c r="B73" s="5">
        <v>0</v>
      </c>
      <c r="C73" s="5">
        <f t="shared" si="13"/>
        <v>1.000025063464012</v>
      </c>
      <c r="D73" s="5">
        <f t="shared" si="14"/>
        <v>2.5063149928711939E-5</v>
      </c>
      <c r="E73" s="5">
        <f t="shared" si="11"/>
        <v>2.2556834935840747E-5</v>
      </c>
      <c r="F73" s="5">
        <f t="shared" si="17"/>
        <v>0.22659019721542462</v>
      </c>
      <c r="G73" s="5">
        <f t="shared" si="12"/>
        <v>0.22658877745385128</v>
      </c>
      <c r="H73" s="5">
        <f t="shared" si="15"/>
        <v>0.47602684339044388</v>
      </c>
      <c r="I73" s="5">
        <v>0.47599999999999998</v>
      </c>
      <c r="J73" s="11">
        <f t="shared" si="16"/>
        <v>0.24943806593659262</v>
      </c>
    </row>
    <row r="74" spans="1:10" x14ac:dyDescent="0.25">
      <c r="A74" s="2">
        <v>72</v>
      </c>
      <c r="B74" s="5">
        <v>0</v>
      </c>
      <c r="C74" s="5">
        <f t="shared" si="13"/>
        <v>1.0000225570893431</v>
      </c>
      <c r="D74" s="5">
        <f t="shared" si="14"/>
        <v>2.2556834935840747E-5</v>
      </c>
      <c r="E74" s="5">
        <f t="shared" si="11"/>
        <v>2.0301151442256672E-5</v>
      </c>
      <c r="F74" s="5">
        <f t="shared" si="17"/>
        <v>0.22658877745385128</v>
      </c>
      <c r="G74" s="5">
        <f t="shared" si="12"/>
        <v>0.22658749967604128</v>
      </c>
      <c r="H74" s="5">
        <f t="shared" si="15"/>
        <v>0.47602415898327999</v>
      </c>
      <c r="I74" s="5">
        <v>0.47599999999999998</v>
      </c>
      <c r="J74" s="11">
        <f t="shared" si="16"/>
        <v>0.24943665930723874</v>
      </c>
    </row>
    <row r="75" spans="1:10" x14ac:dyDescent="0.25">
      <c r="A75" s="2">
        <v>73</v>
      </c>
      <c r="B75" s="5">
        <v>0</v>
      </c>
      <c r="C75" s="5">
        <f t="shared" si="13"/>
        <v>1.000020301357512</v>
      </c>
      <c r="D75" s="5">
        <f t="shared" si="14"/>
        <v>2.0301151442256672E-5</v>
      </c>
      <c r="E75" s="5">
        <f t="shared" si="11"/>
        <v>1.8271036298031006E-5</v>
      </c>
      <c r="F75" s="5">
        <f t="shared" si="17"/>
        <v>0.22658749967604128</v>
      </c>
      <c r="G75" s="5">
        <f t="shared" si="12"/>
        <v>0.22658634968217309</v>
      </c>
      <c r="H75" s="5">
        <f t="shared" si="15"/>
        <v>0.4760217430297754</v>
      </c>
      <c r="I75" s="5">
        <v>0.47599999999999998</v>
      </c>
      <c r="J75" s="11">
        <f t="shared" si="16"/>
        <v>0.24943539334760231</v>
      </c>
    </row>
    <row r="76" spans="1:10" x14ac:dyDescent="0.25">
      <c r="A76" s="2">
        <v>74</v>
      </c>
      <c r="B76" s="5">
        <v>0</v>
      </c>
      <c r="C76" s="5">
        <f t="shared" si="13"/>
        <v>1.0000182712032144</v>
      </c>
      <c r="D76" s="5">
        <f t="shared" si="14"/>
        <v>1.8271036298031006E-5</v>
      </c>
      <c r="E76" s="5">
        <f t="shared" si="11"/>
        <v>1.6443932668227905E-5</v>
      </c>
      <c r="F76" s="5">
        <f t="shared" si="17"/>
        <v>0.22658634968217309</v>
      </c>
      <c r="G76" s="5">
        <f t="shared" si="12"/>
        <v>0.22658531469268198</v>
      </c>
      <c r="H76" s="5">
        <f t="shared" si="15"/>
        <v>0.47601956868210499</v>
      </c>
      <c r="I76" s="5">
        <v>0.47599999999999998</v>
      </c>
      <c r="J76" s="11">
        <f t="shared" si="16"/>
        <v>0.24943425398942301</v>
      </c>
    </row>
    <row r="77" spans="1:10" x14ac:dyDescent="0.25">
      <c r="A77" s="2">
        <v>75</v>
      </c>
      <c r="B77" s="5">
        <v>0</v>
      </c>
      <c r="C77" s="5">
        <f t="shared" si="13"/>
        <v>1.0000164440678705</v>
      </c>
      <c r="D77" s="5">
        <f t="shared" si="14"/>
        <v>1.6443932668227905E-5</v>
      </c>
      <c r="E77" s="5">
        <f t="shared" si="11"/>
        <v>1.4799539401405115E-5</v>
      </c>
      <c r="F77" s="5">
        <f t="shared" si="17"/>
        <v>0.22658531469268198</v>
      </c>
      <c r="G77" s="5">
        <f t="shared" si="12"/>
        <v>0.22658438320618204</v>
      </c>
      <c r="H77" s="5">
        <f t="shared" si="15"/>
        <v>0.47601761177769342</v>
      </c>
      <c r="I77" s="5">
        <v>0.47599999999999998</v>
      </c>
      <c r="J77" s="11">
        <f t="shared" si="16"/>
        <v>0.24943322857151137</v>
      </c>
    </row>
    <row r="78" spans="1:10" x14ac:dyDescent="0.25">
      <c r="A78" s="2">
        <v>76</v>
      </c>
      <c r="B78" s="5">
        <v>0</v>
      </c>
      <c r="C78" s="5">
        <f t="shared" si="13"/>
        <v>1.000014799648915</v>
      </c>
      <c r="D78" s="5">
        <f t="shared" si="14"/>
        <v>1.4799539401405115E-5</v>
      </c>
      <c r="E78" s="5">
        <f t="shared" si="11"/>
        <v>1.3319585461264605E-5</v>
      </c>
      <c r="F78" s="5">
        <f t="shared" si="17"/>
        <v>0.22658438320618204</v>
      </c>
      <c r="G78" s="5">
        <f t="shared" si="12"/>
        <v>0.22658354487160612</v>
      </c>
      <c r="H78" s="5">
        <f t="shared" si="15"/>
        <v>0.47601585057060114</v>
      </c>
      <c r="I78" s="5">
        <v>0.47599999999999998</v>
      </c>
      <c r="J78" s="11">
        <f t="shared" si="16"/>
        <v>0.24943230569899499</v>
      </c>
    </row>
    <row r="79" spans="1:10" x14ac:dyDescent="0.25">
      <c r="A79" s="2">
        <v>77</v>
      </c>
      <c r="B79" s="5">
        <v>0</v>
      </c>
      <c r="C79" s="5">
        <f t="shared" si="13"/>
        <v>1.0000133196741674</v>
      </c>
      <c r="D79" s="5">
        <f t="shared" si="14"/>
        <v>1.3319585461264605E-5</v>
      </c>
      <c r="E79" s="5">
        <f t="shared" si="11"/>
        <v>1.1987626915138145E-5</v>
      </c>
      <c r="F79" s="5">
        <f t="shared" si="17"/>
        <v>0.22658354487160612</v>
      </c>
      <c r="G79" s="5">
        <f t="shared" si="12"/>
        <v>0.22658279037313986</v>
      </c>
      <c r="H79" s="5">
        <f t="shared" si="15"/>
        <v>0.47601426548978965</v>
      </c>
      <c r="I79" s="5">
        <v>0.47599999999999998</v>
      </c>
      <c r="J79" s="11">
        <f t="shared" si="16"/>
        <v>0.24943147511664979</v>
      </c>
    </row>
    <row r="80" spans="1:10" x14ac:dyDescent="0.25">
      <c r="A80" s="2">
        <v>78</v>
      </c>
      <c r="B80" s="5">
        <v>0</v>
      </c>
      <c r="C80" s="5">
        <f t="shared" si="13"/>
        <v>1.000011987698767</v>
      </c>
      <c r="D80" s="5">
        <f t="shared" si="14"/>
        <v>1.1987626915138145E-5</v>
      </c>
      <c r="E80" s="5">
        <f t="shared" si="11"/>
        <v>1.0788864223624331E-5</v>
      </c>
      <c r="F80" s="5">
        <f t="shared" si="17"/>
        <v>0.22658279037313986</v>
      </c>
      <c r="G80" s="5">
        <f t="shared" si="12"/>
        <v>0.22658211132666828</v>
      </c>
      <c r="H80" s="5">
        <f t="shared" si="15"/>
        <v>0.47601283892157203</v>
      </c>
      <c r="I80" s="5">
        <v>0.47599999999999998</v>
      </c>
      <c r="J80" s="11">
        <f t="shared" si="16"/>
        <v>0.24943072759490378</v>
      </c>
    </row>
    <row r="81" spans="1:10" x14ac:dyDescent="0.25">
      <c r="A81" s="2">
        <v>79</v>
      </c>
      <c r="B81" s="5">
        <v>0</v>
      </c>
      <c r="C81" s="5">
        <f t="shared" si="13"/>
        <v>1.0000107889224237</v>
      </c>
      <c r="D81" s="5">
        <f t="shared" si="14"/>
        <v>1.0788864223624331E-5</v>
      </c>
      <c r="E81" s="5">
        <f t="shared" si="11"/>
        <v>9.709977801261898E-6</v>
      </c>
      <c r="F81" s="5">
        <f t="shared" si="17"/>
        <v>0.22658211132666828</v>
      </c>
      <c r="G81" s="5">
        <f t="shared" si="12"/>
        <v>0.22658150018658382</v>
      </c>
      <c r="H81" s="5">
        <f t="shared" si="15"/>
        <v>0.47601155501383158</v>
      </c>
      <c r="I81" s="5">
        <v>0.47599999999999998</v>
      </c>
      <c r="J81" s="11">
        <f t="shared" si="16"/>
        <v>0.24943005482724775</v>
      </c>
    </row>
    <row r="82" spans="1:10" x14ac:dyDescent="0.25">
      <c r="A82" s="2">
        <v>80</v>
      </c>
      <c r="B82" s="5">
        <v>0</v>
      </c>
      <c r="C82" s="5">
        <f t="shared" si="13"/>
        <v>1.0000097100249432</v>
      </c>
      <c r="D82" s="5">
        <f t="shared" si="14"/>
        <v>9.709977801261898E-6</v>
      </c>
      <c r="E82" s="5">
        <f t="shared" si="11"/>
        <v>8.738980021135709E-6</v>
      </c>
      <c r="F82" s="5">
        <f t="shared" si="17"/>
        <v>0.22658150018658382</v>
      </c>
      <c r="G82" s="5">
        <f t="shared" si="12"/>
        <v>0.22658095016191715</v>
      </c>
      <c r="H82" s="5">
        <f t="shared" si="15"/>
        <v>0.47601039949982599</v>
      </c>
      <c r="I82" s="5">
        <v>0.47599999999999998</v>
      </c>
      <c r="J82" s="11">
        <f t="shared" si="16"/>
        <v>0.24942944933790881</v>
      </c>
    </row>
    <row r="83" spans="1:10" x14ac:dyDescent="0.25">
      <c r="A83" s="2">
        <v>81</v>
      </c>
      <c r="B83" s="5">
        <v>0</v>
      </c>
      <c r="C83" s="5">
        <f t="shared" si="13"/>
        <v>1.0000087390182062</v>
      </c>
      <c r="D83" s="5">
        <f t="shared" si="14"/>
        <v>8.738980021135709E-6</v>
      </c>
      <c r="E83" s="5">
        <f t="shared" si="11"/>
        <v>7.8650820190221385E-6</v>
      </c>
      <c r="F83" s="5">
        <f t="shared" si="17"/>
        <v>0.22658095016191715</v>
      </c>
      <c r="G83" s="5">
        <f t="shared" si="12"/>
        <v>0.22658045514085878</v>
      </c>
      <c r="H83" s="5">
        <f t="shared" si="15"/>
        <v>0.47600935953961926</v>
      </c>
      <c r="I83" s="5">
        <v>0.47599999999999998</v>
      </c>
      <c r="J83" s="11">
        <f t="shared" si="16"/>
        <v>0.24942890439876053</v>
      </c>
    </row>
    <row r="84" spans="1:10" x14ac:dyDescent="0.25">
      <c r="A84" s="2">
        <v>82</v>
      </c>
      <c r="B84" s="5">
        <v>0</v>
      </c>
      <c r="C84" s="5">
        <f t="shared" si="13"/>
        <v>1.0000078651129489</v>
      </c>
      <c r="D84" s="5">
        <f t="shared" si="14"/>
        <v>7.8650820190221385E-6</v>
      </c>
      <c r="E84" s="5">
        <f t="shared" si="11"/>
        <v>7.0785738171199251E-6</v>
      </c>
      <c r="F84" s="5">
        <f t="shared" si="17"/>
        <v>0.22658045514085878</v>
      </c>
      <c r="G84" s="5">
        <f t="shared" si="12"/>
        <v>0.2265800096228309</v>
      </c>
      <c r="H84" s="5">
        <f t="shared" si="15"/>
        <v>0.47600842357737588</v>
      </c>
      <c r="I84" s="5">
        <v>0.47599999999999998</v>
      </c>
      <c r="J84" s="11">
        <f t="shared" si="16"/>
        <v>0.24942841395454496</v>
      </c>
    </row>
    <row r="85" spans="1:10" x14ac:dyDescent="0.25">
      <c r="A85" s="2">
        <v>83</v>
      </c>
      <c r="B85" s="5">
        <v>0</v>
      </c>
      <c r="C85" s="5">
        <f t="shared" si="13"/>
        <v>1.0000070785988704</v>
      </c>
      <c r="D85" s="5">
        <f t="shared" si="14"/>
        <v>7.0785738171199251E-6</v>
      </c>
      <c r="E85" s="5">
        <f t="shared" si="11"/>
        <v>6.370716435407933E-6</v>
      </c>
      <c r="F85" s="5">
        <f t="shared" si="17"/>
        <v>0.2265800096228309</v>
      </c>
      <c r="G85" s="5">
        <f t="shared" si="12"/>
        <v>0.2265796086573548</v>
      </c>
      <c r="H85" s="5">
        <f t="shared" si="15"/>
        <v>0.47600758121293024</v>
      </c>
      <c r="I85" s="5">
        <v>0.47599999999999998</v>
      </c>
      <c r="J85" s="11">
        <f t="shared" si="16"/>
        <v>0.24942797255557544</v>
      </c>
    </row>
    <row r="86" spans="1:10" x14ac:dyDescent="0.25">
      <c r="A86" s="2">
        <v>84</v>
      </c>
      <c r="B86" s="5">
        <v>0</v>
      </c>
      <c r="C86" s="5">
        <f t="shared" si="13"/>
        <v>1.0000063707367284</v>
      </c>
      <c r="D86" s="5">
        <f t="shared" si="14"/>
        <v>6.370716435407933E-6</v>
      </c>
      <c r="E86" s="5">
        <f t="shared" si="11"/>
        <v>5.7336447918671398E-6</v>
      </c>
      <c r="F86" s="5">
        <f t="shared" si="17"/>
        <v>0.2265796086573548</v>
      </c>
      <c r="G86" s="5">
        <f t="shared" si="12"/>
        <v>0.22657924778903293</v>
      </c>
      <c r="H86" s="5">
        <f t="shared" si="15"/>
        <v>0.47600682308620368</v>
      </c>
      <c r="I86" s="5">
        <v>0.47599999999999998</v>
      </c>
      <c r="J86" s="11">
        <f t="shared" si="16"/>
        <v>0.24942757529717074</v>
      </c>
    </row>
    <row r="87" spans="1:10" x14ac:dyDescent="0.25">
      <c r="A87" s="2">
        <v>85</v>
      </c>
      <c r="B87" s="5">
        <v>0</v>
      </c>
      <c r="C87" s="5">
        <f t="shared" si="13"/>
        <v>1.0000057336612291</v>
      </c>
      <c r="D87" s="5">
        <f t="shared" si="14"/>
        <v>5.7336447918671398E-6</v>
      </c>
      <c r="E87" s="5">
        <f t="shared" si="11"/>
        <v>5.1602803126804259E-6</v>
      </c>
      <c r="F87" s="5">
        <f t="shared" si="17"/>
        <v>0.22657924778903293</v>
      </c>
      <c r="G87" s="5">
        <f t="shared" si="12"/>
        <v>0.22657892300803467</v>
      </c>
      <c r="H87" s="5">
        <f t="shared" si="15"/>
        <v>0.4760061407731821</v>
      </c>
      <c r="I87" s="5">
        <v>0.47599999999999998</v>
      </c>
      <c r="J87" s="11">
        <f t="shared" si="16"/>
        <v>0.24942721776514742</v>
      </c>
    </row>
    <row r="88" spans="1:10" x14ac:dyDescent="0.25">
      <c r="A88" s="2">
        <v>86</v>
      </c>
      <c r="B88" s="5">
        <v>0</v>
      </c>
      <c r="C88" s="5">
        <f t="shared" si="13"/>
        <v>1.0000051602936268</v>
      </c>
      <c r="D88" s="5">
        <f t="shared" si="14"/>
        <v>5.1602803126804259E-6</v>
      </c>
      <c r="E88" s="5">
        <f t="shared" si="11"/>
        <v>4.6442522814123837E-6</v>
      </c>
      <c r="F88" s="5">
        <f t="shared" si="17"/>
        <v>0.22657892300803467</v>
      </c>
      <c r="G88" s="5">
        <f t="shared" si="12"/>
        <v>0.22657863070553427</v>
      </c>
      <c r="H88" s="5">
        <f t="shared" si="15"/>
        <v>0.4760055266922989</v>
      </c>
      <c r="I88" s="5">
        <v>0.47599999999999998</v>
      </c>
      <c r="J88" s="11">
        <f t="shared" si="16"/>
        <v>0.24942689598676465</v>
      </c>
    </row>
    <row r="89" spans="1:10" x14ac:dyDescent="0.25">
      <c r="A89" s="2">
        <v>87</v>
      </c>
      <c r="B89" s="5">
        <v>0</v>
      </c>
      <c r="C89" s="5">
        <f t="shared" si="13"/>
        <v>1.0000046442630659</v>
      </c>
      <c r="D89" s="5">
        <f t="shared" si="14"/>
        <v>4.6442522814123837E-6</v>
      </c>
      <c r="E89" s="5">
        <f t="shared" si="11"/>
        <v>4.1798270532711454E-6</v>
      </c>
      <c r="F89" s="5">
        <f t="shared" si="17"/>
        <v>0.22657863070553427</v>
      </c>
      <c r="G89" s="5">
        <f t="shared" si="12"/>
        <v>0.22657836763360634</v>
      </c>
      <c r="H89" s="5">
        <f t="shared" si="15"/>
        <v>0.47600497402018144</v>
      </c>
      <c r="I89" s="5">
        <v>0.47599999999999998</v>
      </c>
      <c r="J89" s="11">
        <f t="shared" si="16"/>
        <v>0.2494266063865751</v>
      </c>
    </row>
    <row r="90" spans="1:10" x14ac:dyDescent="0.25">
      <c r="A90" s="2">
        <v>88</v>
      </c>
      <c r="B90" s="5">
        <v>0</v>
      </c>
      <c r="C90" s="5">
        <f t="shared" si="13"/>
        <v>1.0000041798357888</v>
      </c>
      <c r="D90" s="5">
        <f t="shared" si="14"/>
        <v>4.1798270532711454E-6</v>
      </c>
      <c r="E90" s="5">
        <f t="shared" si="11"/>
        <v>3.7618443479440311E-6</v>
      </c>
      <c r="F90" s="5">
        <f t="shared" si="17"/>
        <v>0.22657836763360634</v>
      </c>
      <c r="G90" s="5">
        <f t="shared" si="12"/>
        <v>0.22657813086913242</v>
      </c>
      <c r="H90" s="5">
        <f t="shared" si="15"/>
        <v>0.4760044766158244</v>
      </c>
      <c r="I90" s="5">
        <v>0.47599999999999998</v>
      </c>
      <c r="J90" s="11">
        <f t="shared" si="16"/>
        <v>0.24942634574669198</v>
      </c>
    </row>
    <row r="91" spans="1:10" x14ac:dyDescent="0.25">
      <c r="A91" s="2">
        <v>89</v>
      </c>
      <c r="B91" s="5">
        <v>0</v>
      </c>
      <c r="C91" s="5">
        <f t="shared" si="13"/>
        <v>1.0000037618514237</v>
      </c>
      <c r="D91" s="5">
        <f t="shared" si="14"/>
        <v>3.7618443479440311E-6</v>
      </c>
      <c r="E91" s="5">
        <f t="shared" si="11"/>
        <v>3.3856599131496282E-6</v>
      </c>
      <c r="F91" s="5">
        <f t="shared" si="17"/>
        <v>0.22657813086913242</v>
      </c>
      <c r="G91" s="5">
        <f t="shared" si="12"/>
        <v>0.22657791778131739</v>
      </c>
      <c r="H91" s="5">
        <f t="shared" si="15"/>
        <v>0.47600402895234745</v>
      </c>
      <c r="I91" s="5">
        <v>0.47599999999999998</v>
      </c>
      <c r="J91" s="11">
        <f t="shared" si="16"/>
        <v>0.24942611117103006</v>
      </c>
    </row>
    <row r="92" spans="1:10" x14ac:dyDescent="0.25">
      <c r="A92" s="2">
        <v>90</v>
      </c>
      <c r="B92" s="5">
        <v>0</v>
      </c>
      <c r="C92" s="5">
        <f t="shared" si="13"/>
        <v>1.0000033856656445</v>
      </c>
      <c r="D92" s="5">
        <f t="shared" si="14"/>
        <v>3.3856599131496282E-6</v>
      </c>
      <c r="E92" s="5">
        <f t="shared" si="11"/>
        <v>3.0470939218346653E-6</v>
      </c>
      <c r="F92" s="5">
        <f t="shared" si="17"/>
        <v>0.22657791778131739</v>
      </c>
      <c r="G92" s="5">
        <f t="shared" si="12"/>
        <v>0.22657772600245521</v>
      </c>
      <c r="H92" s="5">
        <f t="shared" si="15"/>
        <v>0.47600362605557817</v>
      </c>
      <c r="I92" s="5">
        <v>0.47599999999999998</v>
      </c>
      <c r="J92" s="11">
        <f t="shared" si="16"/>
        <v>0.24942590005312298</v>
      </c>
    </row>
    <row r="93" spans="1:10" x14ac:dyDescent="0.25">
      <c r="A93" s="2">
        <v>91</v>
      </c>
      <c r="B93" s="5">
        <v>0</v>
      </c>
      <c r="C93" s="5">
        <f t="shared" si="13"/>
        <v>1.0000030470985641</v>
      </c>
      <c r="D93" s="5">
        <f t="shared" si="14"/>
        <v>3.0470939218346653E-6</v>
      </c>
      <c r="E93" s="5">
        <f t="shared" si="11"/>
        <v>2.7423845296511988E-6</v>
      </c>
      <c r="F93" s="5">
        <f t="shared" si="17"/>
        <v>0.22657772600245521</v>
      </c>
      <c r="G93" s="5">
        <f t="shared" si="12"/>
        <v>0.22657755340161798</v>
      </c>
      <c r="H93" s="5">
        <f t="shared" si="15"/>
        <v>0.4760032634487773</v>
      </c>
      <c r="I93" s="5">
        <v>0.47599999999999998</v>
      </c>
      <c r="J93" s="11">
        <f t="shared" si="16"/>
        <v>0.24942571004715933</v>
      </c>
    </row>
    <row r="94" spans="1:10" x14ac:dyDescent="0.25">
      <c r="A94" s="2">
        <v>92</v>
      </c>
      <c r="B94" s="5">
        <v>0</v>
      </c>
      <c r="C94" s="5">
        <f t="shared" si="13"/>
        <v>1.00000274238829</v>
      </c>
      <c r="D94" s="5">
        <f t="shared" si="14"/>
        <v>2.7423845296511988E-6</v>
      </c>
      <c r="E94" s="5">
        <f t="shared" si="11"/>
        <v>2.4681460766860789E-6</v>
      </c>
      <c r="F94" s="5">
        <f t="shared" si="17"/>
        <v>0.22657755340161798</v>
      </c>
      <c r="G94" s="5">
        <f t="shared" si="12"/>
        <v>0.22657739806097693</v>
      </c>
      <c r="H94" s="5">
        <f t="shared" si="15"/>
        <v>0.47600293710289276</v>
      </c>
      <c r="I94" s="5">
        <v>0.47599999999999998</v>
      </c>
      <c r="J94" s="11">
        <f t="shared" si="16"/>
        <v>0.24942553904191578</v>
      </c>
    </row>
    <row r="95" spans="1:10" x14ac:dyDescent="0.25">
      <c r="A95" s="2">
        <v>93</v>
      </c>
      <c r="B95" s="5">
        <v>0</v>
      </c>
      <c r="C95" s="5">
        <f t="shared" si="13"/>
        <v>1.0000024681491226</v>
      </c>
      <c r="D95" s="5">
        <f t="shared" si="14"/>
        <v>2.4681460766860789E-6</v>
      </c>
      <c r="E95" s="5">
        <f t="shared" si="11"/>
        <v>2.2213314690174713E-6</v>
      </c>
      <c r="F95" s="5">
        <f t="shared" si="17"/>
        <v>0.22657739806097693</v>
      </c>
      <c r="G95" s="5">
        <f t="shared" si="12"/>
        <v>0.22657725825449104</v>
      </c>
      <c r="H95" s="5">
        <f t="shared" si="15"/>
        <v>0.47600264339178794</v>
      </c>
      <c r="I95" s="5">
        <v>0.47599999999999998</v>
      </c>
      <c r="J95" s="11">
        <f t="shared" si="16"/>
        <v>0.24942538513729692</v>
      </c>
    </row>
    <row r="96" spans="1:10" x14ac:dyDescent="0.25">
      <c r="A96" s="2">
        <v>94</v>
      </c>
      <c r="B96" s="5">
        <v>0</v>
      </c>
      <c r="C96" s="5">
        <f t="shared" si="13"/>
        <v>1.0000022213339361</v>
      </c>
      <c r="D96" s="5">
        <f t="shared" si="14"/>
        <v>2.2213314690174713E-6</v>
      </c>
      <c r="E96" s="5">
        <f t="shared" si="11"/>
        <v>1.9991983221157241E-6</v>
      </c>
      <c r="F96" s="5">
        <f t="shared" si="17"/>
        <v>0.22657725825449104</v>
      </c>
      <c r="G96" s="5">
        <f t="shared" si="12"/>
        <v>0.22657713242872748</v>
      </c>
      <c r="H96" s="5">
        <f t="shared" si="15"/>
        <v>0.47600237905194853</v>
      </c>
      <c r="I96" s="5">
        <v>0.47599999999999998</v>
      </c>
      <c r="J96" s="11">
        <f t="shared" si="16"/>
        <v>0.24942524662322105</v>
      </c>
    </row>
    <row r="97" spans="1:10" x14ac:dyDescent="0.25">
      <c r="A97" s="2">
        <v>95</v>
      </c>
      <c r="B97" s="5">
        <v>0</v>
      </c>
      <c r="C97" s="5">
        <f t="shared" si="13"/>
        <v>1.0000019992003206</v>
      </c>
      <c r="D97" s="5">
        <f t="shared" si="14"/>
        <v>1.9991983221157241E-6</v>
      </c>
      <c r="E97" s="5">
        <f t="shared" si="11"/>
        <v>1.7992784899041516E-6</v>
      </c>
      <c r="F97" s="5">
        <f t="shared" si="17"/>
        <v>0.22657713242872748</v>
      </c>
      <c r="G97" s="5">
        <f t="shared" si="12"/>
        <v>0.22657701918560005</v>
      </c>
      <c r="H97" s="5">
        <f t="shared" si="15"/>
        <v>0.47600214114621864</v>
      </c>
      <c r="I97" s="5">
        <v>0.47599999999999998</v>
      </c>
      <c r="J97" s="11">
        <f t="shared" si="16"/>
        <v>0.24942512196061858</v>
      </c>
    </row>
    <row r="98" spans="1:10" x14ac:dyDescent="0.25">
      <c r="A98" s="2">
        <v>96</v>
      </c>
      <c r="B98" s="5">
        <v>0</v>
      </c>
      <c r="C98" s="5">
        <f t="shared" si="13"/>
        <v>1.0000017992801087</v>
      </c>
      <c r="D98" s="5">
        <f t="shared" si="14"/>
        <v>1.7992784899041516E-6</v>
      </c>
      <c r="E98" s="5">
        <f t="shared" ref="E98:E102" si="18">$M$3*D98+B98</f>
        <v>1.6193506409137366E-6</v>
      </c>
      <c r="F98" s="5">
        <f t="shared" si="17"/>
        <v>0.22657701918560005</v>
      </c>
      <c r="G98" s="5">
        <f t="shared" si="12"/>
        <v>0.22657691726683374</v>
      </c>
      <c r="H98" s="5">
        <f t="shared" si="15"/>
        <v>0.4760019270311634</v>
      </c>
      <c r="I98" s="5">
        <v>0.47599999999999998</v>
      </c>
      <c r="J98" s="11">
        <f t="shared" si="16"/>
        <v>0.24942500976432963</v>
      </c>
    </row>
    <row r="99" spans="1:10" x14ac:dyDescent="0.25">
      <c r="A99" s="2">
        <v>97</v>
      </c>
      <c r="B99" s="5">
        <v>0</v>
      </c>
      <c r="C99" s="5">
        <f t="shared" ref="C99:C102" si="19">EXP(D99)</f>
        <v>1.0000016193519521</v>
      </c>
      <c r="D99" s="5">
        <f t="shared" si="14"/>
        <v>1.6193506409137366E-6</v>
      </c>
      <c r="E99" s="5">
        <f t="shared" si="18"/>
        <v>1.4574155768223629E-6</v>
      </c>
      <c r="F99" s="5">
        <f t="shared" si="17"/>
        <v>0.22657691726683374</v>
      </c>
      <c r="G99" s="5">
        <f t="shared" si="12"/>
        <v>0.22657682553998326</v>
      </c>
      <c r="H99" s="5">
        <f t="shared" si="15"/>
        <v>0.47600173432769594</v>
      </c>
      <c r="I99" s="5">
        <v>0.47599999999999998</v>
      </c>
      <c r="J99" s="11">
        <f t="shared" si="16"/>
        <v>0.2494249087877127</v>
      </c>
    </row>
    <row r="100" spans="1:10" x14ac:dyDescent="0.25">
      <c r="A100" s="2">
        <v>98</v>
      </c>
      <c r="B100" s="5">
        <v>0</v>
      </c>
      <c r="C100" s="5">
        <f t="shared" si="19"/>
        <v>1.0000014574166389</v>
      </c>
      <c r="D100" s="5">
        <f t="shared" si="14"/>
        <v>1.4574155768223629E-6</v>
      </c>
      <c r="E100" s="5">
        <f t="shared" si="18"/>
        <v>1.3116740191401265E-6</v>
      </c>
      <c r="F100" s="5">
        <f t="shared" si="17"/>
        <v>0.22657682553998326</v>
      </c>
      <c r="G100" s="5">
        <f t="shared" si="12"/>
        <v>0.22657674298584959</v>
      </c>
      <c r="H100" s="5">
        <f t="shared" si="15"/>
        <v>0.47600156089464202</v>
      </c>
      <c r="I100" s="5">
        <v>0.47599999999999998</v>
      </c>
      <c r="J100" s="11">
        <f t="shared" si="16"/>
        <v>0.24942481790879245</v>
      </c>
    </row>
    <row r="101" spans="1:10" x14ac:dyDescent="0.25">
      <c r="A101" s="2">
        <v>99</v>
      </c>
      <c r="B101" s="5">
        <v>0</v>
      </c>
      <c r="C101" s="5">
        <f t="shared" si="19"/>
        <v>1.0000013116748794</v>
      </c>
      <c r="D101" s="5">
        <f t="shared" si="14"/>
        <v>1.3116740191401265E-6</v>
      </c>
      <c r="E101" s="5">
        <f t="shared" si="18"/>
        <v>1.1805066172261139E-6</v>
      </c>
      <c r="F101" s="5">
        <f t="shared" si="17"/>
        <v>0.22657674298584959</v>
      </c>
      <c r="G101" s="5">
        <f t="shared" si="12"/>
        <v>0.22657666868715498</v>
      </c>
      <c r="H101" s="5">
        <f t="shared" si="15"/>
        <v>0.47600140480494746</v>
      </c>
      <c r="I101" s="5">
        <v>0.47599999999999998</v>
      </c>
      <c r="J101" s="11">
        <f t="shared" si="16"/>
        <v>0.24942473611779251</v>
      </c>
    </row>
    <row r="102" spans="1:10" ht="15.75" thickBot="1" x14ac:dyDescent="0.3">
      <c r="A102" s="3">
        <v>100</v>
      </c>
      <c r="B102" s="6">
        <v>0</v>
      </c>
      <c r="C102" s="6">
        <f t="shared" si="19"/>
        <v>1.0000011805073141</v>
      </c>
      <c r="D102" s="6">
        <f t="shared" si="14"/>
        <v>1.1805066172261139E-6</v>
      </c>
      <c r="E102" s="6">
        <f t="shared" si="18"/>
        <v>1.0624559555035026E-6</v>
      </c>
      <c r="F102" s="6">
        <f t="shared" si="17"/>
        <v>0.22657666868715498</v>
      </c>
      <c r="G102" s="6"/>
      <c r="H102" s="6">
        <f t="shared" si="15"/>
        <v>0.4760012643242662</v>
      </c>
      <c r="I102" s="6">
        <v>0.47599999999999998</v>
      </c>
      <c r="J102" s="12">
        <f t="shared" si="16"/>
        <v>0.24942466250591547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Ejercicio 3.c</vt:lpstr>
      <vt:lpstr>Ejercicio 3.d</vt:lpstr>
      <vt:lpstr>Ejercicio 3.e</vt:lpstr>
      <vt:lpstr>Ejercicio 3.f (1)</vt:lpstr>
      <vt:lpstr>Ejercicio 3.f (2)</vt:lpstr>
      <vt:lpstr>Ejercicio 3.f (3)</vt:lpstr>
      <vt:lpstr>Ejercicio 3.f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2020-04-02T03:42:49Z</dcterms:created>
  <dcterms:modified xsi:type="dcterms:W3CDTF">2021-09-28T10:45:28Z</dcterms:modified>
</cp:coreProperties>
</file>