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14. Macroeconomía Dinámica\Trabajos Prácticos\Trabajo Práctico N° 2\Datos\"/>
    </mc:Choice>
  </mc:AlternateContent>
  <xr:revisionPtr revIDLastSave="0" documentId="13_ncr:1_{41957488-8140-4CC1-8F56-9A472FFF5F34}" xr6:coauthVersionLast="47" xr6:coauthVersionMax="47" xr10:uidLastSave="{00000000-0000-0000-0000-000000000000}"/>
  <bookViews>
    <workbookView xWindow="-120" yWindow="-120" windowWidth="20730" windowHeight="11760" xr2:uid="{ABC6A322-4D0D-46A2-8914-0DF44C6E7144}"/>
  </bookViews>
  <sheets>
    <sheet name="Ejercicio 1.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2" i="1"/>
  <c r="C2" i="1" l="1"/>
  <c r="B3" i="1"/>
  <c r="B4" i="1" s="1"/>
  <c r="B5" i="1" s="1"/>
  <c r="B6" i="1" s="1"/>
  <c r="B7" i="1" s="1"/>
  <c r="B8" i="1" s="1"/>
  <c r="B9" i="1" s="1"/>
  <c r="B10" i="1" s="1"/>
  <c r="B11" i="1" s="1"/>
  <c r="B12" i="1" s="1"/>
  <c r="C3" i="1" l="1"/>
  <c r="C4" i="1"/>
  <c r="C5" i="1"/>
  <c r="C6" i="1" l="1"/>
  <c r="C7" i="1" l="1"/>
  <c r="C8" i="1" l="1"/>
  <c r="C9" i="1" l="1"/>
  <c r="C10" i="1" l="1"/>
  <c r="C11" i="1" l="1"/>
  <c r="C12" i="1" l="1"/>
  <c r="B13" i="1" s="1"/>
</calcChain>
</file>

<file path=xl/sharedStrings.xml><?xml version="1.0" encoding="utf-8"?>
<sst xmlns="http://schemas.openxmlformats.org/spreadsheetml/2006/main" count="5" uniqueCount="5">
  <si>
    <t>x</t>
  </si>
  <si>
    <t>c</t>
  </si>
  <si>
    <t>Beta</t>
  </si>
  <si>
    <t>beta^t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</si>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</sst>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4" fontId="0" fillId="0" borderId="3" xfId="0" quotePrefix="1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/>
              <a:t>Evolución temporal variable control (c) y variable de estado (x)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'Ejercicio 1.b'!$B$1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'Ejercicio 1.b'!$A$2:$A$13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'Ejercicio 1.b'!$B$2:$B$13</c:f>
              <c:numCache>
                <c:formatCode>#,##0.00</c:formatCode>
                <c:ptCount val="12"/>
                <c:pt idx="0">
                  <c:v>10</c:v>
                </c:pt>
                <c:pt idx="1">
                  <c:v>8.5426764180532881</c:v>
                </c:pt>
                <c:pt idx="2">
                  <c:v>7.2310851943012482</c:v>
                </c:pt>
                <c:pt idx="3">
                  <c:v>6.0506530929244118</c:v>
                </c:pt>
                <c:pt idx="4">
                  <c:v>4.9882642016852596</c:v>
                </c:pt>
                <c:pt idx="5">
                  <c:v>4.0321141995700218</c:v>
                </c:pt>
                <c:pt idx="6">
                  <c:v>3.1715791976663081</c:v>
                </c:pt>
                <c:pt idx="7">
                  <c:v>2.397097695952966</c:v>
                </c:pt>
                <c:pt idx="8">
                  <c:v>1.700064344410958</c:v>
                </c:pt>
                <c:pt idx="9">
                  <c:v>1.0727343280231507</c:v>
                </c:pt>
                <c:pt idx="10">
                  <c:v>0.50813731327412404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4B-4EA4-9D55-D23A5AB7E717}"/>
            </c:ext>
          </c:extLst>
        </c:ser>
        <c:ser>
          <c:idx val="1"/>
          <c:order val="1"/>
          <c:tx>
            <c:strRef>
              <c:f>'Ejercicio 1.b'!$C$1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'Ejercicio 1.b'!$A$2:$A$13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'Ejercicio 1.b'!$C$2:$C$13</c:f>
              <c:numCache>
                <c:formatCode>#,##0.00</c:formatCode>
                <c:ptCount val="12"/>
                <c:pt idx="0">
                  <c:v>1.4573235819467112</c:v>
                </c:pt>
                <c:pt idx="1">
                  <c:v>1.3115912237520402</c:v>
                </c:pt>
                <c:pt idx="2">
                  <c:v>1.1804321013768362</c:v>
                </c:pt>
                <c:pt idx="3">
                  <c:v>1.0623888912391526</c:v>
                </c:pt>
                <c:pt idx="4">
                  <c:v>0.95615000211523737</c:v>
                </c:pt>
                <c:pt idx="5">
                  <c:v>0.86053500190371357</c:v>
                </c:pt>
                <c:pt idx="6">
                  <c:v>0.77448150171334229</c:v>
                </c:pt>
                <c:pt idx="7">
                  <c:v>0.69703335154200807</c:v>
                </c:pt>
                <c:pt idx="8">
                  <c:v>0.62733001638780739</c:v>
                </c:pt>
                <c:pt idx="9">
                  <c:v>0.56459701474902668</c:v>
                </c:pt>
                <c:pt idx="10">
                  <c:v>0.50813731327412404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4B-4EA4-9D55-D23A5AB7E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9072672"/>
        <c:axId val="509066112"/>
      </c:lineChart>
      <c:catAx>
        <c:axId val="509072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AR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09066112"/>
        <c:crosses val="autoZero"/>
        <c:auto val="1"/>
        <c:lblAlgn val="ctr"/>
        <c:lblOffset val="100"/>
        <c:noMultiLvlLbl val="0"/>
      </c:catAx>
      <c:valAx>
        <c:axId val="509066112"/>
        <c:scaling>
          <c:orientation val="minMax"/>
          <c:max val="1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0907267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0</xdr:row>
      <xdr:rowOff>4762</xdr:rowOff>
    </xdr:from>
    <xdr:to>
      <xdr:col>14</xdr:col>
      <xdr:colOff>9525</xdr:colOff>
      <xdr:row>14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7469A8-C3B2-47AD-97A0-38F98B83F1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B957A-58C9-4651-AB93-574F9830EB15}">
  <dimension ref="A1:G13"/>
  <sheetViews>
    <sheetView tabSelected="1" zoomScale="80" zoomScaleNormal="80" workbookViewId="0"/>
  </sheetViews>
  <sheetFormatPr baseColWidth="10" defaultRowHeight="15" x14ac:dyDescent="0.25"/>
  <cols>
    <col min="1" max="16384" width="11.42578125" style="1"/>
  </cols>
  <sheetData>
    <row r="1" spans="1:7" ht="15" customHeight="1" thickBot="1" x14ac:dyDescent="0.3">
      <c r="A1" s="4" t="s">
        <v>4</v>
      </c>
      <c r="B1" s="4" t="s">
        <v>0</v>
      </c>
      <c r="C1" s="4" t="s">
        <v>1</v>
      </c>
      <c r="D1" s="4" t="s">
        <v>3</v>
      </c>
      <c r="F1" s="8" t="s">
        <v>2</v>
      </c>
      <c r="G1" s="9">
        <v>0.9</v>
      </c>
    </row>
    <row r="2" spans="1:7" x14ac:dyDescent="0.25">
      <c r="A2" s="2">
        <v>0</v>
      </c>
      <c r="B2" s="5">
        <v>10</v>
      </c>
      <c r="C2" s="5">
        <f>$B2/(D$2+D$3+D$4+D$5+D$6+D$7+D$8+D$9+D$10+D$11+D$12)</f>
        <v>1.4573235819467112</v>
      </c>
      <c r="D2" s="5">
        <f>$G$1^A2</f>
        <v>1</v>
      </c>
    </row>
    <row r="3" spans="1:7" x14ac:dyDescent="0.25">
      <c r="A3" s="2">
        <v>1</v>
      </c>
      <c r="B3" s="5">
        <f>$B2*(D$3+D$4+D$5+D$6+D$7+D$8+D$9+D$10+D$11+D$12)/(D$2+D$3+D$4+D$5+D$6+D$7+D$8+D$9+D$10+D$11+D$12)</f>
        <v>8.5426764180532881</v>
      </c>
      <c r="C3" s="5">
        <f>$B3/(D$2+D$3+D$4+D$5+D$6+D$7+D$8+D$9+D$10+D$11)</f>
        <v>1.3115912237520402</v>
      </c>
      <c r="D3" s="5">
        <f t="shared" ref="D3:D12" si="0">$G$1^A3</f>
        <v>0.9</v>
      </c>
    </row>
    <row r="4" spans="1:7" x14ac:dyDescent="0.25">
      <c r="A4" s="2">
        <v>2</v>
      </c>
      <c r="B4" s="5">
        <f>$B3*(D$3+D$4+D$5+D$6+D$7+D$8+D$9+D$10+D$11)/(D$2+D$3+D$4+D$5+D$6+D$7+D$8+D$9+D$10+D$11)</f>
        <v>7.2310851943012482</v>
      </c>
      <c r="C4" s="5">
        <f>$B4/(D$2+D$3+D$4+D$5+D$6+D$7+D$8+D$9+D$10)</f>
        <v>1.1804321013768362</v>
      </c>
      <c r="D4" s="5">
        <f t="shared" si="0"/>
        <v>0.81</v>
      </c>
    </row>
    <row r="5" spans="1:7" x14ac:dyDescent="0.25">
      <c r="A5" s="2">
        <v>3</v>
      </c>
      <c r="B5" s="5">
        <f>$B4*(D$3+D$4+D$5+D$6+D$7+D$8+D$9+D$10)/(D$2+D$3+D$4+D$5+D$6+D$7+D$8+D$9+D$10)</f>
        <v>6.0506530929244118</v>
      </c>
      <c r="C5" s="5">
        <f>$B5/(D$2+D$3+D$4+D$5+D$6+D$7+D$8+D$9)</f>
        <v>1.0623888912391526</v>
      </c>
      <c r="D5" s="5">
        <f t="shared" si="0"/>
        <v>0.72900000000000009</v>
      </c>
    </row>
    <row r="6" spans="1:7" x14ac:dyDescent="0.25">
      <c r="A6" s="2">
        <v>4</v>
      </c>
      <c r="B6" s="5">
        <f>$B5*(D$3+D$4+D$5+D$6+D$7+D$8+D$9)/(D$2+D$3+D$4+D$5+D$6+D$7+D$8+D$9)</f>
        <v>4.9882642016852596</v>
      </c>
      <c r="C6" s="5">
        <f>$B6/(D$2+D$3+D$4+D$5+D$6+D$7+D$8)</f>
        <v>0.95615000211523737</v>
      </c>
      <c r="D6" s="5">
        <f t="shared" si="0"/>
        <v>0.65610000000000013</v>
      </c>
    </row>
    <row r="7" spans="1:7" x14ac:dyDescent="0.25">
      <c r="A7" s="2">
        <v>5</v>
      </c>
      <c r="B7" s="5">
        <f>$B6*(D$3+D$4+D$5+D$6+D$7+D$8)/(D$2+D$3+D$4+D$5+D$6+D$7+D$8)</f>
        <v>4.0321141995700218</v>
      </c>
      <c r="C7" s="5">
        <f>$B7/(D$2+D$3+D$4+D$5+D$6+D$7)</f>
        <v>0.86053500190371357</v>
      </c>
      <c r="D7" s="5">
        <f t="shared" si="0"/>
        <v>0.59049000000000018</v>
      </c>
    </row>
    <row r="8" spans="1:7" x14ac:dyDescent="0.25">
      <c r="A8" s="2">
        <v>6</v>
      </c>
      <c r="B8" s="5">
        <f>$B7*(D$3+D$4+D$5+D$6+D$7)/(D$2+D$3+D$4+D$5+D$6+D$7)</f>
        <v>3.1715791976663081</v>
      </c>
      <c r="C8" s="5">
        <f>$B8/(D$2+D$3+D$4+D$5+D$6)</f>
        <v>0.77448150171334229</v>
      </c>
      <c r="D8" s="5">
        <f t="shared" si="0"/>
        <v>0.53144100000000016</v>
      </c>
    </row>
    <row r="9" spans="1:7" x14ac:dyDescent="0.25">
      <c r="A9" s="2">
        <v>7</v>
      </c>
      <c r="B9" s="5">
        <f>$B8*(D$3+D$4+D$5+D$6)/(D$2+D$3+D$4+D$5+D$6)</f>
        <v>2.397097695952966</v>
      </c>
      <c r="C9" s="5">
        <f>$B9/(D$2+D$3+D$4+D$5)</f>
        <v>0.69703335154200807</v>
      </c>
      <c r="D9" s="5">
        <f t="shared" si="0"/>
        <v>0.47829690000000014</v>
      </c>
    </row>
    <row r="10" spans="1:7" x14ac:dyDescent="0.25">
      <c r="A10" s="2">
        <v>8</v>
      </c>
      <c r="B10" s="5">
        <f>$B9*(D$3+D$4+D$5)/(D$2+D$3+D$4+D$5)</f>
        <v>1.700064344410958</v>
      </c>
      <c r="C10" s="5">
        <f>$B10/(D$2+D$3+D$4)</f>
        <v>0.62733001638780739</v>
      </c>
      <c r="D10" s="5">
        <f t="shared" si="0"/>
        <v>0.43046721000000016</v>
      </c>
    </row>
    <row r="11" spans="1:7" x14ac:dyDescent="0.25">
      <c r="A11" s="2">
        <v>9</v>
      </c>
      <c r="B11" s="5">
        <f>$B10*(D$3+D$4)/(D$2+D$3+D$4)</f>
        <v>1.0727343280231507</v>
      </c>
      <c r="C11" s="5">
        <f>$B11/(D$2+D$3)</f>
        <v>0.56459701474902668</v>
      </c>
      <c r="D11" s="5">
        <f t="shared" si="0"/>
        <v>0.38742048900000015</v>
      </c>
    </row>
    <row r="12" spans="1:7" x14ac:dyDescent="0.25">
      <c r="A12" s="2">
        <v>10</v>
      </c>
      <c r="B12" s="5">
        <f>$B11*(D$3)/(D$2+D$3)</f>
        <v>0.50813731327412404</v>
      </c>
      <c r="C12" s="5">
        <f>$B12/(D$2)</f>
        <v>0.50813731327412404</v>
      </c>
      <c r="D12" s="5">
        <f t="shared" si="0"/>
        <v>0.34867844010000015</v>
      </c>
    </row>
    <row r="13" spans="1:7" ht="15.75" thickBot="1" x14ac:dyDescent="0.3">
      <c r="A13" s="3">
        <v>11</v>
      </c>
      <c r="B13" s="6">
        <f>B12-C12</f>
        <v>0</v>
      </c>
      <c r="C13" s="7"/>
      <c r="D13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 1.b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2020-03-23T18:40:52Z</dcterms:created>
  <dcterms:modified xsi:type="dcterms:W3CDTF">2021-09-28T10:40:34Z</dcterms:modified>
</cp:coreProperties>
</file>