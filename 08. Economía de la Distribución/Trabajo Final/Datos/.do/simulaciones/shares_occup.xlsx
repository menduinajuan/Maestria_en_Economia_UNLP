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3. Tesis\Datos\.do\simulaciones\"/>
    </mc:Choice>
  </mc:AlternateContent>
  <xr:revisionPtr revIDLastSave="0" documentId="13_ncr:1_{ECB4B21A-1C75-4007-BA83-F617A636851A}" xr6:coauthVersionLast="47" xr6:coauthVersionMax="47" xr10:uidLastSave="{00000000-0000-0000-0000-000000000000}"/>
  <bookViews>
    <workbookView xWindow="-120" yWindow="-120" windowWidth="20730" windowHeight="11760" xr2:uid="{BA7EDF03-52F8-42D0-A45B-C2C70CCF21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D6" i="1" s="1"/>
  <c r="E3" i="1"/>
  <c r="D7" i="1"/>
  <c r="C7" i="1"/>
  <c r="B7" i="1"/>
  <c r="C4" i="1" l="1"/>
  <c r="B4" i="1"/>
  <c r="C6" i="1"/>
  <c r="D4" i="1"/>
  <c r="B6" i="1"/>
  <c r="E7" i="1"/>
  <c r="D8" i="1" s="1"/>
  <c r="E6" i="1" l="1"/>
  <c r="B8" i="1"/>
  <c r="H8" i="1" s="1"/>
  <c r="H7" i="1" s="1"/>
  <c r="C8" i="1"/>
  <c r="E4" i="1"/>
  <c r="E8" i="1" l="1"/>
  <c r="H9" i="1" l="1"/>
  <c r="H10" i="1" s="1"/>
  <c r="H11" i="1" s="1"/>
  <c r="I3" i="1" l="1"/>
  <c r="J5" i="1"/>
  <c r="J6" i="1" s="1"/>
  <c r="I5" i="1"/>
  <c r="I6" i="1" s="1"/>
  <c r="J3" i="1"/>
  <c r="H3" i="1"/>
  <c r="H5" i="1"/>
  <c r="J4" i="1" l="1"/>
  <c r="J7" i="1"/>
  <c r="H6" i="1"/>
  <c r="K6" i="1" s="1"/>
  <c r="K5" i="1"/>
  <c r="H4" i="1"/>
  <c r="K3" i="1"/>
  <c r="I7" i="1"/>
  <c r="I4" i="1"/>
  <c r="K7" i="1" l="1"/>
  <c r="J8" i="1" s="1"/>
  <c r="K4" i="1"/>
  <c r="I8" i="1" l="1"/>
  <c r="K8" i="1" s="1"/>
</calcChain>
</file>

<file path=xl/sharedStrings.xml><?xml version="1.0" encoding="utf-8"?>
<sst xmlns="http://schemas.openxmlformats.org/spreadsheetml/2006/main" count="21" uniqueCount="10">
  <si>
    <t>Total</t>
  </si>
  <si>
    <t>Género</t>
  </si>
  <si>
    <t>Ocupación</t>
  </si>
  <si>
    <t>not working</t>
  </si>
  <si>
    <t>wage worker</t>
  </si>
  <si>
    <t>self-employed</t>
  </si>
  <si>
    <t>Mujer</t>
  </si>
  <si>
    <t>Hombre</t>
  </si>
  <si>
    <t>Categoría ocupacional</t>
  </si>
  <si>
    <t>Dif. desemp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</si>
</sst>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4" fontId="2" fillId="0" borderId="3" xfId="0" applyNumberFormat="1" applyFont="1" applyBorder="1" applyAlignment="1">
      <alignment horizontal="right" vertical="center"/>
    </xf>
    <xf numFmtId="4" fontId="2" fillId="0" borderId="4" xfId="0" applyNumberFormat="1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4" fontId="2" fillId="0" borderId="4" xfId="0" applyNumberFormat="1" applyFont="1" applyBorder="1" applyAlignment="1">
      <alignment vertical="center"/>
    </xf>
    <xf numFmtId="3" fontId="2" fillId="0" borderId="0" xfId="0" applyNumberFormat="1" applyFont="1" applyAlignment="1"/>
    <xf numFmtId="3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864C-4544-41CD-B32B-909B685E7683}">
  <dimension ref="A1:K14"/>
  <sheetViews>
    <sheetView tabSelected="1" zoomScale="80" zoomScaleNormal="80" workbookViewId="0">
      <selection sqref="A1:A2"/>
    </sheetView>
  </sheetViews>
  <sheetFormatPr baseColWidth="10" defaultRowHeight="15" x14ac:dyDescent="0.25"/>
  <cols>
    <col min="1" max="1" width="11.42578125" style="4"/>
    <col min="2" max="2" width="14.42578125" style="4" customWidth="1"/>
    <col min="3" max="3" width="14.28515625" style="4" customWidth="1"/>
    <col min="4" max="4" width="14.42578125" style="4" customWidth="1"/>
    <col min="5" max="5" width="13.5703125" style="4" bestFit="1" customWidth="1"/>
    <col min="6" max="7" width="11.42578125" style="4"/>
    <col min="8" max="8" width="14.42578125" style="4" customWidth="1"/>
    <col min="9" max="10" width="14.28515625" style="4" customWidth="1"/>
    <col min="11" max="11" width="13.5703125" style="4" bestFit="1" customWidth="1"/>
    <col min="12" max="16384" width="11.42578125" style="4"/>
  </cols>
  <sheetData>
    <row r="1" spans="1:11" ht="15.75" thickBot="1" x14ac:dyDescent="0.3">
      <c r="A1" s="11" t="s">
        <v>1</v>
      </c>
      <c r="B1" s="2" t="s">
        <v>8</v>
      </c>
      <c r="C1" s="2"/>
      <c r="D1" s="2"/>
      <c r="E1" s="1" t="s">
        <v>0</v>
      </c>
      <c r="F1" s="3"/>
      <c r="G1" s="11" t="s">
        <v>1</v>
      </c>
      <c r="H1" s="2" t="s">
        <v>8</v>
      </c>
      <c r="I1" s="2"/>
      <c r="J1" s="2"/>
      <c r="K1" s="1" t="s">
        <v>0</v>
      </c>
    </row>
    <row r="2" spans="1:11" ht="15.75" thickBot="1" x14ac:dyDescent="0.3">
      <c r="A2" s="12"/>
      <c r="B2" s="5" t="s">
        <v>3</v>
      </c>
      <c r="C2" s="5" t="s">
        <v>4</v>
      </c>
      <c r="D2" s="5" t="s">
        <v>5</v>
      </c>
      <c r="E2" s="6"/>
      <c r="F2" s="3"/>
      <c r="G2" s="12"/>
      <c r="H2" s="5" t="s">
        <v>3</v>
      </c>
      <c r="I2" s="5" t="s">
        <v>4</v>
      </c>
      <c r="J2" s="5" t="s">
        <v>5</v>
      </c>
      <c r="K2" s="6"/>
    </row>
    <row r="3" spans="1:11" x14ac:dyDescent="0.25">
      <c r="A3" s="11" t="s">
        <v>6</v>
      </c>
      <c r="B3" s="8">
        <v>7233383.9000000004</v>
      </c>
      <c r="C3" s="8">
        <v>4302214.0999999996</v>
      </c>
      <c r="D3" s="8">
        <v>3887596.3</v>
      </c>
      <c r="E3" s="8">
        <f t="shared" ref="E3:E8" si="0">SUM(B3:D3)</f>
        <v>15423194.300000001</v>
      </c>
      <c r="F3" s="3"/>
      <c r="G3" s="11" t="s">
        <v>6</v>
      </c>
      <c r="H3" s="8">
        <f>B3-H$10</f>
        <v>6489331.8375000004</v>
      </c>
      <c r="I3" s="8">
        <f>C3+$H$11</f>
        <v>4674240.1312499996</v>
      </c>
      <c r="J3" s="8">
        <f>D3+$H$11</f>
        <v>4259622.3312499998</v>
      </c>
      <c r="K3" s="8">
        <f t="shared" ref="K3:K8" si="1">SUM(H3:J3)</f>
        <v>15423194.300000001</v>
      </c>
    </row>
    <row r="4" spans="1:11" ht="15.75" thickBot="1" x14ac:dyDescent="0.3">
      <c r="A4" s="13"/>
      <c r="B4" s="9">
        <f>B3/$E3</f>
        <v>0.46899389058465019</v>
      </c>
      <c r="C4" s="9">
        <f>C3/$E3</f>
        <v>0.27894442722542889</v>
      </c>
      <c r="D4" s="9">
        <f>D3/$E3</f>
        <v>0.25206168218992092</v>
      </c>
      <c r="E4" s="8">
        <f t="shared" si="0"/>
        <v>1</v>
      </c>
      <c r="F4" s="3"/>
      <c r="G4" s="13"/>
      <c r="H4" s="9">
        <f>H3/$E3</f>
        <v>0.4207514806125473</v>
      </c>
      <c r="I4" s="9">
        <f>I3/$E3</f>
        <v>0.30306563221148031</v>
      </c>
      <c r="J4" s="9">
        <f>J3/$E3</f>
        <v>0.27618288717597234</v>
      </c>
      <c r="K4" s="9">
        <f t="shared" si="1"/>
        <v>1</v>
      </c>
    </row>
    <row r="5" spans="1:11" x14ac:dyDescent="0.25">
      <c r="A5" s="12" t="s">
        <v>7</v>
      </c>
      <c r="B5" s="8">
        <v>2974894.6</v>
      </c>
      <c r="C5" s="8">
        <v>5213255.5999999996</v>
      </c>
      <c r="D5" s="8">
        <v>6150738</v>
      </c>
      <c r="E5" s="10">
        <f t="shared" si="0"/>
        <v>14338888.199999999</v>
      </c>
      <c r="F5" s="3"/>
      <c r="G5" s="12" t="s">
        <v>7</v>
      </c>
      <c r="H5" s="8">
        <f>B5-H$10</f>
        <v>2230842.5375000001</v>
      </c>
      <c r="I5" s="8">
        <f>C5+$H$11</f>
        <v>5585281.6312499996</v>
      </c>
      <c r="J5" s="8">
        <f>D5+$H$11</f>
        <v>6522764.03125</v>
      </c>
      <c r="K5" s="8">
        <f t="shared" si="1"/>
        <v>14338888.199999999</v>
      </c>
    </row>
    <row r="6" spans="1:11" ht="15.75" thickBot="1" x14ac:dyDescent="0.3">
      <c r="A6" s="13"/>
      <c r="B6" s="9">
        <f>B5/$E5</f>
        <v>0.20747038114154487</v>
      </c>
      <c r="C6" s="9">
        <f>C5/$E5</f>
        <v>0.36357460406170122</v>
      </c>
      <c r="D6" s="9">
        <f>D5/$E5</f>
        <v>0.42895501479675391</v>
      </c>
      <c r="E6" s="9">
        <f t="shared" si="0"/>
        <v>1</v>
      </c>
      <c r="F6" s="3"/>
      <c r="G6" s="13"/>
      <c r="H6" s="9">
        <f>H5/$E5</f>
        <v>0.15557988223243141</v>
      </c>
      <c r="I6" s="9">
        <f>I5/$E5</f>
        <v>0.38951985351625795</v>
      </c>
      <c r="J6" s="9">
        <f>J5/$E5</f>
        <v>0.45490026425131069</v>
      </c>
      <c r="K6" s="8">
        <f t="shared" si="1"/>
        <v>1</v>
      </c>
    </row>
    <row r="7" spans="1:11" x14ac:dyDescent="0.25">
      <c r="A7" s="12" t="s">
        <v>0</v>
      </c>
      <c r="B7" s="8">
        <f>B3+B5</f>
        <v>10208278.5</v>
      </c>
      <c r="C7" s="8">
        <f>C3+C5</f>
        <v>9515469.6999999993</v>
      </c>
      <c r="D7" s="8">
        <f>D3+D5</f>
        <v>10038334.300000001</v>
      </c>
      <c r="E7" s="8">
        <f t="shared" si="0"/>
        <v>29762082.5</v>
      </c>
      <c r="F7" s="3"/>
      <c r="G7" s="12" t="s">
        <v>0</v>
      </c>
      <c r="H7" s="8">
        <f>H8*E7</f>
        <v>8720174.375</v>
      </c>
      <c r="I7" s="8">
        <f>I3+I5</f>
        <v>10259521.762499999</v>
      </c>
      <c r="J7" s="8">
        <f>J3+J5</f>
        <v>10782386.362500001</v>
      </c>
      <c r="K7" s="10">
        <f t="shared" si="1"/>
        <v>29762082.5</v>
      </c>
    </row>
    <row r="8" spans="1:11" ht="15.75" thickBot="1" x14ac:dyDescent="0.3">
      <c r="A8" s="13"/>
      <c r="B8" s="9">
        <f>B7/$E7</f>
        <v>0.34299610922723567</v>
      </c>
      <c r="C8" s="9">
        <f>C7/$E7</f>
        <v>0.319717872564865</v>
      </c>
      <c r="D8" s="9">
        <f>D7/$E7</f>
        <v>0.33728601820789927</v>
      </c>
      <c r="E8" s="8">
        <f t="shared" si="0"/>
        <v>0.99999999999999989</v>
      </c>
      <c r="F8" s="3"/>
      <c r="G8" s="13"/>
      <c r="H8" s="14">
        <f>B8-0.05</f>
        <v>0.29299610922723568</v>
      </c>
      <c r="I8" s="9">
        <f>I7/$K7</f>
        <v>0.34471787256486502</v>
      </c>
      <c r="J8" s="9">
        <f>J7/$K7</f>
        <v>0.3622860182078993</v>
      </c>
      <c r="K8" s="8">
        <f t="shared" si="1"/>
        <v>1</v>
      </c>
    </row>
    <row r="9" spans="1:11" x14ac:dyDescent="0.25">
      <c r="E9" s="7"/>
      <c r="G9" s="4" t="s">
        <v>9</v>
      </c>
      <c r="H9" s="15">
        <f>B7-H7</f>
        <v>1488104.125</v>
      </c>
      <c r="K9" s="7"/>
    </row>
    <row r="10" spans="1:11" x14ac:dyDescent="0.25">
      <c r="G10" s="4" t="s">
        <v>1</v>
      </c>
      <c r="H10" s="16">
        <f>H9/2</f>
        <v>744052.0625</v>
      </c>
    </row>
    <row r="11" spans="1:11" x14ac:dyDescent="0.25">
      <c r="G11" s="4" t="s">
        <v>2</v>
      </c>
      <c r="H11" s="16">
        <f>H10/2</f>
        <v>372026.03125</v>
      </c>
    </row>
    <row r="13" spans="1:11" x14ac:dyDescent="0.25">
      <c r="B13" s="4">
        <v>0.46899389058465019</v>
      </c>
      <c r="C13" s="4">
        <v>0.27894442722542889</v>
      </c>
      <c r="D13" s="4">
        <v>0.25206168218992092</v>
      </c>
      <c r="G13" s="4">
        <v>0.4207514806125473</v>
      </c>
      <c r="H13" s="4">
        <v>0.30306563221148031</v>
      </c>
      <c r="I13" s="4">
        <v>0.27618288717597234</v>
      </c>
    </row>
    <row r="14" spans="1:11" x14ac:dyDescent="0.25">
      <c r="B14" s="4">
        <v>0.20747038114154487</v>
      </c>
      <c r="C14" s="4">
        <v>0.36357460406170122</v>
      </c>
      <c r="D14" s="4">
        <v>0.42895501479675391</v>
      </c>
      <c r="G14" s="4">
        <v>0.15557988223243141</v>
      </c>
      <c r="H14" s="4">
        <v>0.38951985351625795</v>
      </c>
      <c r="I14" s="4">
        <v>0.45490026425131069</v>
      </c>
    </row>
  </sheetData>
  <mergeCells count="12">
    <mergeCell ref="H1:J1"/>
    <mergeCell ref="K1:K2"/>
    <mergeCell ref="G3:G4"/>
    <mergeCell ref="G5:G6"/>
    <mergeCell ref="G7:G8"/>
    <mergeCell ref="A7:A8"/>
    <mergeCell ref="G1:G2"/>
    <mergeCell ref="B1:D1"/>
    <mergeCell ref="E1:E2"/>
    <mergeCell ref="A1:A2"/>
    <mergeCell ref="A3:A4"/>
    <mergeCell ref="A5:A6"/>
  </mergeCells>
  <pageMargins left="0.7" right="0.7" top="0.75" bottom="0.75" header="0.3" footer="0.3"/>
  <ignoredErrors>
    <ignoredError sqref="E3:F3 E5:F5 E4:G4 K4 E7:G7 E6:G6 K6 E8:G8 K8" formulaRange="1"/>
    <ignoredError sqref="B7:D7 H4:J4 H5:J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2020-03-05T20:22:52Z</dcterms:created>
  <dcterms:modified xsi:type="dcterms:W3CDTF">2021-09-02T22:18:50Z</dcterms:modified>
</cp:coreProperties>
</file>