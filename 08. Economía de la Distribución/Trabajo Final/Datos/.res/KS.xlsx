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"/>
    </mc:Choice>
  </mc:AlternateContent>
  <xr:revisionPtr revIDLastSave="0" documentId="13_ncr:1_{A37CA791-79B4-4418-9AC2-D55F7DAA5AC1}" xr6:coauthVersionLast="47" xr6:coauthVersionMax="47" xr10:uidLastSave="{00000000-0000-0000-0000-000000000000}"/>
  <bookViews>
    <workbookView xWindow="-120" yWindow="-120" windowWidth="20730" windowHeight="11760" tabRatio="788" xr2:uid="{D138BB85-EBFC-4C99-9271-6C93ADEA9943}"/>
  </bookViews>
  <sheets>
    <sheet name="Tabla 1" sheetId="3" r:id="rId1"/>
    <sheet name="Tabla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3" l="1"/>
  <c r="U12" i="3"/>
  <c r="U14" i="3" s="1"/>
  <c r="U13" i="3"/>
  <c r="Q26" i="3"/>
  <c r="U26" i="3"/>
  <c r="Q27" i="3"/>
  <c r="U27" i="3"/>
  <c r="Q28" i="3"/>
  <c r="U28" i="3"/>
  <c r="Q29" i="3"/>
  <c r="U29" i="3"/>
  <c r="Q41" i="3"/>
  <c r="U41" i="3"/>
  <c r="Q42" i="3"/>
  <c r="U42" i="3"/>
  <c r="Q43" i="3"/>
  <c r="U43" i="3"/>
  <c r="Q44" i="3"/>
  <c r="U35" i="3"/>
  <c r="T34" i="3"/>
  <c r="Q35" i="3"/>
  <c r="P34" i="3"/>
  <c r="T39" i="3"/>
  <c r="S38" i="3"/>
  <c r="P39" i="3"/>
  <c r="N37" i="3"/>
  <c r="U24" i="3"/>
  <c r="T23" i="3"/>
  <c r="S22" i="3"/>
  <c r="Q24" i="3"/>
  <c r="P23" i="3"/>
  <c r="U20" i="3"/>
  <c r="T19" i="3"/>
  <c r="Q20" i="3"/>
  <c r="P19" i="3"/>
  <c r="U9" i="3"/>
  <c r="T8" i="3"/>
  <c r="S7" i="3"/>
  <c r="Q9" i="3"/>
  <c r="P8" i="3"/>
  <c r="U5" i="3"/>
  <c r="T4" i="3"/>
  <c r="S3" i="3"/>
  <c r="Q5" i="3"/>
  <c r="P4" i="3"/>
  <c r="O3" i="3"/>
  <c r="P36" i="2"/>
  <c r="Q36" i="2"/>
  <c r="R36" i="2"/>
  <c r="P40" i="2"/>
  <c r="Q40" i="2"/>
  <c r="R40" i="2"/>
  <c r="P44" i="2"/>
  <c r="Q44" i="2"/>
  <c r="R44" i="2"/>
  <c r="P21" i="2"/>
  <c r="Q21" i="2"/>
  <c r="R21" i="2"/>
  <c r="P25" i="2"/>
  <c r="Q25" i="2"/>
  <c r="R25" i="2"/>
  <c r="P29" i="2"/>
  <c r="Q29" i="2"/>
  <c r="R29" i="2"/>
  <c r="P6" i="2"/>
  <c r="Q6" i="2"/>
  <c r="R6" i="2"/>
  <c r="P10" i="2"/>
  <c r="Q10" i="2"/>
  <c r="R10" i="2"/>
  <c r="P14" i="2"/>
  <c r="Q14" i="2"/>
  <c r="R14" i="2"/>
  <c r="C6" i="2"/>
  <c r="D6" i="2"/>
  <c r="E6" i="2"/>
  <c r="C10" i="2"/>
  <c r="D10" i="2"/>
  <c r="E10" i="2"/>
  <c r="C14" i="2"/>
  <c r="D14" i="2"/>
  <c r="E14" i="2"/>
  <c r="C21" i="2"/>
  <c r="D21" i="2"/>
  <c r="E21" i="2"/>
  <c r="C25" i="2"/>
  <c r="D25" i="2"/>
  <c r="E25" i="2"/>
  <c r="C29" i="2"/>
  <c r="D29" i="2"/>
  <c r="E29" i="2"/>
  <c r="C36" i="2"/>
  <c r="D36" i="2"/>
  <c r="E36" i="2"/>
  <c r="C40" i="2"/>
  <c r="D40" i="2"/>
  <c r="E40" i="2"/>
  <c r="C44" i="2"/>
  <c r="D44" i="2"/>
  <c r="E44" i="2"/>
  <c r="J40" i="3"/>
  <c r="U39" i="3" s="1"/>
  <c r="I40" i="3"/>
  <c r="T38" i="3" s="1"/>
  <c r="H40" i="3"/>
  <c r="S37" i="3" s="1"/>
  <c r="G40" i="3"/>
  <c r="R39" i="3" s="1"/>
  <c r="J25" i="3"/>
  <c r="U23" i="3" s="1"/>
  <c r="I25" i="3"/>
  <c r="T22" i="3" s="1"/>
  <c r="H25" i="3"/>
  <c r="S24" i="3" s="1"/>
  <c r="G25" i="3"/>
  <c r="R24" i="3" s="1"/>
  <c r="J10" i="3"/>
  <c r="U8" i="3" s="1"/>
  <c r="I10" i="3"/>
  <c r="T7" i="3" s="1"/>
  <c r="H10" i="3"/>
  <c r="S9" i="3" s="1"/>
  <c r="G10" i="3"/>
  <c r="R9" i="3" s="1"/>
  <c r="I6" i="3"/>
  <c r="T3" i="3" s="1"/>
  <c r="AB44" i="2"/>
  <c r="AA44" i="2"/>
  <c r="Z44" i="2"/>
  <c r="Y44" i="2"/>
  <c r="X44" i="2"/>
  <c r="W44" i="2"/>
  <c r="V44" i="2"/>
  <c r="U44" i="2"/>
  <c r="T44" i="2"/>
  <c r="S44" i="2"/>
  <c r="O44" i="2"/>
  <c r="N44" i="2"/>
  <c r="M44" i="2"/>
  <c r="L44" i="2"/>
  <c r="K44" i="2"/>
  <c r="J44" i="2"/>
  <c r="I44" i="2"/>
  <c r="H44" i="2"/>
  <c r="G44" i="2"/>
  <c r="F44" i="2"/>
  <c r="AB40" i="2"/>
  <c r="AA40" i="2"/>
  <c r="Z40" i="2"/>
  <c r="Y40" i="2"/>
  <c r="X40" i="2"/>
  <c r="W40" i="2"/>
  <c r="V40" i="2"/>
  <c r="U40" i="2"/>
  <c r="T40" i="2"/>
  <c r="S40" i="2"/>
  <c r="O40" i="2"/>
  <c r="N40" i="2"/>
  <c r="M40" i="2"/>
  <c r="L40" i="2"/>
  <c r="K40" i="2"/>
  <c r="J40" i="2"/>
  <c r="I40" i="2"/>
  <c r="H40" i="2"/>
  <c r="G40" i="2"/>
  <c r="F40" i="2"/>
  <c r="AB36" i="2"/>
  <c r="AA36" i="2"/>
  <c r="Z36" i="2"/>
  <c r="Y36" i="2"/>
  <c r="X36" i="2"/>
  <c r="W36" i="2"/>
  <c r="V36" i="2"/>
  <c r="U36" i="2"/>
  <c r="T36" i="2"/>
  <c r="S36" i="2"/>
  <c r="O36" i="2"/>
  <c r="N36" i="2"/>
  <c r="M36" i="2"/>
  <c r="L36" i="2"/>
  <c r="K36" i="2"/>
  <c r="J36" i="2"/>
  <c r="I36" i="2"/>
  <c r="H36" i="2"/>
  <c r="G36" i="2"/>
  <c r="F36" i="2"/>
  <c r="AB29" i="2"/>
  <c r="AA29" i="2"/>
  <c r="Z29" i="2"/>
  <c r="Y29" i="2"/>
  <c r="X29" i="2"/>
  <c r="W29" i="2"/>
  <c r="V29" i="2"/>
  <c r="U29" i="2"/>
  <c r="T29" i="2"/>
  <c r="S29" i="2"/>
  <c r="O29" i="2"/>
  <c r="N29" i="2"/>
  <c r="M29" i="2"/>
  <c r="L29" i="2"/>
  <c r="K29" i="2"/>
  <c r="J29" i="2"/>
  <c r="I29" i="2"/>
  <c r="H29" i="2"/>
  <c r="G29" i="2"/>
  <c r="F29" i="2"/>
  <c r="AB25" i="2"/>
  <c r="AA25" i="2"/>
  <c r="Z25" i="2"/>
  <c r="Y25" i="2"/>
  <c r="X25" i="2"/>
  <c r="W25" i="2"/>
  <c r="V25" i="2"/>
  <c r="U25" i="2"/>
  <c r="T25" i="2"/>
  <c r="S25" i="2"/>
  <c r="O25" i="2"/>
  <c r="N25" i="2"/>
  <c r="M25" i="2"/>
  <c r="L25" i="2"/>
  <c r="K25" i="2"/>
  <c r="J25" i="2"/>
  <c r="I25" i="2"/>
  <c r="H25" i="2"/>
  <c r="G25" i="2"/>
  <c r="F25" i="2"/>
  <c r="AB21" i="2"/>
  <c r="AA21" i="2"/>
  <c r="Z21" i="2"/>
  <c r="Y21" i="2"/>
  <c r="X21" i="2"/>
  <c r="W21" i="2"/>
  <c r="V21" i="2"/>
  <c r="U21" i="2"/>
  <c r="T21" i="2"/>
  <c r="S21" i="2"/>
  <c r="O21" i="2"/>
  <c r="N21" i="2"/>
  <c r="M21" i="2"/>
  <c r="L21" i="2"/>
  <c r="K21" i="2"/>
  <c r="J21" i="2"/>
  <c r="I21" i="2"/>
  <c r="H21" i="2"/>
  <c r="G21" i="2"/>
  <c r="F21" i="2"/>
  <c r="AB14" i="2"/>
  <c r="AA14" i="2"/>
  <c r="Z14" i="2"/>
  <c r="Y14" i="2"/>
  <c r="X14" i="2"/>
  <c r="W14" i="2"/>
  <c r="V14" i="2"/>
  <c r="U14" i="2"/>
  <c r="T14" i="2"/>
  <c r="S14" i="2"/>
  <c r="AB10" i="2"/>
  <c r="AA10" i="2"/>
  <c r="Z10" i="2"/>
  <c r="Y10" i="2"/>
  <c r="X10" i="2"/>
  <c r="W10" i="2"/>
  <c r="V10" i="2"/>
  <c r="U10" i="2"/>
  <c r="T10" i="2"/>
  <c r="S10" i="2"/>
  <c r="AB6" i="2"/>
  <c r="AA6" i="2"/>
  <c r="Z6" i="2"/>
  <c r="Y6" i="2"/>
  <c r="X6" i="2"/>
  <c r="W6" i="2"/>
  <c r="V6" i="2"/>
  <c r="U6" i="2"/>
  <c r="T6" i="2"/>
  <c r="S6" i="2"/>
  <c r="O14" i="2"/>
  <c r="N14" i="2"/>
  <c r="M14" i="2"/>
  <c r="L14" i="2"/>
  <c r="K14" i="2"/>
  <c r="J14" i="2"/>
  <c r="I14" i="2"/>
  <c r="H14" i="2"/>
  <c r="G14" i="2"/>
  <c r="F14" i="2"/>
  <c r="O10" i="2"/>
  <c r="N10" i="2"/>
  <c r="M10" i="2"/>
  <c r="L10" i="2"/>
  <c r="K10" i="2"/>
  <c r="J10" i="2"/>
  <c r="I10" i="2"/>
  <c r="H10" i="2"/>
  <c r="G10" i="2"/>
  <c r="F10" i="2"/>
  <c r="O6" i="2"/>
  <c r="F6" i="2"/>
  <c r="G6" i="2"/>
  <c r="H6" i="2"/>
  <c r="I6" i="2"/>
  <c r="J6" i="2"/>
  <c r="K6" i="2"/>
  <c r="L6" i="2"/>
  <c r="M6" i="2"/>
  <c r="N6" i="2"/>
  <c r="J44" i="3"/>
  <c r="I44" i="3"/>
  <c r="T41" i="3" s="1"/>
  <c r="H44" i="3"/>
  <c r="S41" i="3" s="1"/>
  <c r="G44" i="3"/>
  <c r="R41" i="3" s="1"/>
  <c r="F44" i="3"/>
  <c r="E44" i="3"/>
  <c r="P41" i="3" s="1"/>
  <c r="D44" i="3"/>
  <c r="O41" i="3" s="1"/>
  <c r="C44" i="3"/>
  <c r="N41" i="3" s="1"/>
  <c r="F40" i="3"/>
  <c r="Q39" i="3" s="1"/>
  <c r="E40" i="3"/>
  <c r="P38" i="3" s="1"/>
  <c r="D40" i="3"/>
  <c r="O37" i="3" s="1"/>
  <c r="C40" i="3"/>
  <c r="N39" i="3" s="1"/>
  <c r="J36" i="3"/>
  <c r="U34" i="3" s="1"/>
  <c r="I36" i="3"/>
  <c r="T33" i="3" s="1"/>
  <c r="H36" i="3"/>
  <c r="S35" i="3" s="1"/>
  <c r="G36" i="3"/>
  <c r="R35" i="3" s="1"/>
  <c r="F36" i="3"/>
  <c r="Q34" i="3" s="1"/>
  <c r="E36" i="3"/>
  <c r="P33" i="3" s="1"/>
  <c r="D36" i="3"/>
  <c r="O35" i="3" s="1"/>
  <c r="C36" i="3"/>
  <c r="N35" i="3" s="1"/>
  <c r="J29" i="3"/>
  <c r="I29" i="3"/>
  <c r="T26" i="3" s="1"/>
  <c r="H29" i="3"/>
  <c r="S26" i="3" s="1"/>
  <c r="G29" i="3"/>
  <c r="R26" i="3" s="1"/>
  <c r="F29" i="3"/>
  <c r="E29" i="3"/>
  <c r="P26" i="3" s="1"/>
  <c r="D29" i="3"/>
  <c r="O26" i="3" s="1"/>
  <c r="C29" i="3"/>
  <c r="N26" i="3" s="1"/>
  <c r="F25" i="3"/>
  <c r="Q23" i="3" s="1"/>
  <c r="E25" i="3"/>
  <c r="P22" i="3" s="1"/>
  <c r="D25" i="3"/>
  <c r="O24" i="3" s="1"/>
  <c r="C25" i="3"/>
  <c r="N24" i="3" s="1"/>
  <c r="J21" i="3"/>
  <c r="U19" i="3" s="1"/>
  <c r="I21" i="3"/>
  <c r="T18" i="3" s="1"/>
  <c r="H21" i="3"/>
  <c r="S20" i="3" s="1"/>
  <c r="G21" i="3"/>
  <c r="R20" i="3" s="1"/>
  <c r="F21" i="3"/>
  <c r="Q19" i="3" s="1"/>
  <c r="E21" i="3"/>
  <c r="P18" i="3" s="1"/>
  <c r="D21" i="3"/>
  <c r="O18" i="3" s="1"/>
  <c r="C21" i="3"/>
  <c r="N20" i="3" s="1"/>
  <c r="J14" i="3"/>
  <c r="I14" i="3"/>
  <c r="T11" i="3" s="1"/>
  <c r="H14" i="3"/>
  <c r="S11" i="3" s="1"/>
  <c r="G14" i="3"/>
  <c r="R11" i="3" s="1"/>
  <c r="D14" i="3"/>
  <c r="O11" i="3" s="1"/>
  <c r="E14" i="3"/>
  <c r="P11" i="3" s="1"/>
  <c r="F14" i="3"/>
  <c r="Q12" i="3" s="1"/>
  <c r="C14" i="3"/>
  <c r="N11" i="3" s="1"/>
  <c r="F10" i="3"/>
  <c r="Q8" i="3" s="1"/>
  <c r="E10" i="3"/>
  <c r="P7" i="3" s="1"/>
  <c r="D10" i="3"/>
  <c r="O7" i="3" s="1"/>
  <c r="C10" i="3"/>
  <c r="N9" i="3" s="1"/>
  <c r="J6" i="3"/>
  <c r="U4" i="3" s="1"/>
  <c r="H6" i="3"/>
  <c r="S5" i="3" s="1"/>
  <c r="G6" i="3"/>
  <c r="R5" i="3" s="1"/>
  <c r="D6" i="3"/>
  <c r="O5" i="3" s="1"/>
  <c r="E6" i="3"/>
  <c r="P3" i="3" s="1"/>
  <c r="F6" i="3"/>
  <c r="Q4" i="3" s="1"/>
  <c r="C6" i="3"/>
  <c r="N5" i="3" s="1"/>
  <c r="T36" i="3" l="1"/>
  <c r="S14" i="3"/>
  <c r="S29" i="3"/>
  <c r="N4" i="3"/>
  <c r="S10" i="3"/>
  <c r="O38" i="3"/>
  <c r="O40" i="3" s="1"/>
  <c r="R37" i="3"/>
  <c r="O33" i="3"/>
  <c r="O36" i="3" s="1"/>
  <c r="S33" i="3"/>
  <c r="Q13" i="3"/>
  <c r="Q11" i="3"/>
  <c r="Q14" i="3" s="1"/>
  <c r="O4" i="3"/>
  <c r="O6" i="3" s="1"/>
  <c r="P5" i="3"/>
  <c r="P6" i="3" s="1"/>
  <c r="R3" i="3"/>
  <c r="S4" i="3"/>
  <c r="S6" i="3" s="1"/>
  <c r="T5" i="3"/>
  <c r="T6" i="3" s="1"/>
  <c r="N7" i="3"/>
  <c r="O8" i="3"/>
  <c r="O10" i="3" s="1"/>
  <c r="P9" i="3"/>
  <c r="P10" i="3" s="1"/>
  <c r="R7" i="3"/>
  <c r="S8" i="3"/>
  <c r="T9" i="3"/>
  <c r="T10" i="3" s="1"/>
  <c r="N18" i="3"/>
  <c r="O19" i="3"/>
  <c r="O21" i="3" s="1"/>
  <c r="P20" i="3"/>
  <c r="P21" i="3" s="1"/>
  <c r="R18" i="3"/>
  <c r="S19" i="3"/>
  <c r="T20" i="3"/>
  <c r="T21" i="3" s="1"/>
  <c r="N22" i="3"/>
  <c r="O23" i="3"/>
  <c r="P24" i="3"/>
  <c r="P25" i="3" s="1"/>
  <c r="R22" i="3"/>
  <c r="R25" i="3" s="1"/>
  <c r="S23" i="3"/>
  <c r="S25" i="3" s="1"/>
  <c r="T24" i="3"/>
  <c r="T25" i="3" s="1"/>
  <c r="N33" i="3"/>
  <c r="N38" i="3"/>
  <c r="N40" i="3" s="1"/>
  <c r="O39" i="3"/>
  <c r="Q37" i="3"/>
  <c r="R38" i="3"/>
  <c r="S39" i="3"/>
  <c r="S40" i="3" s="1"/>
  <c r="U37" i="3"/>
  <c r="O34" i="3"/>
  <c r="P35" i="3"/>
  <c r="P36" i="3" s="1"/>
  <c r="R33" i="3"/>
  <c r="R36" i="3" s="1"/>
  <c r="S34" i="3"/>
  <c r="T35" i="3"/>
  <c r="T43" i="3"/>
  <c r="P43" i="3"/>
  <c r="T42" i="3"/>
  <c r="T44" i="3" s="1"/>
  <c r="P42" i="3"/>
  <c r="P44" i="3" s="1"/>
  <c r="T28" i="3"/>
  <c r="P28" i="3"/>
  <c r="T27" i="3"/>
  <c r="T29" i="3" s="1"/>
  <c r="P27" i="3"/>
  <c r="P29" i="3" s="1"/>
  <c r="T13" i="3"/>
  <c r="P13" i="3"/>
  <c r="T12" i="3"/>
  <c r="T14" i="3" s="1"/>
  <c r="P12" i="3"/>
  <c r="P14" i="3" s="1"/>
  <c r="S18" i="3"/>
  <c r="S21" i="3" s="1"/>
  <c r="O22" i="3"/>
  <c r="O25" i="3" s="1"/>
  <c r="N3" i="3"/>
  <c r="N6" i="3" s="1"/>
  <c r="Q3" i="3"/>
  <c r="Q6" i="3" s="1"/>
  <c r="R4" i="3"/>
  <c r="U3" i="3"/>
  <c r="U6" i="3" s="1"/>
  <c r="N8" i="3"/>
  <c r="O9" i="3"/>
  <c r="Q7" i="3"/>
  <c r="Q10" i="3" s="1"/>
  <c r="R8" i="3"/>
  <c r="U7" i="3"/>
  <c r="U10" i="3" s="1"/>
  <c r="N19" i="3"/>
  <c r="O20" i="3"/>
  <c r="Q18" i="3"/>
  <c r="Q21" i="3" s="1"/>
  <c r="R19" i="3"/>
  <c r="U18" i="3"/>
  <c r="U21" i="3" s="1"/>
  <c r="N23" i="3"/>
  <c r="Q22" i="3"/>
  <c r="Q25" i="3" s="1"/>
  <c r="R23" i="3"/>
  <c r="U22" i="3"/>
  <c r="N34" i="3"/>
  <c r="N36" i="3" s="1"/>
  <c r="P37" i="3"/>
  <c r="P40" i="3" s="1"/>
  <c r="Q38" i="3"/>
  <c r="T37" i="3"/>
  <c r="T40" i="3" s="1"/>
  <c r="U38" i="3"/>
  <c r="Q33" i="3"/>
  <c r="Q36" i="3" s="1"/>
  <c r="R34" i="3"/>
  <c r="U33" i="3"/>
  <c r="U36" i="3" s="1"/>
  <c r="S43" i="3"/>
  <c r="O43" i="3"/>
  <c r="O44" i="3" s="1"/>
  <c r="S42" i="3"/>
  <c r="S44" i="3" s="1"/>
  <c r="O42" i="3"/>
  <c r="S28" i="3"/>
  <c r="O28" i="3"/>
  <c r="S27" i="3"/>
  <c r="O27" i="3"/>
  <c r="O29" i="3" s="1"/>
  <c r="S13" i="3"/>
  <c r="O13" i="3"/>
  <c r="O14" i="3" s="1"/>
  <c r="S12" i="3"/>
  <c r="O12" i="3"/>
  <c r="U25" i="3"/>
  <c r="U44" i="3"/>
  <c r="R43" i="3"/>
  <c r="N43" i="3"/>
  <c r="R42" i="3"/>
  <c r="R44" i="3" s="1"/>
  <c r="N42" i="3"/>
  <c r="N44" i="3" s="1"/>
  <c r="R28" i="3"/>
  <c r="N28" i="3"/>
  <c r="R27" i="3"/>
  <c r="R29" i="3" s="1"/>
  <c r="N27" i="3"/>
  <c r="N29" i="3" s="1"/>
  <c r="R13" i="3"/>
  <c r="N13" i="3"/>
  <c r="R12" i="3"/>
  <c r="R14" i="3" s="1"/>
  <c r="N12" i="3"/>
  <c r="N14" i="3" s="1"/>
  <c r="N25" i="3"/>
  <c r="N21" i="3"/>
  <c r="R40" i="3" l="1"/>
  <c r="R10" i="3"/>
  <c r="Q40" i="3"/>
  <c r="R21" i="3"/>
  <c r="R6" i="3"/>
  <c r="U40" i="3"/>
  <c r="N10" i="3"/>
  <c r="S36" i="3"/>
</calcChain>
</file>

<file path=xl/sharedStrings.xml><?xml version="1.0" encoding="utf-8"?>
<sst xmlns="http://schemas.openxmlformats.org/spreadsheetml/2006/main" count="297" uniqueCount="32">
  <si>
    <t>Total nacional</t>
  </si>
  <si>
    <t>Principales ciudades</t>
  </si>
  <si>
    <t>Resto urbano</t>
  </si>
  <si>
    <t>Rural</t>
  </si>
  <si>
    <t>POBREZA (FGT0)</t>
  </si>
  <si>
    <t>INDIGENCIA (FGT0)</t>
  </si>
  <si>
    <t>Barranquilla</t>
  </si>
  <si>
    <t>Bogotá</t>
  </si>
  <si>
    <t>Bucaramanga</t>
  </si>
  <si>
    <t>Cali</t>
  </si>
  <si>
    <t>Cartagena</t>
  </si>
  <si>
    <t>Cúcuta</t>
  </si>
  <si>
    <t>Ibagué</t>
  </si>
  <si>
    <t>Manizales</t>
  </si>
  <si>
    <t>Medellín</t>
  </si>
  <si>
    <t>Montería</t>
  </si>
  <si>
    <t>Pasto</t>
  </si>
  <si>
    <t>Pereira</t>
  </si>
  <si>
    <t>Villavicencio</t>
  </si>
  <si>
    <t>2002-2005</t>
  </si>
  <si>
    <t>2008-2018</t>
  </si>
  <si>
    <t>2002-2018</t>
  </si>
  <si>
    <t>POBREZA (FGT1)</t>
  </si>
  <si>
    <t>INDIGENCIA (FGT1)</t>
  </si>
  <si>
    <t>POBREZA (FGT2)</t>
  </si>
  <si>
    <t>INDIGENCIA (FGT2)</t>
  </si>
  <si>
    <t>PERÍODO</t>
  </si>
  <si>
    <t>EFECTO</t>
  </si>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</sst>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2" fillId="0" borderId="0" xfId="0" applyNumberFormat="1" applyFont="1" applyAlignment="1">
      <alignment horizontal="right" vertical="center"/>
    </xf>
    <xf numFmtId="164" fontId="3" fillId="0" borderId="12" xfId="0" applyNumberFormat="1" applyFont="1" applyBorder="1" applyAlignment="1">
      <alignment horizontal="right" vertical="center"/>
    </xf>
    <xf numFmtId="165" fontId="2" fillId="0" borderId="9" xfId="0" applyNumberFormat="1" applyFont="1" applyBorder="1" applyAlignment="1">
      <alignment horizontal="right" vertical="center"/>
    </xf>
    <xf numFmtId="165" fontId="2" fillId="0" borderId="10" xfId="0" applyNumberFormat="1" applyFont="1" applyBorder="1" applyAlignment="1">
      <alignment horizontal="right" vertical="center"/>
    </xf>
    <xf numFmtId="165" fontId="2" fillId="0" borderId="8" xfId="0" applyNumberFormat="1" applyFont="1" applyBorder="1" applyAlignment="1">
      <alignment horizontal="right" vertical="center"/>
    </xf>
    <xf numFmtId="165" fontId="3" fillId="0" borderId="15" xfId="0" applyNumberFormat="1" applyFont="1" applyBorder="1" applyAlignment="1">
      <alignment horizontal="right" vertical="center"/>
    </xf>
    <xf numFmtId="165" fontId="3" fillId="0" borderId="16" xfId="0" applyNumberFormat="1" applyFont="1" applyBorder="1" applyAlignment="1">
      <alignment horizontal="right" vertical="center"/>
    </xf>
    <xf numFmtId="165" fontId="3" fillId="0" borderId="6" xfId="0" applyNumberFormat="1" applyFont="1" applyBorder="1" applyAlignment="1">
      <alignment horizontal="right" vertical="center"/>
    </xf>
    <xf numFmtId="165" fontId="3" fillId="0" borderId="7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165" fontId="2" fillId="0" borderId="18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2" fillId="0" borderId="10" xfId="0" applyNumberFormat="1" applyFont="1" applyBorder="1" applyAlignment="1">
      <alignment horizontal="right" vertical="center"/>
    </xf>
    <xf numFmtId="166" fontId="2" fillId="0" borderId="8" xfId="0" applyNumberFormat="1" applyFont="1" applyBorder="1" applyAlignment="1">
      <alignment horizontal="right" vertical="center"/>
    </xf>
    <xf numFmtId="166" fontId="3" fillId="0" borderId="15" xfId="0" applyNumberFormat="1" applyFont="1" applyBorder="1" applyAlignment="1">
      <alignment horizontal="right" vertical="center"/>
    </xf>
    <xf numFmtId="166" fontId="3" fillId="0" borderId="16" xfId="0" applyNumberFormat="1" applyFont="1" applyBorder="1" applyAlignment="1">
      <alignment horizontal="right" vertical="center"/>
    </xf>
    <xf numFmtId="166" fontId="3" fillId="0" borderId="6" xfId="0" applyNumberFormat="1" applyFont="1" applyBorder="1" applyAlignment="1">
      <alignment horizontal="right" vertical="center"/>
    </xf>
    <xf numFmtId="166" fontId="3" fillId="0" borderId="7" xfId="0" applyNumberFormat="1" applyFont="1" applyBorder="1" applyAlignment="1">
      <alignment horizontal="right" vertical="center"/>
    </xf>
    <xf numFmtId="166" fontId="3" fillId="0" borderId="12" xfId="0" applyNumberFormat="1" applyFont="1" applyBorder="1" applyAlignment="1">
      <alignment horizontal="right" vertical="center"/>
    </xf>
    <xf numFmtId="166" fontId="2" fillId="0" borderId="18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1'!$C$11:$F$11</c:f>
              <c:numCache>
                <c:formatCode>0.0</c:formatCode>
                <c:ptCount val="4"/>
                <c:pt idx="0">
                  <c:v>-43.387401580810547</c:v>
                </c:pt>
                <c:pt idx="1">
                  <c:v>-37.790809631347656</c:v>
                </c:pt>
                <c:pt idx="2">
                  <c:v>-48.848972320556641</c:v>
                </c:pt>
                <c:pt idx="3">
                  <c:v>-46.143993377685547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1-4359-B746-DD6083950EF9}"/>
            </c:ext>
          </c:extLst>
        </c:ser>
        <c:ser>
          <c:idx val="1"/>
          <c:order val="1"/>
          <c:tx>
            <c:strRef>
              <c:f>'Tabla 1'!$B$12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1'!$C$12:$F$12</c:f>
              <c:numCache>
                <c:formatCode>0.0</c:formatCode>
                <c:ptCount val="4"/>
                <c:pt idx="0">
                  <c:v>-4.6706147193908691</c:v>
                </c:pt>
                <c:pt idx="1">
                  <c:v>-6.3227577209472656</c:v>
                </c:pt>
                <c:pt idx="2">
                  <c:v>-0.81654459238052368</c:v>
                </c:pt>
                <c:pt idx="3">
                  <c:v>-5.7501511573791504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1-4359-B746-DD6083950EF9}"/>
            </c:ext>
          </c:extLst>
        </c:ser>
        <c:ser>
          <c:idx val="2"/>
          <c:order val="2"/>
          <c:tx>
            <c:strRef>
              <c:f>'Tabla 1'!$B$13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1'!$C$2:$F$2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1'!$C$13:$F$13</c:f>
              <c:numCache>
                <c:formatCode>0.0</c:formatCode>
                <c:ptCount val="4"/>
                <c:pt idx="0">
                  <c:v>25.704093933105469</c:v>
                </c:pt>
                <c:pt idx="1">
                  <c:v>24.39567756652832</c:v>
                </c:pt>
                <c:pt idx="2">
                  <c:v>26.403324127197266</c:v>
                </c:pt>
                <c:pt idx="3">
                  <c:v>27.042985916137695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91-4359-B746-DD6083950EF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256816"/>
        <c:axId val="413259440"/>
      </c:barChart>
      <c:catAx>
        <c:axId val="4132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9440"/>
        <c:crosses val="autoZero"/>
        <c:auto val="1"/>
        <c:lblAlgn val="ctr"/>
        <c:lblOffset val="100"/>
        <c:noMultiLvlLbl val="0"/>
      </c:catAx>
      <c:valAx>
        <c:axId val="4132594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6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1'!$G$11:$J$11</c:f>
              <c:numCache>
                <c:formatCode>0.0</c:formatCode>
                <c:ptCount val="4"/>
                <c:pt idx="0">
                  <c:v>-24.864002227783203</c:v>
                </c:pt>
                <c:pt idx="1">
                  <c:v>-14.008109092712402</c:v>
                </c:pt>
                <c:pt idx="2">
                  <c:v>-31.795537948608398</c:v>
                </c:pt>
                <c:pt idx="3">
                  <c:v>-37.101669311523438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E3-40D4-943B-A5C501B7C1ED}"/>
            </c:ext>
          </c:extLst>
        </c:ser>
        <c:ser>
          <c:idx val="1"/>
          <c:order val="1"/>
          <c:tx>
            <c:strRef>
              <c:f>'Tabla 1'!$B$12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1'!$G$12:$J$12</c:f>
              <c:numCache>
                <c:formatCode>0.0</c:formatCode>
                <c:ptCount val="4"/>
                <c:pt idx="0">
                  <c:v>-4.1657390594482422</c:v>
                </c:pt>
                <c:pt idx="1">
                  <c:v>-3.1653573513031006</c:v>
                </c:pt>
                <c:pt idx="2">
                  <c:v>-1.5430718660354614</c:v>
                </c:pt>
                <c:pt idx="3">
                  <c:v>-6.2049288749694824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E3-40D4-943B-A5C501B7C1ED}"/>
            </c:ext>
          </c:extLst>
        </c:ser>
        <c:ser>
          <c:idx val="2"/>
          <c:order val="2"/>
          <c:tx>
            <c:strRef>
              <c:f>'Tabla 1'!$B$13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1'!$G$2:$J$2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1'!$G$13:$J$13</c:f>
              <c:numCache>
                <c:formatCode>0.0</c:formatCode>
                <c:ptCount val="4"/>
                <c:pt idx="0">
                  <c:v>18.641866683959961</c:v>
                </c:pt>
                <c:pt idx="1">
                  <c:v>12.585543632507324</c:v>
                </c:pt>
                <c:pt idx="2">
                  <c:v>21.561456680297852</c:v>
                </c:pt>
                <c:pt idx="3">
                  <c:v>25.867130279541016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E3-40D4-943B-A5C501B7C1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3256816"/>
        <c:axId val="413259440"/>
      </c:barChart>
      <c:catAx>
        <c:axId val="4132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9440"/>
        <c:crosses val="autoZero"/>
        <c:auto val="1"/>
        <c:lblAlgn val="ctr"/>
        <c:lblOffset val="100"/>
        <c:noMultiLvlLbl val="0"/>
      </c:catAx>
      <c:valAx>
        <c:axId val="4132594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325681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1'!$G$17:$J$17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1'!$C$26:$F$26</c:f>
              <c:numCache>
                <c:formatCode>0.0</c:formatCode>
                <c:ptCount val="4"/>
                <c:pt idx="0">
                  <c:v>-24.418294906616211</c:v>
                </c:pt>
                <c:pt idx="1">
                  <c:v>-17.880630493164063</c:v>
                </c:pt>
                <c:pt idx="2">
                  <c:v>-31.004535675048828</c:v>
                </c:pt>
                <c:pt idx="3">
                  <c:v>-28.608249664306641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7-4ABB-B3C2-CD218632CE02}"/>
            </c:ext>
          </c:extLst>
        </c:ser>
        <c:ser>
          <c:idx val="1"/>
          <c:order val="1"/>
          <c:tx>
            <c:strRef>
              <c:f>'Tabla 1'!$B$27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1'!$G$17:$J$17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1'!$C$27:$F$27</c:f>
              <c:numCache>
                <c:formatCode>0.0</c:formatCode>
                <c:ptCount val="4"/>
                <c:pt idx="0">
                  <c:v>-3.3966588973999023</c:v>
                </c:pt>
                <c:pt idx="1">
                  <c:v>-3.5102972984313965</c:v>
                </c:pt>
                <c:pt idx="2">
                  <c:v>-1.0408922433853149</c:v>
                </c:pt>
                <c:pt idx="3">
                  <c:v>-4.6843252182006836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7-4ABB-B3C2-CD218632CE02}"/>
            </c:ext>
          </c:extLst>
        </c:ser>
        <c:ser>
          <c:idx val="2"/>
          <c:order val="2"/>
          <c:tx>
            <c:strRef>
              <c:f>'Tabla 1'!$B$28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1'!$G$17:$J$17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1'!$C$28:$F$28</c:f>
              <c:numCache>
                <c:formatCode>0.0</c:formatCode>
                <c:ptCount val="4"/>
                <c:pt idx="0">
                  <c:v>15.940513610839844</c:v>
                </c:pt>
                <c:pt idx="1">
                  <c:v>12.902850151062012</c:v>
                </c:pt>
                <c:pt idx="2">
                  <c:v>18.058050155639648</c:v>
                </c:pt>
                <c:pt idx="3">
                  <c:v>18.499326705932617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A7-4ABB-B3C2-CD218632CE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17000168"/>
        <c:axId val="316992952"/>
      </c:barChart>
      <c:catAx>
        <c:axId val="31700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316992952"/>
        <c:crosses val="autoZero"/>
        <c:auto val="1"/>
        <c:lblAlgn val="ctr"/>
        <c:lblOffset val="100"/>
        <c:noMultiLvlLbl val="0"/>
      </c:catAx>
      <c:valAx>
        <c:axId val="316992952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31700016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1'!$C$17:$F$17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1'!$G$26:$J$26</c:f>
              <c:numCache>
                <c:formatCode>0.0</c:formatCode>
                <c:ptCount val="4"/>
                <c:pt idx="0">
                  <c:v>-10.401711463928223</c:v>
                </c:pt>
                <c:pt idx="1">
                  <c:v>-4.7648720741271973</c:v>
                </c:pt>
                <c:pt idx="2">
                  <c:v>-13.322770118713379</c:v>
                </c:pt>
                <c:pt idx="3">
                  <c:v>-17.845603942871094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4-4CD3-8A75-BEA85F1F6728}"/>
            </c:ext>
          </c:extLst>
        </c:ser>
        <c:ser>
          <c:idx val="1"/>
          <c:order val="1"/>
          <c:tx>
            <c:strRef>
              <c:f>'Tabla 1'!$B$27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1'!$C$17:$F$17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1'!$G$27:$J$27</c:f>
              <c:numCache>
                <c:formatCode>0.0</c:formatCode>
                <c:ptCount val="4"/>
                <c:pt idx="0">
                  <c:v>-2.0507667064666748</c:v>
                </c:pt>
                <c:pt idx="1">
                  <c:v>-1.2299683094024658</c:v>
                </c:pt>
                <c:pt idx="2">
                  <c:v>-0.90746003389358521</c:v>
                </c:pt>
                <c:pt idx="3">
                  <c:v>-3.4558570384979248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4-4CD3-8A75-BEA85F1F6728}"/>
            </c:ext>
          </c:extLst>
        </c:ser>
        <c:ser>
          <c:idx val="2"/>
          <c:order val="2"/>
          <c:tx>
            <c:strRef>
              <c:f>'Tabla 1'!$B$28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1'!$C$17:$F$17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1'!$G$28:$J$28</c:f>
              <c:numCache>
                <c:formatCode>0.0</c:formatCode>
                <c:ptCount val="4"/>
                <c:pt idx="0">
                  <c:v>8.4763250350952148</c:v>
                </c:pt>
                <c:pt idx="1">
                  <c:v>4.5453033447265625</c:v>
                </c:pt>
                <c:pt idx="2">
                  <c:v>10.061297416687012</c:v>
                </c:pt>
                <c:pt idx="3">
                  <c:v>13.698092460632324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4-4CD3-8A75-BEA85F1F67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472656"/>
        <c:axId val="418473640"/>
      </c:barChart>
      <c:catAx>
        <c:axId val="41847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473640"/>
        <c:crosses val="autoZero"/>
        <c:auto val="1"/>
        <c:lblAlgn val="ctr"/>
        <c:lblOffset val="100"/>
        <c:noMultiLvlLbl val="0"/>
      </c:catAx>
      <c:valAx>
        <c:axId val="41847364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47265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1'!$C$32:$F$32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1'!$C$41:$F$41</c:f>
              <c:numCache>
                <c:formatCode>0.0</c:formatCode>
                <c:ptCount val="4"/>
                <c:pt idx="0">
                  <c:v>-16.032228469848633</c:v>
                </c:pt>
                <c:pt idx="1">
                  <c:v>-10.518310546875</c:v>
                </c:pt>
                <c:pt idx="2">
                  <c:v>-21.604747772216797</c:v>
                </c:pt>
                <c:pt idx="3">
                  <c:v>-19.794448852539063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4A0-BB87-B59345272B2E}"/>
            </c:ext>
          </c:extLst>
        </c:ser>
        <c:ser>
          <c:idx val="1"/>
          <c:order val="1"/>
          <c:tx>
            <c:strRef>
              <c:f>'Tabla 1'!$B$42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1'!$C$32:$F$32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1'!$C$42:$F$42</c:f>
              <c:numCache>
                <c:formatCode>0.0</c:formatCode>
                <c:ptCount val="4"/>
                <c:pt idx="0">
                  <c:v>-2.52813720703125</c:v>
                </c:pt>
                <c:pt idx="1">
                  <c:v>-2.2934503555297852</c:v>
                </c:pt>
                <c:pt idx="2">
                  <c:v>-0.96334874629974365</c:v>
                </c:pt>
                <c:pt idx="3">
                  <c:v>-3.6524536609649658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8-44A0-BB87-B59345272B2E}"/>
            </c:ext>
          </c:extLst>
        </c:ser>
        <c:ser>
          <c:idx val="2"/>
          <c:order val="2"/>
          <c:tx>
            <c:strRef>
              <c:f>'Tabla 1'!$B$43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1'!$C$32:$F$32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1'!$C$43:$F$43</c:f>
              <c:numCache>
                <c:formatCode>0.0</c:formatCode>
                <c:ptCount val="4"/>
                <c:pt idx="0">
                  <c:v>11.110875129699707</c:v>
                </c:pt>
                <c:pt idx="1">
                  <c:v>8.147679328918457</c:v>
                </c:pt>
                <c:pt idx="2">
                  <c:v>13.326894760131836</c:v>
                </c:pt>
                <c:pt idx="3">
                  <c:v>13.561458587646484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8-44A0-BB87-B59345272B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310176"/>
        <c:axId val="527308208"/>
      </c:barChart>
      <c:catAx>
        <c:axId val="5273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08208"/>
        <c:crosses val="autoZero"/>
        <c:auto val="1"/>
        <c:lblAlgn val="ctr"/>
        <c:lblOffset val="100"/>
        <c:noMultiLvlLbl val="0"/>
      </c:catAx>
      <c:valAx>
        <c:axId val="52730820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2731017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1'!$B$41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1'!$G$32:$J$32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1'!$G$41:$J$41</c:f>
              <c:numCache>
                <c:formatCode>0.0</c:formatCode>
                <c:ptCount val="4"/>
                <c:pt idx="0">
                  <c:v>-5.8477387428283691</c:v>
                </c:pt>
                <c:pt idx="1">
                  <c:v>-2.3668787479400635</c:v>
                </c:pt>
                <c:pt idx="2">
                  <c:v>-7.4333124160766602</c:v>
                </c:pt>
                <c:pt idx="3">
                  <c:v>-10.787385940551758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E-4E7E-8851-5F2DF0D45A44}"/>
            </c:ext>
          </c:extLst>
        </c:ser>
        <c:ser>
          <c:idx val="1"/>
          <c:order val="1"/>
          <c:tx>
            <c:strRef>
              <c:f>'Tabla 1'!$B$42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1'!$G$32:$J$32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1'!$G$42:$J$42</c:f>
              <c:numCache>
                <c:formatCode>0.0</c:formatCode>
                <c:ptCount val="4"/>
                <c:pt idx="0">
                  <c:v>-1.2678928375244141</c:v>
                </c:pt>
                <c:pt idx="1">
                  <c:v>-0.65605330467224121</c:v>
                </c:pt>
                <c:pt idx="2">
                  <c:v>-0.63754457235336304</c:v>
                </c:pt>
                <c:pt idx="3">
                  <c:v>-2.2579483985900879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4E-4E7E-8851-5F2DF0D45A44}"/>
            </c:ext>
          </c:extLst>
        </c:ser>
        <c:ser>
          <c:idx val="2"/>
          <c:order val="2"/>
          <c:tx>
            <c:strRef>
              <c:f>'Tabla 1'!$B$43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 1'!$G$32:$J$32</c:f>
              <c:strCache>
                <c:ptCount val="4"/>
                <c:pt idx="0">
                  <c:v>Total nacional</c:v>
                </c:pt>
                <c:pt idx="1">
                  <c:v>Principales ciudades</c:v>
                </c:pt>
                <c:pt idx="2">
                  <c:v>Resto urbano</c:v>
                </c:pt>
                <c:pt idx="3">
                  <c:v>Rural</c:v>
                </c:pt>
              </c:strCache>
            </c:strRef>
          </c:cat>
          <c:val>
            <c:numRef>
              <c:f>'Tabla 1'!$G$43:$J$43</c:f>
              <c:numCache>
                <c:formatCode>0.0</c:formatCode>
                <c:ptCount val="4"/>
                <c:pt idx="0">
                  <c:v>4.9782724380493164</c:v>
                </c:pt>
                <c:pt idx="1">
                  <c:v>2.3191170692443848</c:v>
                </c:pt>
                <c:pt idx="2">
                  <c:v>5.901130199432373</c:v>
                </c:pt>
                <c:pt idx="3">
                  <c:v>8.7391805648803711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4E-4E7E-8851-5F2DF0D45A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4378136"/>
        <c:axId val="514378464"/>
      </c:barChart>
      <c:catAx>
        <c:axId val="514378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4378464"/>
        <c:crosses val="autoZero"/>
        <c:auto val="1"/>
        <c:lblAlgn val="ctr"/>
        <c:lblOffset val="100"/>
        <c:noMultiLvlLbl val="0"/>
      </c:catAx>
      <c:valAx>
        <c:axId val="51437846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5143781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Barranquilla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2'!$C$11,'Tabla 2'!$P$11)</c:f>
              <c:numCache>
                <c:formatCode>0.0</c:formatCode>
                <c:ptCount val="2"/>
                <c:pt idx="0">
                  <c:v>-41.245571136474609</c:v>
                </c:pt>
                <c:pt idx="1">
                  <c:v>-17.387371063232422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1-4A50-8962-94CA276594E3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2'!$C$12,'Tabla 2'!$P$12)</c:f>
              <c:numCache>
                <c:formatCode>0.0</c:formatCode>
                <c:ptCount val="2"/>
                <c:pt idx="0">
                  <c:v>-9.1509008407592773</c:v>
                </c:pt>
                <c:pt idx="1">
                  <c:v>-5.3437623977661133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1-4A50-8962-94CA276594E3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2'!$C$13,'Tabla 2'!$P$13)</c:f>
              <c:numCache>
                <c:formatCode>0.0</c:formatCode>
                <c:ptCount val="2"/>
                <c:pt idx="0">
                  <c:v>28.386550903320313</c:v>
                </c:pt>
                <c:pt idx="1">
                  <c:v>16.502201080322266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1-4A50-8962-94CA276594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Bogotá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2'!$D$11,'Tabla 2'!$Q$11)</c:f>
              <c:numCache>
                <c:formatCode>0.0</c:formatCode>
                <c:ptCount val="2"/>
                <c:pt idx="0">
                  <c:v>-33.312492370605469</c:v>
                </c:pt>
                <c:pt idx="1">
                  <c:v>-11.135512351989746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E-495D-8FE5-215E91F9AB7B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2'!$D$12,'Tabla 2'!$Q$12)</c:f>
              <c:numCache>
                <c:formatCode>0.0</c:formatCode>
                <c:ptCount val="2"/>
                <c:pt idx="0">
                  <c:v>-7.3391485214233398</c:v>
                </c:pt>
                <c:pt idx="1">
                  <c:v>-3.451777458190918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8E-495D-8FE5-215E91F9AB7B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2'!$D$13,'Tabla 2'!$Q$13)</c:f>
              <c:numCache>
                <c:formatCode>0.0</c:formatCode>
                <c:ptCount val="2"/>
                <c:pt idx="0">
                  <c:v>21.725709915161133</c:v>
                </c:pt>
                <c:pt idx="1">
                  <c:v>10.125344276428223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8E-495D-8FE5-215E91F9AB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Bucaramanga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2'!$E$11,'Tabla 2'!$R$11)</c:f>
              <c:numCache>
                <c:formatCode>0.0</c:formatCode>
                <c:ptCount val="2"/>
                <c:pt idx="0">
                  <c:v>-42.344284057617188</c:v>
                </c:pt>
                <c:pt idx="1">
                  <c:v>-14.65019416809082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E-4C82-BC8E-BE8296C8F735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2'!$E$12,'Tabla 2'!$R$12)</c:f>
              <c:numCache>
                <c:formatCode>0.0</c:formatCode>
                <c:ptCount val="2"/>
                <c:pt idx="0">
                  <c:v>-4.9009308815002441</c:v>
                </c:pt>
                <c:pt idx="1">
                  <c:v>-3.199009895324707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E-4C82-BC8E-BE8296C8F735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2'!$E$13,'Tabla 2'!$R$13)</c:f>
              <c:numCache>
                <c:formatCode>0.0</c:formatCode>
                <c:ptCount val="2"/>
                <c:pt idx="0">
                  <c:v>28.21400260925293</c:v>
                </c:pt>
                <c:pt idx="1">
                  <c:v>13.333012580871582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1E-4C82-BC8E-BE8296C8F7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2'!$F$11,'Tabla 2'!$S$11)</c:f>
              <c:numCache>
                <c:formatCode>0.0</c:formatCode>
                <c:ptCount val="2"/>
                <c:pt idx="0">
                  <c:v>-33.856693267822266</c:v>
                </c:pt>
                <c:pt idx="1">
                  <c:v>-11.708443641662598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C-4CCA-8B60-11CE4E8C0B60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2'!$F$12,'Tabla 2'!$S$12)</c:f>
              <c:numCache>
                <c:formatCode>0.0</c:formatCode>
                <c:ptCount val="2"/>
                <c:pt idx="0">
                  <c:v>-7.1208410263061523</c:v>
                </c:pt>
                <c:pt idx="1">
                  <c:v>-2.9429202079772949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C-4CCA-8B60-11CE4E8C0B60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2'!$F$13,'Tabla 2'!$S$13)</c:f>
              <c:numCache>
                <c:formatCode>0.0</c:formatCode>
                <c:ptCount val="2"/>
                <c:pt idx="0">
                  <c:v>23.576400756835938</c:v>
                </c:pt>
                <c:pt idx="1">
                  <c:v>11.998387336730957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C-4CCA-8B60-11CE4E8C0B6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Cartagena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2'!$G$11,'Tabla 2'!$T$11)</c:f>
              <c:numCache>
                <c:formatCode>0.0</c:formatCode>
                <c:ptCount val="2"/>
                <c:pt idx="0">
                  <c:v>-47.490570068359375</c:v>
                </c:pt>
                <c:pt idx="1">
                  <c:v>-22.941434860229492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0-48A2-A476-1C855A30F4E6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2'!$G$12,'Tabla 2'!$T$12)</c:f>
              <c:numCache>
                <c:formatCode>0.0</c:formatCode>
                <c:ptCount val="2"/>
                <c:pt idx="0">
                  <c:v>-2.7299661636352539</c:v>
                </c:pt>
                <c:pt idx="1">
                  <c:v>-1.7479519844055176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0-48A2-A476-1C855A30F4E6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2'!$G$13,'Tabla 2'!$T$13)</c:f>
              <c:numCache>
                <c:formatCode>0.0</c:formatCode>
                <c:ptCount val="2"/>
                <c:pt idx="0">
                  <c:v>28.432363510131836</c:v>
                </c:pt>
                <c:pt idx="1">
                  <c:v>18.59544563293457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60-48A2-A476-1C855A30F4E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Cúcuta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2'!$H$11,'Tabla 2'!$U$11)</c:f>
              <c:numCache>
                <c:formatCode>0.0</c:formatCode>
                <c:ptCount val="2"/>
                <c:pt idx="0">
                  <c:v>-42.489086151123047</c:v>
                </c:pt>
                <c:pt idx="1">
                  <c:v>-20.826000213623047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1-4496-843C-DEB4C08AF3C9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2'!$H$12,'Tabla 2'!$U$12)</c:f>
              <c:numCache>
                <c:formatCode>0.0</c:formatCode>
                <c:ptCount val="2"/>
                <c:pt idx="0">
                  <c:v>-4.0990085601806641</c:v>
                </c:pt>
                <c:pt idx="1">
                  <c:v>-1.3596664667129517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71-4496-843C-DEB4C08AF3C9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2'!$H$13,'Tabla 2'!$U$13)</c:f>
              <c:numCache>
                <c:formatCode>0.0</c:formatCode>
                <c:ptCount val="2"/>
                <c:pt idx="0">
                  <c:v>29.913852691650391</c:v>
                </c:pt>
                <c:pt idx="1">
                  <c:v>18.095661163330078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71-4496-843C-DEB4C08AF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Ibagué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2'!$I$11,'Tabla 2'!$V$11)</c:f>
              <c:numCache>
                <c:formatCode>0.0</c:formatCode>
                <c:ptCount val="2"/>
                <c:pt idx="0">
                  <c:v>-42.290733337402344</c:v>
                </c:pt>
                <c:pt idx="1">
                  <c:v>-15.910548210144043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E-4BB5-8595-A292BE666498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2'!$I$12,'Tabla 2'!$V$12)</c:f>
              <c:numCache>
                <c:formatCode>0.0</c:formatCode>
                <c:ptCount val="2"/>
                <c:pt idx="0">
                  <c:v>-3.8775980472564697</c:v>
                </c:pt>
                <c:pt idx="1">
                  <c:v>-2.8664357662200928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3E-4BB5-8595-A292BE666498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2'!$I$13,'Tabla 2'!$V$13)</c:f>
              <c:numCache>
                <c:formatCode>0.0</c:formatCode>
                <c:ptCount val="2"/>
                <c:pt idx="0">
                  <c:v>26.135261535644531</c:v>
                </c:pt>
                <c:pt idx="1">
                  <c:v>13.341602325439453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3E-4BB5-8595-A292BE66649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Manizales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2'!$J$11,'Tabla 2'!$W$11)</c:f>
              <c:numCache>
                <c:formatCode>0.0</c:formatCode>
                <c:ptCount val="2"/>
                <c:pt idx="0">
                  <c:v>-44.974166870117188</c:v>
                </c:pt>
                <c:pt idx="1">
                  <c:v>-15.042295455932617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6-444F-85FD-331A77C0EDDE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2'!$J$12,'Tabla 2'!$W$12)</c:f>
              <c:numCache>
                <c:formatCode>0.0</c:formatCode>
                <c:ptCount val="2"/>
                <c:pt idx="0">
                  <c:v>-3.9919342994689941</c:v>
                </c:pt>
                <c:pt idx="1">
                  <c:v>-2.2927844524383545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6-444F-85FD-331A77C0EDDE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2'!$J$13,'Tabla 2'!$W$13)</c:f>
              <c:numCache>
                <c:formatCode>0.0</c:formatCode>
                <c:ptCount val="2"/>
                <c:pt idx="0">
                  <c:v>23.836164474487305</c:v>
                </c:pt>
                <c:pt idx="1">
                  <c:v>12.17466926574707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6-444F-85FD-331A77C0ED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Medellín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2'!$K$11,'Tabla 2'!$X$11)</c:f>
              <c:numCache>
                <c:formatCode>0.0</c:formatCode>
                <c:ptCount val="2"/>
                <c:pt idx="0">
                  <c:v>-39.436557769775391</c:v>
                </c:pt>
                <c:pt idx="1">
                  <c:v>-13.914971351623535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1-4A6E-957C-C7F6553F8635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2'!$K$12,'Tabla 2'!$X$12)</c:f>
              <c:numCache>
                <c:formatCode>0.0</c:formatCode>
                <c:ptCount val="2"/>
                <c:pt idx="0">
                  <c:v>-6.8761115074157715</c:v>
                </c:pt>
                <c:pt idx="1">
                  <c:v>-3.7562811374664307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1-4A6E-957C-C7F6553F8635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2'!$K$13,'Tabla 2'!$X$13)</c:f>
              <c:numCache>
                <c:formatCode>0.0</c:formatCode>
                <c:ptCount val="2"/>
                <c:pt idx="0">
                  <c:v>24.049289703369141</c:v>
                </c:pt>
                <c:pt idx="1">
                  <c:v>12.480342864990234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1-4A6E-957C-C7F6553F86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Montería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2'!$L$11,'Tabla 2'!$Y$11)</c:f>
              <c:numCache>
                <c:formatCode>0.0</c:formatCode>
                <c:ptCount val="2"/>
                <c:pt idx="0">
                  <c:v>-42.20916748046875</c:v>
                </c:pt>
                <c:pt idx="1">
                  <c:v>-18.353372573852539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C-4A43-8810-6870C160ACAE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2'!$L$12,'Tabla 2'!$Y$12)</c:f>
              <c:numCache>
                <c:formatCode>0.0</c:formatCode>
                <c:ptCount val="2"/>
                <c:pt idx="0">
                  <c:v>-7.8049206733703613</c:v>
                </c:pt>
                <c:pt idx="1">
                  <c:v>-4.1916961669921875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C-4A43-8810-6870C160ACAE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2'!$L$13,'Tabla 2'!$Y$13)</c:f>
              <c:numCache>
                <c:formatCode>0.0</c:formatCode>
                <c:ptCount val="2"/>
                <c:pt idx="0">
                  <c:v>28.850957870483398</c:v>
                </c:pt>
                <c:pt idx="1">
                  <c:v>16.946149826049805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C-4A43-8810-6870C160AC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Pasto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2'!$M$11,'Tabla 2'!$Z$11)</c:f>
              <c:numCache>
                <c:formatCode>0.0</c:formatCode>
                <c:ptCount val="2"/>
                <c:pt idx="0">
                  <c:v>-41.279193878173828</c:v>
                </c:pt>
                <c:pt idx="1">
                  <c:v>-20.701000213623047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4-417D-8F80-93BE31125140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2'!$M$12,'Tabla 2'!$Z$12)</c:f>
              <c:numCache>
                <c:formatCode>0.0</c:formatCode>
                <c:ptCount val="2"/>
                <c:pt idx="0">
                  <c:v>-2.8121097087860107</c:v>
                </c:pt>
                <c:pt idx="1">
                  <c:v>-2.292156457901001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4-417D-8F80-93BE31125140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2'!$M$13,'Tabla 2'!$Z$13)</c:f>
              <c:numCache>
                <c:formatCode>0.0</c:formatCode>
                <c:ptCount val="2"/>
                <c:pt idx="0">
                  <c:v>24.850698471069336</c:v>
                </c:pt>
                <c:pt idx="1">
                  <c:v>16.344640731811523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04-417D-8F80-93BE311251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Pereira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2'!$N$11,'Tabla 2'!$AA$11)</c:f>
              <c:numCache>
                <c:formatCode>0.0</c:formatCode>
                <c:ptCount val="2"/>
                <c:pt idx="0">
                  <c:v>-38.232215881347656</c:v>
                </c:pt>
                <c:pt idx="1">
                  <c:v>-11.25102710723877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2-42E0-99E6-351A15722F83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2'!$N$12,'Tabla 2'!$AA$12)</c:f>
              <c:numCache>
                <c:formatCode>0.0</c:formatCode>
                <c:ptCount val="2"/>
                <c:pt idx="0">
                  <c:v>-6.6737637519836426</c:v>
                </c:pt>
                <c:pt idx="1">
                  <c:v>-2.5303099155426025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52-42E0-99E6-351A15722F83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2'!$N$13,'Tabla 2'!$AA$13)</c:f>
              <c:numCache>
                <c:formatCode>0.0</c:formatCode>
                <c:ptCount val="2"/>
                <c:pt idx="0">
                  <c:v>27.423538208007813</c:v>
                </c:pt>
                <c:pt idx="1">
                  <c:v>11.481863975524902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52-42E0-99E6-351A15722F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Villavicencio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2'!$B$11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2'!$O$11,'Tabla 2'!$AB$11)</c:f>
              <c:numCache>
                <c:formatCode>0.0</c:formatCode>
                <c:ptCount val="2"/>
                <c:pt idx="0">
                  <c:v>-41.493389129638672</c:v>
                </c:pt>
                <c:pt idx="1">
                  <c:v>-16.255395889282227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1-43DF-9A7B-FB1AFE567907}"/>
            </c:ext>
          </c:extLst>
        </c:ser>
        <c:ser>
          <c:idx val="1"/>
          <c:order val="1"/>
          <c:tx>
            <c:strRef>
              <c:f>'Tabla 2'!$B$12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2'!$O$12,'Tabla 2'!$AB$12)</c:f>
              <c:numCache>
                <c:formatCode>0.0</c:formatCode>
                <c:ptCount val="2"/>
                <c:pt idx="0">
                  <c:v>0.42963105440139771</c:v>
                </c:pt>
                <c:pt idx="1">
                  <c:v>-2.4323258548974991E-2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1-43DF-9A7B-FB1AFE567907}"/>
            </c:ext>
          </c:extLst>
        </c:ser>
        <c:ser>
          <c:idx val="2"/>
          <c:order val="2"/>
          <c:tx>
            <c:strRef>
              <c:f>'Tabla 2'!$B$13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2'!$O$13,'Tabla 2'!$AB$13)</c:f>
              <c:numCache>
                <c:formatCode>0.0</c:formatCode>
                <c:ptCount val="2"/>
                <c:pt idx="0">
                  <c:v>25.196369171142578</c:v>
                </c:pt>
                <c:pt idx="1">
                  <c:v>12.720038414001465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B1-43DF-9A7B-FB1AFE5679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Barranquilla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2'!$C$26,'Tabla 2'!$P$26)</c:f>
              <c:numCache>
                <c:formatCode>0.0</c:formatCode>
                <c:ptCount val="2"/>
                <c:pt idx="0">
                  <c:v>-20.747491836547852</c:v>
                </c:pt>
                <c:pt idx="1">
                  <c:v>-5.6826400756835938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3C-4477-B82D-7DA21B175405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2'!$C$27,'Tabla 2'!$P$27)</c:f>
              <c:numCache>
                <c:formatCode>0.0</c:formatCode>
                <c:ptCount val="2"/>
                <c:pt idx="0">
                  <c:v>-5.535797119140625</c:v>
                </c:pt>
                <c:pt idx="1">
                  <c:v>-2.039118766784668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3C-4477-B82D-7DA21B175405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2'!$C$28,'Tabla 2'!$P$28)</c:f>
              <c:numCache>
                <c:formatCode>0.0</c:formatCode>
                <c:ptCount val="2"/>
                <c:pt idx="0">
                  <c:v>15.867874145507813</c:v>
                </c:pt>
                <c:pt idx="1">
                  <c:v>5.9407367706298828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3C-4477-B82D-7DA21B1754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Barranquilla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2'!$C$41,'Tabla 2'!$P$41)</c:f>
              <c:numCache>
                <c:formatCode>0.0</c:formatCode>
                <c:ptCount val="2"/>
                <c:pt idx="0">
                  <c:v>-12.383604049682617</c:v>
                </c:pt>
                <c:pt idx="1">
                  <c:v>-2.6431818008422852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3-452A-9345-2CB70F862B03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2'!$C$42,'Tabla 2'!$P$42)</c:f>
              <c:numCache>
                <c:formatCode>0.0</c:formatCode>
                <c:ptCount val="2"/>
                <c:pt idx="0">
                  <c:v>-3.6959981918334961</c:v>
                </c:pt>
                <c:pt idx="1">
                  <c:v>-1.0913898944854736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3-452A-9345-2CB70F862B03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2'!$C$43,'Tabla 2'!$P$43)</c:f>
              <c:numCache>
                <c:formatCode>0.0</c:formatCode>
                <c:ptCount val="2"/>
                <c:pt idx="0">
                  <c:v>10.266332626342773</c:v>
                </c:pt>
                <c:pt idx="1">
                  <c:v>2.9118802547454834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B3-452A-9345-2CB70F862B0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Bogotá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2'!$D$26,'Tabla 2'!$Q$26)</c:f>
              <c:numCache>
                <c:formatCode>0.0</c:formatCode>
                <c:ptCount val="2"/>
                <c:pt idx="0">
                  <c:v>-14.940985679626465</c:v>
                </c:pt>
                <c:pt idx="1">
                  <c:v>-3.8329331874847412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D-4F3B-B28C-3982DD424AA4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2'!$D$27,'Tabla 2'!$Q$27)</c:f>
              <c:numCache>
                <c:formatCode>0.0</c:formatCode>
                <c:ptCount val="2"/>
                <c:pt idx="0">
                  <c:v>-3.9994463920593262</c:v>
                </c:pt>
                <c:pt idx="1">
                  <c:v>-1.4501956701278687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FD-4F3B-B28C-3982DD424AA4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2'!$D$28,'Tabla 2'!$Q$28)</c:f>
              <c:numCache>
                <c:formatCode>0.0</c:formatCode>
                <c:ptCount val="2"/>
                <c:pt idx="0">
                  <c:v>10.685257911682129</c:v>
                </c:pt>
                <c:pt idx="1">
                  <c:v>3.7331016063690186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FD-4F3B-B28C-3982DD424A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Bucaramanga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2'!$E$26,'Tabla 2'!$R$26)</c:f>
              <c:numCache>
                <c:formatCode>0.0</c:formatCode>
                <c:ptCount val="2"/>
                <c:pt idx="0">
                  <c:v>-19.59821891784668</c:v>
                </c:pt>
                <c:pt idx="1">
                  <c:v>-4.6706385612487793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0-4CF3-802F-E42277DED3B9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2'!$E$27,'Tabla 2'!$R$27)</c:f>
              <c:numCache>
                <c:formatCode>0.0</c:formatCode>
                <c:ptCount val="2"/>
                <c:pt idx="0">
                  <c:v>-3.0576138496398926</c:v>
                </c:pt>
                <c:pt idx="1">
                  <c:v>-1.36647629737854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0-4CF3-802F-E42277DED3B9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2'!$E$28,'Tabla 2'!$R$28)</c:f>
              <c:numCache>
                <c:formatCode>0.0</c:formatCode>
                <c:ptCount val="2"/>
                <c:pt idx="0">
                  <c:v>14.67153263092041</c:v>
                </c:pt>
                <c:pt idx="1">
                  <c:v>4.5862421989440918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B0-4CF3-802F-E42277DED3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2'!$F$26,'Tabla 2'!$S$26)</c:f>
              <c:numCache>
                <c:formatCode>0.0</c:formatCode>
                <c:ptCount val="2"/>
                <c:pt idx="0">
                  <c:v>-15.221504211425781</c:v>
                </c:pt>
                <c:pt idx="1">
                  <c:v>-3.9766590595245361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5-4CEC-B9FC-EFF01A8BE932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2'!$F$27,'Tabla 2'!$S$27)</c:f>
              <c:numCache>
                <c:formatCode>0.0</c:formatCode>
                <c:ptCount val="2"/>
                <c:pt idx="0">
                  <c:v>-3.5335862636566162</c:v>
                </c:pt>
                <c:pt idx="1">
                  <c:v>-0.92816299200057983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F5-4CEC-B9FC-EFF01A8BE932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2'!$F$28,'Tabla 2'!$S$28)</c:f>
              <c:numCache>
                <c:formatCode>0.0</c:formatCode>
                <c:ptCount val="2"/>
                <c:pt idx="0">
                  <c:v>11.907493591308594</c:v>
                </c:pt>
                <c:pt idx="1">
                  <c:v>4.1983942985534668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F5-4CEC-B9FC-EFF01A8BE9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Cartagena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2'!$G$26,'Tabla 2'!$T$26)</c:f>
              <c:numCache>
                <c:formatCode>0.0</c:formatCode>
                <c:ptCount val="2"/>
                <c:pt idx="0">
                  <c:v>-25.503250122070313</c:v>
                </c:pt>
                <c:pt idx="1">
                  <c:v>-7.7226953506469727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C-4391-9042-BC96D348C41D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2'!$G$27,'Tabla 2'!$T$27)</c:f>
              <c:numCache>
                <c:formatCode>0.0</c:formatCode>
                <c:ptCount val="2"/>
                <c:pt idx="0">
                  <c:v>-1.7577943801879883</c:v>
                </c:pt>
                <c:pt idx="1">
                  <c:v>-0.52606379985809326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C-4391-9042-BC96D348C41D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2'!$G$28,'Tabla 2'!$T$28)</c:f>
              <c:numCache>
                <c:formatCode>0.0</c:formatCode>
                <c:ptCount val="2"/>
                <c:pt idx="0">
                  <c:v>17.157709121704102</c:v>
                </c:pt>
                <c:pt idx="1">
                  <c:v>6.8331727981567383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C-4391-9042-BC96D348C4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Cúcuta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2'!$H$26,'Tabla 2'!$U$26)</c:f>
              <c:numCache>
                <c:formatCode>0.0</c:formatCode>
                <c:ptCount val="2"/>
                <c:pt idx="0">
                  <c:v>-23.642055511474609</c:v>
                </c:pt>
                <c:pt idx="1">
                  <c:v>-7.1669306755065918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9-4300-BFDD-0D50AFAB34E0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2'!$H$27,'Tabla 2'!$U$27)</c:f>
              <c:numCache>
                <c:formatCode>0.0</c:formatCode>
                <c:ptCount val="2"/>
                <c:pt idx="0">
                  <c:v>-2.028484582901001</c:v>
                </c:pt>
                <c:pt idx="1">
                  <c:v>-5.5813297629356384E-2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9-4300-BFDD-0D50AFAB34E0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2'!$H$28,'Tabla 2'!$U$28)</c:f>
              <c:numCache>
                <c:formatCode>0.0</c:formatCode>
                <c:ptCount val="2"/>
                <c:pt idx="0">
                  <c:v>18.078912734985352</c:v>
                </c:pt>
                <c:pt idx="1">
                  <c:v>6.5418300628662109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9-4300-BFDD-0D50AFAB34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Ibagué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2'!$I$26,'Tabla 2'!$V$26)</c:f>
              <c:numCache>
                <c:formatCode>0.0</c:formatCode>
                <c:ptCount val="2"/>
                <c:pt idx="0">
                  <c:v>-20.42234992980957</c:v>
                </c:pt>
                <c:pt idx="1">
                  <c:v>-5.4818716049194336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45-4C26-924B-42A2C48A77E3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2'!$I$27,'Tabla 2'!$V$27)</c:f>
              <c:numCache>
                <c:formatCode>0.0</c:formatCode>
                <c:ptCount val="2"/>
                <c:pt idx="0">
                  <c:v>-2.6534314155578613</c:v>
                </c:pt>
                <c:pt idx="1">
                  <c:v>-1.1702322959899902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45-4C26-924B-42A2C48A77E3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2'!$I$28,'Tabla 2'!$V$28)</c:f>
              <c:numCache>
                <c:formatCode>0.0</c:formatCode>
                <c:ptCount val="2"/>
                <c:pt idx="0">
                  <c:v>14.290945053100586</c:v>
                </c:pt>
                <c:pt idx="1">
                  <c:v>4.8654170036315918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45-4C26-924B-42A2C48A77E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Manizales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2'!$J$26,'Tabla 2'!$W$26)</c:f>
              <c:numCache>
                <c:formatCode>0.0</c:formatCode>
                <c:ptCount val="2"/>
                <c:pt idx="0">
                  <c:v>-20.736482620239258</c:v>
                </c:pt>
                <c:pt idx="1">
                  <c:v>-4.9350156784057617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1-4BDE-98BA-2644B0D16220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2'!$J$27,'Tabla 2'!$W$27)</c:f>
              <c:numCache>
                <c:formatCode>0.0</c:formatCode>
                <c:ptCount val="2"/>
                <c:pt idx="0">
                  <c:v>-2.417656421661377</c:v>
                </c:pt>
                <c:pt idx="1">
                  <c:v>-1.1069475412368774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1-4BDE-98BA-2644B0D16220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2'!$J$28,'Tabla 2'!$W$28)</c:f>
              <c:numCache>
                <c:formatCode>0.0</c:formatCode>
                <c:ptCount val="2"/>
                <c:pt idx="0">
                  <c:v>13.104601860046387</c:v>
                </c:pt>
                <c:pt idx="1">
                  <c:v>4.2615447044372559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F1-4BDE-98BA-2644B0D1622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Medellín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2'!$K$26,'Tabla 2'!$X$26)</c:f>
              <c:numCache>
                <c:formatCode>0.0</c:formatCode>
                <c:ptCount val="2"/>
                <c:pt idx="0">
                  <c:v>-18.605226516723633</c:v>
                </c:pt>
                <c:pt idx="1">
                  <c:v>-4.9356503486633301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4-423B-A015-1BB3DEF51DA7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2'!$K$27,'Tabla 2'!$X$27)</c:f>
              <c:numCache>
                <c:formatCode>0.0</c:formatCode>
                <c:ptCount val="2"/>
                <c:pt idx="0">
                  <c:v>-3.8245017528533936</c:v>
                </c:pt>
                <c:pt idx="1">
                  <c:v>-1.4568831920623779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4-423B-A015-1BB3DEF51DA7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2'!$K$28,'Tabla 2'!$X$28)</c:f>
              <c:numCache>
                <c:formatCode>0.0</c:formatCode>
                <c:ptCount val="2"/>
                <c:pt idx="0">
                  <c:v>13.202412605285645</c:v>
                </c:pt>
                <c:pt idx="1">
                  <c:v>4.5096755027770996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4-423B-A015-1BB3DEF51D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Pereira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2'!$N$26,'Tabla 2'!$AA$26)</c:f>
              <c:numCache>
                <c:formatCode>0.0</c:formatCode>
                <c:ptCount val="2"/>
                <c:pt idx="0">
                  <c:v>-16.724269866943359</c:v>
                </c:pt>
                <c:pt idx="1">
                  <c:v>-3.318742036819458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F-44B9-8372-30ECCE4E467A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2'!$N$27,'Tabla 2'!$AA$27)</c:f>
              <c:numCache>
                <c:formatCode>0.0</c:formatCode>
                <c:ptCount val="2"/>
                <c:pt idx="0">
                  <c:v>-3.1499607563018799</c:v>
                </c:pt>
                <c:pt idx="1">
                  <c:v>-0.79415255784988403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8F-44B9-8372-30ECCE4E467A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2'!$N$28,'Tabla 2'!$AA$28)</c:f>
              <c:numCache>
                <c:formatCode>0.0</c:formatCode>
                <c:ptCount val="2"/>
                <c:pt idx="0">
                  <c:v>13.559895515441895</c:v>
                </c:pt>
                <c:pt idx="1">
                  <c:v>3.5366182327270508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8F-44B9-8372-30ECCE4E46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Villavicencio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2'!$O$26,'Tabla 2'!$AB$26)</c:f>
              <c:numCache>
                <c:formatCode>0.0</c:formatCode>
                <c:ptCount val="2"/>
                <c:pt idx="0">
                  <c:v>-19.901372909545898</c:v>
                </c:pt>
                <c:pt idx="1">
                  <c:v>-5.6095294952392578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8-488F-8A34-ED21D0AFD0EB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2'!$O$27,'Tabla 2'!$AB$27)</c:f>
              <c:numCache>
                <c:formatCode>0.0</c:formatCode>
                <c:ptCount val="2"/>
                <c:pt idx="0">
                  <c:v>0.23954717814922333</c:v>
                </c:pt>
                <c:pt idx="1">
                  <c:v>0.26265928149223328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48-488F-8A34-ED21D0AFD0EB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2'!$O$28,'Tabla 2'!$AB$28)</c:f>
              <c:numCache>
                <c:formatCode>0.0</c:formatCode>
                <c:ptCount val="2"/>
                <c:pt idx="0">
                  <c:v>13.353823661804199</c:v>
                </c:pt>
                <c:pt idx="1">
                  <c:v>4.5848517417907715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48-488F-8A34-ED21D0AFD0E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Bogotá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2'!$D$41,'Tabla 2'!$Q$41)</c:f>
              <c:numCache>
                <c:formatCode>0.0</c:formatCode>
                <c:ptCount val="2"/>
                <c:pt idx="0">
                  <c:v>-8.5635108947753906</c:v>
                </c:pt>
                <c:pt idx="1">
                  <c:v>-1.9426475763320923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D-491A-89B4-20000E80E55C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2'!$D$42,'Tabla 2'!$Q$42)</c:f>
              <c:numCache>
                <c:formatCode>0.0</c:formatCode>
                <c:ptCount val="2"/>
                <c:pt idx="0">
                  <c:v>-2.6315584182739258</c:v>
                </c:pt>
                <c:pt idx="1">
                  <c:v>-0.84271353483200073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D-491A-89B4-20000E80E55C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2'!$D$43,'Tabla 2'!$Q$43)</c:f>
              <c:numCache>
                <c:formatCode>0.0</c:formatCode>
                <c:ptCount val="2"/>
                <c:pt idx="0">
                  <c:v>6.5423092842102051</c:v>
                </c:pt>
                <c:pt idx="1">
                  <c:v>1.9334784746170044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D-491A-89B4-20000E80E55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Bucaramanga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2'!$E$41,'Tabla 2'!$R$41)</c:f>
              <c:numCache>
                <c:formatCode>0.0</c:formatCode>
                <c:ptCount val="2"/>
                <c:pt idx="0">
                  <c:v>-11.252626419067383</c:v>
                </c:pt>
                <c:pt idx="1">
                  <c:v>-2.2161407470703125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D-424E-83E9-768A93C55B40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2'!$E$42,'Tabla 2'!$R$42)</c:f>
              <c:numCache>
                <c:formatCode>0.0</c:formatCode>
                <c:ptCount val="2"/>
                <c:pt idx="0">
                  <c:v>-2.1671140193939209</c:v>
                </c:pt>
                <c:pt idx="1">
                  <c:v>-0.76181215047836304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BD-424E-83E9-768A93C55B40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2'!$E$43,'Tabla 2'!$R$43)</c:f>
              <c:numCache>
                <c:formatCode>0.0</c:formatCode>
                <c:ptCount val="2"/>
                <c:pt idx="0">
                  <c:v>9.0507164001464844</c:v>
                </c:pt>
                <c:pt idx="1">
                  <c:v>2.2587723731994629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BD-424E-83E9-768A93C55B4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2'!$F$41,'Tabla 2'!$S$41)</c:f>
              <c:numCache>
                <c:formatCode>0.0</c:formatCode>
                <c:ptCount val="2"/>
                <c:pt idx="0">
                  <c:v>-8.6935710906982422</c:v>
                </c:pt>
                <c:pt idx="1">
                  <c:v>-1.9921684265136719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8-484C-A642-731406ADF7F8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2'!$F$42,'Tabla 2'!$S$42)</c:f>
              <c:numCache>
                <c:formatCode>0.0</c:formatCode>
                <c:ptCount val="2"/>
                <c:pt idx="0">
                  <c:v>-2.0676717758178711</c:v>
                </c:pt>
                <c:pt idx="1">
                  <c:v>-0.39745604991912842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8-484C-A642-731406ADF7F8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2'!$F$43,'Tabla 2'!$S$43)</c:f>
              <c:numCache>
                <c:formatCode>0.0</c:formatCode>
                <c:ptCount val="2"/>
                <c:pt idx="0">
                  <c:v>7.2594461441040039</c:v>
                </c:pt>
                <c:pt idx="1">
                  <c:v>2.1357376575469971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08-484C-A642-731406ADF7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Cartagena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2'!$G$41,'Tabla 2'!$T$41)</c:f>
              <c:numCache>
                <c:formatCode>0.0</c:formatCode>
                <c:ptCount val="2"/>
                <c:pt idx="0">
                  <c:v>-15.849269866943359</c:v>
                </c:pt>
                <c:pt idx="1">
                  <c:v>-3.643939733505249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0-4DD9-810D-9F33D361C034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2'!$G$42,'Tabla 2'!$T$42)</c:f>
              <c:numCache>
                <c:formatCode>0.0</c:formatCode>
                <c:ptCount val="2"/>
                <c:pt idx="0">
                  <c:v>-1.1470139026641846</c:v>
                </c:pt>
                <c:pt idx="1">
                  <c:v>-0.16591489315032959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0-4DD9-810D-9F33D361C034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2'!$G$43,'Tabla 2'!$T$43)</c:f>
              <c:numCache>
                <c:formatCode>0.0</c:formatCode>
                <c:ptCount val="2"/>
                <c:pt idx="0">
                  <c:v>11.607682228088379</c:v>
                </c:pt>
                <c:pt idx="1">
                  <c:v>3.3953025341033936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0-4DD9-810D-9F33D361C0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Cúcuta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2'!$H$41,'Tabla 2'!$U$41)</c:f>
              <c:numCache>
                <c:formatCode>0.0</c:formatCode>
                <c:ptCount val="2"/>
                <c:pt idx="0">
                  <c:v>-14.918577194213867</c:v>
                </c:pt>
                <c:pt idx="1">
                  <c:v>-3.559898853302002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E-4847-83C8-4DF1BCC509E1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2'!$H$42,'Tabla 2'!$U$42)</c:f>
              <c:numCache>
                <c:formatCode>0.0</c:formatCode>
                <c:ptCount val="2"/>
                <c:pt idx="0">
                  <c:v>-1.0177003145217896</c:v>
                </c:pt>
                <c:pt idx="1">
                  <c:v>0.21040976047515869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FE-4847-83C8-4DF1BCC509E1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2'!$H$43,'Tabla 2'!$U$43)</c:f>
              <c:numCache>
                <c:formatCode>0.0</c:formatCode>
                <c:ptCount val="2"/>
                <c:pt idx="0">
                  <c:v>12.103172302246094</c:v>
                </c:pt>
                <c:pt idx="1">
                  <c:v>3.292719841003418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FE-4847-83C8-4DF1BCC509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Ibagué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2'!$I$41,'Tabla 2'!$V$41)</c:f>
              <c:numCache>
                <c:formatCode>0.0</c:formatCode>
                <c:ptCount val="2"/>
                <c:pt idx="0">
                  <c:v>-12.168722152709961</c:v>
                </c:pt>
                <c:pt idx="1">
                  <c:v>-2.7414600849151611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D-40AD-A32B-5B8AD52BAD17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2'!$I$42,'Tabla 2'!$V$42)</c:f>
              <c:numCache>
                <c:formatCode>0.0</c:formatCode>
                <c:ptCount val="2"/>
                <c:pt idx="0">
                  <c:v>-1.9154376983642578</c:v>
                </c:pt>
                <c:pt idx="1">
                  <c:v>-0.65813738107681274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D-40AD-A32B-5B8AD52BAD17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2'!$I$43,'Tabla 2'!$V$43)</c:f>
              <c:numCache>
                <c:formatCode>0.0</c:formatCode>
                <c:ptCount val="2"/>
                <c:pt idx="0">
                  <c:v>9.0826950073242188</c:v>
                </c:pt>
                <c:pt idx="1">
                  <c:v>2.538388729095459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7D-40AD-A32B-5B8AD52BAD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Manizales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2'!$J$41,'Tabla 2'!$W$41)</c:f>
              <c:numCache>
                <c:formatCode>0.0</c:formatCode>
                <c:ptCount val="2"/>
                <c:pt idx="0">
                  <c:v>-12.054614067077637</c:v>
                </c:pt>
                <c:pt idx="1">
                  <c:v>-2.4410080909729004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F-48C6-86F2-C1334E318D3B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2'!$J$42,'Tabla 2'!$W$42)</c:f>
              <c:numCache>
                <c:formatCode>0.0</c:formatCode>
                <c:ptCount val="2"/>
                <c:pt idx="0">
                  <c:v>-1.7666342258453369</c:v>
                </c:pt>
                <c:pt idx="1">
                  <c:v>-0.70073127746582031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F-48C6-86F2-C1334E318D3B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2'!$J$43,'Tabla 2'!$W$43)</c:f>
              <c:numCache>
                <c:formatCode>0.0</c:formatCode>
                <c:ptCount val="2"/>
                <c:pt idx="0">
                  <c:v>8.3434267044067383</c:v>
                </c:pt>
                <c:pt idx="1">
                  <c:v>2.1540422439575195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F-48C6-86F2-C1334E318D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Medellín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2'!$K$41,'Tabla 2'!$X$41)</c:f>
              <c:numCache>
                <c:formatCode>0.0</c:formatCode>
                <c:ptCount val="2"/>
                <c:pt idx="0">
                  <c:v>-11.047764778137207</c:v>
                </c:pt>
                <c:pt idx="1">
                  <c:v>-2.5530333518981934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1-4373-86C6-F0A66EF2B0B1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2'!$K$42,'Tabla 2'!$X$42)</c:f>
              <c:numCache>
                <c:formatCode>0.0</c:formatCode>
                <c:ptCount val="2"/>
                <c:pt idx="0">
                  <c:v>-2.5589919090270996</c:v>
                </c:pt>
                <c:pt idx="1">
                  <c:v>-0.80140656232833862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1-4373-86C6-F0A66EF2B0B1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2'!$K$43,'Tabla 2'!$X$43)</c:f>
              <c:numCache>
                <c:formatCode>0.0</c:formatCode>
                <c:ptCount val="2"/>
                <c:pt idx="0">
                  <c:v>8.4620180130004883</c:v>
                </c:pt>
                <c:pt idx="1">
                  <c:v>2.3878078460693359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1-4373-86C6-F0A66EF2B0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Pereira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2'!$N$41,'Tabla 2'!$AA$41)</c:f>
              <c:numCache>
                <c:formatCode>0.0</c:formatCode>
                <c:ptCount val="2"/>
                <c:pt idx="0">
                  <c:v>-9.1974983215332031</c:v>
                </c:pt>
                <c:pt idx="1">
                  <c:v>-1.488020658493042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E-4781-BC1F-02B1616863A6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2'!$N$42,'Tabla 2'!$AA$42)</c:f>
              <c:numCache>
                <c:formatCode>0.0</c:formatCode>
                <c:ptCount val="2"/>
                <c:pt idx="0">
                  <c:v>-1.8487652540206909</c:v>
                </c:pt>
                <c:pt idx="1">
                  <c:v>-0.3379446268081665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E-4781-BC1F-02B1616863A6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2'!$N$43,'Tabla 2'!$AA$43)</c:f>
              <c:numCache>
                <c:formatCode>0.0</c:formatCode>
                <c:ptCount val="2"/>
                <c:pt idx="0">
                  <c:v>8.0463666915893555</c:v>
                </c:pt>
                <c:pt idx="1">
                  <c:v>1.6108498573303223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DE-4781-BC1F-02B1616863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Villavicencio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2'!$O$41,'Tabla 2'!$AB$41)</c:f>
              <c:numCache>
                <c:formatCode>0.0</c:formatCode>
                <c:ptCount val="2"/>
                <c:pt idx="0">
                  <c:v>-11.825645446777344</c:v>
                </c:pt>
                <c:pt idx="1">
                  <c:v>-2.8205521106719971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4-4C54-AEAA-7D4C5D73405B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2'!$O$42,'Tabla 2'!$AB$42)</c:f>
              <c:numCache>
                <c:formatCode>0.0</c:formatCode>
                <c:ptCount val="2"/>
                <c:pt idx="0">
                  <c:v>0.23327749967575073</c:v>
                </c:pt>
                <c:pt idx="1">
                  <c:v>0.32163739204406738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4-4C54-AEAA-7D4C5D73405B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2'!$O$43,'Tabla 2'!$AB$43)</c:f>
              <c:numCache>
                <c:formatCode>0.0</c:formatCode>
                <c:ptCount val="2"/>
                <c:pt idx="0">
                  <c:v>8.3841142654418945</c:v>
                </c:pt>
                <c:pt idx="1">
                  <c:v>2.3548803329467773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04-4C54-AEAA-7D4C5D7340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Pasto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2'!$M$26,'Tabla 2'!$Z$26)</c:f>
              <c:numCache>
                <c:formatCode>0.0</c:formatCode>
                <c:ptCount val="2"/>
                <c:pt idx="0">
                  <c:v>-22.532148361206055</c:v>
                </c:pt>
                <c:pt idx="1">
                  <c:v>-7.4187512397766113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4-47AD-BD47-6722F2D4CAC7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2'!$M$27,'Tabla 2'!$Z$27)</c:f>
              <c:numCache>
                <c:formatCode>0.0</c:formatCode>
                <c:ptCount val="2"/>
                <c:pt idx="0">
                  <c:v>-2.2379074096679688</c:v>
                </c:pt>
                <c:pt idx="1">
                  <c:v>-0.99092650413513184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4-47AD-BD47-6722F2D4CAC7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2'!$M$28,'Tabla 2'!$Z$28)</c:f>
              <c:numCache>
                <c:formatCode>0.0</c:formatCode>
                <c:ptCount val="2"/>
                <c:pt idx="0">
                  <c:v>14.543975830078125</c:v>
                </c:pt>
                <c:pt idx="1">
                  <c:v>6.4756169319152832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4-47AD-BD47-6722F2D4CA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Pasto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2'!$M$41,'Tabla 2'!$Z$41)</c:f>
              <c:numCache>
                <c:formatCode>0.0</c:formatCode>
                <c:ptCount val="2"/>
                <c:pt idx="0">
                  <c:v>-14.197834968566895</c:v>
                </c:pt>
                <c:pt idx="1">
                  <c:v>-3.6924412250518799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A-4742-ABB2-E458634706F1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2'!$M$42,'Tabla 2'!$Z$42)</c:f>
              <c:numCache>
                <c:formatCode>0.0</c:formatCode>
                <c:ptCount val="2"/>
                <c:pt idx="0">
                  <c:v>-1.663055419921875</c:v>
                </c:pt>
                <c:pt idx="1">
                  <c:v>-0.5510098934173584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BA-4742-ABB2-E458634706F1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2'!$M$43,'Tabla 2'!$Z$43)</c:f>
              <c:numCache>
                <c:formatCode>0.0</c:formatCode>
                <c:ptCount val="2"/>
                <c:pt idx="0">
                  <c:v>9.7984237670898438</c:v>
                </c:pt>
                <c:pt idx="1">
                  <c:v>3.3960208892822266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BA-4742-ABB2-E458634706F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Montería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2'!$B$26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2'!$L$26,'Tabla 2'!$Y$26)</c:f>
              <c:numCache>
                <c:formatCode>0.0</c:formatCode>
                <c:ptCount val="2"/>
                <c:pt idx="0">
                  <c:v>-22.353841781616211</c:v>
                </c:pt>
                <c:pt idx="1">
                  <c:v>-6.2724428176879883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2-400C-A4E6-DB37E13F3857}"/>
            </c:ext>
          </c:extLst>
        </c:ser>
        <c:ser>
          <c:idx val="1"/>
          <c:order val="1"/>
          <c:tx>
            <c:strRef>
              <c:f>'Tabla 2'!$B$27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2'!$L$27,'Tabla 2'!$Y$27)</c:f>
              <c:numCache>
                <c:formatCode>0.0</c:formatCode>
                <c:ptCount val="2"/>
                <c:pt idx="0">
                  <c:v>-4.6146597862243652</c:v>
                </c:pt>
                <c:pt idx="1">
                  <c:v>-1.4523211717605591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2-400C-A4E6-DB37E13F3857}"/>
            </c:ext>
          </c:extLst>
        </c:ser>
        <c:ser>
          <c:idx val="2"/>
          <c:order val="2"/>
          <c:tx>
            <c:strRef>
              <c:f>'Tabla 2'!$B$28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2'!$L$28,'Tabla 2'!$Y$28)</c:f>
              <c:numCache>
                <c:formatCode>0.0</c:formatCode>
                <c:ptCount val="2"/>
                <c:pt idx="0">
                  <c:v>17.181253433227539</c:v>
                </c:pt>
                <c:pt idx="1">
                  <c:v>6.1663823127746582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2-400C-A4E6-DB37E13F38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AR" sz="1000" b="1"/>
              <a:t>Montería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 2'!$B$41</c:f>
              <c:strCache>
                <c:ptCount val="1"/>
                <c:pt idx="0">
                  <c:v>Crecimiento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2'!$L$41,'Tabla 2'!$Y$41)</c:f>
              <c:numCache>
                <c:formatCode>0.0</c:formatCode>
                <c:ptCount val="2"/>
                <c:pt idx="0">
                  <c:v>-13.837668418884277</c:v>
                </c:pt>
                <c:pt idx="1">
                  <c:v>-3.0056560039520264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1-43DD-BF52-5AAEBFBB8C9A}"/>
            </c:ext>
          </c:extLst>
        </c:ser>
        <c:ser>
          <c:idx val="1"/>
          <c:order val="1"/>
          <c:tx>
            <c:strRef>
              <c:f>'Tabla 2'!$B$42</c:f>
              <c:strCache>
                <c:ptCount val="1"/>
                <c:pt idx="0">
                  <c:v>Redistribución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2'!$L$42,'Tabla 2'!$Y$42)</c:f>
              <c:numCache>
                <c:formatCode>0.0</c:formatCode>
                <c:ptCount val="2"/>
                <c:pt idx="0">
                  <c:v>-2.9570121765136719</c:v>
                </c:pt>
                <c:pt idx="1">
                  <c:v>-0.67109024524688721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11-43DD-BF52-5AAEBFBB8C9A}"/>
            </c:ext>
          </c:extLst>
        </c:ser>
        <c:ser>
          <c:idx val="2"/>
          <c:order val="2"/>
          <c:tx>
            <c:strRef>
              <c:f>'Tabla 2'!$B$43</c:f>
              <c:strCache>
                <c:ptCount val="1"/>
                <c:pt idx="0">
                  <c:v>Línea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Pobreza</c:v>
              </c:pt>
              <c:pt idx="1">
                <c:v>Pobreza extrema</c:v>
              </c:pt>
            </c:strLit>
          </c:cat>
          <c:val>
            <c:numRef>
              <c:f>('Tabla 2'!$L$43,'Tabla 2'!$Y$43)</c:f>
              <c:numCache>
                <c:formatCode>0.0</c:formatCode>
                <c:ptCount val="2"/>
                <c:pt idx="0">
                  <c:v>11.407583236694336</c:v>
                </c:pt>
                <c:pt idx="1">
                  <c:v>3.0469090938568115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11-43DD-BF52-5AAEBFBB8C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8224960"/>
        <c:axId val="418226272"/>
      </c:barChart>
      <c:catAx>
        <c:axId val="418224960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6272"/>
        <c:crosses val="autoZero"/>
        <c:auto val="1"/>
        <c:lblAlgn val="ctr"/>
        <c:lblOffset val="100"/>
        <c:noMultiLvlLbl val="0"/>
      </c:catAx>
      <c:valAx>
        <c:axId val="4182262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AR"/>
          </a:p>
        </c:txPr>
        <c:crossAx val="4182249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13" Type="http://schemas.openxmlformats.org/officeDocument/2006/relationships/chart" Target="../charts/chart19.xml"/><Relationship Id="rId18" Type="http://schemas.openxmlformats.org/officeDocument/2006/relationships/chart" Target="../charts/chart24.xml"/><Relationship Id="rId26" Type="http://schemas.openxmlformats.org/officeDocument/2006/relationships/chart" Target="../charts/chart32.xml"/><Relationship Id="rId39" Type="http://schemas.openxmlformats.org/officeDocument/2006/relationships/chart" Target="../charts/chart45.xml"/><Relationship Id="rId3" Type="http://schemas.openxmlformats.org/officeDocument/2006/relationships/chart" Target="../charts/chart9.xml"/><Relationship Id="rId21" Type="http://schemas.openxmlformats.org/officeDocument/2006/relationships/chart" Target="../charts/chart27.xml"/><Relationship Id="rId34" Type="http://schemas.openxmlformats.org/officeDocument/2006/relationships/chart" Target="../charts/chart40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17" Type="http://schemas.openxmlformats.org/officeDocument/2006/relationships/chart" Target="../charts/chart23.xml"/><Relationship Id="rId25" Type="http://schemas.openxmlformats.org/officeDocument/2006/relationships/chart" Target="../charts/chart31.xml"/><Relationship Id="rId33" Type="http://schemas.openxmlformats.org/officeDocument/2006/relationships/chart" Target="../charts/chart39.xml"/><Relationship Id="rId38" Type="http://schemas.openxmlformats.org/officeDocument/2006/relationships/chart" Target="../charts/chart44.xml"/><Relationship Id="rId2" Type="http://schemas.openxmlformats.org/officeDocument/2006/relationships/chart" Target="../charts/chart8.xml"/><Relationship Id="rId16" Type="http://schemas.openxmlformats.org/officeDocument/2006/relationships/chart" Target="../charts/chart22.xml"/><Relationship Id="rId20" Type="http://schemas.openxmlformats.org/officeDocument/2006/relationships/chart" Target="../charts/chart26.xml"/><Relationship Id="rId29" Type="http://schemas.openxmlformats.org/officeDocument/2006/relationships/chart" Target="../charts/chart35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24" Type="http://schemas.openxmlformats.org/officeDocument/2006/relationships/chart" Target="../charts/chart30.xml"/><Relationship Id="rId32" Type="http://schemas.openxmlformats.org/officeDocument/2006/relationships/chart" Target="../charts/chart38.xml"/><Relationship Id="rId37" Type="http://schemas.openxmlformats.org/officeDocument/2006/relationships/chart" Target="../charts/chart43.xml"/><Relationship Id="rId5" Type="http://schemas.openxmlformats.org/officeDocument/2006/relationships/chart" Target="../charts/chart11.xml"/><Relationship Id="rId15" Type="http://schemas.openxmlformats.org/officeDocument/2006/relationships/chart" Target="../charts/chart21.xml"/><Relationship Id="rId23" Type="http://schemas.openxmlformats.org/officeDocument/2006/relationships/chart" Target="../charts/chart29.xml"/><Relationship Id="rId28" Type="http://schemas.openxmlformats.org/officeDocument/2006/relationships/chart" Target="../charts/chart34.xml"/><Relationship Id="rId36" Type="http://schemas.openxmlformats.org/officeDocument/2006/relationships/chart" Target="../charts/chart42.xml"/><Relationship Id="rId10" Type="http://schemas.openxmlformats.org/officeDocument/2006/relationships/chart" Target="../charts/chart16.xml"/><Relationship Id="rId19" Type="http://schemas.openxmlformats.org/officeDocument/2006/relationships/chart" Target="../charts/chart25.xml"/><Relationship Id="rId31" Type="http://schemas.openxmlformats.org/officeDocument/2006/relationships/chart" Target="../charts/chart37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Relationship Id="rId14" Type="http://schemas.openxmlformats.org/officeDocument/2006/relationships/chart" Target="../charts/chart20.xml"/><Relationship Id="rId22" Type="http://schemas.openxmlformats.org/officeDocument/2006/relationships/chart" Target="../charts/chart28.xml"/><Relationship Id="rId27" Type="http://schemas.openxmlformats.org/officeDocument/2006/relationships/chart" Target="../charts/chart33.xml"/><Relationship Id="rId30" Type="http://schemas.openxmlformats.org/officeDocument/2006/relationships/chart" Target="../charts/chart36.xml"/><Relationship Id="rId35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188117</xdr:rowOff>
    </xdr:from>
    <xdr:to>
      <xdr:col>4</xdr:col>
      <xdr:colOff>250031</xdr:colOff>
      <xdr:row>59</xdr:row>
      <xdr:rowOff>73817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282481-A988-4A6E-99CF-3CA63CBB8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11906</xdr:colOff>
      <xdr:row>45</xdr:row>
      <xdr:rowOff>11905</xdr:rowOff>
    </xdr:from>
    <xdr:to>
      <xdr:col>9</xdr:col>
      <xdr:colOff>59531</xdr:colOff>
      <xdr:row>59</xdr:row>
      <xdr:rowOff>88105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0ADF39-0AB0-438C-932B-8E2F3B6C74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17858</xdr:colOff>
      <xdr:row>59</xdr:row>
      <xdr:rowOff>188118</xdr:rowOff>
    </xdr:from>
    <xdr:to>
      <xdr:col>4</xdr:col>
      <xdr:colOff>267889</xdr:colOff>
      <xdr:row>74</xdr:row>
      <xdr:rowOff>73818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AC9664-8549-4ED7-BAFA-6FDBC480B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5953</xdr:colOff>
      <xdr:row>59</xdr:row>
      <xdr:rowOff>188118</xdr:rowOff>
    </xdr:from>
    <xdr:to>
      <xdr:col>9</xdr:col>
      <xdr:colOff>53578</xdr:colOff>
      <xdr:row>74</xdr:row>
      <xdr:rowOff>73818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8F4820F-268A-4BFE-B443-E5399AA6F9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74</xdr:row>
      <xdr:rowOff>188117</xdr:rowOff>
    </xdr:from>
    <xdr:to>
      <xdr:col>4</xdr:col>
      <xdr:colOff>250031</xdr:colOff>
      <xdr:row>89</xdr:row>
      <xdr:rowOff>73817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0429D3B-CE52-4660-94B4-E7507A4B6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</xdr:colOff>
      <xdr:row>74</xdr:row>
      <xdr:rowOff>188118</xdr:rowOff>
    </xdr:from>
    <xdr:to>
      <xdr:col>9</xdr:col>
      <xdr:colOff>47627</xdr:colOff>
      <xdr:row>89</xdr:row>
      <xdr:rowOff>73818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CC0B980-1AD1-4AE1-A6A5-43C37E240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0</xdr:row>
      <xdr:rowOff>0</xdr:rowOff>
    </xdr:from>
    <xdr:to>
      <xdr:col>35</xdr:col>
      <xdr:colOff>0</xdr:colOff>
      <xdr:row>14</xdr:row>
      <xdr:rowOff>40481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40EF32-CA5C-4C23-91B8-CEAF162BC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36</xdr:col>
      <xdr:colOff>0</xdr:colOff>
      <xdr:row>0</xdr:row>
      <xdr:rowOff>0</xdr:rowOff>
    </xdr:from>
    <xdr:to>
      <xdr:col>42</xdr:col>
      <xdr:colOff>0</xdr:colOff>
      <xdr:row>14</xdr:row>
      <xdr:rowOff>40481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8313416-1B54-471A-96E2-AD26BB812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0</xdr:row>
      <xdr:rowOff>0</xdr:rowOff>
    </xdr:from>
    <xdr:to>
      <xdr:col>49</xdr:col>
      <xdr:colOff>0</xdr:colOff>
      <xdr:row>14</xdr:row>
      <xdr:rowOff>40481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70637EA-430A-46CB-9927-1C690D939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0</xdr:colOff>
      <xdr:row>0</xdr:row>
      <xdr:rowOff>0</xdr:rowOff>
    </xdr:from>
    <xdr:to>
      <xdr:col>56</xdr:col>
      <xdr:colOff>0</xdr:colOff>
      <xdr:row>14</xdr:row>
      <xdr:rowOff>40481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C84EC74-40C3-43E3-A631-61AA22852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57</xdr:col>
      <xdr:colOff>0</xdr:colOff>
      <xdr:row>0</xdr:row>
      <xdr:rowOff>0</xdr:rowOff>
    </xdr:from>
    <xdr:to>
      <xdr:col>63</xdr:col>
      <xdr:colOff>0</xdr:colOff>
      <xdr:row>14</xdr:row>
      <xdr:rowOff>40481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4C1DD8C-943B-43F8-8897-4F9F734ED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64</xdr:col>
      <xdr:colOff>0</xdr:colOff>
      <xdr:row>0</xdr:row>
      <xdr:rowOff>0</xdr:rowOff>
    </xdr:from>
    <xdr:to>
      <xdr:col>70</xdr:col>
      <xdr:colOff>0</xdr:colOff>
      <xdr:row>14</xdr:row>
      <xdr:rowOff>40481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B0198F3-82C4-499B-9A73-7034F17E2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71</xdr:col>
      <xdr:colOff>0</xdr:colOff>
      <xdr:row>0</xdr:row>
      <xdr:rowOff>0</xdr:rowOff>
    </xdr:from>
    <xdr:to>
      <xdr:col>77</xdr:col>
      <xdr:colOff>0</xdr:colOff>
      <xdr:row>14</xdr:row>
      <xdr:rowOff>40481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F640F0E-FB3F-4F4C-BDCD-81E1F4602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78</xdr:col>
      <xdr:colOff>0</xdr:colOff>
      <xdr:row>0</xdr:row>
      <xdr:rowOff>0</xdr:rowOff>
    </xdr:from>
    <xdr:to>
      <xdr:col>84</xdr:col>
      <xdr:colOff>0</xdr:colOff>
      <xdr:row>14</xdr:row>
      <xdr:rowOff>40481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FE4812D7-CFC0-4BC6-943D-B765A0208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85</xdr:col>
      <xdr:colOff>0</xdr:colOff>
      <xdr:row>0</xdr:row>
      <xdr:rowOff>0</xdr:rowOff>
    </xdr:from>
    <xdr:to>
      <xdr:col>91</xdr:col>
      <xdr:colOff>0</xdr:colOff>
      <xdr:row>14</xdr:row>
      <xdr:rowOff>40481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C54E210-D259-4772-ACDC-8911B462D0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92</xdr:col>
      <xdr:colOff>0</xdr:colOff>
      <xdr:row>0</xdr:row>
      <xdr:rowOff>0</xdr:rowOff>
    </xdr:from>
    <xdr:to>
      <xdr:col>98</xdr:col>
      <xdr:colOff>0</xdr:colOff>
      <xdr:row>14</xdr:row>
      <xdr:rowOff>40481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A18C959-7111-4188-B335-E92A49DD0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99</xdr:col>
      <xdr:colOff>0</xdr:colOff>
      <xdr:row>0</xdr:row>
      <xdr:rowOff>0</xdr:rowOff>
    </xdr:from>
    <xdr:to>
      <xdr:col>105</xdr:col>
      <xdr:colOff>0</xdr:colOff>
      <xdr:row>14</xdr:row>
      <xdr:rowOff>40481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8C64382B-E3C7-4D10-8221-33766CCD3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106</xdr:col>
      <xdr:colOff>0</xdr:colOff>
      <xdr:row>0</xdr:row>
      <xdr:rowOff>0</xdr:rowOff>
    </xdr:from>
    <xdr:to>
      <xdr:col>112</xdr:col>
      <xdr:colOff>0</xdr:colOff>
      <xdr:row>14</xdr:row>
      <xdr:rowOff>40481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4409FC6-AFB5-44C8-B0BC-07359B1E4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113</xdr:col>
      <xdr:colOff>0</xdr:colOff>
      <xdr:row>0</xdr:row>
      <xdr:rowOff>0</xdr:rowOff>
    </xdr:from>
    <xdr:to>
      <xdr:col>119</xdr:col>
      <xdr:colOff>0</xdr:colOff>
      <xdr:row>14</xdr:row>
      <xdr:rowOff>40481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BCCA967-D7AC-492D-81C1-E808B759F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29</xdr:col>
      <xdr:colOff>0</xdr:colOff>
      <xdr:row>15</xdr:row>
      <xdr:rowOff>0</xdr:rowOff>
    </xdr:from>
    <xdr:to>
      <xdr:col>35</xdr:col>
      <xdr:colOff>0</xdr:colOff>
      <xdr:row>29</xdr:row>
      <xdr:rowOff>40481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F87C5B9-E1AB-44CA-BCF3-D746610B1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29</xdr:col>
      <xdr:colOff>0</xdr:colOff>
      <xdr:row>30</xdr:row>
      <xdr:rowOff>0</xdr:rowOff>
    </xdr:from>
    <xdr:to>
      <xdr:col>35</xdr:col>
      <xdr:colOff>0</xdr:colOff>
      <xdr:row>44</xdr:row>
      <xdr:rowOff>40481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5A74FB5-113C-4605-8172-D0EA4C699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36</xdr:col>
      <xdr:colOff>0</xdr:colOff>
      <xdr:row>15</xdr:row>
      <xdr:rowOff>0</xdr:rowOff>
    </xdr:from>
    <xdr:to>
      <xdr:col>42</xdr:col>
      <xdr:colOff>0</xdr:colOff>
      <xdr:row>29</xdr:row>
      <xdr:rowOff>40481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634D3EB-75FD-44C9-B7B8-BD1BE4F41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43</xdr:col>
      <xdr:colOff>0</xdr:colOff>
      <xdr:row>15</xdr:row>
      <xdr:rowOff>0</xdr:rowOff>
    </xdr:from>
    <xdr:to>
      <xdr:col>49</xdr:col>
      <xdr:colOff>0</xdr:colOff>
      <xdr:row>29</xdr:row>
      <xdr:rowOff>40481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F41BFF2D-B99C-4218-99FC-AB83CA303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50</xdr:col>
      <xdr:colOff>0</xdr:colOff>
      <xdr:row>15</xdr:row>
      <xdr:rowOff>0</xdr:rowOff>
    </xdr:from>
    <xdr:to>
      <xdr:col>56</xdr:col>
      <xdr:colOff>0</xdr:colOff>
      <xdr:row>29</xdr:row>
      <xdr:rowOff>40481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7CDB216A-5FAB-4AB7-BCFD-131FDCECA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57</xdr:col>
      <xdr:colOff>0</xdr:colOff>
      <xdr:row>15</xdr:row>
      <xdr:rowOff>0</xdr:rowOff>
    </xdr:from>
    <xdr:to>
      <xdr:col>63</xdr:col>
      <xdr:colOff>0</xdr:colOff>
      <xdr:row>29</xdr:row>
      <xdr:rowOff>40481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A6693494-31C5-4DD0-99FF-220FC8822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64</xdr:col>
      <xdr:colOff>0</xdr:colOff>
      <xdr:row>15</xdr:row>
      <xdr:rowOff>0</xdr:rowOff>
    </xdr:from>
    <xdr:to>
      <xdr:col>70</xdr:col>
      <xdr:colOff>0</xdr:colOff>
      <xdr:row>29</xdr:row>
      <xdr:rowOff>40481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CBAB2FA-96EE-40FC-9CF9-410EF8C33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71</xdr:col>
      <xdr:colOff>0</xdr:colOff>
      <xdr:row>15</xdr:row>
      <xdr:rowOff>0</xdr:rowOff>
    </xdr:from>
    <xdr:to>
      <xdr:col>77</xdr:col>
      <xdr:colOff>0</xdr:colOff>
      <xdr:row>29</xdr:row>
      <xdr:rowOff>40481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4EF2CE6-C65D-44F6-95FD-F8B3D7BFD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78</xdr:col>
      <xdr:colOff>0</xdr:colOff>
      <xdr:row>15</xdr:row>
      <xdr:rowOff>0</xdr:rowOff>
    </xdr:from>
    <xdr:to>
      <xdr:col>84</xdr:col>
      <xdr:colOff>0</xdr:colOff>
      <xdr:row>29</xdr:row>
      <xdr:rowOff>40481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955EFA1F-39B9-455B-9E6D-E51A113307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85</xdr:col>
      <xdr:colOff>0</xdr:colOff>
      <xdr:row>15</xdr:row>
      <xdr:rowOff>0</xdr:rowOff>
    </xdr:from>
    <xdr:to>
      <xdr:col>91</xdr:col>
      <xdr:colOff>0</xdr:colOff>
      <xdr:row>29</xdr:row>
      <xdr:rowOff>40481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E28D5E32-53D7-4EFA-91B7-5D1368AE5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106</xdr:col>
      <xdr:colOff>0</xdr:colOff>
      <xdr:row>15</xdr:row>
      <xdr:rowOff>0</xdr:rowOff>
    </xdr:from>
    <xdr:to>
      <xdr:col>112</xdr:col>
      <xdr:colOff>0</xdr:colOff>
      <xdr:row>29</xdr:row>
      <xdr:rowOff>40481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B596DDA9-4D25-4AC1-BE91-1FAF9CD3F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113</xdr:col>
      <xdr:colOff>0</xdr:colOff>
      <xdr:row>15</xdr:row>
      <xdr:rowOff>0</xdr:rowOff>
    </xdr:from>
    <xdr:to>
      <xdr:col>119</xdr:col>
      <xdr:colOff>0</xdr:colOff>
      <xdr:row>29</xdr:row>
      <xdr:rowOff>40481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7770CF00-92E2-4CEC-81B5-5A5413B60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36</xdr:col>
      <xdr:colOff>0</xdr:colOff>
      <xdr:row>30</xdr:row>
      <xdr:rowOff>0</xdr:rowOff>
    </xdr:from>
    <xdr:to>
      <xdr:col>42</xdr:col>
      <xdr:colOff>0</xdr:colOff>
      <xdr:row>44</xdr:row>
      <xdr:rowOff>40481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D974BF2B-3E0B-4A37-B38C-865A1DDDC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43</xdr:col>
      <xdr:colOff>0</xdr:colOff>
      <xdr:row>30</xdr:row>
      <xdr:rowOff>0</xdr:rowOff>
    </xdr:from>
    <xdr:to>
      <xdr:col>49</xdr:col>
      <xdr:colOff>0</xdr:colOff>
      <xdr:row>44</xdr:row>
      <xdr:rowOff>40481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9E1FB1F2-509D-461C-B543-B2A65B57A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50</xdr:col>
      <xdr:colOff>0</xdr:colOff>
      <xdr:row>30</xdr:row>
      <xdr:rowOff>0</xdr:rowOff>
    </xdr:from>
    <xdr:to>
      <xdr:col>56</xdr:col>
      <xdr:colOff>0</xdr:colOff>
      <xdr:row>44</xdr:row>
      <xdr:rowOff>40481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BC4334F8-18C4-40DC-80EF-8E2C7072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57</xdr:col>
      <xdr:colOff>0</xdr:colOff>
      <xdr:row>30</xdr:row>
      <xdr:rowOff>0</xdr:rowOff>
    </xdr:from>
    <xdr:to>
      <xdr:col>63</xdr:col>
      <xdr:colOff>0</xdr:colOff>
      <xdr:row>44</xdr:row>
      <xdr:rowOff>40481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C8D3B966-BCA4-4F9E-8A10-9150EA4AC4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64</xdr:col>
      <xdr:colOff>0</xdr:colOff>
      <xdr:row>30</xdr:row>
      <xdr:rowOff>0</xdr:rowOff>
    </xdr:from>
    <xdr:to>
      <xdr:col>70</xdr:col>
      <xdr:colOff>0</xdr:colOff>
      <xdr:row>44</xdr:row>
      <xdr:rowOff>40481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5DCD5E0F-C519-48B8-97AC-7500A9823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71</xdr:col>
      <xdr:colOff>0</xdr:colOff>
      <xdr:row>30</xdr:row>
      <xdr:rowOff>0</xdr:rowOff>
    </xdr:from>
    <xdr:to>
      <xdr:col>77</xdr:col>
      <xdr:colOff>0</xdr:colOff>
      <xdr:row>44</xdr:row>
      <xdr:rowOff>40481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D2C5A0E-90D2-4C90-81BC-6EE8F69FD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78</xdr:col>
      <xdr:colOff>0</xdr:colOff>
      <xdr:row>30</xdr:row>
      <xdr:rowOff>0</xdr:rowOff>
    </xdr:from>
    <xdr:to>
      <xdr:col>84</xdr:col>
      <xdr:colOff>0</xdr:colOff>
      <xdr:row>44</xdr:row>
      <xdr:rowOff>40481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189B97AA-B1A8-43B0-AFE5-4B0997FEF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85</xdr:col>
      <xdr:colOff>0</xdr:colOff>
      <xdr:row>30</xdr:row>
      <xdr:rowOff>0</xdr:rowOff>
    </xdr:from>
    <xdr:to>
      <xdr:col>91</xdr:col>
      <xdr:colOff>0</xdr:colOff>
      <xdr:row>44</xdr:row>
      <xdr:rowOff>40481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3E993372-891C-43F7-A646-3E6B8ECCC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106</xdr:col>
      <xdr:colOff>0</xdr:colOff>
      <xdr:row>30</xdr:row>
      <xdr:rowOff>0</xdr:rowOff>
    </xdr:from>
    <xdr:to>
      <xdr:col>112</xdr:col>
      <xdr:colOff>0</xdr:colOff>
      <xdr:row>44</xdr:row>
      <xdr:rowOff>40481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9FEF9F26-7443-4429-A366-CEF82BEA9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113</xdr:col>
      <xdr:colOff>0</xdr:colOff>
      <xdr:row>30</xdr:row>
      <xdr:rowOff>0</xdr:rowOff>
    </xdr:from>
    <xdr:to>
      <xdr:col>119</xdr:col>
      <xdr:colOff>0</xdr:colOff>
      <xdr:row>44</xdr:row>
      <xdr:rowOff>40481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C47FA1BF-BD3C-4FFE-BC2D-26F770F55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99</xdr:col>
      <xdr:colOff>0</xdr:colOff>
      <xdr:row>15</xdr:row>
      <xdr:rowOff>0</xdr:rowOff>
    </xdr:from>
    <xdr:to>
      <xdr:col>105</xdr:col>
      <xdr:colOff>0</xdr:colOff>
      <xdr:row>29</xdr:row>
      <xdr:rowOff>40481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587DFA07-10E1-4FB3-9F17-EA97CA93F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99</xdr:col>
      <xdr:colOff>0</xdr:colOff>
      <xdr:row>30</xdr:row>
      <xdr:rowOff>0</xdr:rowOff>
    </xdr:from>
    <xdr:to>
      <xdr:col>105</xdr:col>
      <xdr:colOff>0</xdr:colOff>
      <xdr:row>44</xdr:row>
      <xdr:rowOff>40481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73C61177-EDE5-4649-BB9F-1B283E14FA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92</xdr:col>
      <xdr:colOff>0</xdr:colOff>
      <xdr:row>15</xdr:row>
      <xdr:rowOff>0</xdr:rowOff>
    </xdr:from>
    <xdr:to>
      <xdr:col>98</xdr:col>
      <xdr:colOff>0</xdr:colOff>
      <xdr:row>29</xdr:row>
      <xdr:rowOff>40481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B6810F70-A1E8-400F-AA6E-37B243FB6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92</xdr:col>
      <xdr:colOff>0</xdr:colOff>
      <xdr:row>30</xdr:row>
      <xdr:rowOff>0</xdr:rowOff>
    </xdr:from>
    <xdr:to>
      <xdr:col>98</xdr:col>
      <xdr:colOff>0</xdr:colOff>
      <xdr:row>44</xdr:row>
      <xdr:rowOff>40481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5EFB6826-427B-40C1-884E-F97661511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597B-9690-49F6-B1E2-0E815871524A}">
  <dimension ref="A1:U44"/>
  <sheetViews>
    <sheetView tabSelected="1" zoomScale="80" zoomScaleNormal="80" workbookViewId="0">
      <selection sqref="A1:A2"/>
    </sheetView>
  </sheetViews>
  <sheetFormatPr baseColWidth="10" defaultRowHeight="15" x14ac:dyDescent="0.25"/>
  <cols>
    <col min="1" max="1" width="11.42578125" style="1" customWidth="1"/>
    <col min="2" max="2" width="14.140625" style="1" customWidth="1"/>
    <col min="3" max="3" width="17.85546875" style="1" customWidth="1"/>
    <col min="4" max="4" width="21.42578125" style="1" customWidth="1"/>
    <col min="5" max="5" width="14.28515625" style="1" customWidth="1"/>
    <col min="6" max="6" width="14.42578125" style="1" customWidth="1"/>
    <col min="7" max="7" width="17.5703125" style="1" customWidth="1"/>
    <col min="8" max="8" width="21.42578125" style="1" customWidth="1"/>
    <col min="9" max="9" width="14.42578125" style="1" customWidth="1"/>
    <col min="10" max="10" width="14.28515625" style="1" customWidth="1"/>
    <col min="11" max="12" width="11.42578125" style="1"/>
    <col min="13" max="13" width="14.28515625" style="1" customWidth="1"/>
    <col min="14" max="14" width="17.85546875" style="1" customWidth="1"/>
    <col min="15" max="15" width="21.42578125" style="1" customWidth="1"/>
    <col min="16" max="16" width="14.42578125" style="1" customWidth="1"/>
    <col min="17" max="17" width="14.28515625" style="1" customWidth="1"/>
    <col min="18" max="18" width="17.85546875" style="1" customWidth="1"/>
    <col min="19" max="19" width="21.42578125" style="1" customWidth="1"/>
    <col min="20" max="21" width="14.28515625" style="1" customWidth="1"/>
    <col min="22" max="16384" width="11.42578125" style="1"/>
  </cols>
  <sheetData>
    <row r="1" spans="1:21" ht="15.75" thickBot="1" x14ac:dyDescent="0.3">
      <c r="A1" s="36" t="s">
        <v>26</v>
      </c>
      <c r="B1" s="34" t="s">
        <v>27</v>
      </c>
      <c r="C1" s="32" t="s">
        <v>4</v>
      </c>
      <c r="D1" s="32"/>
      <c r="E1" s="32"/>
      <c r="F1" s="33"/>
      <c r="G1" s="32" t="s">
        <v>5</v>
      </c>
      <c r="H1" s="32"/>
      <c r="I1" s="32"/>
      <c r="J1" s="33"/>
      <c r="L1" s="36" t="s">
        <v>26</v>
      </c>
      <c r="M1" s="34" t="s">
        <v>27</v>
      </c>
      <c r="N1" s="32" t="s">
        <v>4</v>
      </c>
      <c r="O1" s="32"/>
      <c r="P1" s="32"/>
      <c r="Q1" s="33"/>
      <c r="R1" s="32" t="s">
        <v>5</v>
      </c>
      <c r="S1" s="32"/>
      <c r="T1" s="32"/>
      <c r="U1" s="33"/>
    </row>
    <row r="2" spans="1:21" ht="15.75" thickBot="1" x14ac:dyDescent="0.3">
      <c r="A2" s="40"/>
      <c r="B2" s="35"/>
      <c r="C2" s="2" t="s">
        <v>0</v>
      </c>
      <c r="D2" s="2" t="s">
        <v>1</v>
      </c>
      <c r="E2" s="2" t="s">
        <v>2</v>
      </c>
      <c r="F2" s="5" t="s">
        <v>3</v>
      </c>
      <c r="G2" s="2" t="s">
        <v>0</v>
      </c>
      <c r="H2" s="2" t="s">
        <v>1</v>
      </c>
      <c r="I2" s="2" t="s">
        <v>2</v>
      </c>
      <c r="J2" s="5" t="s">
        <v>3</v>
      </c>
      <c r="L2" s="40"/>
      <c r="M2" s="35"/>
      <c r="N2" s="2" t="s">
        <v>0</v>
      </c>
      <c r="O2" s="2" t="s">
        <v>1</v>
      </c>
      <c r="P2" s="2" t="s">
        <v>2</v>
      </c>
      <c r="Q2" s="5" t="s">
        <v>3</v>
      </c>
      <c r="R2" s="2" t="s">
        <v>0</v>
      </c>
      <c r="S2" s="2" t="s">
        <v>1</v>
      </c>
      <c r="T2" s="2" t="s">
        <v>2</v>
      </c>
      <c r="U2" s="5" t="s">
        <v>3</v>
      </c>
    </row>
    <row r="3" spans="1:21" x14ac:dyDescent="0.25">
      <c r="A3" s="36" t="s">
        <v>19</v>
      </c>
      <c r="B3" s="8" t="s">
        <v>28</v>
      </c>
      <c r="C3" s="12">
        <v>-11.593679428100586</v>
      </c>
      <c r="D3" s="12">
        <v>-10.700777053833008</v>
      </c>
      <c r="E3" s="12">
        <v>-13.964231491088867</v>
      </c>
      <c r="F3" s="12">
        <v>-7.6033220291137695</v>
      </c>
      <c r="G3" s="14">
        <v>-6.4068355560302734</v>
      </c>
      <c r="H3" s="12">
        <v>-3.2267625331878662</v>
      </c>
      <c r="I3" s="12">
        <v>-9.2639350891113281</v>
      </c>
      <c r="J3" s="15">
        <v>-6.2563958168029785</v>
      </c>
      <c r="L3" s="36" t="s">
        <v>19</v>
      </c>
      <c r="M3" s="8" t="s">
        <v>28</v>
      </c>
      <c r="N3" s="23">
        <f t="shared" ref="N3:U3" si="0">C3/C$6</f>
        <v>2.6253693150958282</v>
      </c>
      <c r="O3" s="23">
        <f t="shared" si="0"/>
        <v>2.8937424383072821</v>
      </c>
      <c r="P3" s="23">
        <f t="shared" si="0"/>
        <v>2.7696647487078279</v>
      </c>
      <c r="Q3" s="24">
        <f t="shared" si="0"/>
        <v>1.6786947356585566</v>
      </c>
      <c r="R3" s="23">
        <f t="shared" si="0"/>
        <v>1.6681932966818387</v>
      </c>
      <c r="S3" s="23">
        <f t="shared" si="0"/>
        <v>1.7881790913676838</v>
      </c>
      <c r="T3" s="23">
        <f t="shared" si="0"/>
        <v>1.7475476905229359</v>
      </c>
      <c r="U3" s="24">
        <f t="shared" si="0"/>
        <v>1.2523369740084451</v>
      </c>
    </row>
    <row r="4" spans="1:21" x14ac:dyDescent="0.25">
      <c r="A4" s="37"/>
      <c r="B4" s="9" t="s">
        <v>29</v>
      </c>
      <c r="C4" s="12">
        <v>-1.0539979934692383</v>
      </c>
      <c r="D4" s="12">
        <v>-0.91520041227340698</v>
      </c>
      <c r="E4" s="12">
        <v>0.38986694812774658</v>
      </c>
      <c r="F4" s="16">
        <v>-5.3197340965270996</v>
      </c>
      <c r="G4" s="12">
        <v>-1.9845472574234009</v>
      </c>
      <c r="H4" s="12">
        <v>-1.0386769771575928</v>
      </c>
      <c r="I4" s="12">
        <v>-1.3484799861907959</v>
      </c>
      <c r="J4" s="16">
        <v>-5.9574708938598633</v>
      </c>
      <c r="L4" s="37"/>
      <c r="M4" s="9" t="s">
        <v>29</v>
      </c>
      <c r="N4" s="23">
        <f t="shared" ref="N4:U5" si="1">C4/C$6</f>
        <v>0.23867608272139848</v>
      </c>
      <c r="O4" s="23">
        <f t="shared" si="1"/>
        <v>0.24749177178710033</v>
      </c>
      <c r="P4" s="23">
        <f t="shared" si="1"/>
        <v>-7.7326184660057154E-2</v>
      </c>
      <c r="Q4" s="25">
        <f t="shared" si="1"/>
        <v>1.1745141911323544</v>
      </c>
      <c r="R4" s="23">
        <f t="shared" si="1"/>
        <v>0.51673067036440745</v>
      </c>
      <c r="S4" s="23">
        <f t="shared" si="1"/>
        <v>0.57560493966788595</v>
      </c>
      <c r="T4" s="23">
        <f t="shared" si="1"/>
        <v>0.25437711543919977</v>
      </c>
      <c r="U4" s="25">
        <f t="shared" si="1"/>
        <v>1.1925014481855944</v>
      </c>
    </row>
    <row r="5" spans="1:21" x14ac:dyDescent="0.25">
      <c r="A5" s="37"/>
      <c r="B5" s="9" t="s">
        <v>30</v>
      </c>
      <c r="C5" s="12">
        <v>8.231658935546875</v>
      </c>
      <c r="D5" s="12">
        <v>7.9180750846862793</v>
      </c>
      <c r="E5" s="12">
        <v>8.5325155258178711</v>
      </c>
      <c r="F5" s="16">
        <v>8.3937501907348633</v>
      </c>
      <c r="G5" s="12">
        <v>4.5507993698120117</v>
      </c>
      <c r="H5" s="12">
        <v>2.4609432220458984</v>
      </c>
      <c r="I5" s="12">
        <v>5.3113093376159668</v>
      </c>
      <c r="J5" s="16">
        <v>7.2180900573730469</v>
      </c>
      <c r="L5" s="37"/>
      <c r="M5" s="9" t="s">
        <v>30</v>
      </c>
      <c r="N5" s="23">
        <f t="shared" si="1"/>
        <v>-1.8640453978172267</v>
      </c>
      <c r="O5" s="23">
        <f t="shared" si="1"/>
        <v>-2.1412342100943822</v>
      </c>
      <c r="P5" s="23">
        <f t="shared" si="1"/>
        <v>-1.6923385640477708</v>
      </c>
      <c r="Q5" s="25">
        <f t="shared" si="1"/>
        <v>-1.8532089267909111</v>
      </c>
      <c r="R5" s="23">
        <f t="shared" si="1"/>
        <v>-1.1849239670462461</v>
      </c>
      <c r="S5" s="23">
        <f t="shared" si="1"/>
        <v>-1.3637840310355698</v>
      </c>
      <c r="T5" s="23">
        <f t="shared" si="1"/>
        <v>-1.0019248059621355</v>
      </c>
      <c r="U5" s="25">
        <f t="shared" si="1"/>
        <v>-1.4448384221940396</v>
      </c>
    </row>
    <row r="6" spans="1:21" x14ac:dyDescent="0.25">
      <c r="A6" s="38"/>
      <c r="B6" s="10" t="s">
        <v>31</v>
      </c>
      <c r="C6" s="17">
        <f>SUM(C3:C5)</f>
        <v>-4.4160184860229492</v>
      </c>
      <c r="D6" s="17">
        <f t="shared" ref="D6:F6" si="2">SUM(D3:D5)</f>
        <v>-3.6979023814201355</v>
      </c>
      <c r="E6" s="17">
        <f t="shared" si="2"/>
        <v>-5.0418490171432495</v>
      </c>
      <c r="F6" s="18">
        <f t="shared" si="2"/>
        <v>-4.5293059349060059</v>
      </c>
      <c r="G6" s="17">
        <f>SUM(G3:G5)</f>
        <v>-3.8405834436416626</v>
      </c>
      <c r="H6" s="17">
        <f t="shared" ref="H6:I6" si="3">SUM(H3:H5)</f>
        <v>-1.8044962882995605</v>
      </c>
      <c r="I6" s="17">
        <f t="shared" si="3"/>
        <v>-5.3011057376861572</v>
      </c>
      <c r="J6" s="18">
        <f t="shared" ref="J6" si="4">SUM(J3:J5)</f>
        <v>-4.9957766532897949</v>
      </c>
      <c r="L6" s="38"/>
      <c r="M6" s="10" t="s">
        <v>31</v>
      </c>
      <c r="N6" s="26">
        <f>SUM(N3:N5)</f>
        <v>1</v>
      </c>
      <c r="O6" s="26">
        <f t="shared" ref="O6:Q6" si="5">SUM(O3:O5)</f>
        <v>1</v>
      </c>
      <c r="P6" s="26">
        <f t="shared" si="5"/>
        <v>0.99999999999999978</v>
      </c>
      <c r="Q6" s="27">
        <f t="shared" si="5"/>
        <v>1</v>
      </c>
      <c r="R6" s="26">
        <f>SUM(R3:R5)</f>
        <v>1</v>
      </c>
      <c r="S6" s="26">
        <f t="shared" ref="S6" si="6">SUM(S3:S5)</f>
        <v>0.99999999999999978</v>
      </c>
      <c r="T6" s="26">
        <f t="shared" ref="T6" si="7">SUM(T3:T5)</f>
        <v>1</v>
      </c>
      <c r="U6" s="27">
        <f t="shared" ref="U6" si="8">SUM(U3:U5)</f>
        <v>1</v>
      </c>
    </row>
    <row r="7" spans="1:21" x14ac:dyDescent="0.25">
      <c r="A7" s="39" t="s">
        <v>20</v>
      </c>
      <c r="B7" s="9" t="s">
        <v>28</v>
      </c>
      <c r="C7" s="12">
        <v>-24.358137130737305</v>
      </c>
      <c r="D7" s="12">
        <v>-19.062793731689453</v>
      </c>
      <c r="E7" s="12">
        <v>-28.118227005004883</v>
      </c>
      <c r="F7" s="16">
        <v>-34.336124420166016</v>
      </c>
      <c r="G7" s="12">
        <v>-11.640584945678711</v>
      </c>
      <c r="H7" s="12">
        <v>-4.7091259956359863</v>
      </c>
      <c r="I7" s="12">
        <v>-15.376029014587402</v>
      </c>
      <c r="J7" s="16">
        <v>-25.77143669128418</v>
      </c>
      <c r="L7" s="39" t="s">
        <v>20</v>
      </c>
      <c r="M7" s="9" t="s">
        <v>28</v>
      </c>
      <c r="N7" s="23">
        <f t="shared" ref="N7:U9" si="9">C7/C$10</f>
        <v>1.6249113789661889</v>
      </c>
      <c r="O7" s="23">
        <f t="shared" si="9"/>
        <v>1.7750439791812636</v>
      </c>
      <c r="P7" s="23">
        <f t="shared" si="9"/>
        <v>1.751453848440075</v>
      </c>
      <c r="Q7" s="31">
        <f t="shared" si="9"/>
        <v>1.6327218092465954</v>
      </c>
      <c r="R7" s="23">
        <f t="shared" si="9"/>
        <v>1.2702843014589855</v>
      </c>
      <c r="S7" s="23">
        <f t="shared" si="9"/>
        <v>1.7291909163553449</v>
      </c>
      <c r="T7" s="23">
        <f t="shared" si="9"/>
        <v>1.3464992590173765</v>
      </c>
      <c r="U7" s="31">
        <f t="shared" si="9"/>
        <v>1.4647861809636029</v>
      </c>
    </row>
    <row r="8" spans="1:21" x14ac:dyDescent="0.25">
      <c r="A8" s="37"/>
      <c r="B8" s="9" t="s">
        <v>29</v>
      </c>
      <c r="C8" s="12">
        <v>-5.2866811752319336</v>
      </c>
      <c r="D8" s="12">
        <v>-4.9831924438476563</v>
      </c>
      <c r="E8" s="12">
        <v>-3.1002309322357178</v>
      </c>
      <c r="F8" s="16">
        <v>-2.7797598838806152</v>
      </c>
      <c r="G8" s="12">
        <v>-4.9822320938110352</v>
      </c>
      <c r="H8" s="12">
        <v>-1.7873193025588989</v>
      </c>
      <c r="I8" s="12">
        <v>-4.9161252975463867</v>
      </c>
      <c r="J8" s="16">
        <v>-4.3849954605102539</v>
      </c>
      <c r="L8" s="37"/>
      <c r="M8" s="9" t="s">
        <v>29</v>
      </c>
      <c r="N8" s="23">
        <f t="shared" si="9"/>
        <v>0.35267017147056712</v>
      </c>
      <c r="O8" s="23">
        <f t="shared" si="9"/>
        <v>0.4640130858599717</v>
      </c>
      <c r="P8" s="23">
        <f t="shared" si="9"/>
        <v>0.19311002064072946</v>
      </c>
      <c r="Q8" s="25">
        <f t="shared" si="9"/>
        <v>0.13218074734768567</v>
      </c>
      <c r="R8" s="23">
        <f t="shared" si="9"/>
        <v>0.54368841811018476</v>
      </c>
      <c r="S8" s="23">
        <f t="shared" si="9"/>
        <v>0.65630359125568871</v>
      </c>
      <c r="T8" s="23">
        <f t="shared" si="9"/>
        <v>0.43051161415621308</v>
      </c>
      <c r="U8" s="25">
        <f t="shared" si="9"/>
        <v>0.24923254497161254</v>
      </c>
    </row>
    <row r="9" spans="1:21" x14ac:dyDescent="0.25">
      <c r="A9" s="37"/>
      <c r="B9" s="9" t="s">
        <v>30</v>
      </c>
      <c r="C9" s="12">
        <v>14.654377937316895</v>
      </c>
      <c r="D9" s="12">
        <v>13.306650161743164</v>
      </c>
      <c r="E9" s="12">
        <v>15.164237022399902</v>
      </c>
      <c r="F9" s="16">
        <v>16.085893630981445</v>
      </c>
      <c r="G9" s="12">
        <v>7.4590535163879395</v>
      </c>
      <c r="H9" s="12">
        <v>3.7731335163116455</v>
      </c>
      <c r="I9" s="12">
        <v>8.8728914260864258</v>
      </c>
      <c r="J9" s="16">
        <v>12.562439918518066</v>
      </c>
      <c r="L9" s="37"/>
      <c r="M9" s="9" t="s">
        <v>30</v>
      </c>
      <c r="N9" s="23">
        <f t="shared" si="9"/>
        <v>-0.97758155043675599</v>
      </c>
      <c r="O9" s="23">
        <f t="shared" si="9"/>
        <v>-1.2390570650412351</v>
      </c>
      <c r="P9" s="23">
        <f t="shared" si="9"/>
        <v>-0.94456386908080447</v>
      </c>
      <c r="Q9" s="25">
        <f t="shared" si="9"/>
        <v>-0.76490255659428108</v>
      </c>
      <c r="R9" s="23">
        <f t="shared" si="9"/>
        <v>-0.81397271956917039</v>
      </c>
      <c r="S9" s="23">
        <f t="shared" si="9"/>
        <v>-1.3854945076110334</v>
      </c>
      <c r="T9" s="23">
        <f t="shared" si="9"/>
        <v>-0.77701087317358952</v>
      </c>
      <c r="U9" s="25">
        <f t="shared" si="9"/>
        <v>-0.71401872593521543</v>
      </c>
    </row>
    <row r="10" spans="1:21" x14ac:dyDescent="0.25">
      <c r="A10" s="38"/>
      <c r="B10" s="10" t="s">
        <v>31</v>
      </c>
      <c r="C10" s="17">
        <f>SUM(C7:C9)</f>
        <v>-14.990440368652344</v>
      </c>
      <c r="D10" s="17">
        <f t="shared" ref="D10" si="10">SUM(D7:D9)</f>
        <v>-10.739336013793945</v>
      </c>
      <c r="E10" s="17">
        <f t="shared" ref="E10" si="11">SUM(E7:E9)</f>
        <v>-16.054220914840698</v>
      </c>
      <c r="F10" s="18">
        <f t="shared" ref="F10" si="12">SUM(F7:F9)</f>
        <v>-21.029990673065186</v>
      </c>
      <c r="G10" s="17">
        <f>SUM(G7:G9)</f>
        <v>-9.1637635231018066</v>
      </c>
      <c r="H10" s="17">
        <f t="shared" ref="H10" si="13">SUM(H7:H9)</f>
        <v>-2.7233117818832397</v>
      </c>
      <c r="I10" s="17">
        <f t="shared" ref="I10" si="14">SUM(I7:I9)</f>
        <v>-11.419262886047363</v>
      </c>
      <c r="J10" s="18">
        <f t="shared" ref="J10" si="15">SUM(J7:J9)</f>
        <v>-17.593992233276367</v>
      </c>
      <c r="L10" s="38"/>
      <c r="M10" s="10" t="s">
        <v>31</v>
      </c>
      <c r="N10" s="26">
        <f>SUM(N7:N9)</f>
        <v>1</v>
      </c>
      <c r="O10" s="26">
        <f t="shared" ref="O10" si="16">SUM(O7:O9)</f>
        <v>1.0000000000000002</v>
      </c>
      <c r="P10" s="26">
        <f t="shared" ref="P10" si="17">SUM(P7:P9)</f>
        <v>1</v>
      </c>
      <c r="Q10" s="27">
        <f t="shared" ref="Q10" si="18">SUM(Q7:Q9)</f>
        <v>1</v>
      </c>
      <c r="R10" s="26">
        <f>SUM(R7:R9)</f>
        <v>0.99999999999999978</v>
      </c>
      <c r="S10" s="26">
        <f t="shared" ref="S10" si="19">SUM(S7:S9)</f>
        <v>1.0000000000000002</v>
      </c>
      <c r="T10" s="26">
        <f t="shared" ref="T10" si="20">SUM(T7:T9)</f>
        <v>1</v>
      </c>
      <c r="U10" s="27">
        <f t="shared" ref="U10" si="21">SUM(U7:U9)</f>
        <v>1</v>
      </c>
    </row>
    <row r="11" spans="1:21" x14ac:dyDescent="0.25">
      <c r="A11" s="39" t="s">
        <v>21</v>
      </c>
      <c r="B11" s="9" t="s">
        <v>28</v>
      </c>
      <c r="C11" s="12">
        <v>-43.387401580810547</v>
      </c>
      <c r="D11" s="12">
        <v>-37.790809631347656</v>
      </c>
      <c r="E11" s="12">
        <v>-48.848972320556641</v>
      </c>
      <c r="F11" s="16">
        <v>-46.143993377685547</v>
      </c>
      <c r="G11" s="12">
        <v>-24.864002227783203</v>
      </c>
      <c r="H11" s="12">
        <v>-14.008109092712402</v>
      </c>
      <c r="I11" s="12">
        <v>-31.795537948608398</v>
      </c>
      <c r="J11" s="16">
        <v>-37.101669311523438</v>
      </c>
      <c r="L11" s="39" t="s">
        <v>21</v>
      </c>
      <c r="M11" s="9" t="s">
        <v>28</v>
      </c>
      <c r="N11" s="23">
        <f t="shared" ref="N11:U13" si="22">C11/C$14</f>
        <v>1.9409301360317424</v>
      </c>
      <c r="O11" s="23">
        <f t="shared" si="22"/>
        <v>1.9165747471936387</v>
      </c>
      <c r="P11" s="23">
        <f t="shared" si="22"/>
        <v>2.0999298204811478</v>
      </c>
      <c r="Q11" s="31">
        <f t="shared" si="22"/>
        <v>1.8568145689006876</v>
      </c>
      <c r="R11" s="23">
        <f t="shared" si="22"/>
        <v>2.3935601051588269</v>
      </c>
      <c r="S11" s="23">
        <f t="shared" si="22"/>
        <v>3.05325736029712</v>
      </c>
      <c r="T11" s="23">
        <f t="shared" si="22"/>
        <v>2.6997643306413561</v>
      </c>
      <c r="U11" s="31">
        <f t="shared" si="22"/>
        <v>2.1274542038483628</v>
      </c>
    </row>
    <row r="12" spans="1:21" x14ac:dyDescent="0.25">
      <c r="A12" s="37"/>
      <c r="B12" s="9" t="s">
        <v>29</v>
      </c>
      <c r="C12" s="12">
        <v>-4.6706147193908691</v>
      </c>
      <c r="D12" s="12">
        <v>-6.3227577209472656</v>
      </c>
      <c r="E12" s="12">
        <v>-0.81654459238052368</v>
      </c>
      <c r="F12" s="16">
        <v>-5.7501511573791504</v>
      </c>
      <c r="G12" s="12">
        <v>-4.1657390594482422</v>
      </c>
      <c r="H12" s="12">
        <v>-3.1653573513031006</v>
      </c>
      <c r="I12" s="12">
        <v>-1.5430718660354614</v>
      </c>
      <c r="J12" s="16">
        <v>-6.2049288749694824</v>
      </c>
      <c r="L12" s="37"/>
      <c r="M12" s="9" t="s">
        <v>29</v>
      </c>
      <c r="N12" s="23">
        <f t="shared" si="22"/>
        <v>0.20893938176442009</v>
      </c>
      <c r="O12" s="23">
        <f t="shared" si="22"/>
        <v>0.32066097283449474</v>
      </c>
      <c r="P12" s="23">
        <f t="shared" si="22"/>
        <v>3.5101789410028394E-2</v>
      </c>
      <c r="Q12" s="25">
        <f t="shared" si="22"/>
        <v>0.2313836246250407</v>
      </c>
      <c r="R12" s="23">
        <f t="shared" si="22"/>
        <v>0.40101938255360858</v>
      </c>
      <c r="S12" s="23">
        <f t="shared" si="22"/>
        <v>0.68993256455039598</v>
      </c>
      <c r="T12" s="23">
        <f t="shared" si="22"/>
        <v>0.1310224846729183</v>
      </c>
      <c r="U12" s="25">
        <f t="shared" si="22"/>
        <v>0.35579806150484722</v>
      </c>
    </row>
    <row r="13" spans="1:21" x14ac:dyDescent="0.25">
      <c r="A13" s="37"/>
      <c r="B13" s="9" t="s">
        <v>30</v>
      </c>
      <c r="C13" s="12">
        <v>25.704093933105469</v>
      </c>
      <c r="D13" s="12">
        <v>24.39567756652832</v>
      </c>
      <c r="E13" s="12">
        <v>26.403324127197266</v>
      </c>
      <c r="F13" s="16">
        <v>27.042985916137695</v>
      </c>
      <c r="G13" s="12">
        <v>18.641866683959961</v>
      </c>
      <c r="H13" s="12">
        <v>12.585543632507324</v>
      </c>
      <c r="I13" s="12">
        <v>21.561456680297852</v>
      </c>
      <c r="J13" s="16">
        <v>25.867130279541016</v>
      </c>
      <c r="L13" s="37"/>
      <c r="M13" s="9" t="s">
        <v>30</v>
      </c>
      <c r="N13" s="23">
        <f t="shared" si="22"/>
        <v>-1.1498695177961624</v>
      </c>
      <c r="O13" s="23">
        <f t="shared" si="22"/>
        <v>-1.2372357200281334</v>
      </c>
      <c r="P13" s="23">
        <f t="shared" si="22"/>
        <v>-1.1350316098911764</v>
      </c>
      <c r="Q13" s="25">
        <f t="shared" si="22"/>
        <v>-1.0881981935257283</v>
      </c>
      <c r="R13" s="23">
        <f t="shared" si="22"/>
        <v>-1.7945794877124357</v>
      </c>
      <c r="S13" s="23">
        <f t="shared" si="22"/>
        <v>-2.743189924847516</v>
      </c>
      <c r="T13" s="23">
        <f t="shared" si="22"/>
        <v>-1.8307868153142743</v>
      </c>
      <c r="U13" s="25">
        <f t="shared" si="22"/>
        <v>-1.4832522653532101</v>
      </c>
    </row>
    <row r="14" spans="1:21" ht="15.75" thickBot="1" x14ac:dyDescent="0.3">
      <c r="A14" s="40"/>
      <c r="B14" s="11" t="s">
        <v>31</v>
      </c>
      <c r="C14" s="19">
        <f>SUM(C11:C13)</f>
        <v>-22.353922367095947</v>
      </c>
      <c r="D14" s="19">
        <f t="shared" ref="D14:F14" si="23">SUM(D11:D13)</f>
        <v>-19.717889785766602</v>
      </c>
      <c r="E14" s="19">
        <f t="shared" si="23"/>
        <v>-23.262192785739899</v>
      </c>
      <c r="F14" s="20">
        <f t="shared" si="23"/>
        <v>-24.851158618927002</v>
      </c>
      <c r="G14" s="19">
        <f>SUM(G11:G13)</f>
        <v>-10.387874603271484</v>
      </c>
      <c r="H14" s="19">
        <f t="shared" ref="H14" si="24">SUM(H11:H13)</f>
        <v>-4.5879228115081787</v>
      </c>
      <c r="I14" s="19">
        <f t="shared" ref="I14" si="25">SUM(I11:I13)</f>
        <v>-11.777153134346008</v>
      </c>
      <c r="J14" s="20">
        <f t="shared" ref="J14" si="26">SUM(J11:J13)</f>
        <v>-17.439467906951904</v>
      </c>
      <c r="L14" s="40"/>
      <c r="M14" s="11" t="s">
        <v>31</v>
      </c>
      <c r="N14" s="30">
        <f>SUM(N11:N13)</f>
        <v>1.0000000000000002</v>
      </c>
      <c r="O14" s="28">
        <f t="shared" ref="O14" si="27">SUM(O11:O13)</f>
        <v>1.0000000000000002</v>
      </c>
      <c r="P14" s="28">
        <f t="shared" ref="P14" si="28">SUM(P11:P13)</f>
        <v>1</v>
      </c>
      <c r="Q14" s="29">
        <f t="shared" ref="Q14" si="29">SUM(Q11:Q13)</f>
        <v>0.99999999999999978</v>
      </c>
      <c r="R14" s="28">
        <f>SUM(R11:R13)</f>
        <v>0.99999999999999978</v>
      </c>
      <c r="S14" s="28">
        <f t="shared" ref="S14" si="30">SUM(S11:S13)</f>
        <v>1</v>
      </c>
      <c r="T14" s="28">
        <f t="shared" ref="T14" si="31">SUM(T11:T13)</f>
        <v>1.0000000000000002</v>
      </c>
      <c r="U14" s="29">
        <f t="shared" ref="U14" si="32">SUM(U11:U13)</f>
        <v>0.99999999999999978</v>
      </c>
    </row>
    <row r="15" spans="1:21" ht="15.75" thickBot="1" x14ac:dyDescent="0.3"/>
    <row r="16" spans="1:21" ht="15.75" thickBot="1" x14ac:dyDescent="0.3">
      <c r="A16" s="36" t="s">
        <v>26</v>
      </c>
      <c r="B16" s="34" t="s">
        <v>27</v>
      </c>
      <c r="C16" s="32" t="s">
        <v>22</v>
      </c>
      <c r="D16" s="32"/>
      <c r="E16" s="32"/>
      <c r="F16" s="33"/>
      <c r="G16" s="32" t="s">
        <v>23</v>
      </c>
      <c r="H16" s="32"/>
      <c r="I16" s="32"/>
      <c r="J16" s="33"/>
      <c r="L16" s="36" t="s">
        <v>26</v>
      </c>
      <c r="M16" s="34" t="s">
        <v>27</v>
      </c>
      <c r="N16" s="32" t="s">
        <v>22</v>
      </c>
      <c r="O16" s="32"/>
      <c r="P16" s="32"/>
      <c r="Q16" s="33"/>
      <c r="R16" s="32" t="s">
        <v>23</v>
      </c>
      <c r="S16" s="32"/>
      <c r="T16" s="32"/>
      <c r="U16" s="33"/>
    </row>
    <row r="17" spans="1:21" ht="15.75" thickBot="1" x14ac:dyDescent="0.3">
      <c r="A17" s="40"/>
      <c r="B17" s="35"/>
      <c r="C17" s="2" t="s">
        <v>0</v>
      </c>
      <c r="D17" s="2" t="s">
        <v>1</v>
      </c>
      <c r="E17" s="2" t="s">
        <v>2</v>
      </c>
      <c r="F17" s="5" t="s">
        <v>3</v>
      </c>
      <c r="G17" s="2" t="s">
        <v>0</v>
      </c>
      <c r="H17" s="2" t="s">
        <v>1</v>
      </c>
      <c r="I17" s="2" t="s">
        <v>2</v>
      </c>
      <c r="J17" s="5" t="s">
        <v>3</v>
      </c>
      <c r="L17" s="40"/>
      <c r="M17" s="35"/>
      <c r="N17" s="2" t="s">
        <v>0</v>
      </c>
      <c r="O17" s="2" t="s">
        <v>1</v>
      </c>
      <c r="P17" s="2" t="s">
        <v>2</v>
      </c>
      <c r="Q17" s="5" t="s">
        <v>3</v>
      </c>
      <c r="R17" s="2" t="s">
        <v>0</v>
      </c>
      <c r="S17" s="2" t="s">
        <v>1</v>
      </c>
      <c r="T17" s="2" t="s">
        <v>2</v>
      </c>
      <c r="U17" s="5" t="s">
        <v>3</v>
      </c>
    </row>
    <row r="18" spans="1:21" x14ac:dyDescent="0.25">
      <c r="A18" s="36" t="s">
        <v>19</v>
      </c>
      <c r="B18" s="8" t="s">
        <v>28</v>
      </c>
      <c r="C18" s="12">
        <v>-6.6830816268920898</v>
      </c>
      <c r="D18" s="12">
        <v>-5.0606379508972168</v>
      </c>
      <c r="E18" s="12">
        <v>-9.2348394393920898</v>
      </c>
      <c r="F18" s="15">
        <v>-4.9735713005065918</v>
      </c>
      <c r="G18" s="12">
        <v>-2.5036404132843018</v>
      </c>
      <c r="H18" s="12">
        <v>-1.0252721309661865</v>
      </c>
      <c r="I18" s="12">
        <v>-3.3679664134979248</v>
      </c>
      <c r="J18" s="15">
        <v>-2.9259717464447021</v>
      </c>
      <c r="L18" s="36" t="s">
        <v>19</v>
      </c>
      <c r="M18" s="8" t="s">
        <v>28</v>
      </c>
      <c r="N18" s="23">
        <f t="shared" ref="N18:U20" si="33">C18/C$21</f>
        <v>2.0088298319178679</v>
      </c>
      <c r="O18" s="23">
        <f t="shared" si="33"/>
        <v>2.2929542511376337</v>
      </c>
      <c r="P18" s="23">
        <f t="shared" si="33"/>
        <v>2.1390172006311676</v>
      </c>
      <c r="Q18" s="24">
        <f t="shared" si="33"/>
        <v>1.282391801513272</v>
      </c>
      <c r="R18" s="23">
        <f t="shared" si="33"/>
        <v>1.3394678777331077</v>
      </c>
      <c r="S18" s="23">
        <f t="shared" si="33"/>
        <v>1.3318547689932918</v>
      </c>
      <c r="T18" s="23">
        <f t="shared" si="33"/>
        <v>1.4816208024489166</v>
      </c>
      <c r="U18" s="24">
        <f t="shared" si="33"/>
        <v>0.96706785124269767</v>
      </c>
    </row>
    <row r="19" spans="1:21" x14ac:dyDescent="0.25">
      <c r="A19" s="37"/>
      <c r="B19" s="9" t="s">
        <v>29</v>
      </c>
      <c r="C19" s="12">
        <v>-1.4188492298126221</v>
      </c>
      <c r="D19" s="12">
        <v>-0.87562078237533569</v>
      </c>
      <c r="E19" s="12">
        <v>-0.63904076814651489</v>
      </c>
      <c r="F19" s="16">
        <v>-4.5910153388977051</v>
      </c>
      <c r="G19" s="12">
        <v>-1.1895333528518677</v>
      </c>
      <c r="H19" s="12">
        <v>-0.52041184902191162</v>
      </c>
      <c r="I19" s="12">
        <v>-0.97623252868652344</v>
      </c>
      <c r="J19" s="16">
        <v>-3.4668111801147461</v>
      </c>
      <c r="L19" s="37"/>
      <c r="M19" s="9" t="s">
        <v>29</v>
      </c>
      <c r="N19" s="23">
        <f t="shared" si="33"/>
        <v>0.42648389155868499</v>
      </c>
      <c r="O19" s="23">
        <f t="shared" si="33"/>
        <v>0.39674017679451357</v>
      </c>
      <c r="P19" s="23">
        <f t="shared" si="33"/>
        <v>0.14801764599601211</v>
      </c>
      <c r="Q19" s="25">
        <f t="shared" si="33"/>
        <v>1.1837530972209875</v>
      </c>
      <c r="R19" s="23">
        <f t="shared" si="33"/>
        <v>0.63640996813399286</v>
      </c>
      <c r="S19" s="23">
        <f t="shared" si="33"/>
        <v>0.67602832655490253</v>
      </c>
      <c r="T19" s="23">
        <f t="shared" si="33"/>
        <v>0.42945987131357505</v>
      </c>
      <c r="U19" s="25">
        <f t="shared" si="33"/>
        <v>1.145821603606209</v>
      </c>
    </row>
    <row r="20" spans="1:21" x14ac:dyDescent="0.25">
      <c r="A20" s="37"/>
      <c r="B20" s="9" t="s">
        <v>30</v>
      </c>
      <c r="C20" s="12">
        <v>4.7750778198242188</v>
      </c>
      <c r="D20" s="12">
        <v>3.7292203903198242</v>
      </c>
      <c r="E20" s="12">
        <v>5.5565519332885742</v>
      </c>
      <c r="F20" s="16">
        <v>5.6862311363220215</v>
      </c>
      <c r="G20" s="12">
        <v>1.8240431547164917</v>
      </c>
      <c r="H20" s="12">
        <v>0.77587622404098511</v>
      </c>
      <c r="I20" s="12">
        <v>2.0710353851318359</v>
      </c>
      <c r="J20" s="16">
        <v>3.3671712875366211</v>
      </c>
      <c r="L20" s="37"/>
      <c r="M20" s="9" t="s">
        <v>30</v>
      </c>
      <c r="N20" s="23">
        <f t="shared" si="33"/>
        <v>-1.4353137234765529</v>
      </c>
      <c r="O20" s="23">
        <f t="shared" si="33"/>
        <v>-1.6896944279321471</v>
      </c>
      <c r="P20" s="23">
        <f t="shared" si="33"/>
        <v>-1.2870348466271797</v>
      </c>
      <c r="Q20" s="25">
        <f t="shared" si="33"/>
        <v>-1.4661448987342598</v>
      </c>
      <c r="R20" s="23">
        <f t="shared" si="33"/>
        <v>-0.97587784586710058</v>
      </c>
      <c r="S20" s="23">
        <f t="shared" si="33"/>
        <v>-1.0078830955481943</v>
      </c>
      <c r="T20" s="23">
        <f t="shared" si="33"/>
        <v>-0.91108067376249158</v>
      </c>
      <c r="U20" s="25">
        <f t="shared" si="33"/>
        <v>-1.1128894548489068</v>
      </c>
    </row>
    <row r="21" spans="1:21" x14ac:dyDescent="0.25">
      <c r="A21" s="38"/>
      <c r="B21" s="10" t="s">
        <v>31</v>
      </c>
      <c r="C21" s="17">
        <f>SUM(C18:C20)</f>
        <v>-3.3268530368804932</v>
      </c>
      <c r="D21" s="17">
        <f t="shared" ref="D21" si="34">SUM(D18:D20)</f>
        <v>-2.2070383429527283</v>
      </c>
      <c r="E21" s="17">
        <f t="shared" ref="E21" si="35">SUM(E18:E20)</f>
        <v>-4.3173282742500305</v>
      </c>
      <c r="F21" s="18">
        <f t="shared" ref="F21" si="36">SUM(F18:F20)</f>
        <v>-3.8783555030822754</v>
      </c>
      <c r="G21" s="17">
        <f>SUM(G18:G20)</f>
        <v>-1.8691306114196777</v>
      </c>
      <c r="H21" s="17">
        <f t="shared" ref="H21" si="37">SUM(H18:H20)</f>
        <v>-0.76980775594711304</v>
      </c>
      <c r="I21" s="17">
        <f t="shared" ref="I21" si="38">SUM(I18:I20)</f>
        <v>-2.2731635570526123</v>
      </c>
      <c r="J21" s="18">
        <f t="shared" ref="J21" si="39">SUM(J18:J20)</f>
        <v>-3.0256116390228271</v>
      </c>
      <c r="L21" s="38"/>
      <c r="M21" s="10" t="s">
        <v>31</v>
      </c>
      <c r="N21" s="26">
        <f>SUM(N18:N20)</f>
        <v>0.99999999999999978</v>
      </c>
      <c r="O21" s="26">
        <f t="shared" ref="O21" si="40">SUM(O18:O20)</f>
        <v>1.0000000000000002</v>
      </c>
      <c r="P21" s="26">
        <f t="shared" ref="P21" si="41">SUM(P18:P20)</f>
        <v>1</v>
      </c>
      <c r="Q21" s="27">
        <f t="shared" ref="Q21" si="42">SUM(Q18:Q20)</f>
        <v>0.99999999999999956</v>
      </c>
      <c r="R21" s="26">
        <f>SUM(R18:R20)</f>
        <v>0.99999999999999989</v>
      </c>
      <c r="S21" s="26">
        <f t="shared" ref="S21" si="43">SUM(S18:S20)</f>
        <v>1</v>
      </c>
      <c r="T21" s="26">
        <f t="shared" ref="T21" si="44">SUM(T18:T20)</f>
        <v>1</v>
      </c>
      <c r="U21" s="27">
        <f t="shared" ref="U21" si="45">SUM(U18:U20)</f>
        <v>0.99999999999999978</v>
      </c>
    </row>
    <row r="22" spans="1:21" x14ac:dyDescent="0.25">
      <c r="A22" s="39" t="s">
        <v>20</v>
      </c>
      <c r="B22" s="9" t="s">
        <v>28</v>
      </c>
      <c r="C22" s="12">
        <v>-12.127333641052246</v>
      </c>
      <c r="D22" s="12">
        <v>-7.5686335563659668</v>
      </c>
      <c r="E22" s="12">
        <v>-16.264871597290039</v>
      </c>
      <c r="F22" s="16">
        <v>-19.251232147216797</v>
      </c>
      <c r="G22" s="12">
        <v>-4.4196715354919434</v>
      </c>
      <c r="H22" s="12">
        <v>-1.4436695575714111</v>
      </c>
      <c r="I22" s="12">
        <v>-5.6758193969726563</v>
      </c>
      <c r="J22" s="16">
        <v>-11.13292121887207</v>
      </c>
      <c r="L22" s="39" t="s">
        <v>20</v>
      </c>
      <c r="M22" s="9" t="s">
        <v>28</v>
      </c>
      <c r="N22" s="23">
        <f t="shared" ref="N22:U24" si="46">C22/C$25</f>
        <v>1.4215656020060881</v>
      </c>
      <c r="O22" s="23">
        <f t="shared" si="46"/>
        <v>1.7448270752351369</v>
      </c>
      <c r="P22" s="23">
        <f t="shared" si="46"/>
        <v>1.4870688529558722</v>
      </c>
      <c r="Q22" s="25">
        <f t="shared" si="46"/>
        <v>1.4778709716858986</v>
      </c>
      <c r="R22" s="23">
        <f t="shared" si="46"/>
        <v>1.1068888424204868</v>
      </c>
      <c r="S22" s="23">
        <f t="shared" si="46"/>
        <v>1.7250375906862843</v>
      </c>
      <c r="T22" s="23">
        <f t="shared" si="46"/>
        <v>1.1662670859577813</v>
      </c>
      <c r="U22" s="25">
        <f t="shared" si="46"/>
        <v>1.3103360026723696</v>
      </c>
    </row>
    <row r="23" spans="1:21" x14ac:dyDescent="0.25">
      <c r="A23" s="37"/>
      <c r="B23" s="9" t="s">
        <v>29</v>
      </c>
      <c r="C23" s="12">
        <v>-3.9884676933288574</v>
      </c>
      <c r="D23" s="12">
        <v>-2.3064017295837402</v>
      </c>
      <c r="E23" s="12">
        <v>-3.6541190147399902</v>
      </c>
      <c r="F23" s="16">
        <v>-3.3281917572021484</v>
      </c>
      <c r="G23" s="12">
        <v>-2.5244743824005127</v>
      </c>
      <c r="H23" s="12">
        <v>-0.56202995777130127</v>
      </c>
      <c r="I23" s="12">
        <v>-2.7160863876342773</v>
      </c>
      <c r="J23" s="16">
        <v>-3.0382552146911621</v>
      </c>
      <c r="L23" s="37"/>
      <c r="M23" s="9" t="s">
        <v>29</v>
      </c>
      <c r="N23" s="23">
        <f t="shared" si="46"/>
        <v>0.46752803587062158</v>
      </c>
      <c r="O23" s="23">
        <f t="shared" si="46"/>
        <v>0.53170392702683422</v>
      </c>
      <c r="P23" s="23">
        <f t="shared" si="46"/>
        <v>0.33408973070030318</v>
      </c>
      <c r="Q23" s="25">
        <f t="shared" si="46"/>
        <v>0.25549730783774471</v>
      </c>
      <c r="R23" s="23">
        <f t="shared" si="46"/>
        <v>0.63224438839309549</v>
      </c>
      <c r="S23" s="23">
        <f t="shared" si="46"/>
        <v>0.67156836490912997</v>
      </c>
      <c r="T23" s="23">
        <f t="shared" si="46"/>
        <v>0.55810129515491447</v>
      </c>
      <c r="U23" s="25">
        <f t="shared" si="46"/>
        <v>0.35760023042004851</v>
      </c>
    </row>
    <row r="24" spans="1:21" x14ac:dyDescent="0.25">
      <c r="A24" s="37"/>
      <c r="B24" s="9" t="s">
        <v>30</v>
      </c>
      <c r="C24" s="12">
        <v>7.5848312377929688</v>
      </c>
      <c r="D24" s="12">
        <v>5.5372796058654785</v>
      </c>
      <c r="E24" s="12">
        <v>8.9814529418945313</v>
      </c>
      <c r="F24" s="16">
        <v>9.553095817565918</v>
      </c>
      <c r="G24" s="12">
        <v>2.9512684345245361</v>
      </c>
      <c r="H24" s="12">
        <v>1.1688078641891479</v>
      </c>
      <c r="I24" s="12">
        <v>3.5252509117126465</v>
      </c>
      <c r="J24" s="16">
        <v>5.6749424934387207</v>
      </c>
      <c r="L24" s="37"/>
      <c r="M24" s="9" t="s">
        <v>30</v>
      </c>
      <c r="N24" s="23">
        <f t="shared" si="46"/>
        <v>-0.88909363787670947</v>
      </c>
      <c r="O24" s="23">
        <f t="shared" si="46"/>
        <v>-1.2765310022619711</v>
      </c>
      <c r="P24" s="23">
        <f t="shared" si="46"/>
        <v>-0.82115858365617556</v>
      </c>
      <c r="Q24" s="25">
        <f t="shared" si="46"/>
        <v>-0.73336827952364336</v>
      </c>
      <c r="R24" s="23">
        <f t="shared" si="46"/>
        <v>-0.73913323081358229</v>
      </c>
      <c r="S24" s="23">
        <f t="shared" si="46"/>
        <v>-1.3966059555954142</v>
      </c>
      <c r="T24" s="23">
        <f t="shared" si="46"/>
        <v>-0.72436838111269564</v>
      </c>
      <c r="U24" s="25">
        <f t="shared" si="46"/>
        <v>-0.66793623309241823</v>
      </c>
    </row>
    <row r="25" spans="1:21" x14ac:dyDescent="0.25">
      <c r="A25" s="38"/>
      <c r="B25" s="10" t="s">
        <v>31</v>
      </c>
      <c r="C25" s="17">
        <f>SUM(C22:C24)</f>
        <v>-8.5309700965881348</v>
      </c>
      <c r="D25" s="17">
        <f t="shared" ref="D25" si="47">SUM(D22:D24)</f>
        <v>-4.3377556800842285</v>
      </c>
      <c r="E25" s="17">
        <f t="shared" ref="E25" si="48">SUM(E22:E24)</f>
        <v>-10.937537670135498</v>
      </c>
      <c r="F25" s="18">
        <f t="shared" ref="F25" si="49">SUM(F22:F24)</f>
        <v>-13.026328086853027</v>
      </c>
      <c r="G25" s="17">
        <f>SUM(G22:G24)</f>
        <v>-3.9928774833679199</v>
      </c>
      <c r="H25" s="17">
        <f t="shared" ref="H25" si="50">SUM(H22:H24)</f>
        <v>-0.83689165115356445</v>
      </c>
      <c r="I25" s="17">
        <f t="shared" ref="I25" si="51">SUM(I22:I24)</f>
        <v>-4.8666548728942871</v>
      </c>
      <c r="J25" s="18">
        <f t="shared" ref="J25" si="52">SUM(J22:J24)</f>
        <v>-8.4962339401245117</v>
      </c>
      <c r="L25" s="38"/>
      <c r="M25" s="10" t="s">
        <v>31</v>
      </c>
      <c r="N25" s="26">
        <f>SUM(N22:N24)</f>
        <v>1</v>
      </c>
      <c r="O25" s="26">
        <f t="shared" ref="O25" si="53">SUM(O22:O24)</f>
        <v>1.0000000000000002</v>
      </c>
      <c r="P25" s="26">
        <f t="shared" ref="P25" si="54">SUM(P22:P24)</f>
        <v>0.99999999999999989</v>
      </c>
      <c r="Q25" s="27">
        <f t="shared" ref="Q25" si="55">SUM(Q22:Q24)</f>
        <v>1</v>
      </c>
      <c r="R25" s="26">
        <f>SUM(R22:R24)</f>
        <v>1</v>
      </c>
      <c r="S25" s="26">
        <f t="shared" ref="S25" si="56">SUM(S22:S24)</f>
        <v>1.0000000000000002</v>
      </c>
      <c r="T25" s="26">
        <f t="shared" ref="T25" si="57">SUM(T22:T24)</f>
        <v>1</v>
      </c>
      <c r="U25" s="27">
        <f t="shared" ref="U25" si="58">SUM(U22:U24)</f>
        <v>0.99999999999999989</v>
      </c>
    </row>
    <row r="26" spans="1:21" x14ac:dyDescent="0.25">
      <c r="A26" s="39" t="s">
        <v>21</v>
      </c>
      <c r="B26" s="9" t="s">
        <v>28</v>
      </c>
      <c r="C26" s="12">
        <v>-24.418294906616211</v>
      </c>
      <c r="D26" s="12">
        <v>-17.880630493164063</v>
      </c>
      <c r="E26" s="12">
        <v>-31.004535675048828</v>
      </c>
      <c r="F26" s="16">
        <v>-28.608249664306641</v>
      </c>
      <c r="G26" s="12">
        <v>-10.401711463928223</v>
      </c>
      <c r="H26" s="12">
        <v>-4.7648720741271973</v>
      </c>
      <c r="I26" s="12">
        <v>-13.322770118713379</v>
      </c>
      <c r="J26" s="16">
        <v>-17.845603942871094</v>
      </c>
      <c r="L26" s="39" t="s">
        <v>21</v>
      </c>
      <c r="M26" s="9" t="s">
        <v>28</v>
      </c>
      <c r="N26" s="23">
        <f t="shared" ref="N26:U28" si="59">C26/C$29</f>
        <v>2.0563744066561012</v>
      </c>
      <c r="O26" s="23">
        <f t="shared" si="59"/>
        <v>2.1065583104209593</v>
      </c>
      <c r="P26" s="23">
        <f t="shared" si="59"/>
        <v>2.2166081592161508</v>
      </c>
      <c r="Q26" s="25">
        <f t="shared" si="59"/>
        <v>1.9338720829147016</v>
      </c>
      <c r="R26" s="23">
        <f t="shared" si="59"/>
        <v>2.6160238577290724</v>
      </c>
      <c r="S26" s="23">
        <f t="shared" si="59"/>
        <v>3.2871682106595959</v>
      </c>
      <c r="T26" s="23">
        <f t="shared" si="59"/>
        <v>3.1957268113066504</v>
      </c>
      <c r="U26" s="25">
        <f t="shared" si="59"/>
        <v>2.3470655005344954</v>
      </c>
    </row>
    <row r="27" spans="1:21" x14ac:dyDescent="0.25">
      <c r="A27" s="37"/>
      <c r="B27" s="9" t="s">
        <v>29</v>
      </c>
      <c r="C27" s="12">
        <v>-3.3966588973999023</v>
      </c>
      <c r="D27" s="12">
        <v>-3.5102972984313965</v>
      </c>
      <c r="E27" s="12">
        <v>-1.0408922433853149</v>
      </c>
      <c r="F27" s="16">
        <v>-4.6843252182006836</v>
      </c>
      <c r="G27" s="12">
        <v>-2.0507667064666748</v>
      </c>
      <c r="H27" s="12">
        <v>-1.2299683094024658</v>
      </c>
      <c r="I27" s="12">
        <v>-0.90746003389358521</v>
      </c>
      <c r="J27" s="16">
        <v>-3.4558570384979248</v>
      </c>
      <c r="L27" s="37"/>
      <c r="M27" s="9" t="s">
        <v>29</v>
      </c>
      <c r="N27" s="23">
        <f t="shared" si="59"/>
        <v>0.28604791822959502</v>
      </c>
      <c r="O27" s="23">
        <f t="shared" si="59"/>
        <v>0.41355621933387332</v>
      </c>
      <c r="P27" s="23">
        <f t="shared" si="59"/>
        <v>7.441653904236574E-2</v>
      </c>
      <c r="Q27" s="25">
        <f t="shared" si="59"/>
        <v>0.31665291910794624</v>
      </c>
      <c r="R27" s="23">
        <f t="shared" si="59"/>
        <v>0.51576653028282038</v>
      </c>
      <c r="S27" s="23">
        <f t="shared" si="59"/>
        <v>0.8485249265641841</v>
      </c>
      <c r="T27" s="23">
        <f t="shared" si="59"/>
        <v>0.21767202576208927</v>
      </c>
      <c r="U27" s="25">
        <f t="shared" si="59"/>
        <v>0.45451657762908027</v>
      </c>
    </row>
    <row r="28" spans="1:21" x14ac:dyDescent="0.25">
      <c r="A28" s="37"/>
      <c r="B28" s="9" t="s">
        <v>30</v>
      </c>
      <c r="C28" s="12">
        <v>15.940513610839844</v>
      </c>
      <c r="D28" s="12">
        <v>12.902850151062012</v>
      </c>
      <c r="E28" s="12">
        <v>18.058050155639648</v>
      </c>
      <c r="F28" s="16">
        <v>18.499326705932617</v>
      </c>
      <c r="G28" s="12">
        <v>8.4763250350952148</v>
      </c>
      <c r="H28" s="12">
        <v>4.5453033447265625</v>
      </c>
      <c r="I28" s="12">
        <v>10.061297416687012</v>
      </c>
      <c r="J28" s="16">
        <v>13.698092460632324</v>
      </c>
      <c r="L28" s="37"/>
      <c r="M28" s="9" t="s">
        <v>30</v>
      </c>
      <c r="N28" s="23">
        <f t="shared" si="59"/>
        <v>-1.3424223248856963</v>
      </c>
      <c r="O28" s="23">
        <f t="shared" si="59"/>
        <v>-1.5201145297548329</v>
      </c>
      <c r="P28" s="23">
        <f t="shared" si="59"/>
        <v>-1.2910246982585167</v>
      </c>
      <c r="Q28" s="25">
        <f t="shared" si="59"/>
        <v>-1.2505250020226479</v>
      </c>
      <c r="R28" s="23">
        <f t="shared" si="59"/>
        <v>-2.1317903880118929</v>
      </c>
      <c r="S28" s="23">
        <f t="shared" si="59"/>
        <v>-3.1356931372237797</v>
      </c>
      <c r="T28" s="23">
        <f t="shared" si="59"/>
        <v>-2.4133988370687396</v>
      </c>
      <c r="U28" s="25">
        <f t="shared" si="59"/>
        <v>-1.8015820781635754</v>
      </c>
    </row>
    <row r="29" spans="1:21" ht="15.75" thickBot="1" x14ac:dyDescent="0.3">
      <c r="A29" s="40"/>
      <c r="B29" s="11" t="s">
        <v>31</v>
      </c>
      <c r="C29" s="19">
        <f>SUM(C26:C28)</f>
        <v>-11.87444019317627</v>
      </c>
      <c r="D29" s="19">
        <f t="shared" ref="D29" si="60">SUM(D26:D28)</f>
        <v>-8.4880776405334473</v>
      </c>
      <c r="E29" s="19">
        <f t="shared" ref="E29" si="61">SUM(E26:E28)</f>
        <v>-13.987377762794495</v>
      </c>
      <c r="F29" s="20">
        <f t="shared" ref="F29" si="62">SUM(F26:F28)</f>
        <v>-14.793248176574707</v>
      </c>
      <c r="G29" s="19">
        <f>SUM(G26:G28)</f>
        <v>-3.9761531352996826</v>
      </c>
      <c r="H29" s="19">
        <f t="shared" ref="H29" si="63">SUM(H26:H28)</f>
        <v>-1.4495370388031006</v>
      </c>
      <c r="I29" s="19">
        <f t="shared" ref="I29" si="64">SUM(I26:I28)</f>
        <v>-4.1689327359199524</v>
      </c>
      <c r="J29" s="20">
        <f t="shared" ref="J29" si="65">SUM(J26:J28)</f>
        <v>-7.6033685207366943</v>
      </c>
      <c r="L29" s="40"/>
      <c r="M29" s="11" t="s">
        <v>31</v>
      </c>
      <c r="N29" s="30">
        <f>SUM(N26:N28)</f>
        <v>0.99999999999999978</v>
      </c>
      <c r="O29" s="28">
        <f t="shared" ref="O29" si="66">SUM(O26:O28)</f>
        <v>0.99999999999999956</v>
      </c>
      <c r="P29" s="28">
        <f t="shared" ref="P29" si="67">SUM(P26:P28)</f>
        <v>0.99999999999999978</v>
      </c>
      <c r="Q29" s="29">
        <f t="shared" ref="Q29" si="68">SUM(Q26:Q28)</f>
        <v>1</v>
      </c>
      <c r="R29" s="28">
        <f>SUM(R26:R28)</f>
        <v>1</v>
      </c>
      <c r="S29" s="28">
        <f t="shared" ref="S29" si="69">SUM(S26:S28)</f>
        <v>1</v>
      </c>
      <c r="T29" s="28">
        <f t="shared" ref="T29" si="70">SUM(T26:T28)</f>
        <v>1</v>
      </c>
      <c r="U29" s="29">
        <f t="shared" ref="U29" si="71">SUM(U26:U28)</f>
        <v>1.0000000000000004</v>
      </c>
    </row>
    <row r="30" spans="1:21" ht="15.75" thickBot="1" x14ac:dyDescent="0.3"/>
    <row r="31" spans="1:21" ht="15.75" thickBot="1" x14ac:dyDescent="0.3">
      <c r="A31" s="36" t="s">
        <v>26</v>
      </c>
      <c r="B31" s="34" t="s">
        <v>27</v>
      </c>
      <c r="C31" s="32" t="s">
        <v>24</v>
      </c>
      <c r="D31" s="32"/>
      <c r="E31" s="32"/>
      <c r="F31" s="33"/>
      <c r="G31" s="32" t="s">
        <v>25</v>
      </c>
      <c r="H31" s="32"/>
      <c r="I31" s="32"/>
      <c r="J31" s="33"/>
      <c r="L31" s="36" t="s">
        <v>26</v>
      </c>
      <c r="M31" s="34" t="s">
        <v>27</v>
      </c>
      <c r="N31" s="32" t="s">
        <v>24</v>
      </c>
      <c r="O31" s="32"/>
      <c r="P31" s="32"/>
      <c r="Q31" s="33"/>
      <c r="R31" s="32" t="s">
        <v>25</v>
      </c>
      <c r="S31" s="32"/>
      <c r="T31" s="32"/>
      <c r="U31" s="33"/>
    </row>
    <row r="32" spans="1:21" ht="15.75" thickBot="1" x14ac:dyDescent="0.3">
      <c r="A32" s="40"/>
      <c r="B32" s="35"/>
      <c r="C32" s="2" t="s">
        <v>0</v>
      </c>
      <c r="D32" s="2" t="s">
        <v>1</v>
      </c>
      <c r="E32" s="2" t="s">
        <v>2</v>
      </c>
      <c r="F32" s="5" t="s">
        <v>3</v>
      </c>
      <c r="G32" s="2" t="s">
        <v>0</v>
      </c>
      <c r="H32" s="2" t="s">
        <v>1</v>
      </c>
      <c r="I32" s="2" t="s">
        <v>2</v>
      </c>
      <c r="J32" s="5" t="s">
        <v>3</v>
      </c>
      <c r="L32" s="40"/>
      <c r="M32" s="35"/>
      <c r="N32" s="2" t="s">
        <v>0</v>
      </c>
      <c r="O32" s="2" t="s">
        <v>1</v>
      </c>
      <c r="P32" s="2" t="s">
        <v>2</v>
      </c>
      <c r="Q32" s="5" t="s">
        <v>3</v>
      </c>
      <c r="R32" s="2" t="s">
        <v>0</v>
      </c>
      <c r="S32" s="2" t="s">
        <v>1</v>
      </c>
      <c r="T32" s="2" t="s">
        <v>2</v>
      </c>
      <c r="U32" s="5" t="s">
        <v>3</v>
      </c>
    </row>
    <row r="33" spans="1:21" x14ac:dyDescent="0.25">
      <c r="A33" s="36" t="s">
        <v>19</v>
      </c>
      <c r="B33" s="8" t="s">
        <v>28</v>
      </c>
      <c r="C33" s="12">
        <v>-4.3160858154296875</v>
      </c>
      <c r="D33" s="12">
        <v>-2.8978216648101807</v>
      </c>
      <c r="E33" s="12">
        <v>-6.3450918197631836</v>
      </c>
      <c r="F33" s="15">
        <v>-3.4020204544067383</v>
      </c>
      <c r="G33" s="12">
        <v>-1.3505978584289551</v>
      </c>
      <c r="H33" s="12">
        <v>-0.49536430835723877</v>
      </c>
      <c r="I33" s="12">
        <v>-1.7237095832824707</v>
      </c>
      <c r="J33" s="15">
        <v>-1.6997010707855225</v>
      </c>
      <c r="L33" s="36" t="s">
        <v>19</v>
      </c>
      <c r="M33" s="8" t="s">
        <v>28</v>
      </c>
      <c r="N33" s="23">
        <f t="shared" ref="N33:U35" si="72">C33/C$36</f>
        <v>1.709423493966916</v>
      </c>
      <c r="O33" s="23">
        <f t="shared" si="72"/>
        <v>1.9473283774319634</v>
      </c>
      <c r="P33" s="23">
        <f t="shared" si="72"/>
        <v>1.8748106045129171</v>
      </c>
      <c r="Q33" s="24">
        <f t="shared" si="72"/>
        <v>1.0763824439572887</v>
      </c>
      <c r="R33" s="23">
        <f t="shared" si="72"/>
        <v>1.1330322051000188</v>
      </c>
      <c r="S33" s="23">
        <f t="shared" si="72"/>
        <v>1.0056024342574732</v>
      </c>
      <c r="T33" s="23">
        <f t="shared" si="72"/>
        <v>1.2248504241946587</v>
      </c>
      <c r="U33" s="24">
        <f t="shared" si="72"/>
        <v>0.84948638045500324</v>
      </c>
    </row>
    <row r="34" spans="1:21" x14ac:dyDescent="0.25">
      <c r="A34" s="37"/>
      <c r="B34" s="9" t="s">
        <v>29</v>
      </c>
      <c r="C34" s="12">
        <v>-1.3157973289489746</v>
      </c>
      <c r="D34" s="12">
        <v>-0.7389494776725769</v>
      </c>
      <c r="E34" s="12">
        <v>-0.87662601470947266</v>
      </c>
      <c r="F34" s="16">
        <v>-3.6786844730377197</v>
      </c>
      <c r="G34" s="12">
        <v>-0.83903932571411133</v>
      </c>
      <c r="H34" s="12">
        <v>-0.37496340274810791</v>
      </c>
      <c r="I34" s="12">
        <v>-0.76135259866714478</v>
      </c>
      <c r="J34" s="16">
        <v>-2.287689208984375</v>
      </c>
      <c r="L34" s="37"/>
      <c r="M34" s="9" t="s">
        <v>29</v>
      </c>
      <c r="N34" s="23">
        <f t="shared" si="72"/>
        <v>0.52113302737479683</v>
      </c>
      <c r="O34" s="23">
        <f t="shared" si="72"/>
        <v>0.49657206474594945</v>
      </c>
      <c r="P34" s="23">
        <f t="shared" si="72"/>
        <v>0.25902032551367493</v>
      </c>
      <c r="Q34" s="25">
        <f t="shared" si="72"/>
        <v>1.1639175709561038</v>
      </c>
      <c r="R34" s="23">
        <f t="shared" si="72"/>
        <v>0.70387981992309634</v>
      </c>
      <c r="S34" s="23">
        <f t="shared" si="72"/>
        <v>0.76118546330358072</v>
      </c>
      <c r="T34" s="23">
        <f t="shared" si="72"/>
        <v>0.54100938028279133</v>
      </c>
      <c r="U34" s="25">
        <f t="shared" si="72"/>
        <v>1.1433544751772002</v>
      </c>
    </row>
    <row r="35" spans="1:21" x14ac:dyDescent="0.25">
      <c r="A35" s="37"/>
      <c r="B35" s="9" t="s">
        <v>30</v>
      </c>
      <c r="C35" s="12">
        <v>3.1070051193237305</v>
      </c>
      <c r="D35" s="12">
        <v>2.148669958114624</v>
      </c>
      <c r="E35" s="12">
        <v>3.8373270034790039</v>
      </c>
      <c r="F35" s="16">
        <v>3.9200992584228516</v>
      </c>
      <c r="G35" s="12">
        <v>0.9976164698600769</v>
      </c>
      <c r="H35" s="12">
        <v>0.37772318720817566</v>
      </c>
      <c r="I35" s="12">
        <v>1.0777804851531982</v>
      </c>
      <c r="J35" s="16">
        <v>1.9865329265594482</v>
      </c>
      <c r="L35" s="37"/>
      <c r="M35" s="9" t="s">
        <v>30</v>
      </c>
      <c r="N35" s="23">
        <f t="shared" si="72"/>
        <v>-1.2305565213417127</v>
      </c>
      <c r="O35" s="23">
        <f t="shared" si="72"/>
        <v>-1.4439004421779129</v>
      </c>
      <c r="P35" s="23">
        <f t="shared" si="72"/>
        <v>-1.1338309300265921</v>
      </c>
      <c r="Q35" s="25">
        <f t="shared" si="72"/>
        <v>-1.2403000149133925</v>
      </c>
      <c r="R35" s="23">
        <f t="shared" si="72"/>
        <v>-0.83691202502311512</v>
      </c>
      <c r="S35" s="23">
        <f t="shared" si="72"/>
        <v>-0.76678789756105381</v>
      </c>
      <c r="T35" s="23">
        <f t="shared" si="72"/>
        <v>-0.76585980447745006</v>
      </c>
      <c r="U35" s="25">
        <f t="shared" si="72"/>
        <v>-0.99284085563220337</v>
      </c>
    </row>
    <row r="36" spans="1:21" x14ac:dyDescent="0.25">
      <c r="A36" s="38"/>
      <c r="B36" s="10" t="s">
        <v>31</v>
      </c>
      <c r="C36" s="17">
        <f>SUM(C33:C35)</f>
        <v>-2.5248780250549316</v>
      </c>
      <c r="D36" s="17">
        <f t="shared" ref="D36" si="73">SUM(D33:D35)</f>
        <v>-1.4881011843681335</v>
      </c>
      <c r="E36" s="17">
        <f t="shared" ref="E36" si="74">SUM(E33:E35)</f>
        <v>-3.3843908309936523</v>
      </c>
      <c r="F36" s="18">
        <f t="shared" ref="F36" si="75">SUM(F33:F35)</f>
        <v>-3.1606056690216064</v>
      </c>
      <c r="G36" s="17">
        <f>SUM(G33:G35)</f>
        <v>-1.1920207142829895</v>
      </c>
      <c r="H36" s="17">
        <f t="shared" ref="H36" si="76">SUM(H33:H35)</f>
        <v>-0.49260452389717102</v>
      </c>
      <c r="I36" s="17">
        <f t="shared" ref="I36" si="77">SUM(I33:I35)</f>
        <v>-1.4072816967964172</v>
      </c>
      <c r="J36" s="18">
        <f t="shared" ref="J36" si="78">SUM(J33:J35)</f>
        <v>-2.0008573532104492</v>
      </c>
      <c r="L36" s="38"/>
      <c r="M36" s="10" t="s">
        <v>31</v>
      </c>
      <c r="N36" s="26">
        <f>SUM(N33:N35)</f>
        <v>1.0000000000000002</v>
      </c>
      <c r="O36" s="26">
        <f t="shared" ref="O36" si="79">SUM(O33:O35)</f>
        <v>0.99999999999999978</v>
      </c>
      <c r="P36" s="26">
        <f t="shared" ref="P36" si="80">SUM(P33:P35)</f>
        <v>1.0000000000000002</v>
      </c>
      <c r="Q36" s="27">
        <f t="shared" ref="Q36" si="81">SUM(Q33:Q35)</f>
        <v>1.0000000000000002</v>
      </c>
      <c r="R36" s="26">
        <f>SUM(R33:R35)</f>
        <v>0.99999999999999989</v>
      </c>
      <c r="S36" s="26">
        <f t="shared" ref="S36" si="82">SUM(S33:S35)</f>
        <v>1</v>
      </c>
      <c r="T36" s="26">
        <f t="shared" ref="T36" si="83">SUM(T33:T35)</f>
        <v>1</v>
      </c>
      <c r="U36" s="27">
        <f t="shared" ref="U36" si="84">SUM(U33:U35)</f>
        <v>1</v>
      </c>
    </row>
    <row r="37" spans="1:21" x14ac:dyDescent="0.25">
      <c r="A37" s="39" t="s">
        <v>20</v>
      </c>
      <c r="B37" s="9" t="s">
        <v>28</v>
      </c>
      <c r="C37" s="12">
        <v>-7.3803954124450684</v>
      </c>
      <c r="D37" s="12">
        <v>-3.9850671291351318</v>
      </c>
      <c r="E37" s="12">
        <v>-10.50865364074707</v>
      </c>
      <c r="F37" s="16">
        <v>-12.546909332275391</v>
      </c>
      <c r="G37" s="12">
        <v>-2.4001505374908447</v>
      </c>
      <c r="H37" s="12">
        <v>-0.69725590944290161</v>
      </c>
      <c r="I37" s="12">
        <v>-2.977975606918335</v>
      </c>
      <c r="J37" s="16">
        <v>-6.4484701156616211</v>
      </c>
      <c r="L37" s="39" t="s">
        <v>20</v>
      </c>
      <c r="M37" s="9" t="s">
        <v>28</v>
      </c>
      <c r="N37" s="23">
        <f t="shared" ref="N37:U39" si="85">C37/C$40</f>
        <v>1.3120091799380513</v>
      </c>
      <c r="O37" s="23">
        <f t="shared" si="85"/>
        <v>1.7368659806905355</v>
      </c>
      <c r="P37" s="23">
        <f t="shared" si="85"/>
        <v>1.3653314294817811</v>
      </c>
      <c r="Q37" s="25">
        <f t="shared" si="85"/>
        <v>1.3884936886664907</v>
      </c>
      <c r="R37" s="23">
        <f t="shared" si="85"/>
        <v>1.003506254668286</v>
      </c>
      <c r="S37" s="23">
        <f t="shared" si="85"/>
        <v>1.7328756875648457</v>
      </c>
      <c r="T37" s="23">
        <f t="shared" si="85"/>
        <v>1.0165922479493328</v>
      </c>
      <c r="U37" s="25">
        <f t="shared" si="85"/>
        <v>1.2227053539315491</v>
      </c>
    </row>
    <row r="38" spans="1:21" x14ac:dyDescent="0.25">
      <c r="A38" s="37"/>
      <c r="B38" s="9" t="s">
        <v>29</v>
      </c>
      <c r="C38" s="12">
        <v>-2.999805212020874</v>
      </c>
      <c r="D38" s="12">
        <v>-1.3231552839279175</v>
      </c>
      <c r="E38" s="12">
        <v>-3.1747162342071533</v>
      </c>
      <c r="F38" s="16">
        <v>-2.9441080093383789</v>
      </c>
      <c r="G38" s="12">
        <v>-1.6356509923934937</v>
      </c>
      <c r="H38" s="12">
        <v>-0.27490502595901489</v>
      </c>
      <c r="I38" s="12">
        <v>-1.8679088354110718</v>
      </c>
      <c r="J38" s="16">
        <v>-2.227510929107666</v>
      </c>
      <c r="L38" s="37"/>
      <c r="M38" s="9" t="s">
        <v>29</v>
      </c>
      <c r="N38" s="23">
        <f t="shared" si="85"/>
        <v>0.53327386356031403</v>
      </c>
      <c r="O38" s="23">
        <f t="shared" si="85"/>
        <v>0.57668875463186642</v>
      </c>
      <c r="P38" s="23">
        <f t="shared" si="85"/>
        <v>0.41247337693593666</v>
      </c>
      <c r="Q38" s="25">
        <f t="shared" si="85"/>
        <v>0.32580735872564609</v>
      </c>
      <c r="R38" s="23">
        <f t="shared" si="85"/>
        <v>0.68386793898235676</v>
      </c>
      <c r="S38" s="23">
        <f t="shared" si="85"/>
        <v>0.68321577403966083</v>
      </c>
      <c r="T38" s="23">
        <f t="shared" si="85"/>
        <v>0.63764848763149562</v>
      </c>
      <c r="U38" s="25">
        <f t="shared" si="85"/>
        <v>0.42236212467606959</v>
      </c>
    </row>
    <row r="39" spans="1:21" x14ac:dyDescent="0.25">
      <c r="A39" s="37"/>
      <c r="B39" s="9" t="s">
        <v>30</v>
      </c>
      <c r="C39" s="12">
        <v>4.7549386024475098</v>
      </c>
      <c r="D39" s="12">
        <v>3.0138213634490967</v>
      </c>
      <c r="E39" s="12">
        <v>5.9865913391113281</v>
      </c>
      <c r="F39" s="16">
        <v>6.4546713829040527</v>
      </c>
      <c r="G39" s="12">
        <v>1.644037127494812</v>
      </c>
      <c r="H39" s="12">
        <v>0.56979167461395264</v>
      </c>
      <c r="I39" s="12">
        <v>1.9165136814117432</v>
      </c>
      <c r="J39" s="16">
        <v>3.4020447731018066</v>
      </c>
      <c r="L39" s="37"/>
      <c r="M39" s="9" t="s">
        <v>30</v>
      </c>
      <c r="N39" s="23">
        <f t="shared" si="85"/>
        <v>-0.84528304349836536</v>
      </c>
      <c r="O39" s="23">
        <f t="shared" si="85"/>
        <v>-1.313554735322402</v>
      </c>
      <c r="P39" s="23">
        <f t="shared" si="85"/>
        <v>-0.77780480641771776</v>
      </c>
      <c r="Q39" s="25">
        <f t="shared" si="85"/>
        <v>-0.71430104739213673</v>
      </c>
      <c r="R39" s="23">
        <f t="shared" si="85"/>
        <v>-0.68737419365064267</v>
      </c>
      <c r="S39" s="23">
        <f t="shared" si="85"/>
        <v>-1.4160914616045066</v>
      </c>
      <c r="T39" s="23">
        <f t="shared" si="85"/>
        <v>-0.6542407355808284</v>
      </c>
      <c r="U39" s="25">
        <f t="shared" si="85"/>
        <v>-0.64506747860761871</v>
      </c>
    </row>
    <row r="40" spans="1:21" x14ac:dyDescent="0.25">
      <c r="A40" s="38"/>
      <c r="B40" s="10" t="s">
        <v>31</v>
      </c>
      <c r="C40" s="17">
        <f>SUM(C37:C39)</f>
        <v>-5.6252620220184326</v>
      </c>
      <c r="D40" s="17">
        <f t="shared" ref="D40" si="86">SUM(D37:D39)</f>
        <v>-2.2944010496139526</v>
      </c>
      <c r="E40" s="17">
        <f t="shared" ref="E40" si="87">SUM(E37:E39)</f>
        <v>-7.6967785358428955</v>
      </c>
      <c r="F40" s="18">
        <f t="shared" ref="F40" si="88">SUM(F37:F39)</f>
        <v>-9.0363459587097168</v>
      </c>
      <c r="G40" s="17">
        <f>SUM(G37:G39)</f>
        <v>-2.3917644023895264</v>
      </c>
      <c r="H40" s="17">
        <f t="shared" ref="H40" si="89">SUM(H37:H39)</f>
        <v>-0.40236926078796387</v>
      </c>
      <c r="I40" s="17">
        <f t="shared" ref="I40" si="90">SUM(I37:I39)</f>
        <v>-2.9293707609176636</v>
      </c>
      <c r="J40" s="18">
        <f t="shared" ref="J40" si="91">SUM(J37:J39)</f>
        <v>-5.2739362716674805</v>
      </c>
      <c r="L40" s="38"/>
      <c r="M40" s="10" t="s">
        <v>31</v>
      </c>
      <c r="N40" s="26">
        <f>SUM(N37:N39)</f>
        <v>1</v>
      </c>
      <c r="O40" s="26">
        <f t="shared" ref="O40" si="92">SUM(O37:O39)</f>
        <v>1</v>
      </c>
      <c r="P40" s="26">
        <f t="shared" ref="P40" si="93">SUM(P37:P39)</f>
        <v>0.99999999999999989</v>
      </c>
      <c r="Q40" s="27">
        <f t="shared" ref="Q40" si="94">SUM(Q37:Q39)</f>
        <v>1</v>
      </c>
      <c r="R40" s="26">
        <f>SUM(R37:R39)</f>
        <v>1</v>
      </c>
      <c r="S40" s="26">
        <f t="shared" ref="S40" si="95">SUM(S37:S39)</f>
        <v>0.99999999999999978</v>
      </c>
      <c r="T40" s="26">
        <f t="shared" ref="T40" si="96">SUM(T37:T39)</f>
        <v>1</v>
      </c>
      <c r="U40" s="27">
        <f t="shared" ref="U40" si="97">SUM(U37:U39)</f>
        <v>1</v>
      </c>
    </row>
    <row r="41" spans="1:21" x14ac:dyDescent="0.25">
      <c r="A41" s="39" t="s">
        <v>21</v>
      </c>
      <c r="B41" s="9" t="s">
        <v>28</v>
      </c>
      <c r="C41" s="12">
        <v>-16.032228469848633</v>
      </c>
      <c r="D41" s="12">
        <v>-10.518310546875</v>
      </c>
      <c r="E41" s="12">
        <v>-21.604747772216797</v>
      </c>
      <c r="F41" s="16">
        <v>-19.794448852539063</v>
      </c>
      <c r="G41" s="12">
        <v>-5.8477387428283691</v>
      </c>
      <c r="H41" s="12">
        <v>-2.3668787479400635</v>
      </c>
      <c r="I41" s="12">
        <v>-7.4333124160766602</v>
      </c>
      <c r="J41" s="16">
        <v>-10.787385940551758</v>
      </c>
      <c r="L41" s="39" t="s">
        <v>21</v>
      </c>
      <c r="M41" s="9" t="s">
        <v>28</v>
      </c>
      <c r="N41" s="23">
        <f t="shared" ref="N41:U43" si="98">C41/C$44</f>
        <v>2.1521241443708181</v>
      </c>
      <c r="O41" s="23">
        <f t="shared" si="98"/>
        <v>2.2551729383696708</v>
      </c>
      <c r="P41" s="23">
        <f t="shared" si="98"/>
        <v>2.3378721011706545</v>
      </c>
      <c r="Q41" s="25">
        <f t="shared" si="98"/>
        <v>2.0023834034162435</v>
      </c>
      <c r="R41" s="23">
        <f t="shared" si="98"/>
        <v>2.7359645026835153</v>
      </c>
      <c r="S41" s="23">
        <f t="shared" si="98"/>
        <v>3.3629274793412227</v>
      </c>
      <c r="T41" s="23">
        <f t="shared" si="98"/>
        <v>3.4259209287408168</v>
      </c>
      <c r="U41" s="25">
        <f t="shared" si="98"/>
        <v>2.5051093170498411</v>
      </c>
    </row>
    <row r="42" spans="1:21" x14ac:dyDescent="0.25">
      <c r="A42" s="37"/>
      <c r="B42" s="9" t="s">
        <v>29</v>
      </c>
      <c r="C42" s="12">
        <v>-2.52813720703125</v>
      </c>
      <c r="D42" s="12">
        <v>-2.2934503555297852</v>
      </c>
      <c r="E42" s="12">
        <v>-0.96334874629974365</v>
      </c>
      <c r="F42" s="16">
        <v>-3.6524536609649658</v>
      </c>
      <c r="G42" s="12">
        <v>-1.2678928375244141</v>
      </c>
      <c r="H42" s="12">
        <v>-0.65605330467224121</v>
      </c>
      <c r="I42" s="12">
        <v>-0.63754457235336304</v>
      </c>
      <c r="J42" s="16">
        <v>-2.2579483985900879</v>
      </c>
      <c r="L42" s="37"/>
      <c r="M42" s="9" t="s">
        <v>29</v>
      </c>
      <c r="N42" s="23">
        <f t="shared" si="98"/>
        <v>0.33937048325918273</v>
      </c>
      <c r="O42" s="23">
        <f t="shared" si="98"/>
        <v>0.4917260385339845</v>
      </c>
      <c r="P42" s="23">
        <f t="shared" si="98"/>
        <v>0.10424496418181547</v>
      </c>
      <c r="Q42" s="25">
        <f t="shared" si="98"/>
        <v>0.36947796056089838</v>
      </c>
      <c r="R42" s="23">
        <f t="shared" si="98"/>
        <v>0.59320533102264938</v>
      </c>
      <c r="S42" s="23">
        <f t="shared" si="98"/>
        <v>0.93213887197011935</v>
      </c>
      <c r="T42" s="23">
        <f t="shared" si="98"/>
        <v>0.29383633717676033</v>
      </c>
      <c r="U42" s="25">
        <f t="shared" si="98"/>
        <v>0.52435387052041271</v>
      </c>
    </row>
    <row r="43" spans="1:21" x14ac:dyDescent="0.25">
      <c r="A43" s="37"/>
      <c r="B43" s="9" t="s">
        <v>30</v>
      </c>
      <c r="C43" s="12">
        <v>11.110875129699707</v>
      </c>
      <c r="D43" s="12">
        <v>8.147679328918457</v>
      </c>
      <c r="E43" s="12">
        <v>13.326894760131836</v>
      </c>
      <c r="F43" s="16">
        <v>13.561458587646484</v>
      </c>
      <c r="G43" s="12">
        <v>4.9782724380493164</v>
      </c>
      <c r="H43" s="12">
        <v>2.3191170692443848</v>
      </c>
      <c r="I43" s="12">
        <v>5.901130199432373</v>
      </c>
      <c r="J43" s="16">
        <v>8.7391805648803711</v>
      </c>
      <c r="L43" s="37"/>
      <c r="M43" s="9" t="s">
        <v>30</v>
      </c>
      <c r="N43" s="23">
        <f t="shared" si="98"/>
        <v>-1.4914946276300007</v>
      </c>
      <c r="O43" s="23">
        <f t="shared" si="98"/>
        <v>-1.7468989769036551</v>
      </c>
      <c r="P43" s="23">
        <f t="shared" si="98"/>
        <v>-1.44211706535247</v>
      </c>
      <c r="Q43" s="25">
        <f t="shared" si="98"/>
        <v>-1.371861363977142</v>
      </c>
      <c r="R43" s="23">
        <f t="shared" si="98"/>
        <v>-2.3291698337061648</v>
      </c>
      <c r="S43" s="23">
        <f t="shared" si="98"/>
        <v>-3.2950663513113421</v>
      </c>
      <c r="T43" s="23">
        <f t="shared" si="98"/>
        <v>-2.7197572659175773</v>
      </c>
      <c r="U43" s="25">
        <f t="shared" si="98"/>
        <v>-2.0294631875702538</v>
      </c>
    </row>
    <row r="44" spans="1:21" ht="15.75" thickBot="1" x14ac:dyDescent="0.3">
      <c r="A44" s="40"/>
      <c r="B44" s="11" t="s">
        <v>31</v>
      </c>
      <c r="C44" s="6">
        <f>SUM(C41:C43)</f>
        <v>-7.4494905471801758</v>
      </c>
      <c r="D44" s="6">
        <f t="shared" ref="D44" si="99">SUM(D41:D43)</f>
        <v>-4.6640815734863281</v>
      </c>
      <c r="E44" s="6">
        <f t="shared" ref="E44" si="100">SUM(E41:E43)</f>
        <v>-9.2412017583847046</v>
      </c>
      <c r="F44" s="7">
        <f t="shared" ref="F44" si="101">SUM(F41:F43)</f>
        <v>-9.8854439258575439</v>
      </c>
      <c r="G44" s="6">
        <f>SUM(G41:G43)</f>
        <v>-2.1373591423034668</v>
      </c>
      <c r="H44" s="6">
        <f t="shared" ref="H44" si="102">SUM(H41:H43)</f>
        <v>-0.70381498336791992</v>
      </c>
      <c r="I44" s="6">
        <f t="shared" ref="I44" si="103">SUM(I41:I43)</f>
        <v>-2.1697267889976501</v>
      </c>
      <c r="J44" s="7">
        <f t="shared" ref="J44" si="104">SUM(J41:J43)</f>
        <v>-4.3061537742614746</v>
      </c>
      <c r="L44" s="40"/>
      <c r="M44" s="11" t="s">
        <v>31</v>
      </c>
      <c r="N44" s="30">
        <f>SUM(N41:N43)</f>
        <v>1</v>
      </c>
      <c r="O44" s="28">
        <f t="shared" ref="O44" si="105">SUM(O41:O43)</f>
        <v>1</v>
      </c>
      <c r="P44" s="28">
        <f t="shared" ref="P44" si="106">SUM(P41:P43)</f>
        <v>0.99999999999999978</v>
      </c>
      <c r="Q44" s="29">
        <f t="shared" ref="Q44" si="107">SUM(Q41:Q43)</f>
        <v>0.99999999999999978</v>
      </c>
      <c r="R44" s="28">
        <f>SUM(R41:R43)</f>
        <v>1</v>
      </c>
      <c r="S44" s="28">
        <f t="shared" ref="S44" si="108">SUM(S41:S43)</f>
        <v>1</v>
      </c>
      <c r="T44" s="28">
        <f t="shared" ref="T44" si="109">SUM(T41:T43)</f>
        <v>1</v>
      </c>
      <c r="U44" s="29">
        <f t="shared" ref="U44" si="110">SUM(U41:U43)</f>
        <v>1</v>
      </c>
    </row>
  </sheetData>
  <mergeCells count="42">
    <mergeCell ref="L33:L36"/>
    <mergeCell ref="L37:L40"/>
    <mergeCell ref="L41:L44"/>
    <mergeCell ref="R16:U16"/>
    <mergeCell ref="L18:L21"/>
    <mergeCell ref="L22:L25"/>
    <mergeCell ref="L26:L29"/>
    <mergeCell ref="L31:L32"/>
    <mergeCell ref="M31:M32"/>
    <mergeCell ref="N31:Q31"/>
    <mergeCell ref="R31:U31"/>
    <mergeCell ref="L7:L10"/>
    <mergeCell ref="L11:L14"/>
    <mergeCell ref="L16:L17"/>
    <mergeCell ref="M16:M17"/>
    <mergeCell ref="N16:Q16"/>
    <mergeCell ref="L1:L2"/>
    <mergeCell ref="M1:M2"/>
    <mergeCell ref="N1:Q1"/>
    <mergeCell ref="R1:U1"/>
    <mergeCell ref="L3:L6"/>
    <mergeCell ref="A37:A40"/>
    <mergeCell ref="A41:A44"/>
    <mergeCell ref="G16:J16"/>
    <mergeCell ref="A18:A21"/>
    <mergeCell ref="A22:A25"/>
    <mergeCell ref="A26:A29"/>
    <mergeCell ref="A31:A32"/>
    <mergeCell ref="B31:B32"/>
    <mergeCell ref="C31:F31"/>
    <mergeCell ref="G31:J31"/>
    <mergeCell ref="C16:F16"/>
    <mergeCell ref="A11:A14"/>
    <mergeCell ref="A16:A17"/>
    <mergeCell ref="B16:B17"/>
    <mergeCell ref="A1:A2"/>
    <mergeCell ref="A33:A36"/>
    <mergeCell ref="C1:F1"/>
    <mergeCell ref="G1:J1"/>
    <mergeCell ref="B1:B2"/>
    <mergeCell ref="A3:A6"/>
    <mergeCell ref="A7:A10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C711-A2F5-44C2-8925-70F5CC0B2249}">
  <dimension ref="A1:AC4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5" x14ac:dyDescent="0.25"/>
  <cols>
    <col min="1" max="1" width="11.42578125" style="1"/>
    <col min="2" max="2" width="17.85546875" style="1" customWidth="1"/>
    <col min="3" max="28" width="14.28515625" style="1" customWidth="1"/>
    <col min="29" max="16384" width="11.42578125" style="1"/>
  </cols>
  <sheetData>
    <row r="1" spans="1:28" ht="15.75" thickBot="1" x14ac:dyDescent="0.3">
      <c r="A1" s="36" t="s">
        <v>26</v>
      </c>
      <c r="B1" s="34" t="s">
        <v>27</v>
      </c>
      <c r="C1" s="32" t="s">
        <v>4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  <c r="P1" s="32" t="s">
        <v>5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3"/>
    </row>
    <row r="2" spans="1:28" ht="15.75" thickBot="1" x14ac:dyDescent="0.3">
      <c r="A2" s="40"/>
      <c r="B2" s="35"/>
      <c r="C2" s="3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14</v>
      </c>
      <c r="L2" s="4" t="s">
        <v>15</v>
      </c>
      <c r="M2" s="4" t="s">
        <v>16</v>
      </c>
      <c r="N2" s="4" t="s">
        <v>17</v>
      </c>
      <c r="O2" s="5" t="s">
        <v>18</v>
      </c>
      <c r="P2" s="3" t="s">
        <v>6</v>
      </c>
      <c r="Q2" s="4" t="s">
        <v>7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12</v>
      </c>
      <c r="W2" s="4" t="s">
        <v>13</v>
      </c>
      <c r="X2" s="4" t="s">
        <v>14</v>
      </c>
      <c r="Y2" s="4" t="s">
        <v>15</v>
      </c>
      <c r="Z2" s="4" t="s">
        <v>16</v>
      </c>
      <c r="AA2" s="4" t="s">
        <v>17</v>
      </c>
      <c r="AB2" s="5" t="s">
        <v>18</v>
      </c>
    </row>
    <row r="3" spans="1:28" x14ac:dyDescent="0.25">
      <c r="A3" s="36" t="s">
        <v>19</v>
      </c>
      <c r="B3" s="8" t="s">
        <v>28</v>
      </c>
      <c r="C3" s="12">
        <v>-5.6913766860961914</v>
      </c>
      <c r="D3" s="12">
        <v>-10.011519432067871</v>
      </c>
      <c r="E3" s="12">
        <v>-11.540853500366211</v>
      </c>
      <c r="F3" s="12">
        <v>-11.786128044128418</v>
      </c>
      <c r="G3" s="12">
        <v>-16.950935363769531</v>
      </c>
      <c r="H3" s="12">
        <v>-3.6928956508636475</v>
      </c>
      <c r="I3" s="12">
        <v>-9.5814752578735352</v>
      </c>
      <c r="J3" s="12">
        <v>-9.2304477691650391</v>
      </c>
      <c r="K3" s="12">
        <v>-11.778886795043945</v>
      </c>
      <c r="L3" s="12">
        <v>-9.5295085906982422</v>
      </c>
      <c r="M3" s="12">
        <v>-7.5506720542907715</v>
      </c>
      <c r="N3" s="12">
        <v>-10.665280342102051</v>
      </c>
      <c r="O3" s="12">
        <v>-9.162663459777832</v>
      </c>
      <c r="P3" s="14">
        <v>-2.3227360248565674</v>
      </c>
      <c r="Q3" s="12">
        <v>-2.7612679004669189</v>
      </c>
      <c r="R3" s="12">
        <v>-3.0243408679962158</v>
      </c>
      <c r="S3" s="12">
        <v>-3.0432789325714111</v>
      </c>
      <c r="T3" s="12">
        <v>-6.0008301734924316</v>
      </c>
      <c r="U3" s="12">
        <v>-1.7107082605361938</v>
      </c>
      <c r="V3" s="12">
        <v>-2.9057950973510742</v>
      </c>
      <c r="W3" s="12">
        <v>-2.7815897464752197</v>
      </c>
      <c r="X3" s="12">
        <v>-2.8716180324554443</v>
      </c>
      <c r="Y3" s="12">
        <v>-4.6633396148681641</v>
      </c>
      <c r="Z3" s="12">
        <v>-4.1023478507995605</v>
      </c>
      <c r="AA3" s="12">
        <v>-2.0003714561462402</v>
      </c>
      <c r="AB3" s="15">
        <v>-2.3843541145324707</v>
      </c>
    </row>
    <row r="4" spans="1:28" x14ac:dyDescent="0.25">
      <c r="A4" s="37"/>
      <c r="B4" s="9" t="s">
        <v>29</v>
      </c>
      <c r="C4" s="12">
        <v>-2.4482669830322266</v>
      </c>
      <c r="D4" s="12">
        <v>-1.3995107412338257</v>
      </c>
      <c r="E4" s="12">
        <v>0.52482199668884277</v>
      </c>
      <c r="F4" s="12">
        <v>0.86052817106246948</v>
      </c>
      <c r="G4" s="12">
        <v>-2.8672804832458496</v>
      </c>
      <c r="H4" s="12">
        <v>-2.7243216037750244</v>
      </c>
      <c r="I4" s="12">
        <v>1.7765376567840576</v>
      </c>
      <c r="J4" s="12">
        <v>0.57119876146316528</v>
      </c>
      <c r="K4" s="12">
        <v>-3.3869509696960449</v>
      </c>
      <c r="L4" s="12">
        <v>-1.9146744012832642</v>
      </c>
      <c r="M4" s="12">
        <v>0.58175474405288696</v>
      </c>
      <c r="N4" s="12">
        <v>-1.5054296255111694</v>
      </c>
      <c r="O4" s="16">
        <v>0.51779425144195557</v>
      </c>
      <c r="P4" s="12">
        <v>-1.8538589477539063</v>
      </c>
      <c r="Q4" s="12">
        <v>-1.4661884307861328</v>
      </c>
      <c r="R4" s="12">
        <v>-0.42647647857666016</v>
      </c>
      <c r="S4" s="12">
        <v>-0.27772402763366699</v>
      </c>
      <c r="T4" s="12">
        <v>-2.5070095062255859</v>
      </c>
      <c r="U4" s="12">
        <v>-1.2133196592330933</v>
      </c>
      <c r="V4" s="12">
        <v>0.16784238815307617</v>
      </c>
      <c r="W4" s="12">
        <v>0.40593999624252319</v>
      </c>
      <c r="X4" s="12">
        <v>-2.445873498916626</v>
      </c>
      <c r="Y4" s="12">
        <v>-0.22990581393241882</v>
      </c>
      <c r="Z4" s="12">
        <v>0.25420987606048584</v>
      </c>
      <c r="AA4" s="12">
        <v>-0.18480885028839111</v>
      </c>
      <c r="AB4" s="16">
        <v>-0.81556004285812378</v>
      </c>
    </row>
    <row r="5" spans="1:28" x14ac:dyDescent="0.25">
      <c r="A5" s="37"/>
      <c r="B5" s="9" t="s">
        <v>30</v>
      </c>
      <c r="C5" s="12">
        <v>9.1068830490112305</v>
      </c>
      <c r="D5" s="12">
        <v>6.7032108306884766</v>
      </c>
      <c r="E5" s="12">
        <v>8.566253662109375</v>
      </c>
      <c r="F5" s="12">
        <v>7.9101042747497559</v>
      </c>
      <c r="G5" s="12">
        <v>9.8183708190917969</v>
      </c>
      <c r="H5" s="12">
        <v>8.7273349761962891</v>
      </c>
      <c r="I5" s="12">
        <v>9.10113525390625</v>
      </c>
      <c r="J5" s="12">
        <v>8.1357431411743164</v>
      </c>
      <c r="K5" s="12">
        <v>8.391413688659668</v>
      </c>
      <c r="L5" s="12">
        <v>9.6865139007568359</v>
      </c>
      <c r="M5" s="12">
        <v>8.0348386764526367</v>
      </c>
      <c r="N5" s="12">
        <v>8.7662544250488281</v>
      </c>
      <c r="O5" s="16">
        <v>9.5464687347412109</v>
      </c>
      <c r="P5" s="12">
        <v>3.5514280796051025</v>
      </c>
      <c r="Q5" s="12">
        <v>1.9033349752426147</v>
      </c>
      <c r="R5" s="12">
        <v>2.2097933292388916</v>
      </c>
      <c r="S5" s="12">
        <v>2.262476921081543</v>
      </c>
      <c r="T5" s="12">
        <v>3.6758203506469727</v>
      </c>
      <c r="U5" s="12">
        <v>3.109889030456543</v>
      </c>
      <c r="V5" s="12">
        <v>2.8590836524963379</v>
      </c>
      <c r="W5" s="12">
        <v>2.6443469524383545</v>
      </c>
      <c r="X5" s="12">
        <v>2.4024274349212646</v>
      </c>
      <c r="Y5" s="12">
        <v>4.6164698600769043</v>
      </c>
      <c r="Z5" s="12">
        <v>4.688321590423584</v>
      </c>
      <c r="AA5" s="12">
        <v>1.8382643461227417</v>
      </c>
      <c r="AB5" s="16">
        <v>1.999097466468811</v>
      </c>
    </row>
    <row r="6" spans="1:28" x14ac:dyDescent="0.25">
      <c r="A6" s="38"/>
      <c r="B6" s="10" t="s">
        <v>31</v>
      </c>
      <c r="C6" s="17">
        <f>SUM(C3:C5)</f>
        <v>0.9672393798828125</v>
      </c>
      <c r="D6" s="17">
        <f t="shared" ref="D6:N6" si="0">SUM(D3:D5)</f>
        <v>-4.7078193426132202</v>
      </c>
      <c r="E6" s="17">
        <f t="shared" si="0"/>
        <v>-2.4497778415679932</v>
      </c>
      <c r="F6" s="17">
        <f t="shared" si="0"/>
        <v>-3.0154955983161926</v>
      </c>
      <c r="G6" s="17">
        <f t="shared" si="0"/>
        <v>-9.999845027923584</v>
      </c>
      <c r="H6" s="17">
        <f t="shared" si="0"/>
        <v>2.3101177215576172</v>
      </c>
      <c r="I6" s="17">
        <f t="shared" si="0"/>
        <v>1.2961976528167725</v>
      </c>
      <c r="J6" s="17">
        <f t="shared" si="0"/>
        <v>-0.52350586652755737</v>
      </c>
      <c r="K6" s="17">
        <f t="shared" si="0"/>
        <v>-6.7744240760803223</v>
      </c>
      <c r="L6" s="17">
        <f t="shared" si="0"/>
        <v>-1.7576690912246704</v>
      </c>
      <c r="M6" s="17">
        <f t="shared" si="0"/>
        <v>1.0659213662147522</v>
      </c>
      <c r="N6" s="17">
        <f t="shared" si="0"/>
        <v>-3.4044555425643921</v>
      </c>
      <c r="O6" s="18">
        <f>SUM(O3:O5)</f>
        <v>0.90159952640533447</v>
      </c>
      <c r="P6" s="17">
        <f>SUM(P3:P5)</f>
        <v>-0.62516689300537109</v>
      </c>
      <c r="Q6" s="17">
        <f t="shared" ref="Q6" si="1">SUM(Q3:Q5)</f>
        <v>-2.324121356010437</v>
      </c>
      <c r="R6" s="17">
        <f t="shared" ref="R6" si="2">SUM(R3:R5)</f>
        <v>-1.2410240173339844</v>
      </c>
      <c r="S6" s="17">
        <f t="shared" ref="S6" si="3">SUM(S3:S5)</f>
        <v>-1.0585260391235352</v>
      </c>
      <c r="T6" s="17">
        <f t="shared" ref="T6" si="4">SUM(T3:T5)</f>
        <v>-4.8320193290710449</v>
      </c>
      <c r="U6" s="17">
        <f t="shared" ref="U6" si="5">SUM(U3:U5)</f>
        <v>0.18586111068725586</v>
      </c>
      <c r="V6" s="17">
        <f t="shared" ref="V6" si="6">SUM(V3:V5)</f>
        <v>0.12113094329833984</v>
      </c>
      <c r="W6" s="17">
        <f t="shared" ref="W6" si="7">SUM(W3:W5)</f>
        <v>0.26869720220565796</v>
      </c>
      <c r="X6" s="17">
        <f t="shared" ref="X6" si="8">SUM(X3:X5)</f>
        <v>-2.9150640964508057</v>
      </c>
      <c r="Y6" s="17">
        <f t="shared" ref="Y6" si="9">SUM(Y3:Y5)</f>
        <v>-0.27677556872367859</v>
      </c>
      <c r="Z6" s="17">
        <f t="shared" ref="Z6" si="10">SUM(Z3:Z5)</f>
        <v>0.84018361568450928</v>
      </c>
      <c r="AA6" s="17">
        <f t="shared" ref="AA6" si="11">SUM(AA3:AA5)</f>
        <v>-0.34691596031188965</v>
      </c>
      <c r="AB6" s="18">
        <f>SUM(AB3:AB5)</f>
        <v>-1.2008166909217834</v>
      </c>
    </row>
    <row r="7" spans="1:28" x14ac:dyDescent="0.25">
      <c r="A7" s="39" t="s">
        <v>20</v>
      </c>
      <c r="B7" s="9" t="s">
        <v>28</v>
      </c>
      <c r="C7" s="12">
        <v>-33.968574523925781</v>
      </c>
      <c r="D7" s="12">
        <v>-14.006199836730957</v>
      </c>
      <c r="E7" s="12">
        <v>-20.554821014404297</v>
      </c>
      <c r="F7" s="12">
        <v>-19.489212036132813</v>
      </c>
      <c r="G7" s="12">
        <v>-29.725652694702148</v>
      </c>
      <c r="H7" s="12">
        <v>-21.674808502197266</v>
      </c>
      <c r="I7" s="12">
        <v>-25.114772796630859</v>
      </c>
      <c r="J7" s="12">
        <v>-25.160184860229492</v>
      </c>
      <c r="K7" s="12">
        <v>-17.907995223999023</v>
      </c>
      <c r="L7" s="12">
        <v>-24.556617736816406</v>
      </c>
      <c r="M7" s="12">
        <v>-19.979591369628906</v>
      </c>
      <c r="N7" s="12">
        <v>-20.639530181884766</v>
      </c>
      <c r="O7" s="22">
        <v>-20.986370086669922</v>
      </c>
      <c r="P7" s="12">
        <v>-10.994050025939941</v>
      </c>
      <c r="Q7" s="12">
        <v>-3.0618607997894287</v>
      </c>
      <c r="R7" s="12">
        <v>-3.5259459018707275</v>
      </c>
      <c r="S7" s="12">
        <v>-5.0353250503540039</v>
      </c>
      <c r="T7" s="12">
        <v>-8.8207731246948242</v>
      </c>
      <c r="U7" s="12">
        <v>-6.3169336318969727</v>
      </c>
      <c r="V7" s="12">
        <v>-6.4974231719970703</v>
      </c>
      <c r="W7" s="12">
        <v>-5.5435595512390137</v>
      </c>
      <c r="X7" s="12">
        <v>-3.9588232040405273</v>
      </c>
      <c r="Y7" s="12">
        <v>-7.068270206451416</v>
      </c>
      <c r="Z7" s="12">
        <v>-8.1358795166015625</v>
      </c>
      <c r="AA7" s="12">
        <v>-4.0103759765625</v>
      </c>
      <c r="AB7" s="22">
        <v>-5.1126580238342285</v>
      </c>
    </row>
    <row r="8" spans="1:28" x14ac:dyDescent="0.25">
      <c r="A8" s="37"/>
      <c r="B8" s="9" t="s">
        <v>29</v>
      </c>
      <c r="C8" s="12">
        <v>-5.7213540077209473</v>
      </c>
      <c r="D8" s="12">
        <v>-3.3660321235656738</v>
      </c>
      <c r="E8" s="12">
        <v>-0.58071112632751465</v>
      </c>
      <c r="F8" s="12">
        <v>-6.2076635360717773</v>
      </c>
      <c r="G8" s="12">
        <v>-2.0754497051239014</v>
      </c>
      <c r="H8" s="12">
        <v>-2.01808762550354</v>
      </c>
      <c r="I8" s="12">
        <v>-4.295722484588623</v>
      </c>
      <c r="J8" s="12">
        <v>-7.2576098442077637</v>
      </c>
      <c r="K8" s="12">
        <v>-6.8770055770874023</v>
      </c>
      <c r="L8" s="12">
        <v>-6.2471466064453125</v>
      </c>
      <c r="M8" s="12">
        <v>-8.3220739364624023</v>
      </c>
      <c r="N8" s="12">
        <v>-7.3982949256896973</v>
      </c>
      <c r="O8" s="16">
        <v>-0.53643399477005005</v>
      </c>
      <c r="P8" s="12">
        <v>-3.4871025085449219</v>
      </c>
      <c r="Q8" s="12">
        <v>-0.48673856258392334</v>
      </c>
      <c r="R8" s="12">
        <v>-0.57459479570388794</v>
      </c>
      <c r="S8" s="12">
        <v>-2.9760546684265137</v>
      </c>
      <c r="T8" s="12">
        <v>-0.85825061798095703</v>
      </c>
      <c r="U8" s="12">
        <v>-0.15287880599498749</v>
      </c>
      <c r="V8" s="12">
        <v>-2.0586447715759277</v>
      </c>
      <c r="W8" s="12">
        <v>-2.8745155334472656</v>
      </c>
      <c r="X8" s="12">
        <v>-2.68929123878479</v>
      </c>
      <c r="Y8" s="12">
        <v>-1.2157238721847534</v>
      </c>
      <c r="Z8" s="12">
        <v>-4.2717456817626953</v>
      </c>
      <c r="AA8" s="12">
        <v>-2.3637442588806152</v>
      </c>
      <c r="AB8" s="16">
        <v>3.8260895758867264E-2</v>
      </c>
    </row>
    <row r="9" spans="1:28" x14ac:dyDescent="0.25">
      <c r="A9" s="37"/>
      <c r="B9" s="9" t="s">
        <v>30</v>
      </c>
      <c r="C9" s="12">
        <v>17.439723968505859</v>
      </c>
      <c r="D9" s="12">
        <v>10.217138290405273</v>
      </c>
      <c r="E9" s="12">
        <v>16.533132553100586</v>
      </c>
      <c r="F9" s="12">
        <v>12.977906227111816</v>
      </c>
      <c r="G9" s="12">
        <v>17.532958984375</v>
      </c>
      <c r="H9" s="12">
        <v>17.648544311523438</v>
      </c>
      <c r="I9" s="12">
        <v>14.935398101806641</v>
      </c>
      <c r="J9" s="12">
        <v>13.069060325622559</v>
      </c>
      <c r="K9" s="12">
        <v>13.710909843444824</v>
      </c>
      <c r="L9" s="12">
        <v>17.793010711669922</v>
      </c>
      <c r="M9" s="12">
        <v>14.362215995788574</v>
      </c>
      <c r="N9" s="12">
        <v>15.145549774169922</v>
      </c>
      <c r="O9" s="16">
        <v>12.857643127441406</v>
      </c>
      <c r="P9" s="12">
        <v>6.6726531982421875</v>
      </c>
      <c r="Q9" s="12">
        <v>2.7068142890930176</v>
      </c>
      <c r="R9" s="12">
        <v>3.0664374828338623</v>
      </c>
      <c r="S9" s="12">
        <v>4.0624990463256836</v>
      </c>
      <c r="T9" s="12">
        <v>6.1726188659667969</v>
      </c>
      <c r="U9" s="12">
        <v>5.574345588684082</v>
      </c>
      <c r="V9" s="12">
        <v>4.2636876106262207</v>
      </c>
      <c r="W9" s="12">
        <v>3.7025814056396484</v>
      </c>
      <c r="X9" s="12">
        <v>3.1836133003234863</v>
      </c>
      <c r="Y9" s="12">
        <v>5.5997304916381836</v>
      </c>
      <c r="Z9" s="12">
        <v>6.5046591758728027</v>
      </c>
      <c r="AA9" s="12">
        <v>3.36264967918396</v>
      </c>
      <c r="AB9" s="16">
        <v>3.7267684936523438</v>
      </c>
    </row>
    <row r="10" spans="1:28" x14ac:dyDescent="0.25">
      <c r="A10" s="38"/>
      <c r="B10" s="10" t="s">
        <v>31</v>
      </c>
      <c r="C10" s="17">
        <f>SUM(C7:C9)</f>
        <v>-22.250204563140869</v>
      </c>
      <c r="D10" s="17">
        <f t="shared" ref="D10" si="12">SUM(D7:D9)</f>
        <v>-7.1550936698913574</v>
      </c>
      <c r="E10" s="17">
        <f t="shared" ref="E10" si="13">SUM(E7:E9)</f>
        <v>-4.6023995876312256</v>
      </c>
      <c r="F10" s="17">
        <f t="shared" ref="F10" si="14">SUM(F7:F9)</f>
        <v>-12.718969345092773</v>
      </c>
      <c r="G10" s="17">
        <f t="shared" ref="G10" si="15">SUM(G7:G9)</f>
        <v>-14.26814341545105</v>
      </c>
      <c r="H10" s="17">
        <f t="shared" ref="H10" si="16">SUM(H7:H9)</f>
        <v>-6.0443518161773682</v>
      </c>
      <c r="I10" s="17">
        <f t="shared" ref="I10" si="17">SUM(I7:I9)</f>
        <v>-14.475097179412842</v>
      </c>
      <c r="J10" s="17">
        <f t="shared" ref="J10" si="18">SUM(J7:J9)</f>
        <v>-19.348734378814697</v>
      </c>
      <c r="K10" s="17">
        <f t="shared" ref="K10" si="19">SUM(K7:K9)</f>
        <v>-11.074090957641602</v>
      </c>
      <c r="L10" s="17">
        <f t="shared" ref="L10" si="20">SUM(L7:L9)</f>
        <v>-13.010753631591797</v>
      </c>
      <c r="M10" s="17">
        <f t="shared" ref="M10" si="21">SUM(M7:M9)</f>
        <v>-13.939449310302734</v>
      </c>
      <c r="N10" s="17">
        <f t="shared" ref="N10" si="22">SUM(N7:N9)</f>
        <v>-12.892275333404541</v>
      </c>
      <c r="O10" s="18">
        <f>SUM(O7:O9)</f>
        <v>-8.6651609539985657</v>
      </c>
      <c r="P10" s="17">
        <f>SUM(P7:P9)</f>
        <v>-7.8084993362426758</v>
      </c>
      <c r="Q10" s="17">
        <f t="shared" ref="Q10" si="23">SUM(Q7:Q9)</f>
        <v>-0.84178507328033447</v>
      </c>
      <c r="R10" s="17">
        <f t="shared" ref="R10" si="24">SUM(R7:R9)</f>
        <v>-1.0341032147407532</v>
      </c>
      <c r="S10" s="17">
        <f t="shared" ref="S10" si="25">SUM(S7:S9)</f>
        <v>-3.948880672454834</v>
      </c>
      <c r="T10" s="17">
        <f t="shared" ref="T10" si="26">SUM(T7:T9)</f>
        <v>-3.5064048767089844</v>
      </c>
      <c r="U10" s="17">
        <f t="shared" ref="U10" si="27">SUM(U7:U9)</f>
        <v>-0.89546684920787811</v>
      </c>
      <c r="V10" s="17">
        <f t="shared" ref="V10" si="28">SUM(V7:V9)</f>
        <v>-4.2923803329467773</v>
      </c>
      <c r="W10" s="17">
        <f t="shared" ref="W10" si="29">SUM(W7:W9)</f>
        <v>-4.7154936790466309</v>
      </c>
      <c r="X10" s="17">
        <f t="shared" ref="X10" si="30">SUM(X7:X9)</f>
        <v>-3.4645011425018311</v>
      </c>
      <c r="Y10" s="17">
        <f t="shared" ref="Y10" si="31">SUM(Y7:Y9)</f>
        <v>-2.6842635869979858</v>
      </c>
      <c r="Z10" s="17">
        <f t="shared" ref="Z10" si="32">SUM(Z7:Z9)</f>
        <v>-5.9029660224914551</v>
      </c>
      <c r="AA10" s="17">
        <f t="shared" ref="AA10" si="33">SUM(AA7:AA9)</f>
        <v>-3.0114705562591553</v>
      </c>
      <c r="AB10" s="18">
        <f>SUM(AB7:AB9)</f>
        <v>-1.3476286344230175</v>
      </c>
    </row>
    <row r="11" spans="1:28" x14ac:dyDescent="0.25">
      <c r="A11" s="39" t="s">
        <v>21</v>
      </c>
      <c r="B11" s="9" t="s">
        <v>28</v>
      </c>
      <c r="C11" s="12">
        <v>-41.245571136474609</v>
      </c>
      <c r="D11" s="12">
        <v>-33.312492370605469</v>
      </c>
      <c r="E11" s="12">
        <v>-42.344284057617188</v>
      </c>
      <c r="F11" s="12">
        <v>-33.856693267822266</v>
      </c>
      <c r="G11" s="12">
        <v>-47.490570068359375</v>
      </c>
      <c r="H11" s="12">
        <v>-42.489086151123047</v>
      </c>
      <c r="I11" s="12">
        <v>-42.290733337402344</v>
      </c>
      <c r="J11" s="12">
        <v>-44.974166870117188</v>
      </c>
      <c r="K11" s="12">
        <v>-39.436557769775391</v>
      </c>
      <c r="L11" s="12">
        <v>-42.20916748046875</v>
      </c>
      <c r="M11" s="12">
        <v>-41.279193878173828</v>
      </c>
      <c r="N11" s="12">
        <v>-38.232215881347656</v>
      </c>
      <c r="O11" s="16">
        <v>-41.493389129638672</v>
      </c>
      <c r="P11" s="12">
        <v>-17.387371063232422</v>
      </c>
      <c r="Q11" s="12">
        <v>-11.135512351989746</v>
      </c>
      <c r="R11" s="12">
        <v>-14.65019416809082</v>
      </c>
      <c r="S11" s="12">
        <v>-11.708443641662598</v>
      </c>
      <c r="T11" s="12">
        <v>-22.941434860229492</v>
      </c>
      <c r="U11" s="12">
        <v>-20.826000213623047</v>
      </c>
      <c r="V11" s="12">
        <v>-15.910548210144043</v>
      </c>
      <c r="W11" s="12">
        <v>-15.042295455932617</v>
      </c>
      <c r="X11" s="12">
        <v>-13.914971351623535</v>
      </c>
      <c r="Y11" s="12">
        <v>-18.353372573852539</v>
      </c>
      <c r="Z11" s="12">
        <v>-20.701000213623047</v>
      </c>
      <c r="AA11" s="12">
        <v>-11.25102710723877</v>
      </c>
      <c r="AB11" s="16">
        <v>-16.255395889282227</v>
      </c>
    </row>
    <row r="12" spans="1:28" x14ac:dyDescent="0.25">
      <c r="A12" s="37"/>
      <c r="B12" s="9" t="s">
        <v>29</v>
      </c>
      <c r="C12" s="12">
        <v>-9.1509008407592773</v>
      </c>
      <c r="D12" s="12">
        <v>-7.3391485214233398</v>
      </c>
      <c r="E12" s="12">
        <v>-4.9009308815002441</v>
      </c>
      <c r="F12" s="12">
        <v>-7.1208410263061523</v>
      </c>
      <c r="G12" s="12">
        <v>-2.7299661636352539</v>
      </c>
      <c r="H12" s="12">
        <v>-4.0990085601806641</v>
      </c>
      <c r="I12" s="12">
        <v>-3.8775980472564697</v>
      </c>
      <c r="J12" s="12">
        <v>-3.9919342994689941</v>
      </c>
      <c r="K12" s="12">
        <v>-6.8761115074157715</v>
      </c>
      <c r="L12" s="12">
        <v>-7.8049206733703613</v>
      </c>
      <c r="M12" s="12">
        <v>-2.8121097087860107</v>
      </c>
      <c r="N12" s="12">
        <v>-6.6737637519836426</v>
      </c>
      <c r="O12" s="16">
        <v>0.42963105440139771</v>
      </c>
      <c r="P12" s="12">
        <v>-5.3437623977661133</v>
      </c>
      <c r="Q12" s="12">
        <v>-3.451777458190918</v>
      </c>
      <c r="R12" s="12">
        <v>-3.199009895324707</v>
      </c>
      <c r="S12" s="12">
        <v>-2.9429202079772949</v>
      </c>
      <c r="T12" s="12">
        <v>-1.7479519844055176</v>
      </c>
      <c r="U12" s="12">
        <v>-1.3596664667129517</v>
      </c>
      <c r="V12" s="12">
        <v>-2.8664357662200928</v>
      </c>
      <c r="W12" s="12">
        <v>-2.2927844524383545</v>
      </c>
      <c r="X12" s="12">
        <v>-3.7562811374664307</v>
      </c>
      <c r="Y12" s="12">
        <v>-4.1916961669921875</v>
      </c>
      <c r="Z12" s="12">
        <v>-2.292156457901001</v>
      </c>
      <c r="AA12" s="12">
        <v>-2.5303099155426025</v>
      </c>
      <c r="AB12" s="16">
        <v>-2.4323258548974991E-2</v>
      </c>
    </row>
    <row r="13" spans="1:28" x14ac:dyDescent="0.25">
      <c r="A13" s="37"/>
      <c r="B13" s="9" t="s">
        <v>30</v>
      </c>
      <c r="C13" s="12">
        <v>28.386550903320313</v>
      </c>
      <c r="D13" s="12">
        <v>21.725709915161133</v>
      </c>
      <c r="E13" s="12">
        <v>28.21400260925293</v>
      </c>
      <c r="F13" s="12">
        <v>23.576400756835938</v>
      </c>
      <c r="G13" s="12">
        <v>28.432363510131836</v>
      </c>
      <c r="H13" s="12">
        <v>29.913852691650391</v>
      </c>
      <c r="I13" s="12">
        <v>26.135261535644531</v>
      </c>
      <c r="J13" s="12">
        <v>23.836164474487305</v>
      </c>
      <c r="K13" s="12">
        <v>24.049289703369141</v>
      </c>
      <c r="L13" s="12">
        <v>28.850957870483398</v>
      </c>
      <c r="M13" s="12">
        <v>24.850698471069336</v>
      </c>
      <c r="N13" s="12">
        <v>27.423538208007813</v>
      </c>
      <c r="O13" s="16">
        <v>25.196369171142578</v>
      </c>
      <c r="P13" s="12">
        <v>16.502201080322266</v>
      </c>
      <c r="Q13" s="12">
        <v>10.125344276428223</v>
      </c>
      <c r="R13" s="12">
        <v>13.333012580871582</v>
      </c>
      <c r="S13" s="12">
        <v>11.998387336730957</v>
      </c>
      <c r="T13" s="12">
        <v>18.59544563293457</v>
      </c>
      <c r="U13" s="12">
        <v>18.095661163330078</v>
      </c>
      <c r="V13" s="12">
        <v>13.341602325439453</v>
      </c>
      <c r="W13" s="12">
        <v>12.17466926574707</v>
      </c>
      <c r="X13" s="12">
        <v>12.480342864990234</v>
      </c>
      <c r="Y13" s="12">
        <v>16.946149826049805</v>
      </c>
      <c r="Z13" s="12">
        <v>16.344640731811523</v>
      </c>
      <c r="AA13" s="12">
        <v>11.481863975524902</v>
      </c>
      <c r="AB13" s="16">
        <v>12.720038414001465</v>
      </c>
    </row>
    <row r="14" spans="1:28" ht="15.75" thickBot="1" x14ac:dyDescent="0.3">
      <c r="A14" s="40"/>
      <c r="B14" s="11" t="s">
        <v>31</v>
      </c>
      <c r="C14" s="13">
        <f>SUM(C11:C13)</f>
        <v>-22.009921073913574</v>
      </c>
      <c r="D14" s="6">
        <f t="shared" ref="D14" si="34">SUM(D11:D13)</f>
        <v>-18.925930976867676</v>
      </c>
      <c r="E14" s="6">
        <f t="shared" ref="E14" si="35">SUM(E11:E13)</f>
        <v>-19.031212329864502</v>
      </c>
      <c r="F14" s="6">
        <f t="shared" ref="F14" si="36">SUM(F11:F13)</f>
        <v>-17.40113353729248</v>
      </c>
      <c r="G14" s="6">
        <f t="shared" ref="G14" si="37">SUM(G11:G13)</f>
        <v>-21.788172721862793</v>
      </c>
      <c r="H14" s="6">
        <f t="shared" ref="H14" si="38">SUM(H11:H13)</f>
        <v>-16.67424201965332</v>
      </c>
      <c r="I14" s="6">
        <f t="shared" ref="I14" si="39">SUM(I11:I13)</f>
        <v>-20.033069849014282</v>
      </c>
      <c r="J14" s="6">
        <f t="shared" ref="J14" si="40">SUM(J11:J13)</f>
        <v>-25.129936695098877</v>
      </c>
      <c r="K14" s="6">
        <f t="shared" ref="K14" si="41">SUM(K11:K13)</f>
        <v>-22.263379573822021</v>
      </c>
      <c r="L14" s="6">
        <f t="shared" ref="L14" si="42">SUM(L11:L13)</f>
        <v>-21.163130283355713</v>
      </c>
      <c r="M14" s="6">
        <f t="shared" ref="M14" si="43">SUM(M11:M13)</f>
        <v>-19.240605115890503</v>
      </c>
      <c r="N14" s="6">
        <f t="shared" ref="N14" si="44">SUM(N11:N13)</f>
        <v>-17.482441425323486</v>
      </c>
      <c r="O14" s="7">
        <f>SUM(O11:O13)</f>
        <v>-15.867388904094696</v>
      </c>
      <c r="P14" s="13">
        <f>SUM(P11:P13)</f>
        <v>-6.2289323806762695</v>
      </c>
      <c r="Q14" s="6">
        <f t="shared" ref="Q14" si="45">SUM(Q11:Q13)</f>
        <v>-4.4619455337524414</v>
      </c>
      <c r="R14" s="6">
        <f t="shared" ref="R14" si="46">SUM(R11:R13)</f>
        <v>-4.5161914825439453</v>
      </c>
      <c r="S14" s="6">
        <f t="shared" ref="S14" si="47">SUM(S11:S13)</f>
        <v>-2.6529765129089355</v>
      </c>
      <c r="T14" s="6">
        <f t="shared" ref="T14" si="48">SUM(T11:T13)</f>
        <v>-6.0939412117004395</v>
      </c>
      <c r="U14" s="6">
        <f t="shared" ref="U14" si="49">SUM(U11:U13)</f>
        <v>-4.0900055170059204</v>
      </c>
      <c r="V14" s="6">
        <f t="shared" ref="V14" si="50">SUM(V11:V13)</f>
        <v>-5.4353816509246826</v>
      </c>
      <c r="W14" s="6">
        <f t="shared" ref="W14" si="51">SUM(W11:W13)</f>
        <v>-5.1604106426239014</v>
      </c>
      <c r="X14" s="6">
        <f t="shared" ref="X14" si="52">SUM(X11:X13)</f>
        <v>-5.1909096240997314</v>
      </c>
      <c r="Y14" s="6">
        <f t="shared" ref="Y14" si="53">SUM(Y11:Y13)</f>
        <v>-5.5989189147949219</v>
      </c>
      <c r="Z14" s="6">
        <f t="shared" ref="Z14" si="54">SUM(Z11:Z13)</f>
        <v>-6.6485159397125244</v>
      </c>
      <c r="AA14" s="6">
        <f t="shared" ref="AA14" si="55">SUM(AA11:AA13)</f>
        <v>-2.2994730472564697</v>
      </c>
      <c r="AB14" s="7">
        <f>SUM(AB11:AB13)</f>
        <v>-3.5596807338297367</v>
      </c>
    </row>
    <row r="15" spans="1:28" ht="15.75" thickBot="1" x14ac:dyDescent="0.3"/>
    <row r="16" spans="1:28" ht="15.75" thickBot="1" x14ac:dyDescent="0.3">
      <c r="A16" s="36" t="s">
        <v>26</v>
      </c>
      <c r="B16" s="34" t="s">
        <v>27</v>
      </c>
      <c r="C16" s="32" t="s">
        <v>22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3"/>
      <c r="P16" s="32" t="s">
        <v>23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3"/>
    </row>
    <row r="17" spans="1:29" ht="15.75" thickBot="1" x14ac:dyDescent="0.3">
      <c r="A17" s="40"/>
      <c r="B17" s="35"/>
      <c r="C17" s="3" t="s">
        <v>6</v>
      </c>
      <c r="D17" s="4" t="s">
        <v>7</v>
      </c>
      <c r="E17" s="4" t="s">
        <v>8</v>
      </c>
      <c r="F17" s="4" t="s">
        <v>9</v>
      </c>
      <c r="G17" s="4" t="s">
        <v>10</v>
      </c>
      <c r="H17" s="4" t="s">
        <v>11</v>
      </c>
      <c r="I17" s="4" t="s">
        <v>12</v>
      </c>
      <c r="J17" s="4" t="s">
        <v>13</v>
      </c>
      <c r="K17" s="4" t="s">
        <v>14</v>
      </c>
      <c r="L17" s="4" t="s">
        <v>15</v>
      </c>
      <c r="M17" s="4" t="s">
        <v>16</v>
      </c>
      <c r="N17" s="4" t="s">
        <v>17</v>
      </c>
      <c r="O17" s="5" t="s">
        <v>18</v>
      </c>
      <c r="P17" s="3" t="s">
        <v>6</v>
      </c>
      <c r="Q17" s="4" t="s">
        <v>7</v>
      </c>
      <c r="R17" s="4" t="s">
        <v>8</v>
      </c>
      <c r="S17" s="4" t="s">
        <v>9</v>
      </c>
      <c r="T17" s="4" t="s">
        <v>10</v>
      </c>
      <c r="U17" s="4" t="s">
        <v>11</v>
      </c>
      <c r="V17" s="4" t="s">
        <v>12</v>
      </c>
      <c r="W17" s="4" t="s">
        <v>13</v>
      </c>
      <c r="X17" s="4" t="s">
        <v>14</v>
      </c>
      <c r="Y17" s="4" t="s">
        <v>15</v>
      </c>
      <c r="Z17" s="4" t="s">
        <v>16</v>
      </c>
      <c r="AA17" s="4" t="s">
        <v>17</v>
      </c>
      <c r="AB17" s="5" t="s">
        <v>18</v>
      </c>
    </row>
    <row r="18" spans="1:29" x14ac:dyDescent="0.25">
      <c r="A18" s="36" t="s">
        <v>19</v>
      </c>
      <c r="B18" s="8" t="s">
        <v>28</v>
      </c>
      <c r="C18" s="12">
        <v>-2.9994401931762695</v>
      </c>
      <c r="D18" s="12">
        <v>-4.5578017234802246</v>
      </c>
      <c r="E18" s="12">
        <v>-5.0544657707214355</v>
      </c>
      <c r="F18" s="12">
        <v>-5.3864989280700684</v>
      </c>
      <c r="G18" s="12">
        <v>-8.6306877136230469</v>
      </c>
      <c r="H18" s="12">
        <v>-2.1498346328735352</v>
      </c>
      <c r="I18" s="12">
        <v>-4.4972319602966309</v>
      </c>
      <c r="J18" s="12">
        <v>-4.2580695152282715</v>
      </c>
      <c r="K18" s="12">
        <v>-5.279181957244873</v>
      </c>
      <c r="L18" s="12">
        <v>-5.6272692680358887</v>
      </c>
      <c r="M18" s="12">
        <v>-4.4864664077758789</v>
      </c>
      <c r="N18" s="12">
        <v>-4.4130887985229492</v>
      </c>
      <c r="O18" s="12">
        <v>-4.0288128852844238</v>
      </c>
      <c r="P18" s="14">
        <v>-0.66350144147872925</v>
      </c>
      <c r="Q18" s="12">
        <v>-0.89383351802825928</v>
      </c>
      <c r="R18" s="12">
        <v>-0.88334429264068604</v>
      </c>
      <c r="S18" s="12">
        <v>-0.99134194850921631</v>
      </c>
      <c r="T18" s="12">
        <v>-1.6441349983215332</v>
      </c>
      <c r="U18" s="12">
        <v>-0.50982511043548584</v>
      </c>
      <c r="V18" s="12">
        <v>-1.0646325349807739</v>
      </c>
      <c r="W18" s="12">
        <v>-0.87794399261474609</v>
      </c>
      <c r="X18" s="12">
        <v>-1.0472531318664551</v>
      </c>
      <c r="Y18" s="12">
        <v>-1.3581264019012451</v>
      </c>
      <c r="Z18" s="12">
        <v>-1.3824197053909302</v>
      </c>
      <c r="AA18" s="12">
        <v>-0.60251498222351074</v>
      </c>
      <c r="AB18" s="15">
        <v>-0.78974699974060059</v>
      </c>
      <c r="AC18" s="21"/>
    </row>
    <row r="19" spans="1:29" x14ac:dyDescent="0.25">
      <c r="A19" s="37"/>
      <c r="B19" s="9" t="s">
        <v>29</v>
      </c>
      <c r="C19" s="12">
        <v>-1.6650353670120239</v>
      </c>
      <c r="D19" s="12">
        <v>-1.3820139169692993</v>
      </c>
      <c r="E19" s="12">
        <v>8.6945546790957451E-3</v>
      </c>
      <c r="F19" s="12">
        <v>6.2670201063156128E-2</v>
      </c>
      <c r="G19" s="12">
        <v>-2.0788149833679199</v>
      </c>
      <c r="H19" s="12">
        <v>-1.6125315427780151</v>
      </c>
      <c r="I19" s="12">
        <v>0.71608507633209229</v>
      </c>
      <c r="J19" s="12">
        <v>0.40251445770263672</v>
      </c>
      <c r="K19" s="12">
        <v>-2.2804074287414551</v>
      </c>
      <c r="L19" s="12">
        <v>-0.55533957481384277</v>
      </c>
      <c r="M19" s="12">
        <v>-0.16819439828395844</v>
      </c>
      <c r="N19" s="12">
        <v>-0.60631430149078369</v>
      </c>
      <c r="O19" s="16">
        <v>-0.33245617151260376</v>
      </c>
      <c r="P19" s="12">
        <v>-0.4753936231136322</v>
      </c>
      <c r="Q19" s="12">
        <v>-0.81408870220184326</v>
      </c>
      <c r="R19" s="12">
        <v>-0.19245606660842896</v>
      </c>
      <c r="S19" s="12">
        <v>-0.20480351150035858</v>
      </c>
      <c r="T19" s="12">
        <v>-0.74011141061782837</v>
      </c>
      <c r="U19" s="12">
        <v>-0.25783044099807739</v>
      </c>
      <c r="V19" s="12">
        <v>0.13638666272163391</v>
      </c>
      <c r="W19" s="12">
        <v>0.11347845196723938</v>
      </c>
      <c r="X19" s="12">
        <v>-1.1581827402114868</v>
      </c>
      <c r="Y19" s="12">
        <v>-1.6389802098274231E-2</v>
      </c>
      <c r="Z19" s="12">
        <v>-5.1352806389331818E-2</v>
      </c>
      <c r="AA19" s="12">
        <v>-9.0396523475646973E-2</v>
      </c>
      <c r="AB19" s="16">
        <v>-7.4279360473155975E-2</v>
      </c>
    </row>
    <row r="20" spans="1:29" x14ac:dyDescent="0.25">
      <c r="A20" s="37"/>
      <c r="B20" s="9" t="s">
        <v>30</v>
      </c>
      <c r="C20" s="12">
        <v>4.7826061248779297</v>
      </c>
      <c r="D20" s="12">
        <v>3.0100259780883789</v>
      </c>
      <c r="E20" s="12">
        <v>3.8319308757781982</v>
      </c>
      <c r="F20" s="12">
        <v>3.5461955070495605</v>
      </c>
      <c r="G20" s="12">
        <v>5.1591038703918457</v>
      </c>
      <c r="H20" s="12">
        <v>4.8716497421264648</v>
      </c>
      <c r="I20" s="12">
        <v>4.2846508026123047</v>
      </c>
      <c r="J20" s="12">
        <v>3.773003101348877</v>
      </c>
      <c r="K20" s="12">
        <v>3.8072118759155273</v>
      </c>
      <c r="L20" s="12">
        <v>5.7640838623046875</v>
      </c>
      <c r="M20" s="12">
        <v>4.640439510345459</v>
      </c>
      <c r="N20" s="12">
        <v>3.7324388027191162</v>
      </c>
      <c r="O20" s="16">
        <v>4.2233772277832031</v>
      </c>
      <c r="P20" s="12">
        <v>1.0169240236282349</v>
      </c>
      <c r="Q20" s="12">
        <v>0.60926395654678345</v>
      </c>
      <c r="R20" s="12">
        <v>0.66848129034042358</v>
      </c>
      <c r="S20" s="12">
        <v>0.72227543592453003</v>
      </c>
      <c r="T20" s="12">
        <v>1.0258169174194336</v>
      </c>
      <c r="U20" s="12">
        <v>0.92423772811889648</v>
      </c>
      <c r="V20" s="12">
        <v>1.0023218393325806</v>
      </c>
      <c r="W20" s="12">
        <v>0.89398932456970215</v>
      </c>
      <c r="X20" s="12">
        <v>0.85667115449905396</v>
      </c>
      <c r="Y20" s="12">
        <v>1.3877873420715332</v>
      </c>
      <c r="Z20" s="12">
        <v>1.5460596084594727</v>
      </c>
      <c r="AA20" s="12">
        <v>0.53823089599609375</v>
      </c>
      <c r="AB20" s="16">
        <v>0.71027034521102905</v>
      </c>
    </row>
    <row r="21" spans="1:29" x14ac:dyDescent="0.25">
      <c r="A21" s="38"/>
      <c r="B21" s="10" t="s">
        <v>31</v>
      </c>
      <c r="C21" s="17">
        <f>SUM(C18:C20)</f>
        <v>0.11813056468963623</v>
      </c>
      <c r="D21" s="17">
        <f t="shared" ref="D21" si="56">SUM(D18:D20)</f>
        <v>-2.929789662361145</v>
      </c>
      <c r="E21" s="17">
        <f t="shared" ref="E21" si="57">SUM(E18:E20)</f>
        <v>-1.2138403402641416</v>
      </c>
      <c r="F21" s="17">
        <f t="shared" ref="F21" si="58">SUM(F18:F20)</f>
        <v>-1.7776332199573517</v>
      </c>
      <c r="G21" s="17">
        <f t="shared" ref="G21" si="59">SUM(G18:G20)</f>
        <v>-5.5503988265991211</v>
      </c>
      <c r="H21" s="17">
        <f t="shared" ref="H21" si="60">SUM(H18:H20)</f>
        <v>1.1092835664749146</v>
      </c>
      <c r="I21" s="17">
        <f t="shared" ref="I21" si="61">SUM(I18:I20)</f>
        <v>0.50350391864776611</v>
      </c>
      <c r="J21" s="17">
        <f t="shared" ref="J21" si="62">SUM(J18:J20)</f>
        <v>-8.2551956176757813E-2</v>
      </c>
      <c r="K21" s="17">
        <f t="shared" ref="K21" si="63">SUM(K18:K20)</f>
        <v>-3.7523775100708008</v>
      </c>
      <c r="L21" s="17">
        <f t="shared" ref="L21" si="64">SUM(L18:L20)</f>
        <v>-0.41852498054504395</v>
      </c>
      <c r="M21" s="17">
        <f t="shared" ref="M21" si="65">SUM(M18:M20)</f>
        <v>-1.4221295714378357E-2</v>
      </c>
      <c r="N21" s="17">
        <f t="shared" ref="N21" si="66">SUM(N18:N20)</f>
        <v>-1.2869642972946167</v>
      </c>
      <c r="O21" s="18">
        <f>SUM(O18:O20)</f>
        <v>-0.13789182901382446</v>
      </c>
      <c r="P21" s="17">
        <f>SUM(P18:P20)</f>
        <v>-0.12197104096412659</v>
      </c>
      <c r="Q21" s="17">
        <f t="shared" ref="Q21" si="67">SUM(Q18:Q20)</f>
        <v>-1.0986582636833191</v>
      </c>
      <c r="R21" s="17">
        <f t="shared" ref="R21" si="68">SUM(R18:R20)</f>
        <v>-0.40731906890869141</v>
      </c>
      <c r="S21" s="17">
        <f t="shared" ref="S21" si="69">SUM(S18:S20)</f>
        <v>-0.47387002408504486</v>
      </c>
      <c r="T21" s="17">
        <f t="shared" ref="T21" si="70">SUM(T18:T20)</f>
        <v>-1.358429491519928</v>
      </c>
      <c r="U21" s="17">
        <f t="shared" ref="U21" si="71">SUM(U18:U20)</f>
        <v>0.15658217668533325</v>
      </c>
      <c r="V21" s="17">
        <f t="shared" ref="V21" si="72">SUM(V18:V20)</f>
        <v>7.4075967073440552E-2</v>
      </c>
      <c r="W21" s="17">
        <f t="shared" ref="W21" si="73">SUM(W18:W20)</f>
        <v>0.12952378392219543</v>
      </c>
      <c r="X21" s="17">
        <f t="shared" ref="X21" si="74">SUM(X18:X20)</f>
        <v>-1.3487647175788879</v>
      </c>
      <c r="Y21" s="17">
        <f t="shared" ref="Y21" si="75">SUM(Y18:Y20)</f>
        <v>1.3271138072013855E-2</v>
      </c>
      <c r="Z21" s="17">
        <f t="shared" ref="Z21" si="76">SUM(Z18:Z20)</f>
        <v>0.11228709667921066</v>
      </c>
      <c r="AA21" s="17">
        <f t="shared" ref="AA21" si="77">SUM(AA18:AA20)</f>
        <v>-0.15468060970306396</v>
      </c>
      <c r="AB21" s="18">
        <f>SUM(AB18:AB20)</f>
        <v>-0.15375601500272751</v>
      </c>
    </row>
    <row r="22" spans="1:29" x14ac:dyDescent="0.25">
      <c r="A22" s="39" t="s">
        <v>20</v>
      </c>
      <c r="B22" s="9" t="s">
        <v>28</v>
      </c>
      <c r="C22" s="12">
        <v>-15.113873481750488</v>
      </c>
      <c r="D22" s="12">
        <v>-5.2257895469665527</v>
      </c>
      <c r="E22" s="12">
        <v>-7.160494327545166</v>
      </c>
      <c r="F22" s="12">
        <v>-7.596703052520752</v>
      </c>
      <c r="G22" s="12">
        <v>-13.287314414978027</v>
      </c>
      <c r="H22" s="12">
        <v>-9.9318475723266602</v>
      </c>
      <c r="I22" s="12">
        <v>-10.193384170532227</v>
      </c>
      <c r="J22" s="12">
        <v>-9.7908525466918945</v>
      </c>
      <c r="K22" s="12">
        <v>-6.8595399856567383</v>
      </c>
      <c r="L22" s="12">
        <v>-10.804503440856934</v>
      </c>
      <c r="M22" s="12">
        <v>-9.6684589385986328</v>
      </c>
      <c r="N22" s="12">
        <v>-7.6009106636047363</v>
      </c>
      <c r="O22" s="22">
        <v>-8.2931299209594727</v>
      </c>
      <c r="P22" s="12">
        <v>-3.0747923851013184</v>
      </c>
      <c r="Q22" s="12">
        <v>-0.89795058965682983</v>
      </c>
      <c r="R22" s="12">
        <v>-0.89635390043258667</v>
      </c>
      <c r="S22" s="12">
        <v>-1.6941388845443726</v>
      </c>
      <c r="T22" s="12">
        <v>-2.4981987476348877</v>
      </c>
      <c r="U22" s="12">
        <v>-2.0383455753326416</v>
      </c>
      <c r="V22" s="12">
        <v>-2.039560079574585</v>
      </c>
      <c r="W22" s="12">
        <v>-1.8122055530548096</v>
      </c>
      <c r="X22" s="12">
        <v>-1.3841706514358521</v>
      </c>
      <c r="Y22" s="12">
        <v>-1.9334936141967773</v>
      </c>
      <c r="Z22" s="12">
        <v>-2.4475977420806885</v>
      </c>
      <c r="AA22" s="12">
        <v>-1.1224771738052368</v>
      </c>
      <c r="AB22" s="22">
        <v>-1.5885390043258667</v>
      </c>
    </row>
    <row r="23" spans="1:29" x14ac:dyDescent="0.25">
      <c r="A23" s="37"/>
      <c r="B23" s="9" t="s">
        <v>29</v>
      </c>
      <c r="C23" s="12">
        <v>-3.6427850723266602</v>
      </c>
      <c r="D23" s="12">
        <v>-1.06886887550354</v>
      </c>
      <c r="E23" s="12">
        <v>-0.40721997618675232</v>
      </c>
      <c r="F23" s="12">
        <v>-3.2025201320648193</v>
      </c>
      <c r="G23" s="12">
        <v>-1.1146732568740845</v>
      </c>
      <c r="H23" s="12">
        <v>-0.90794664621353149</v>
      </c>
      <c r="I23" s="12">
        <v>-2.3825950622558594</v>
      </c>
      <c r="J23" s="12">
        <v>-3.6488711833953857</v>
      </c>
      <c r="K23" s="12">
        <v>-3.3363556861877441</v>
      </c>
      <c r="L23" s="12">
        <v>-2.6614434719085693</v>
      </c>
      <c r="M23" s="12">
        <v>-4.5790143013000488</v>
      </c>
      <c r="N23" s="12">
        <v>-3.4155228137969971</v>
      </c>
      <c r="O23" s="16">
        <v>-0.1912321150302887</v>
      </c>
      <c r="P23" s="12">
        <v>-1.4757057428359985</v>
      </c>
      <c r="Q23" s="12">
        <v>8.9509747922420502E-2</v>
      </c>
      <c r="R23" s="12">
        <v>-5.5429484695196152E-2</v>
      </c>
      <c r="S23" s="12">
        <v>-1.3192850351333618</v>
      </c>
      <c r="T23" s="12">
        <v>-5.4237470030784607E-2</v>
      </c>
      <c r="U23" s="12">
        <v>0.46640852093696594</v>
      </c>
      <c r="V23" s="12">
        <v>-0.75393080711364746</v>
      </c>
      <c r="W23" s="12">
        <v>-1.145418643951416</v>
      </c>
      <c r="X23" s="12">
        <v>-1.2675753831863403</v>
      </c>
      <c r="Y23" s="12">
        <v>-0.16849379241466522</v>
      </c>
      <c r="Z23" s="12">
        <v>-1.1224451065063477</v>
      </c>
      <c r="AA23" s="12">
        <v>-0.67193162441253662</v>
      </c>
      <c r="AB23" s="16">
        <v>0.11732745170593262</v>
      </c>
    </row>
    <row r="24" spans="1:29" x14ac:dyDescent="0.25">
      <c r="A24" s="37"/>
      <c r="B24" s="9" t="s">
        <v>30</v>
      </c>
      <c r="C24" s="12">
        <v>8.4073648452758789</v>
      </c>
      <c r="D24" s="12">
        <v>3.9983413219451904</v>
      </c>
      <c r="E24" s="12">
        <v>5.8256654739379883</v>
      </c>
      <c r="F24" s="12">
        <v>5.2264890670776367</v>
      </c>
      <c r="G24" s="12">
        <v>8.3380804061889648</v>
      </c>
      <c r="H24" s="12">
        <v>8.6206684112548828</v>
      </c>
      <c r="I24" s="12">
        <v>6.3940882682800293</v>
      </c>
      <c r="J24" s="12">
        <v>5.8116655349731445</v>
      </c>
      <c r="K24" s="12">
        <v>5.4964084625244141</v>
      </c>
      <c r="L24" s="12">
        <v>8.4681081771850586</v>
      </c>
      <c r="M24" s="12">
        <v>7.1331663131713867</v>
      </c>
      <c r="N24" s="12">
        <v>5.9184775352478027</v>
      </c>
      <c r="O24" s="16">
        <v>5.2629776000976563</v>
      </c>
      <c r="P24" s="12">
        <v>2.1403274536132813</v>
      </c>
      <c r="Q24" s="12">
        <v>0.78094023466110229</v>
      </c>
      <c r="R24" s="12">
        <v>0.80540257692337036</v>
      </c>
      <c r="S24" s="12">
        <v>1.4199234247207642</v>
      </c>
      <c r="T24" s="12">
        <v>1.7242885828018188</v>
      </c>
      <c r="U24" s="12">
        <v>1.7763538360595703</v>
      </c>
      <c r="V24" s="12">
        <v>1.3965475559234619</v>
      </c>
      <c r="W24" s="12">
        <v>1.1492413282394409</v>
      </c>
      <c r="X24" s="12">
        <v>1.077678918838501</v>
      </c>
      <c r="Y24" s="12">
        <v>1.5553367137908936</v>
      </c>
      <c r="Z24" s="12">
        <v>2.1234955787658691</v>
      </c>
      <c r="AA24" s="12">
        <v>0.97108638286590576</v>
      </c>
      <c r="AB24" s="16">
        <v>1.1321157217025757</v>
      </c>
    </row>
    <row r="25" spans="1:29" x14ac:dyDescent="0.25">
      <c r="A25" s="38"/>
      <c r="B25" s="10" t="s">
        <v>31</v>
      </c>
      <c r="C25" s="17">
        <f>SUM(C22:C24)</f>
        <v>-10.34929370880127</v>
      </c>
      <c r="D25" s="17">
        <f t="shared" ref="D25" si="78">SUM(D22:D24)</f>
        <v>-2.2963171005249023</v>
      </c>
      <c r="E25" s="17">
        <f t="shared" ref="E25" si="79">SUM(E22:E24)</f>
        <v>-1.7420488297939301</v>
      </c>
      <c r="F25" s="17">
        <f t="shared" ref="F25" si="80">SUM(F22:F24)</f>
        <v>-5.5727341175079346</v>
      </c>
      <c r="G25" s="17">
        <f t="shared" ref="G25" si="81">SUM(G22:G24)</f>
        <v>-6.063907265663147</v>
      </c>
      <c r="H25" s="17">
        <f t="shared" ref="H25" si="82">SUM(H22:H24)</f>
        <v>-2.2191258072853088</v>
      </c>
      <c r="I25" s="17">
        <f t="shared" ref="I25" si="83">SUM(I22:I24)</f>
        <v>-6.1818909645080566</v>
      </c>
      <c r="J25" s="17">
        <f t="shared" ref="J25" si="84">SUM(J22:J24)</f>
        <v>-7.6280581951141357</v>
      </c>
      <c r="K25" s="17">
        <f t="shared" ref="K25" si="85">SUM(K22:K24)</f>
        <v>-4.6994872093200684</v>
      </c>
      <c r="L25" s="17">
        <f t="shared" ref="L25" si="86">SUM(L22:L24)</f>
        <v>-4.9978387355804443</v>
      </c>
      <c r="M25" s="17">
        <f t="shared" ref="M25" si="87">SUM(M22:M24)</f>
        <v>-7.1143069267272949</v>
      </c>
      <c r="N25" s="17">
        <f t="shared" ref="N25" si="88">SUM(N22:N24)</f>
        <v>-5.0979559421539307</v>
      </c>
      <c r="O25" s="18">
        <f>SUM(O22:O24)</f>
        <v>-3.2213844358921051</v>
      </c>
      <c r="P25" s="17">
        <f>SUM(P22:P24)</f>
        <v>-2.4101706743240356</v>
      </c>
      <c r="Q25" s="17">
        <f t="shared" ref="Q25" si="89">SUM(Q22:Q24)</f>
        <v>-2.7500607073307037E-2</v>
      </c>
      <c r="R25" s="17">
        <f t="shared" ref="R25" si="90">SUM(R22:R24)</f>
        <v>-0.14638080820441246</v>
      </c>
      <c r="S25" s="17">
        <f t="shared" ref="S25" si="91">SUM(S22:S24)</f>
        <v>-1.5935004949569702</v>
      </c>
      <c r="T25" s="17">
        <f t="shared" ref="T25" si="92">SUM(T22:T24)</f>
        <v>-0.82814763486385345</v>
      </c>
      <c r="U25" s="17">
        <f t="shared" ref="U25" si="93">SUM(U22:U24)</f>
        <v>0.20441678166389465</v>
      </c>
      <c r="V25" s="17">
        <f t="shared" ref="V25" si="94">SUM(V22:V24)</f>
        <v>-1.3969433307647705</v>
      </c>
      <c r="W25" s="17">
        <f t="shared" ref="W25" si="95">SUM(W22:W24)</f>
        <v>-1.8083828687667847</v>
      </c>
      <c r="X25" s="17">
        <f t="shared" ref="X25" si="96">SUM(X22:X24)</f>
        <v>-1.5740671157836914</v>
      </c>
      <c r="Y25" s="17">
        <f t="shared" ref="Y25" si="97">SUM(Y22:Y24)</f>
        <v>-0.54665069282054901</v>
      </c>
      <c r="Z25" s="17">
        <f t="shared" ref="Z25" si="98">SUM(Z22:Z24)</f>
        <v>-1.446547269821167</v>
      </c>
      <c r="AA25" s="17">
        <f t="shared" ref="AA25" si="99">SUM(AA22:AA24)</f>
        <v>-0.82332241535186768</v>
      </c>
      <c r="AB25" s="18">
        <f>SUM(AB22:AB24)</f>
        <v>-0.3390958309173584</v>
      </c>
    </row>
    <row r="26" spans="1:29" x14ac:dyDescent="0.25">
      <c r="A26" s="39" t="s">
        <v>21</v>
      </c>
      <c r="B26" s="9" t="s">
        <v>28</v>
      </c>
      <c r="C26" s="12">
        <v>-20.747491836547852</v>
      </c>
      <c r="D26" s="12">
        <v>-14.940985679626465</v>
      </c>
      <c r="E26" s="12">
        <v>-19.59821891784668</v>
      </c>
      <c r="F26" s="12">
        <v>-15.221504211425781</v>
      </c>
      <c r="G26" s="12">
        <v>-25.503250122070313</v>
      </c>
      <c r="H26" s="12">
        <v>-23.642055511474609</v>
      </c>
      <c r="I26" s="12">
        <v>-20.42234992980957</v>
      </c>
      <c r="J26" s="12">
        <v>-20.736482620239258</v>
      </c>
      <c r="K26" s="12">
        <v>-18.605226516723633</v>
      </c>
      <c r="L26" s="12">
        <v>-22.353841781616211</v>
      </c>
      <c r="M26" s="12">
        <v>-22.532148361206055</v>
      </c>
      <c r="N26" s="12">
        <v>-16.724269866943359</v>
      </c>
      <c r="O26" s="16">
        <v>-19.901372909545898</v>
      </c>
      <c r="P26" s="12">
        <v>-5.6826400756835938</v>
      </c>
      <c r="Q26" s="12">
        <v>-3.8329331874847412</v>
      </c>
      <c r="R26" s="12">
        <v>-4.6706385612487793</v>
      </c>
      <c r="S26" s="12">
        <v>-3.9766590595245361</v>
      </c>
      <c r="T26" s="12">
        <v>-7.7226953506469727</v>
      </c>
      <c r="U26" s="12">
        <v>-7.1669306755065918</v>
      </c>
      <c r="V26" s="12">
        <v>-5.4818716049194336</v>
      </c>
      <c r="W26" s="12">
        <v>-4.9350156784057617</v>
      </c>
      <c r="X26" s="12">
        <v>-4.9356503486633301</v>
      </c>
      <c r="Y26" s="12">
        <v>-6.2724428176879883</v>
      </c>
      <c r="Z26" s="12">
        <v>-7.4187512397766113</v>
      </c>
      <c r="AA26" s="12">
        <v>-3.318742036819458</v>
      </c>
      <c r="AB26" s="16">
        <v>-5.6095294952392578</v>
      </c>
    </row>
    <row r="27" spans="1:29" x14ac:dyDescent="0.25">
      <c r="A27" s="37"/>
      <c r="B27" s="9" t="s">
        <v>29</v>
      </c>
      <c r="C27" s="12">
        <v>-5.535797119140625</v>
      </c>
      <c r="D27" s="12">
        <v>-3.9994463920593262</v>
      </c>
      <c r="E27" s="12">
        <v>-3.0576138496398926</v>
      </c>
      <c r="F27" s="12">
        <v>-3.5335862636566162</v>
      </c>
      <c r="G27" s="12">
        <v>-1.7577943801879883</v>
      </c>
      <c r="H27" s="12">
        <v>-2.028484582901001</v>
      </c>
      <c r="I27" s="12">
        <v>-2.6534314155578613</v>
      </c>
      <c r="J27" s="12">
        <v>-2.417656421661377</v>
      </c>
      <c r="K27" s="12">
        <v>-3.8245017528533936</v>
      </c>
      <c r="L27" s="12">
        <v>-4.6146597862243652</v>
      </c>
      <c r="M27" s="12">
        <v>-2.2379074096679688</v>
      </c>
      <c r="N27" s="12">
        <v>-3.1499607563018799</v>
      </c>
      <c r="O27" s="16">
        <v>0.23954717814922333</v>
      </c>
      <c r="P27" s="12">
        <v>-2.039118766784668</v>
      </c>
      <c r="Q27" s="12">
        <v>-1.4501956701278687</v>
      </c>
      <c r="R27" s="12">
        <v>-1.36647629737854</v>
      </c>
      <c r="S27" s="12">
        <v>-0.92816299200057983</v>
      </c>
      <c r="T27" s="12">
        <v>-0.52606379985809326</v>
      </c>
      <c r="U27" s="12">
        <v>-5.5813297629356384E-2</v>
      </c>
      <c r="V27" s="12">
        <v>-1.1702322959899902</v>
      </c>
      <c r="W27" s="12">
        <v>-1.1069475412368774</v>
      </c>
      <c r="X27" s="12">
        <v>-1.4568831920623779</v>
      </c>
      <c r="Y27" s="12">
        <v>-1.4523211717605591</v>
      </c>
      <c r="Z27" s="12">
        <v>-0.99092650413513184</v>
      </c>
      <c r="AA27" s="12">
        <v>-0.79415255784988403</v>
      </c>
      <c r="AB27" s="16">
        <v>0.26265928149223328</v>
      </c>
    </row>
    <row r="28" spans="1:29" x14ac:dyDescent="0.25">
      <c r="A28" s="37"/>
      <c r="B28" s="9" t="s">
        <v>30</v>
      </c>
      <c r="C28" s="12">
        <v>15.867874145507813</v>
      </c>
      <c r="D28" s="12">
        <v>10.685257911682129</v>
      </c>
      <c r="E28" s="12">
        <v>14.67153263092041</v>
      </c>
      <c r="F28" s="12">
        <v>11.907493591308594</v>
      </c>
      <c r="G28" s="12">
        <v>17.157709121704102</v>
      </c>
      <c r="H28" s="12">
        <v>18.078912734985352</v>
      </c>
      <c r="I28" s="12">
        <v>14.290945053100586</v>
      </c>
      <c r="J28" s="12">
        <v>13.104601860046387</v>
      </c>
      <c r="K28" s="12">
        <v>13.202412605285645</v>
      </c>
      <c r="L28" s="12">
        <v>17.181253433227539</v>
      </c>
      <c r="M28" s="12">
        <v>14.543975830078125</v>
      </c>
      <c r="N28" s="12">
        <v>13.559895515441895</v>
      </c>
      <c r="O28" s="16">
        <v>13.353823661804199</v>
      </c>
      <c r="P28" s="12">
        <v>5.9407367706298828</v>
      </c>
      <c r="Q28" s="12">
        <v>3.7331016063690186</v>
      </c>
      <c r="R28" s="12">
        <v>4.5862421989440918</v>
      </c>
      <c r="S28" s="12">
        <v>4.1983942985534668</v>
      </c>
      <c r="T28" s="12">
        <v>6.8331727981567383</v>
      </c>
      <c r="U28" s="12">
        <v>6.5418300628662109</v>
      </c>
      <c r="V28" s="12">
        <v>4.8654170036315918</v>
      </c>
      <c r="W28" s="12">
        <v>4.2615447044372559</v>
      </c>
      <c r="X28" s="12">
        <v>4.5096755027770996</v>
      </c>
      <c r="Y28" s="12">
        <v>6.1663823127746582</v>
      </c>
      <c r="Z28" s="12">
        <v>6.4756169319152832</v>
      </c>
      <c r="AA28" s="12">
        <v>3.5366182327270508</v>
      </c>
      <c r="AB28" s="16">
        <v>4.5848517417907715</v>
      </c>
    </row>
    <row r="29" spans="1:29" ht="15.75" thickBot="1" x14ac:dyDescent="0.3">
      <c r="A29" s="40"/>
      <c r="B29" s="11" t="s">
        <v>31</v>
      </c>
      <c r="C29" s="13">
        <f>SUM(C26:C28)</f>
        <v>-10.415414810180664</v>
      </c>
      <c r="D29" s="6">
        <f t="shared" ref="D29" si="100">SUM(D26:D28)</f>
        <v>-8.2551741600036621</v>
      </c>
      <c r="E29" s="6">
        <f t="shared" ref="E29" si="101">SUM(E26:E28)</f>
        <v>-7.9843001365661621</v>
      </c>
      <c r="F29" s="6">
        <f t="shared" ref="F29" si="102">SUM(F26:F28)</f>
        <v>-6.8475968837738037</v>
      </c>
      <c r="G29" s="6">
        <f t="shared" ref="G29" si="103">SUM(G26:G28)</f>
        <v>-10.103335380554199</v>
      </c>
      <c r="H29" s="6">
        <f t="shared" ref="H29" si="104">SUM(H26:H28)</f>
        <v>-7.5916273593902588</v>
      </c>
      <c r="I29" s="6">
        <f t="shared" ref="I29" si="105">SUM(I26:I28)</f>
        <v>-8.7848362922668457</v>
      </c>
      <c r="J29" s="6">
        <f t="shared" ref="J29" si="106">SUM(J26:J28)</f>
        <v>-10.049537181854248</v>
      </c>
      <c r="K29" s="6">
        <f t="shared" ref="K29" si="107">SUM(K26:K28)</f>
        <v>-9.2273156642913818</v>
      </c>
      <c r="L29" s="6">
        <f t="shared" ref="L29" si="108">SUM(L26:L28)</f>
        <v>-9.7872481346130371</v>
      </c>
      <c r="M29" s="6">
        <f t="shared" ref="M29" si="109">SUM(M26:M28)</f>
        <v>-10.226079940795898</v>
      </c>
      <c r="N29" s="6">
        <f t="shared" ref="N29" si="110">SUM(N26:N28)</f>
        <v>-6.3143351078033447</v>
      </c>
      <c r="O29" s="7">
        <f>SUM(O26:O28)</f>
        <v>-6.3080020695924759</v>
      </c>
      <c r="P29" s="13">
        <f>SUM(P26:P28)</f>
        <v>-1.7810220718383789</v>
      </c>
      <c r="Q29" s="6">
        <f t="shared" ref="Q29" si="111">SUM(Q26:Q28)</f>
        <v>-1.5500272512435913</v>
      </c>
      <c r="R29" s="6">
        <f t="shared" ref="R29" si="112">SUM(R26:R28)</f>
        <v>-1.4508726596832275</v>
      </c>
      <c r="S29" s="6">
        <f t="shared" ref="S29" si="113">SUM(S26:S28)</f>
        <v>-0.70642775297164917</v>
      </c>
      <c r="T29" s="6">
        <f t="shared" ref="T29" si="114">SUM(T26:T28)</f>
        <v>-1.4155863523483276</v>
      </c>
      <c r="U29" s="6">
        <f t="shared" ref="U29" si="115">SUM(U26:U28)</f>
        <v>-0.68091391026973724</v>
      </c>
      <c r="V29" s="6">
        <f t="shared" ref="V29" si="116">SUM(V26:V28)</f>
        <v>-1.786686897277832</v>
      </c>
      <c r="W29" s="6">
        <f t="shared" ref="W29" si="117">SUM(W26:W28)</f>
        <v>-1.7804185152053833</v>
      </c>
      <c r="X29" s="6">
        <f t="shared" ref="X29" si="118">SUM(X26:X28)</f>
        <v>-1.8828580379486084</v>
      </c>
      <c r="Y29" s="6">
        <f t="shared" ref="Y29" si="119">SUM(Y26:Y28)</f>
        <v>-1.5583816766738892</v>
      </c>
      <c r="Z29" s="6">
        <f t="shared" ref="Z29" si="120">SUM(Z26:Z28)</f>
        <v>-1.93406081199646</v>
      </c>
      <c r="AA29" s="6">
        <f t="shared" ref="AA29" si="121">SUM(AA26:AA28)</f>
        <v>-0.57627636194229126</v>
      </c>
      <c r="AB29" s="7">
        <f>SUM(AB26:AB28)</f>
        <v>-0.76201847195625305</v>
      </c>
    </row>
    <row r="30" spans="1:29" ht="15.75" thickBot="1" x14ac:dyDescent="0.3"/>
    <row r="31" spans="1:29" ht="15.75" thickBot="1" x14ac:dyDescent="0.3">
      <c r="A31" s="36" t="s">
        <v>26</v>
      </c>
      <c r="B31" s="34" t="s">
        <v>27</v>
      </c>
      <c r="C31" s="32" t="s">
        <v>24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32" t="s">
        <v>25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3"/>
    </row>
    <row r="32" spans="1:29" ht="15.75" thickBot="1" x14ac:dyDescent="0.3">
      <c r="A32" s="40"/>
      <c r="B32" s="35"/>
      <c r="C32" s="3" t="s">
        <v>6</v>
      </c>
      <c r="D32" s="4" t="s">
        <v>7</v>
      </c>
      <c r="E32" s="4" t="s">
        <v>8</v>
      </c>
      <c r="F32" s="4" t="s">
        <v>9</v>
      </c>
      <c r="G32" s="4" t="s">
        <v>10</v>
      </c>
      <c r="H32" s="4" t="s">
        <v>11</v>
      </c>
      <c r="I32" s="4" t="s">
        <v>12</v>
      </c>
      <c r="J32" s="4" t="s">
        <v>13</v>
      </c>
      <c r="K32" s="4" t="s">
        <v>14</v>
      </c>
      <c r="L32" s="4" t="s">
        <v>15</v>
      </c>
      <c r="M32" s="4" t="s">
        <v>16</v>
      </c>
      <c r="N32" s="4" t="s">
        <v>17</v>
      </c>
      <c r="O32" s="5" t="s">
        <v>18</v>
      </c>
      <c r="P32" s="3" t="s">
        <v>6</v>
      </c>
      <c r="Q32" s="4" t="s">
        <v>7</v>
      </c>
      <c r="R32" s="4" t="s">
        <v>8</v>
      </c>
      <c r="S32" s="4" t="s">
        <v>9</v>
      </c>
      <c r="T32" s="4" t="s">
        <v>10</v>
      </c>
      <c r="U32" s="4" t="s">
        <v>11</v>
      </c>
      <c r="V32" s="4" t="s">
        <v>12</v>
      </c>
      <c r="W32" s="4" t="s">
        <v>13</v>
      </c>
      <c r="X32" s="4" t="s">
        <v>14</v>
      </c>
      <c r="Y32" s="4" t="s">
        <v>15</v>
      </c>
      <c r="Z32" s="4" t="s">
        <v>16</v>
      </c>
      <c r="AA32" s="4" t="s">
        <v>17</v>
      </c>
      <c r="AB32" s="5" t="s">
        <v>18</v>
      </c>
    </row>
    <row r="33" spans="1:28" x14ac:dyDescent="0.25">
      <c r="A33" s="36" t="s">
        <v>19</v>
      </c>
      <c r="B33" s="8" t="s">
        <v>28</v>
      </c>
      <c r="C33" s="12">
        <v>-1.7892882823944092</v>
      </c>
      <c r="D33" s="12">
        <v>-2.5986945629119873</v>
      </c>
      <c r="E33" s="12">
        <v>-2.7659034729003906</v>
      </c>
      <c r="F33" s="12">
        <v>-2.9955043792724609</v>
      </c>
      <c r="G33" s="12">
        <v>-4.9437942504882813</v>
      </c>
      <c r="H33" s="12">
        <v>-1.3132493495941162</v>
      </c>
      <c r="I33" s="12">
        <v>-2.6260941028594971</v>
      </c>
      <c r="J33" s="12">
        <v>-2.4387524127960205</v>
      </c>
      <c r="K33" s="12">
        <v>-2.9487321376800537</v>
      </c>
      <c r="L33" s="12">
        <v>-3.4965689182281494</v>
      </c>
      <c r="M33" s="12">
        <v>-2.8888614177703857</v>
      </c>
      <c r="N33" s="12">
        <v>-2.2694132328033447</v>
      </c>
      <c r="O33" s="12">
        <v>-2.2414627075195313</v>
      </c>
      <c r="P33" s="14">
        <v>-0.2881961464881897</v>
      </c>
      <c r="Q33" s="12">
        <v>-0.45075687766075134</v>
      </c>
      <c r="R33" s="12">
        <v>-0.4256320595741272</v>
      </c>
      <c r="S33" s="12">
        <v>-0.48553436994552612</v>
      </c>
      <c r="T33" s="12">
        <v>-0.67049729824066162</v>
      </c>
      <c r="U33" s="12">
        <v>-0.23109498620033264</v>
      </c>
      <c r="V33" s="12">
        <v>-0.53362131118774414</v>
      </c>
      <c r="W33" s="12">
        <v>-0.44975224137306213</v>
      </c>
      <c r="X33" s="12">
        <v>-0.541526198387146</v>
      </c>
      <c r="Y33" s="12">
        <v>-0.60966682434082031</v>
      </c>
      <c r="Z33" s="12">
        <v>-0.6457056999206543</v>
      </c>
      <c r="AA33" s="12">
        <v>-0.2642345130443573</v>
      </c>
      <c r="AB33" s="15">
        <v>-0.39386007189750671</v>
      </c>
    </row>
    <row r="34" spans="1:28" x14ac:dyDescent="0.25">
      <c r="A34" s="37"/>
      <c r="B34" s="9" t="s">
        <v>29</v>
      </c>
      <c r="C34" s="12">
        <v>-1.1101367473602295</v>
      </c>
      <c r="D34" s="12">
        <v>-1.1605194807052612</v>
      </c>
      <c r="E34" s="12">
        <v>-0.13118110597133636</v>
      </c>
      <c r="F34" s="12">
        <v>-0.14961926639080048</v>
      </c>
      <c r="G34" s="12">
        <v>-1.463290810585022</v>
      </c>
      <c r="H34" s="12">
        <v>-0.91946351528167725</v>
      </c>
      <c r="I34" s="12">
        <v>0.34526526927947998</v>
      </c>
      <c r="J34" s="12">
        <v>0.25005567073822021</v>
      </c>
      <c r="K34" s="12">
        <v>-1.7232691049575806</v>
      </c>
      <c r="L34" s="12">
        <v>-0.19342924654483795</v>
      </c>
      <c r="M34" s="12">
        <v>-0.2216358482837677</v>
      </c>
      <c r="N34" s="12">
        <v>-0.28338706493377686</v>
      </c>
      <c r="O34" s="16">
        <v>-0.29339930415153503</v>
      </c>
      <c r="P34" s="12">
        <v>-0.19550777971744537</v>
      </c>
      <c r="Q34" s="12">
        <v>-0.63704872131347656</v>
      </c>
      <c r="R34" s="12">
        <v>-0.1078217625617981</v>
      </c>
      <c r="S34" s="12">
        <v>-0.19308185577392578</v>
      </c>
      <c r="T34" s="12">
        <v>-0.29819238185882568</v>
      </c>
      <c r="U34" s="12">
        <v>-6.8588465452194214E-2</v>
      </c>
      <c r="V34" s="12">
        <v>0.10449409484863281</v>
      </c>
      <c r="W34" s="12">
        <v>-3.9444770663976669E-2</v>
      </c>
      <c r="X34" s="12">
        <v>-0.72818464040756226</v>
      </c>
      <c r="Y34" s="12">
        <v>4.4962175190448761E-2</v>
      </c>
      <c r="Z34" s="12">
        <v>-9.1871805489063263E-2</v>
      </c>
      <c r="AA34" s="12">
        <v>-7.4740001000463963E-3</v>
      </c>
      <c r="AB34" s="16">
        <v>6.7429602146148682E-2</v>
      </c>
    </row>
    <row r="35" spans="1:28" x14ac:dyDescent="0.25">
      <c r="A35" s="37"/>
      <c r="B35" s="9" t="s">
        <v>30</v>
      </c>
      <c r="C35" s="12">
        <v>2.8613860607147217</v>
      </c>
      <c r="D35" s="12">
        <v>1.7307384014129639</v>
      </c>
      <c r="E35" s="12">
        <v>2.1057388782501221</v>
      </c>
      <c r="F35" s="12">
        <v>1.9846837520599365</v>
      </c>
      <c r="G35" s="12">
        <v>3.0154376029968262</v>
      </c>
      <c r="H35" s="12">
        <v>2.9747724533081055</v>
      </c>
      <c r="I35" s="12">
        <v>2.4937505722045898</v>
      </c>
      <c r="J35" s="12">
        <v>2.1737189292907715</v>
      </c>
      <c r="K35" s="12">
        <v>2.1492068767547607</v>
      </c>
      <c r="L35" s="12">
        <v>3.6004865169525146</v>
      </c>
      <c r="M35" s="12">
        <v>3.0161569118499756</v>
      </c>
      <c r="N35" s="12">
        <v>1.9476007223129272</v>
      </c>
      <c r="O35" s="16">
        <v>2.358853816986084</v>
      </c>
      <c r="P35" s="12">
        <v>0.43927404284477234</v>
      </c>
      <c r="Q35" s="12">
        <v>0.30519530177116394</v>
      </c>
      <c r="R35" s="12">
        <v>0.32681876420974731</v>
      </c>
      <c r="S35" s="12">
        <v>0.35548201203346252</v>
      </c>
      <c r="T35" s="12">
        <v>0.42958539724349976</v>
      </c>
      <c r="U35" s="12">
        <v>0.41918447613716125</v>
      </c>
      <c r="V35" s="12">
        <v>0.50429850816726685</v>
      </c>
      <c r="W35" s="12">
        <v>0.45109570026397705</v>
      </c>
      <c r="X35" s="12">
        <v>0.45238137245178223</v>
      </c>
      <c r="Y35" s="12">
        <v>0.62423855066299438</v>
      </c>
      <c r="Z35" s="12">
        <v>0.72977900505065918</v>
      </c>
      <c r="AA35" s="12">
        <v>0.2419818639755249</v>
      </c>
      <c r="AB35" s="16">
        <v>0.36101707816123962</v>
      </c>
    </row>
    <row r="36" spans="1:28" x14ac:dyDescent="0.25">
      <c r="A36" s="38"/>
      <c r="B36" s="10" t="s">
        <v>31</v>
      </c>
      <c r="C36" s="17">
        <f>SUM(C33:C35)</f>
        <v>-3.8038969039916992E-2</v>
      </c>
      <c r="D36" s="17">
        <f t="shared" ref="D36" si="122">SUM(D33:D35)</f>
        <v>-2.0284756422042847</v>
      </c>
      <c r="E36" s="17">
        <f t="shared" ref="E36" si="123">SUM(E33:E35)</f>
        <v>-0.79134570062160492</v>
      </c>
      <c r="F36" s="17">
        <f t="shared" ref="F36" si="124">SUM(F33:F35)</f>
        <v>-1.1604398936033249</v>
      </c>
      <c r="G36" s="17">
        <f t="shared" ref="G36" si="125">SUM(G33:G35)</f>
        <v>-3.3916474580764771</v>
      </c>
      <c r="H36" s="17">
        <f t="shared" ref="H36" si="126">SUM(H33:H35)</f>
        <v>0.74205958843231201</v>
      </c>
      <c r="I36" s="17">
        <f t="shared" ref="I36" si="127">SUM(I33:I35)</f>
        <v>0.21292173862457275</v>
      </c>
      <c r="J36" s="17">
        <f t="shared" ref="J36" si="128">SUM(J33:J35)</f>
        <v>-1.4977812767028809E-2</v>
      </c>
      <c r="K36" s="17">
        <f t="shared" ref="K36" si="129">SUM(K33:K35)</f>
        <v>-2.5227943658828735</v>
      </c>
      <c r="L36" s="17">
        <f t="shared" ref="L36" si="130">SUM(L33:L35)</f>
        <v>-8.9511647820472717E-2</v>
      </c>
      <c r="M36" s="17">
        <f t="shared" ref="M36" si="131">SUM(M33:M35)</f>
        <v>-9.4340354204177856E-2</v>
      </c>
      <c r="N36" s="17">
        <f t="shared" ref="N36" si="132">SUM(N33:N35)</f>
        <v>-0.60519957542419434</v>
      </c>
      <c r="O36" s="18">
        <f>SUM(O33:O35)</f>
        <v>-0.1760081946849823</v>
      </c>
      <c r="P36" s="17">
        <f>SUM(P33:P35)</f>
        <v>-4.4429883360862732E-2</v>
      </c>
      <c r="Q36" s="17">
        <f t="shared" ref="Q36" si="133">SUM(Q33:Q35)</f>
        <v>-0.78261029720306396</v>
      </c>
      <c r="R36" s="17">
        <f t="shared" ref="R36" si="134">SUM(R33:R35)</f>
        <v>-0.20663505792617798</v>
      </c>
      <c r="S36" s="17">
        <f t="shared" ref="S36" si="135">SUM(S33:S35)</f>
        <v>-0.32313421368598938</v>
      </c>
      <c r="T36" s="17">
        <f t="shared" ref="T36" si="136">SUM(T33:T35)</f>
        <v>-0.53910428285598755</v>
      </c>
      <c r="U36" s="17">
        <f t="shared" ref="U36" si="137">SUM(U33:U35)</f>
        <v>0.1195010244846344</v>
      </c>
      <c r="V36" s="17">
        <f t="shared" ref="V36" si="138">SUM(V33:V35)</f>
        <v>7.5171291828155518E-2</v>
      </c>
      <c r="W36" s="17">
        <f t="shared" ref="W36" si="139">SUM(W33:W35)</f>
        <v>-3.8101311773061752E-2</v>
      </c>
      <c r="X36" s="17">
        <f t="shared" ref="X36" si="140">SUM(X33:X35)</f>
        <v>-0.81732946634292603</v>
      </c>
      <c r="Y36" s="17">
        <f t="shared" ref="Y36" si="141">SUM(Y33:Y35)</f>
        <v>5.9533901512622833E-2</v>
      </c>
      <c r="Z36" s="17">
        <f t="shared" ref="Z36" si="142">SUM(Z33:Z35)</f>
        <v>-7.7985003590583801E-3</v>
      </c>
      <c r="AA36" s="17">
        <f t="shared" ref="AA36" si="143">SUM(AA33:AA35)</f>
        <v>-2.9726649168878794E-2</v>
      </c>
      <c r="AB36" s="18">
        <f>SUM(AB33:AB35)</f>
        <v>3.4586608409881592E-2</v>
      </c>
    </row>
    <row r="37" spans="1:28" x14ac:dyDescent="0.25">
      <c r="A37" s="39" t="s">
        <v>20</v>
      </c>
      <c r="B37" s="9" t="s">
        <v>28</v>
      </c>
      <c r="C37" s="12">
        <v>-8.2523984909057617</v>
      </c>
      <c r="D37" s="12">
        <v>-2.6542444229125977</v>
      </c>
      <c r="E37" s="12">
        <v>-3.4222545623779297</v>
      </c>
      <c r="F37" s="12">
        <v>-4.0274171829223633</v>
      </c>
      <c r="G37" s="12">
        <v>-7.2060742378234863</v>
      </c>
      <c r="H37" s="12">
        <v>-5.5407519340515137</v>
      </c>
      <c r="I37" s="12">
        <v>-5.4459629058837891</v>
      </c>
      <c r="J37" s="12">
        <v>-5.1234149932861328</v>
      </c>
      <c r="K37" s="12">
        <v>-3.6383316516876221</v>
      </c>
      <c r="L37" s="12">
        <v>-5.8752336502075195</v>
      </c>
      <c r="M37" s="12">
        <v>-5.5903539657592773</v>
      </c>
      <c r="N37" s="12">
        <v>-3.7683169841766357</v>
      </c>
      <c r="O37" s="22">
        <v>-4.3358626365661621</v>
      </c>
      <c r="P37" s="12">
        <v>-1.3484854698181152</v>
      </c>
      <c r="Q37" s="12">
        <v>-0.43750035762786865</v>
      </c>
      <c r="R37" s="12">
        <v>-0.38605213165283203</v>
      </c>
      <c r="S37" s="12">
        <v>-0.88128840923309326</v>
      </c>
      <c r="T37" s="12">
        <v>-1.0766749382019043</v>
      </c>
      <c r="U37" s="12">
        <v>-0.99600225687026978</v>
      </c>
      <c r="V37" s="12">
        <v>-0.96947991847991943</v>
      </c>
      <c r="W37" s="12">
        <v>-0.91517782211303711</v>
      </c>
      <c r="X37" s="12">
        <v>-0.73414850234985352</v>
      </c>
      <c r="Y37" s="12">
        <v>-0.8274121880531311</v>
      </c>
      <c r="Z37" s="12">
        <v>-1.0710997581481934</v>
      </c>
      <c r="AA37" s="12">
        <v>-0.50168401002883911</v>
      </c>
      <c r="AB37" s="22">
        <v>-0.78864467144012451</v>
      </c>
    </row>
    <row r="38" spans="1:28" x14ac:dyDescent="0.25">
      <c r="A38" s="37"/>
      <c r="B38" s="9" t="s">
        <v>29</v>
      </c>
      <c r="C38" s="12">
        <v>-2.4909267425537109</v>
      </c>
      <c r="D38" s="12">
        <v>-0.3907049298286438</v>
      </c>
      <c r="E38" s="12">
        <v>-0.23593536019325256</v>
      </c>
      <c r="F38" s="12">
        <v>-2.1149044036865234</v>
      </c>
      <c r="G38" s="12">
        <v>-0.5693240761756897</v>
      </c>
      <c r="H38" s="12">
        <v>-0.19744260609149933</v>
      </c>
      <c r="I38" s="12">
        <v>-1.5257662534713745</v>
      </c>
      <c r="J38" s="12">
        <v>-2.267756462097168</v>
      </c>
      <c r="K38" s="12">
        <v>-2.139369010925293</v>
      </c>
      <c r="L38" s="12">
        <v>-1.3129403591156006</v>
      </c>
      <c r="M38" s="12">
        <v>-2.7450687885284424</v>
      </c>
      <c r="N38" s="12">
        <v>-1.8975555896759033</v>
      </c>
      <c r="O38" s="16">
        <v>-3.3373825252056122E-2</v>
      </c>
      <c r="P38" s="12">
        <v>-0.89159756898880005</v>
      </c>
      <c r="Q38" s="12">
        <v>0.20441283285617828</v>
      </c>
      <c r="R38" s="12">
        <v>4.7538533806800842E-2</v>
      </c>
      <c r="S38" s="12">
        <v>-0.87237602472305298</v>
      </c>
      <c r="T38" s="12">
        <v>0.11413734406232834</v>
      </c>
      <c r="U38" s="12">
        <v>0.46795877814292908</v>
      </c>
      <c r="V38" s="12">
        <v>-0.42217323184013367</v>
      </c>
      <c r="W38" s="12">
        <v>-0.64914274215698242</v>
      </c>
      <c r="X38" s="12">
        <v>-0.87538266181945801</v>
      </c>
      <c r="Y38" s="12">
        <v>-7.7844536863267422E-3</v>
      </c>
      <c r="Z38" s="12">
        <v>-0.43351864814758301</v>
      </c>
      <c r="AA38" s="12">
        <v>-0.34419906139373779</v>
      </c>
      <c r="AB38" s="16">
        <v>0.1286134272813797</v>
      </c>
    </row>
    <row r="39" spans="1:28" x14ac:dyDescent="0.25">
      <c r="A39" s="37"/>
      <c r="B39" s="9" t="s">
        <v>30</v>
      </c>
      <c r="C39" s="12">
        <v>4.8731288909912109</v>
      </c>
      <c r="D39" s="12">
        <v>2.0846154689788818</v>
      </c>
      <c r="E39" s="12">
        <v>2.8240926265716553</v>
      </c>
      <c r="F39" s="12">
        <v>2.8496928215026855</v>
      </c>
      <c r="G39" s="12">
        <v>4.7665643692016602</v>
      </c>
      <c r="H39" s="12">
        <v>4.9225835800170898</v>
      </c>
      <c r="I39" s="12">
        <v>3.5726230144500732</v>
      </c>
      <c r="J39" s="12">
        <v>3.2613070011138916</v>
      </c>
      <c r="K39" s="12">
        <v>3.0051217079162598</v>
      </c>
      <c r="L39" s="12">
        <v>4.7755851745605469</v>
      </c>
      <c r="M39" s="12">
        <v>4.2777204513549805</v>
      </c>
      <c r="N39" s="12">
        <v>3.090961217880249</v>
      </c>
      <c r="O39" s="16">
        <v>2.8254530429840088</v>
      </c>
      <c r="P39" s="12">
        <v>0.98387151956558228</v>
      </c>
      <c r="Q39" s="12">
        <v>0.37530538439750671</v>
      </c>
      <c r="R39" s="12">
        <v>0.34986594319343567</v>
      </c>
      <c r="S39" s="12">
        <v>0.75857806205749512</v>
      </c>
      <c r="T39" s="12">
        <v>0.75902861356735229</v>
      </c>
      <c r="U39" s="12">
        <v>0.86278587579727173</v>
      </c>
      <c r="V39" s="12">
        <v>0.68408948183059692</v>
      </c>
      <c r="W39" s="12">
        <v>0.56710207462310791</v>
      </c>
      <c r="X39" s="12">
        <v>0.57548612356185913</v>
      </c>
      <c r="Y39" s="12">
        <v>0.65928089618682861</v>
      </c>
      <c r="Z39" s="12">
        <v>0.97162657976150513</v>
      </c>
      <c r="AA39" s="12">
        <v>0.43667417764663696</v>
      </c>
      <c r="AB39" s="16">
        <v>0.55814492702484131</v>
      </c>
    </row>
    <row r="40" spans="1:28" x14ac:dyDescent="0.25">
      <c r="A40" s="38"/>
      <c r="B40" s="10" t="s">
        <v>31</v>
      </c>
      <c r="C40" s="17">
        <f>SUM(C37:C39)</f>
        <v>-5.8701963424682617</v>
      </c>
      <c r="D40" s="17">
        <f t="shared" ref="D40" si="144">SUM(D37:D39)</f>
        <v>-0.96033388376235962</v>
      </c>
      <c r="E40" s="17">
        <f t="shared" ref="E40" si="145">SUM(E37:E39)</f>
        <v>-0.83409729599952698</v>
      </c>
      <c r="F40" s="17">
        <f t="shared" ref="F40" si="146">SUM(F37:F39)</f>
        <v>-3.2926287651062012</v>
      </c>
      <c r="G40" s="17">
        <f t="shared" ref="G40" si="147">SUM(G37:G39)</f>
        <v>-3.0088339447975159</v>
      </c>
      <c r="H40" s="17">
        <f t="shared" ref="H40" si="148">SUM(H37:H39)</f>
        <v>-0.81561096012592316</v>
      </c>
      <c r="I40" s="17">
        <f t="shared" ref="I40" si="149">SUM(I37:I39)</f>
        <v>-3.3991061449050903</v>
      </c>
      <c r="J40" s="17">
        <f t="shared" ref="J40" si="150">SUM(J37:J39)</f>
        <v>-4.1298644542694092</v>
      </c>
      <c r="K40" s="17">
        <f t="shared" ref="K40" si="151">SUM(K37:K39)</f>
        <v>-2.7725789546966553</v>
      </c>
      <c r="L40" s="17">
        <f t="shared" ref="L40" si="152">SUM(L37:L39)</f>
        <v>-2.4125888347625732</v>
      </c>
      <c r="M40" s="17">
        <f t="shared" ref="M40" si="153">SUM(M37:M39)</f>
        <v>-4.0577023029327393</v>
      </c>
      <c r="N40" s="17">
        <f t="shared" ref="N40" si="154">SUM(N37:N39)</f>
        <v>-2.57491135597229</v>
      </c>
      <c r="O40" s="18">
        <f>SUM(O37:O39)</f>
        <v>-1.5437834188342094</v>
      </c>
      <c r="P40" s="17">
        <f>SUM(P37:P39)</f>
        <v>-1.256211519241333</v>
      </c>
      <c r="Q40" s="17">
        <f t="shared" ref="Q40" si="155">SUM(Q37:Q39)</f>
        <v>0.14221785962581635</v>
      </c>
      <c r="R40" s="17">
        <f t="shared" ref="R40" si="156">SUM(R37:R39)</f>
        <v>1.135234534740448E-2</v>
      </c>
      <c r="S40" s="17">
        <f t="shared" ref="S40" si="157">SUM(S37:S39)</f>
        <v>-0.99508637189865112</v>
      </c>
      <c r="T40" s="17">
        <f t="shared" ref="T40" si="158">SUM(T37:T39)</f>
        <v>-0.20350898057222366</v>
      </c>
      <c r="U40" s="17">
        <f t="shared" ref="U40" si="159">SUM(U37:U39)</f>
        <v>0.33474239706993103</v>
      </c>
      <c r="V40" s="17">
        <f t="shared" ref="V40" si="160">SUM(V37:V39)</f>
        <v>-0.70756366848945618</v>
      </c>
      <c r="W40" s="17">
        <f t="shared" ref="W40" si="161">SUM(W37:W39)</f>
        <v>-0.99721848964691162</v>
      </c>
      <c r="X40" s="17">
        <f t="shared" ref="X40" si="162">SUM(X37:X39)</f>
        <v>-1.0340450406074524</v>
      </c>
      <c r="Y40" s="17">
        <f t="shared" ref="Y40" si="163">SUM(Y37:Y39)</f>
        <v>-0.17591574555262923</v>
      </c>
      <c r="Z40" s="17">
        <f t="shared" ref="Z40" si="164">SUM(Z37:Z39)</f>
        <v>-0.53299182653427124</v>
      </c>
      <c r="AA40" s="17">
        <f t="shared" ref="AA40" si="165">SUM(AA37:AA39)</f>
        <v>-0.40920889377593994</v>
      </c>
      <c r="AB40" s="18">
        <f>SUM(AB37:AB39)</f>
        <v>-0.1018863171339035</v>
      </c>
    </row>
    <row r="41" spans="1:28" x14ac:dyDescent="0.25">
      <c r="A41" s="39" t="s">
        <v>21</v>
      </c>
      <c r="B41" s="9" t="s">
        <v>28</v>
      </c>
      <c r="C41" s="12">
        <v>-12.383604049682617</v>
      </c>
      <c r="D41" s="12">
        <v>-8.5635108947753906</v>
      </c>
      <c r="E41" s="12">
        <v>-11.252626419067383</v>
      </c>
      <c r="F41" s="12">
        <v>-8.6935710906982422</v>
      </c>
      <c r="G41" s="12">
        <v>-15.849269866943359</v>
      </c>
      <c r="H41" s="12">
        <v>-14.918577194213867</v>
      </c>
      <c r="I41" s="12">
        <v>-12.168722152709961</v>
      </c>
      <c r="J41" s="12">
        <v>-12.054614067077637</v>
      </c>
      <c r="K41" s="12">
        <v>-11.047764778137207</v>
      </c>
      <c r="L41" s="12">
        <v>-13.837668418884277</v>
      </c>
      <c r="M41" s="12">
        <v>-14.197834968566895</v>
      </c>
      <c r="N41" s="12">
        <v>-9.1974983215332031</v>
      </c>
      <c r="O41" s="16">
        <v>-11.825645446777344</v>
      </c>
      <c r="P41" s="12">
        <v>-2.6431818008422852</v>
      </c>
      <c r="Q41" s="12">
        <v>-1.9426475763320923</v>
      </c>
      <c r="R41" s="12">
        <v>-2.2161407470703125</v>
      </c>
      <c r="S41" s="12">
        <v>-1.9921684265136719</v>
      </c>
      <c r="T41" s="12">
        <v>-3.643939733505249</v>
      </c>
      <c r="U41" s="12">
        <v>-3.559898853302002</v>
      </c>
      <c r="V41" s="12">
        <v>-2.7414600849151611</v>
      </c>
      <c r="W41" s="12">
        <v>-2.4410080909729004</v>
      </c>
      <c r="X41" s="12">
        <v>-2.5530333518981934</v>
      </c>
      <c r="Y41" s="12">
        <v>-3.0056560039520264</v>
      </c>
      <c r="Z41" s="12">
        <v>-3.6924412250518799</v>
      </c>
      <c r="AA41" s="12">
        <v>-1.488020658493042</v>
      </c>
      <c r="AB41" s="16">
        <v>-2.8205521106719971</v>
      </c>
    </row>
    <row r="42" spans="1:28" x14ac:dyDescent="0.25">
      <c r="A42" s="37"/>
      <c r="B42" s="9" t="s">
        <v>29</v>
      </c>
      <c r="C42" s="12">
        <v>-3.6959981918334961</v>
      </c>
      <c r="D42" s="12">
        <v>-2.6315584182739258</v>
      </c>
      <c r="E42" s="12">
        <v>-2.1671140193939209</v>
      </c>
      <c r="F42" s="12">
        <v>-2.0676717758178711</v>
      </c>
      <c r="G42" s="12">
        <v>-1.1470139026641846</v>
      </c>
      <c r="H42" s="12">
        <v>-1.0177003145217896</v>
      </c>
      <c r="I42" s="12">
        <v>-1.9154376983642578</v>
      </c>
      <c r="J42" s="12">
        <v>-1.7666342258453369</v>
      </c>
      <c r="K42" s="12">
        <v>-2.5589919090270996</v>
      </c>
      <c r="L42" s="12">
        <v>-2.9570121765136719</v>
      </c>
      <c r="M42" s="12">
        <v>-1.663055419921875</v>
      </c>
      <c r="N42" s="12">
        <v>-1.8487652540206909</v>
      </c>
      <c r="O42" s="16">
        <v>0.23327749967575073</v>
      </c>
      <c r="P42" s="12">
        <v>-1.0913898944854736</v>
      </c>
      <c r="Q42" s="12">
        <v>-0.84271353483200073</v>
      </c>
      <c r="R42" s="12">
        <v>-0.76181215047836304</v>
      </c>
      <c r="S42" s="12">
        <v>-0.39745604991912842</v>
      </c>
      <c r="T42" s="12">
        <v>-0.16591489315032959</v>
      </c>
      <c r="U42" s="12">
        <v>0.21040976047515869</v>
      </c>
      <c r="V42" s="12">
        <v>-0.65813738107681274</v>
      </c>
      <c r="W42" s="12">
        <v>-0.70073127746582031</v>
      </c>
      <c r="X42" s="12">
        <v>-0.80140656232833862</v>
      </c>
      <c r="Y42" s="12">
        <v>-0.67109024524688721</v>
      </c>
      <c r="Z42" s="12">
        <v>-0.5510098934173584</v>
      </c>
      <c r="AA42" s="12">
        <v>-0.3379446268081665</v>
      </c>
      <c r="AB42" s="16">
        <v>0.32163739204406738</v>
      </c>
    </row>
    <row r="43" spans="1:28" x14ac:dyDescent="0.25">
      <c r="A43" s="37"/>
      <c r="B43" s="9" t="s">
        <v>30</v>
      </c>
      <c r="C43" s="12">
        <v>10.266332626342773</v>
      </c>
      <c r="D43" s="12">
        <v>6.5423092842102051</v>
      </c>
      <c r="E43" s="12">
        <v>9.0507164001464844</v>
      </c>
      <c r="F43" s="12">
        <v>7.2594461441040039</v>
      </c>
      <c r="G43" s="12">
        <v>11.607682228088379</v>
      </c>
      <c r="H43" s="12">
        <v>12.103172302246094</v>
      </c>
      <c r="I43" s="12">
        <v>9.0826950073242188</v>
      </c>
      <c r="J43" s="12">
        <v>8.3434267044067383</v>
      </c>
      <c r="K43" s="12">
        <v>8.4620180130004883</v>
      </c>
      <c r="L43" s="12">
        <v>11.407583236694336</v>
      </c>
      <c r="M43" s="12">
        <v>9.7984237670898438</v>
      </c>
      <c r="N43" s="12">
        <v>8.0463666915893555</v>
      </c>
      <c r="O43" s="16">
        <v>8.3841142654418945</v>
      </c>
      <c r="P43" s="12">
        <v>2.9118802547454834</v>
      </c>
      <c r="Q43" s="12">
        <v>1.9334784746170044</v>
      </c>
      <c r="R43" s="12">
        <v>2.2587723731994629</v>
      </c>
      <c r="S43" s="12">
        <v>2.1357376575469971</v>
      </c>
      <c r="T43" s="12">
        <v>3.3953025341033936</v>
      </c>
      <c r="U43" s="12">
        <v>3.292719841003418</v>
      </c>
      <c r="V43" s="12">
        <v>2.538388729095459</v>
      </c>
      <c r="W43" s="12">
        <v>2.1540422439575195</v>
      </c>
      <c r="X43" s="12">
        <v>2.3878078460693359</v>
      </c>
      <c r="Y43" s="12">
        <v>3.0469090938568115</v>
      </c>
      <c r="Z43" s="12">
        <v>3.3960208892822266</v>
      </c>
      <c r="AA43" s="12">
        <v>1.6108498573303223</v>
      </c>
      <c r="AB43" s="16">
        <v>2.3548803329467773</v>
      </c>
    </row>
    <row r="44" spans="1:28" ht="15.75" thickBot="1" x14ac:dyDescent="0.3">
      <c r="A44" s="40"/>
      <c r="B44" s="11" t="s">
        <v>31</v>
      </c>
      <c r="C44" s="13">
        <f>SUM(C41:C43)</f>
        <v>-5.8132696151733398</v>
      </c>
      <c r="D44" s="6">
        <f t="shared" ref="D44" si="166">SUM(D41:D43)</f>
        <v>-4.6527600288391113</v>
      </c>
      <c r="E44" s="6">
        <f t="shared" ref="E44" si="167">SUM(E41:E43)</f>
        <v>-4.3690240383148193</v>
      </c>
      <c r="F44" s="6">
        <f t="shared" ref="F44" si="168">SUM(F41:F43)</f>
        <v>-3.5017967224121094</v>
      </c>
      <c r="G44" s="6">
        <f t="shared" ref="G44" si="169">SUM(G41:G43)</f>
        <v>-5.388601541519165</v>
      </c>
      <c r="H44" s="6">
        <f t="shared" ref="H44" si="170">SUM(H41:H43)</f>
        <v>-3.833105206489563</v>
      </c>
      <c r="I44" s="6">
        <f t="shared" ref="I44" si="171">SUM(I41:I43)</f>
        <v>-5.00146484375</v>
      </c>
      <c r="J44" s="6">
        <f t="shared" ref="J44" si="172">SUM(J41:J43)</f>
        <v>-5.4778215885162354</v>
      </c>
      <c r="K44" s="6">
        <f t="shared" ref="K44" si="173">SUM(K41:K43)</f>
        <v>-5.1447386741638184</v>
      </c>
      <c r="L44" s="6">
        <f t="shared" ref="L44" si="174">SUM(L41:L43)</f>
        <v>-5.3870973587036133</v>
      </c>
      <c r="M44" s="6">
        <f t="shared" ref="M44" si="175">SUM(M41:M43)</f>
        <v>-6.0624666213989258</v>
      </c>
      <c r="N44" s="6">
        <f t="shared" ref="N44" si="176">SUM(N41:N43)</f>
        <v>-2.9998968839645386</v>
      </c>
      <c r="O44" s="7">
        <f>SUM(O41:O43)</f>
        <v>-3.2082536816596985</v>
      </c>
      <c r="P44" s="13">
        <f>SUM(P41:P43)</f>
        <v>-0.82269144058227539</v>
      </c>
      <c r="Q44" s="6">
        <f t="shared" ref="Q44" si="177">SUM(Q41:Q43)</f>
        <v>-0.85188263654708862</v>
      </c>
      <c r="R44" s="6">
        <f t="shared" ref="R44" si="178">SUM(R41:R43)</f>
        <v>-0.71918052434921265</v>
      </c>
      <c r="S44" s="6">
        <f t="shared" ref="S44" si="179">SUM(S41:S43)</f>
        <v>-0.25388681888580322</v>
      </c>
      <c r="T44" s="6">
        <f t="shared" ref="T44" si="180">SUM(T41:T43)</f>
        <v>-0.41455209255218506</v>
      </c>
      <c r="U44" s="6">
        <f t="shared" ref="U44" si="181">SUM(U41:U43)</f>
        <v>-5.6769251823425293E-2</v>
      </c>
      <c r="V44" s="6">
        <f t="shared" ref="V44" si="182">SUM(V41:V43)</f>
        <v>-0.86120873689651489</v>
      </c>
      <c r="W44" s="6">
        <f t="shared" ref="W44" si="183">SUM(W41:W43)</f>
        <v>-0.98769712448120117</v>
      </c>
      <c r="X44" s="6">
        <f t="shared" ref="X44" si="184">SUM(X41:X43)</f>
        <v>-0.96663206815719604</v>
      </c>
      <c r="Y44" s="6">
        <f t="shared" ref="Y44" si="185">SUM(Y41:Y43)</f>
        <v>-0.62983715534210205</v>
      </c>
      <c r="Z44" s="6">
        <f t="shared" ref="Z44" si="186">SUM(Z41:Z43)</f>
        <v>-0.84743022918701172</v>
      </c>
      <c r="AA44" s="6">
        <f t="shared" ref="AA44" si="187">SUM(AA41:AA43)</f>
        <v>-0.21511542797088623</v>
      </c>
      <c r="AB44" s="7">
        <f>SUM(AB41:AB43)</f>
        <v>-0.14403438568115234</v>
      </c>
    </row>
  </sheetData>
  <mergeCells count="21">
    <mergeCell ref="A37:A40"/>
    <mergeCell ref="A41:A44"/>
    <mergeCell ref="A26:A29"/>
    <mergeCell ref="A31:A32"/>
    <mergeCell ref="B31:B32"/>
    <mergeCell ref="A11:A14"/>
    <mergeCell ref="A1:A2"/>
    <mergeCell ref="C31:O31"/>
    <mergeCell ref="P31:AB31"/>
    <mergeCell ref="A33:A36"/>
    <mergeCell ref="A16:A17"/>
    <mergeCell ref="B16:B17"/>
    <mergeCell ref="C16:O16"/>
    <mergeCell ref="P16:AB16"/>
    <mergeCell ref="A18:A21"/>
    <mergeCell ref="A22:A25"/>
    <mergeCell ref="C1:O1"/>
    <mergeCell ref="P1:AB1"/>
    <mergeCell ref="B1:B2"/>
    <mergeCell ref="A3:A6"/>
    <mergeCell ref="A7:A1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</vt:lpstr>
      <vt:lpstr>Tabla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2021-10-31T13:06:10Z</dcterms:modified>
</cp:coreProperties>
</file>