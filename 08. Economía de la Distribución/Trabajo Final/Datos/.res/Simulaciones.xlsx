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res\"/>
    </mc:Choice>
  </mc:AlternateContent>
  <xr:revisionPtr revIDLastSave="0" documentId="13_ncr:1_{E5BBEF5E-F68C-45EC-B202-63A326985044}" xr6:coauthVersionLast="47" xr6:coauthVersionMax="47" xr10:uidLastSave="{00000000-0000-0000-0000-000000000000}"/>
  <bookViews>
    <workbookView xWindow="-120" yWindow="-120" windowWidth="20730" windowHeight="11760" tabRatio="784" xr2:uid="{D138BB85-EBFC-4C99-9271-6C93ADEA9943}"/>
  </bookViews>
  <sheets>
    <sheet name="Tabla 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4" l="1"/>
  <c r="K39" i="4"/>
  <c r="I39" i="4"/>
  <c r="H39" i="4"/>
  <c r="F39" i="4"/>
  <c r="E39" i="4"/>
  <c r="L38" i="4"/>
  <c r="K38" i="4"/>
  <c r="I38" i="4"/>
  <c r="H38" i="4"/>
  <c r="F38" i="4"/>
  <c r="E38" i="4"/>
  <c r="L37" i="4"/>
  <c r="K37" i="4"/>
  <c r="I37" i="4"/>
  <c r="H37" i="4"/>
  <c r="F37" i="4"/>
  <c r="E37" i="4"/>
  <c r="L36" i="4"/>
  <c r="K36" i="4"/>
  <c r="I36" i="4"/>
  <c r="H36" i="4"/>
  <c r="F36" i="4"/>
  <c r="E36" i="4"/>
  <c r="L35" i="4"/>
  <c r="K35" i="4"/>
  <c r="I35" i="4"/>
  <c r="H35" i="4"/>
  <c r="F35" i="4"/>
  <c r="E35" i="4"/>
  <c r="L34" i="4"/>
  <c r="K34" i="4"/>
  <c r="I34" i="4"/>
  <c r="H34" i="4"/>
  <c r="F34" i="4"/>
  <c r="E34" i="4"/>
  <c r="L29" i="4"/>
  <c r="K29" i="4"/>
  <c r="I29" i="4"/>
  <c r="H29" i="4"/>
  <c r="F29" i="4"/>
  <c r="E29" i="4"/>
  <c r="L28" i="4"/>
  <c r="K28" i="4"/>
  <c r="I28" i="4"/>
  <c r="H28" i="4"/>
  <c r="F28" i="4"/>
  <c r="E28" i="4"/>
  <c r="L27" i="4"/>
  <c r="K27" i="4"/>
  <c r="I27" i="4"/>
  <c r="H27" i="4"/>
  <c r="F27" i="4"/>
  <c r="E27" i="4"/>
  <c r="L26" i="4"/>
  <c r="K26" i="4"/>
  <c r="I26" i="4"/>
  <c r="H26" i="4"/>
  <c r="F26" i="4"/>
  <c r="E26" i="4"/>
  <c r="L25" i="4"/>
  <c r="K25" i="4"/>
  <c r="I25" i="4"/>
  <c r="H25" i="4"/>
  <c r="F25" i="4"/>
  <c r="E25" i="4"/>
  <c r="L24" i="4"/>
  <c r="K24" i="4"/>
  <c r="I24" i="4"/>
  <c r="H24" i="4"/>
  <c r="F24" i="4"/>
  <c r="E24" i="4"/>
  <c r="L19" i="4"/>
  <c r="K19" i="4"/>
  <c r="I19" i="4"/>
  <c r="H19" i="4"/>
  <c r="F19" i="4"/>
  <c r="E19" i="4"/>
  <c r="L18" i="4"/>
  <c r="K18" i="4"/>
  <c r="I18" i="4"/>
  <c r="H18" i="4"/>
  <c r="F18" i="4"/>
  <c r="E18" i="4"/>
  <c r="L17" i="4"/>
  <c r="K17" i="4"/>
  <c r="I17" i="4"/>
  <c r="H17" i="4"/>
  <c r="F17" i="4"/>
  <c r="E17" i="4"/>
  <c r="L16" i="4"/>
  <c r="K16" i="4"/>
  <c r="I16" i="4"/>
  <c r="H16" i="4"/>
  <c r="F16" i="4"/>
  <c r="E16" i="4"/>
  <c r="L15" i="4"/>
  <c r="K15" i="4"/>
  <c r="I15" i="4"/>
  <c r="H15" i="4"/>
  <c r="F15" i="4"/>
  <c r="E15" i="4"/>
  <c r="L14" i="4"/>
  <c r="K14" i="4"/>
  <c r="I14" i="4"/>
  <c r="H14" i="4"/>
  <c r="F14" i="4"/>
  <c r="E14" i="4"/>
  <c r="L9" i="4"/>
  <c r="L8" i="4"/>
  <c r="L7" i="4"/>
  <c r="L6" i="4"/>
  <c r="L5" i="4"/>
  <c r="L4" i="4"/>
  <c r="I9" i="4"/>
  <c r="I8" i="4"/>
  <c r="I7" i="4"/>
  <c r="I6" i="4"/>
  <c r="I5" i="4"/>
  <c r="I4" i="4"/>
  <c r="F9" i="4"/>
  <c r="F8" i="4"/>
  <c r="F7" i="4"/>
  <c r="F6" i="4"/>
  <c r="F5" i="4"/>
  <c r="F4" i="4"/>
  <c r="K9" i="4"/>
  <c r="K8" i="4"/>
  <c r="K7" i="4"/>
  <c r="K6" i="4"/>
  <c r="K5" i="4"/>
  <c r="K4" i="4"/>
  <c r="H9" i="4"/>
  <c r="H8" i="4"/>
  <c r="H7" i="4"/>
  <c r="H6" i="4"/>
  <c r="H5" i="4"/>
  <c r="H4" i="4"/>
  <c r="E9" i="4"/>
  <c r="E8" i="4"/>
  <c r="E7" i="4"/>
  <c r="E6" i="4"/>
  <c r="E5" i="4"/>
  <c r="E4" i="4"/>
</calcChain>
</file>

<file path=xl/sharedStrings.xml><?xml version="1.0" encoding="utf-8"?>
<sst xmlns="http://schemas.openxmlformats.org/spreadsheetml/2006/main" count="92" uniqueCount="17">
  <si>
    <t>INDICADOR</t>
  </si>
  <si>
    <t>ipcug</t>
  </si>
  <si>
    <t>ipcug_secc</t>
  </si>
  <si>
    <t>ipcug_desemp</t>
  </si>
  <si>
    <t>ipcug_trnsfr</t>
  </si>
  <si>
    <t>POBREZA</t>
  </si>
  <si>
    <t>INDIGENCIA</t>
  </si>
  <si>
    <t>Incidencia (FGT0)</t>
  </si>
  <si>
    <t>Brecha (FGT1)</t>
  </si>
  <si>
    <t>Intensidad (FGT2)</t>
  </si>
  <si>
    <t>Nivel</t>
  </si>
  <si>
    <t>Variación (p.p.)</t>
  </si>
  <si>
    <t>Variación (%)</t>
  </si>
  <si>
    <t>TOTAL NACIONAL</t>
  </si>
  <si>
    <t>RURAL</t>
  </si>
  <si>
    <t>RESTO URBANO</t>
  </si>
  <si>
    <t>PRINCIPALES CIUDADES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</si>
</sst>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vertical="center"/>
    </xf>
    <xf numFmtId="165" fontId="1" fillId="0" borderId="12" xfId="0" applyNumberFormat="1" applyFont="1" applyBorder="1" applyAlignment="1">
      <alignment vertical="center"/>
    </xf>
    <xf numFmtId="165" fontId="1" fillId="0" borderId="0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BB28-1649-4C8E-921F-CD7FF590399E}">
  <dimension ref="A1:M39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3"/>
    </sheetView>
  </sheetViews>
  <sheetFormatPr baseColWidth="10" defaultRowHeight="15" x14ac:dyDescent="0.25"/>
  <cols>
    <col min="1" max="2" width="17.85546875" style="1" customWidth="1"/>
    <col min="3" max="4" width="11.42578125" style="1" customWidth="1"/>
    <col min="5" max="5" width="17.85546875" style="1" customWidth="1"/>
    <col min="6" max="6" width="14.28515625" style="1" customWidth="1"/>
    <col min="7" max="7" width="11.42578125" style="1" customWidth="1"/>
    <col min="8" max="8" width="17.85546875" style="1" customWidth="1"/>
    <col min="9" max="9" width="14.28515625" style="1" customWidth="1"/>
    <col min="10" max="10" width="11.42578125" style="1" customWidth="1"/>
    <col min="11" max="11" width="17.85546875" style="1" customWidth="1"/>
    <col min="12" max="13" width="14.28515625" style="1" customWidth="1"/>
    <col min="14" max="16384" width="11.42578125" style="1"/>
  </cols>
  <sheetData>
    <row r="1" spans="1:13" ht="15.75" thickBot="1" x14ac:dyDescent="0.3">
      <c r="A1" s="15" t="s">
        <v>0</v>
      </c>
      <c r="B1" s="16"/>
      <c r="C1" s="25" t="s">
        <v>13</v>
      </c>
      <c r="D1" s="13"/>
      <c r="E1" s="13"/>
      <c r="F1" s="13"/>
      <c r="G1" s="13"/>
      <c r="H1" s="13"/>
      <c r="I1" s="13"/>
      <c r="J1" s="13"/>
      <c r="K1" s="13"/>
      <c r="L1" s="14"/>
      <c r="M1" s="9"/>
    </row>
    <row r="2" spans="1:13" ht="15.75" thickBot="1" x14ac:dyDescent="0.3">
      <c r="A2" s="17"/>
      <c r="B2" s="18"/>
      <c r="C2" s="41" t="s">
        <v>1</v>
      </c>
      <c r="D2" s="38" t="s">
        <v>2</v>
      </c>
      <c r="E2" s="39"/>
      <c r="F2" s="40"/>
      <c r="G2" s="39" t="s">
        <v>3</v>
      </c>
      <c r="H2" s="39"/>
      <c r="I2" s="40"/>
      <c r="J2" s="39" t="s">
        <v>4</v>
      </c>
      <c r="K2" s="39"/>
      <c r="L2" s="40"/>
      <c r="M2" s="9"/>
    </row>
    <row r="3" spans="1:13" ht="15.75" thickBot="1" x14ac:dyDescent="0.3">
      <c r="A3" s="17"/>
      <c r="B3" s="18"/>
      <c r="C3" s="42"/>
      <c r="D3" s="2" t="s">
        <v>10</v>
      </c>
      <c r="E3" s="2" t="s">
        <v>11</v>
      </c>
      <c r="F3" s="3" t="s">
        <v>12</v>
      </c>
      <c r="G3" s="2" t="s">
        <v>10</v>
      </c>
      <c r="H3" s="2" t="s">
        <v>11</v>
      </c>
      <c r="I3" s="3" t="s">
        <v>12</v>
      </c>
      <c r="J3" s="2" t="s">
        <v>10</v>
      </c>
      <c r="K3" s="2" t="s">
        <v>11</v>
      </c>
      <c r="L3" s="2" t="s">
        <v>12</v>
      </c>
      <c r="M3" s="10"/>
    </row>
    <row r="4" spans="1:13" x14ac:dyDescent="0.25">
      <c r="A4" s="19" t="s">
        <v>5</v>
      </c>
      <c r="B4" s="4" t="s">
        <v>7</v>
      </c>
      <c r="C4" s="26">
        <v>27.014764785766602</v>
      </c>
      <c r="D4" s="27">
        <v>25.081890106201172</v>
      </c>
      <c r="E4" s="27">
        <f t="shared" ref="E4:E9" si="0">D4-$C4</f>
        <v>-1.9328746795654297</v>
      </c>
      <c r="F4" s="11">
        <f t="shared" ref="F4:F9" si="1">D4/$C4-1</f>
        <v>-7.1548825055245846E-2</v>
      </c>
      <c r="G4" s="27">
        <v>24.636207580566406</v>
      </c>
      <c r="H4" s="27">
        <f t="shared" ref="H4:H9" si="2">G4-$C4</f>
        <v>-2.3785572052001953</v>
      </c>
      <c r="I4" s="11">
        <f t="shared" ref="I4:I9" si="3">G4/$C4-1</f>
        <v>-8.804656357598184E-2</v>
      </c>
      <c r="J4" s="28">
        <v>26.703605651855469</v>
      </c>
      <c r="K4" s="28">
        <f t="shared" ref="K4:K9" si="4">J4-$C4</f>
        <v>-0.31115913391113281</v>
      </c>
      <c r="L4" s="11">
        <f t="shared" ref="L4:L9" si="5">J4/$C4-1</f>
        <v>-1.1518113756632586E-2</v>
      </c>
      <c r="M4" s="8"/>
    </row>
    <row r="5" spans="1:13" x14ac:dyDescent="0.25">
      <c r="A5" s="20"/>
      <c r="B5" s="5" t="s">
        <v>8</v>
      </c>
      <c r="C5" s="26">
        <v>9.8325824737548828</v>
      </c>
      <c r="D5" s="27">
        <v>8.9183692932128906</v>
      </c>
      <c r="E5" s="27">
        <f t="shared" si="0"/>
        <v>-0.91421318054199219</v>
      </c>
      <c r="F5" s="11">
        <f t="shared" si="1"/>
        <v>-9.297793158432277E-2</v>
      </c>
      <c r="G5" s="27">
        <v>8.6066656112670898</v>
      </c>
      <c r="H5" s="27">
        <f t="shared" si="2"/>
        <v>-1.225916862487793</v>
      </c>
      <c r="I5" s="11">
        <f t="shared" si="3"/>
        <v>-0.12467903175590023</v>
      </c>
      <c r="J5" s="27">
        <v>9.670496940612793</v>
      </c>
      <c r="K5" s="27">
        <f t="shared" si="4"/>
        <v>-0.16208553314208984</v>
      </c>
      <c r="L5" s="11">
        <f t="shared" si="5"/>
        <v>-1.6484533292726367E-2</v>
      </c>
      <c r="M5" s="8"/>
    </row>
    <row r="6" spans="1:13" ht="15.75" thickBot="1" x14ac:dyDescent="0.3">
      <c r="A6" s="21"/>
      <c r="B6" s="6" t="s">
        <v>9</v>
      </c>
      <c r="C6" s="29">
        <v>5.1967906951904297</v>
      </c>
      <c r="D6" s="30">
        <v>4.6517958641052246</v>
      </c>
      <c r="E6" s="27">
        <f t="shared" si="0"/>
        <v>-0.54499483108520508</v>
      </c>
      <c r="F6" s="12">
        <f t="shared" si="1"/>
        <v>-0.10487142220093482</v>
      </c>
      <c r="G6" s="30">
        <v>4.3895077705383301</v>
      </c>
      <c r="H6" s="27">
        <f t="shared" si="2"/>
        <v>-0.80728292465209961</v>
      </c>
      <c r="I6" s="12">
        <f t="shared" si="3"/>
        <v>-0.15534258968698333</v>
      </c>
      <c r="J6" s="30">
        <v>5.0930800437927246</v>
      </c>
      <c r="K6" s="27">
        <f t="shared" si="4"/>
        <v>-0.10371065139770508</v>
      </c>
      <c r="L6" s="12">
        <f t="shared" si="5"/>
        <v>-1.9956672777621809E-2</v>
      </c>
      <c r="M6" s="8"/>
    </row>
    <row r="7" spans="1:13" x14ac:dyDescent="0.25">
      <c r="A7" s="22" t="s">
        <v>6</v>
      </c>
      <c r="B7" s="4" t="s">
        <v>7</v>
      </c>
      <c r="C7" s="31">
        <v>7.2499384880065918</v>
      </c>
      <c r="D7" s="32">
        <v>6.3671002388000488</v>
      </c>
      <c r="E7" s="28">
        <f t="shared" si="0"/>
        <v>-0.88283824920654297</v>
      </c>
      <c r="F7" s="11">
        <f t="shared" si="1"/>
        <v>-0.12177182615645665</v>
      </c>
      <c r="G7" s="33">
        <v>6.2134079933166504</v>
      </c>
      <c r="H7" s="28">
        <f t="shared" si="2"/>
        <v>-1.0365304946899414</v>
      </c>
      <c r="I7" s="11">
        <f t="shared" si="3"/>
        <v>-0.14297093642996428</v>
      </c>
      <c r="J7" s="34">
        <v>7.0899786949157715</v>
      </c>
      <c r="K7" s="28">
        <f t="shared" si="4"/>
        <v>-0.15995979309082031</v>
      </c>
      <c r="L7" s="11">
        <f t="shared" si="5"/>
        <v>-2.2063606933415802E-2</v>
      </c>
      <c r="M7" s="8"/>
    </row>
    <row r="8" spans="1:13" x14ac:dyDescent="0.25">
      <c r="A8" s="23"/>
      <c r="B8" s="5" t="s">
        <v>8</v>
      </c>
      <c r="C8" s="26">
        <v>2.725287914276123</v>
      </c>
      <c r="D8" s="32">
        <v>2.3879573345184326</v>
      </c>
      <c r="E8" s="27">
        <f t="shared" si="0"/>
        <v>-0.33733057975769043</v>
      </c>
      <c r="F8" s="11">
        <f t="shared" si="1"/>
        <v>-0.1237779604828616</v>
      </c>
      <c r="G8" s="33">
        <v>2.1826014518737793</v>
      </c>
      <c r="H8" s="27">
        <f t="shared" si="2"/>
        <v>-0.54268646240234375</v>
      </c>
      <c r="I8" s="11">
        <f t="shared" si="3"/>
        <v>-0.1991299559798948</v>
      </c>
      <c r="J8" s="35">
        <v>2.6534349918365479</v>
      </c>
      <c r="K8" s="27">
        <f t="shared" si="4"/>
        <v>-7.1852922439575195E-2</v>
      </c>
      <c r="L8" s="11">
        <f t="shared" si="5"/>
        <v>-2.6365259267904007E-2</v>
      </c>
      <c r="M8" s="8"/>
    </row>
    <row r="9" spans="1:13" ht="15.75" thickBot="1" x14ac:dyDescent="0.3">
      <c r="A9" s="24"/>
      <c r="B9" s="6" t="s">
        <v>9</v>
      </c>
      <c r="C9" s="29">
        <v>1.5609755516052246</v>
      </c>
      <c r="D9" s="36">
        <v>1.3689122200012207</v>
      </c>
      <c r="E9" s="27">
        <f t="shared" si="0"/>
        <v>-0.19206333160400391</v>
      </c>
      <c r="F9" s="11">
        <f t="shared" si="1"/>
        <v>-0.12304057639243371</v>
      </c>
      <c r="G9" s="37">
        <v>1.1801772117614746</v>
      </c>
      <c r="H9" s="30">
        <f t="shared" si="2"/>
        <v>-0.38079833984375</v>
      </c>
      <c r="I9" s="12">
        <f t="shared" si="3"/>
        <v>-0.24394894555020874</v>
      </c>
      <c r="J9" s="37">
        <v>1.5209362506866455</v>
      </c>
      <c r="K9" s="27">
        <f t="shared" si="4"/>
        <v>-4.0039300918579102E-2</v>
      </c>
      <c r="L9" s="12">
        <f t="shared" si="5"/>
        <v>-2.5650178106508381E-2</v>
      </c>
      <c r="M9" s="8"/>
    </row>
    <row r="10" spans="1:13" ht="15.75" thickBot="1" x14ac:dyDescent="0.3">
      <c r="A10" s="7"/>
      <c r="E10" s="7"/>
      <c r="F10" s="7"/>
      <c r="K10" s="7"/>
    </row>
    <row r="11" spans="1:13" ht="15.75" thickBot="1" x14ac:dyDescent="0.3">
      <c r="A11" s="15" t="s">
        <v>0</v>
      </c>
      <c r="B11" s="16"/>
      <c r="C11" s="25" t="s">
        <v>16</v>
      </c>
      <c r="D11" s="13"/>
      <c r="E11" s="13"/>
      <c r="F11" s="13"/>
      <c r="G11" s="13"/>
      <c r="H11" s="13"/>
      <c r="I11" s="13"/>
      <c r="J11" s="13"/>
      <c r="K11" s="13"/>
      <c r="L11" s="14"/>
    </row>
    <row r="12" spans="1:13" ht="15.75" thickBot="1" x14ac:dyDescent="0.3">
      <c r="A12" s="17"/>
      <c r="B12" s="18"/>
      <c r="C12" s="41" t="s">
        <v>1</v>
      </c>
      <c r="D12" s="38" t="s">
        <v>2</v>
      </c>
      <c r="E12" s="39"/>
      <c r="F12" s="40"/>
      <c r="G12" s="39" t="s">
        <v>3</v>
      </c>
      <c r="H12" s="39"/>
      <c r="I12" s="40"/>
      <c r="J12" s="39" t="s">
        <v>4</v>
      </c>
      <c r="K12" s="39"/>
      <c r="L12" s="40"/>
    </row>
    <row r="13" spans="1:13" ht="15.75" thickBot="1" x14ac:dyDescent="0.3">
      <c r="A13" s="17"/>
      <c r="B13" s="18"/>
      <c r="C13" s="42"/>
      <c r="D13" s="2" t="s">
        <v>10</v>
      </c>
      <c r="E13" s="2" t="s">
        <v>11</v>
      </c>
      <c r="F13" s="3" t="s">
        <v>12</v>
      </c>
      <c r="G13" s="2" t="s">
        <v>10</v>
      </c>
      <c r="H13" s="2" t="s">
        <v>11</v>
      </c>
      <c r="I13" s="3" t="s">
        <v>12</v>
      </c>
      <c r="J13" s="2" t="s">
        <v>10</v>
      </c>
      <c r="K13" s="2" t="s">
        <v>11</v>
      </c>
      <c r="L13" s="3" t="s">
        <v>12</v>
      </c>
    </row>
    <row r="14" spans="1:13" x14ac:dyDescent="0.25">
      <c r="A14" s="19" t="s">
        <v>5</v>
      </c>
      <c r="B14" s="4" t="s">
        <v>7</v>
      </c>
      <c r="C14" s="26">
        <v>16.189910888671875</v>
      </c>
      <c r="D14" s="27">
        <v>15.207894325256348</v>
      </c>
      <c r="E14" s="27">
        <f t="shared" ref="E14:E19" si="6">D14-$C14</f>
        <v>-0.98201656341552734</v>
      </c>
      <c r="F14" s="11">
        <f t="shared" ref="F14:F19" si="7">D14/$C14-1</f>
        <v>-6.065608206050388E-2</v>
      </c>
      <c r="G14" s="27">
        <v>14.094515800476074</v>
      </c>
      <c r="H14" s="27">
        <f t="shared" ref="H14:H19" si="8">G14-$C14</f>
        <v>-2.0953950881958008</v>
      </c>
      <c r="I14" s="11">
        <f t="shared" ref="I14:I19" si="9">G14/$C14-1</f>
        <v>-0.12942598032840036</v>
      </c>
      <c r="J14" s="28">
        <v>16.017473220825195</v>
      </c>
      <c r="K14" s="28">
        <f t="shared" ref="K14:K19" si="10">J14-$C14</f>
        <v>-0.17243766784667969</v>
      </c>
      <c r="L14" s="11">
        <f t="shared" ref="L14:L19" si="11">J14/$C14-1</f>
        <v>-1.0650933722392231E-2</v>
      </c>
    </row>
    <row r="15" spans="1:13" x14ac:dyDescent="0.25">
      <c r="A15" s="20"/>
      <c r="B15" s="5" t="s">
        <v>8</v>
      </c>
      <c r="C15" s="26">
        <v>5.3376679420471191</v>
      </c>
      <c r="D15" s="27">
        <v>4.9245619773864746</v>
      </c>
      <c r="E15" s="27">
        <f t="shared" si="6"/>
        <v>-0.41310596466064453</v>
      </c>
      <c r="F15" s="11">
        <f t="shared" si="7"/>
        <v>-7.7394466861909872E-2</v>
      </c>
      <c r="G15" s="27">
        <v>4.3723125457763672</v>
      </c>
      <c r="H15" s="27">
        <f t="shared" si="8"/>
        <v>-0.96535539627075195</v>
      </c>
      <c r="I15" s="11">
        <f t="shared" si="9"/>
        <v>-0.18085714711966816</v>
      </c>
      <c r="J15" s="27">
        <v>5.2590627670288086</v>
      </c>
      <c r="K15" s="27">
        <f t="shared" si="10"/>
        <v>-7.8605175018310547E-2</v>
      </c>
      <c r="L15" s="11">
        <f t="shared" si="11"/>
        <v>-1.4726501511850065E-2</v>
      </c>
    </row>
    <row r="16" spans="1:13" ht="15.75" thickBot="1" x14ac:dyDescent="0.3">
      <c r="A16" s="21"/>
      <c r="B16" s="6" t="s">
        <v>9</v>
      </c>
      <c r="C16" s="29">
        <v>2.7629482746124268</v>
      </c>
      <c r="D16" s="30">
        <v>2.5228431224822998</v>
      </c>
      <c r="E16" s="27">
        <f t="shared" si="6"/>
        <v>-0.24010515213012695</v>
      </c>
      <c r="F16" s="12">
        <f t="shared" si="7"/>
        <v>-8.6901790502685983E-2</v>
      </c>
      <c r="G16" s="30">
        <v>2.1281297206878662</v>
      </c>
      <c r="H16" s="27">
        <f t="shared" si="8"/>
        <v>-0.63481855392456055</v>
      </c>
      <c r="I16" s="12">
        <f t="shared" si="9"/>
        <v>-0.22976128788137007</v>
      </c>
      <c r="J16" s="30">
        <v>2.7131812572479248</v>
      </c>
      <c r="K16" s="27">
        <f t="shared" si="10"/>
        <v>-4.9767017364501953E-2</v>
      </c>
      <c r="L16" s="12">
        <f t="shared" si="11"/>
        <v>-1.8012287027517004E-2</v>
      </c>
    </row>
    <row r="17" spans="1:12" x14ac:dyDescent="0.25">
      <c r="A17" s="22" t="s">
        <v>6</v>
      </c>
      <c r="B17" s="4" t="s">
        <v>7</v>
      </c>
      <c r="C17" s="31">
        <v>2.8528001308441162</v>
      </c>
      <c r="D17" s="32">
        <v>2.5992844104766846</v>
      </c>
      <c r="E17" s="28">
        <f t="shared" si="6"/>
        <v>-0.25351572036743164</v>
      </c>
      <c r="F17" s="11">
        <f t="shared" si="7"/>
        <v>-8.8865573731034098E-2</v>
      </c>
      <c r="G17" s="33">
        <v>2.1319444179534912</v>
      </c>
      <c r="H17" s="28">
        <f t="shared" si="8"/>
        <v>-0.720855712890625</v>
      </c>
      <c r="I17" s="11">
        <f t="shared" si="9"/>
        <v>-0.25268356696174532</v>
      </c>
      <c r="J17" s="34">
        <v>2.7887194156646729</v>
      </c>
      <c r="K17" s="28">
        <f t="shared" si="10"/>
        <v>-6.4080715179443359E-2</v>
      </c>
      <c r="L17" s="11">
        <f t="shared" si="11"/>
        <v>-2.2462392120152663E-2</v>
      </c>
    </row>
    <row r="18" spans="1:12" x14ac:dyDescent="0.25">
      <c r="A18" s="23"/>
      <c r="B18" s="5" t="s">
        <v>8</v>
      </c>
      <c r="C18" s="26">
        <v>1.254645824432373</v>
      </c>
      <c r="D18" s="32">
        <v>1.1360119581222534</v>
      </c>
      <c r="E18" s="27">
        <f t="shared" si="6"/>
        <v>-0.11863386631011963</v>
      </c>
      <c r="F18" s="11">
        <f t="shared" si="7"/>
        <v>-9.4555661844881178E-2</v>
      </c>
      <c r="G18" s="33">
        <v>0.83605164289474487</v>
      </c>
      <c r="H18" s="27">
        <f t="shared" si="8"/>
        <v>-0.41859418153762817</v>
      </c>
      <c r="I18" s="11">
        <f t="shared" si="9"/>
        <v>-0.33363533627269559</v>
      </c>
      <c r="J18" s="35">
        <v>1.2233996391296387</v>
      </c>
      <c r="K18" s="27">
        <f t="shared" si="10"/>
        <v>-3.1246185302734375E-2</v>
      </c>
      <c r="L18" s="11">
        <f t="shared" si="11"/>
        <v>-2.4904387114085158E-2</v>
      </c>
    </row>
    <row r="19" spans="1:12" ht="15.75" thickBot="1" x14ac:dyDescent="0.3">
      <c r="A19" s="24"/>
      <c r="B19" s="6" t="s">
        <v>9</v>
      </c>
      <c r="C19" s="29">
        <v>0.85290676355361938</v>
      </c>
      <c r="D19" s="36">
        <v>0.76837462186813354</v>
      </c>
      <c r="E19" s="30">
        <f t="shared" si="6"/>
        <v>-8.453214168548584E-2</v>
      </c>
      <c r="F19" s="12">
        <f t="shared" si="7"/>
        <v>-9.9110647608519731E-2</v>
      </c>
      <c r="G19" s="37">
        <v>0.52005237340927124</v>
      </c>
      <c r="H19" s="30">
        <f t="shared" si="8"/>
        <v>-0.33285439014434814</v>
      </c>
      <c r="I19" s="12">
        <f t="shared" si="9"/>
        <v>-0.39025882355243247</v>
      </c>
      <c r="J19" s="37">
        <v>0.83045434951782227</v>
      </c>
      <c r="K19" s="30">
        <f t="shared" si="10"/>
        <v>-2.2452414035797119E-2</v>
      </c>
      <c r="L19" s="12">
        <f t="shared" si="11"/>
        <v>-2.6324582000322727E-2</v>
      </c>
    </row>
    <row r="20" spans="1:12" ht="15.75" thickBot="1" x14ac:dyDescent="0.3"/>
    <row r="21" spans="1:12" ht="15.75" thickBot="1" x14ac:dyDescent="0.3">
      <c r="A21" s="15" t="s">
        <v>0</v>
      </c>
      <c r="B21" s="16"/>
      <c r="C21" s="25" t="s">
        <v>15</v>
      </c>
      <c r="D21" s="13"/>
      <c r="E21" s="13"/>
      <c r="F21" s="13"/>
      <c r="G21" s="13"/>
      <c r="H21" s="13"/>
      <c r="I21" s="13"/>
      <c r="J21" s="13"/>
      <c r="K21" s="13"/>
      <c r="L21" s="14"/>
    </row>
    <row r="22" spans="1:12" ht="15.75" thickBot="1" x14ac:dyDescent="0.3">
      <c r="A22" s="17"/>
      <c r="B22" s="18"/>
      <c r="C22" s="41" t="s">
        <v>1</v>
      </c>
      <c r="D22" s="38" t="s">
        <v>2</v>
      </c>
      <c r="E22" s="39"/>
      <c r="F22" s="40"/>
      <c r="G22" s="39" t="s">
        <v>3</v>
      </c>
      <c r="H22" s="39"/>
      <c r="I22" s="40"/>
      <c r="J22" s="39" t="s">
        <v>4</v>
      </c>
      <c r="K22" s="39"/>
      <c r="L22" s="40"/>
    </row>
    <row r="23" spans="1:12" ht="15.75" thickBot="1" x14ac:dyDescent="0.3">
      <c r="A23" s="17"/>
      <c r="B23" s="18"/>
      <c r="C23" s="42"/>
      <c r="D23" s="2" t="s">
        <v>10</v>
      </c>
      <c r="E23" s="2" t="s">
        <v>11</v>
      </c>
      <c r="F23" s="3" t="s">
        <v>12</v>
      </c>
      <c r="G23" s="2" t="s">
        <v>10</v>
      </c>
      <c r="H23" s="2" t="s">
        <v>11</v>
      </c>
      <c r="I23" s="3" t="s">
        <v>12</v>
      </c>
      <c r="J23" s="2" t="s">
        <v>10</v>
      </c>
      <c r="K23" s="2" t="s">
        <v>11</v>
      </c>
      <c r="L23" s="3" t="s">
        <v>12</v>
      </c>
    </row>
    <row r="24" spans="1:12" x14ac:dyDescent="0.25">
      <c r="A24" s="19" t="s">
        <v>5</v>
      </c>
      <c r="B24" s="4" t="s">
        <v>7</v>
      </c>
      <c r="C24" s="26">
        <v>36.087665557861328</v>
      </c>
      <c r="D24" s="27">
        <v>34.331565856933594</v>
      </c>
      <c r="E24" s="27">
        <f t="shared" ref="E24:E29" si="12">D24-$C24</f>
        <v>-1.7560997009277344</v>
      </c>
      <c r="F24" s="11">
        <f t="shared" ref="F24:F29" si="13">D24/$C24-1</f>
        <v>-4.866204764927462E-2</v>
      </c>
      <c r="G24" s="27">
        <v>32.940605163574219</v>
      </c>
      <c r="H24" s="27">
        <f t="shared" ref="H24:H29" si="14">G24-$C24</f>
        <v>-3.1470603942871094</v>
      </c>
      <c r="I24" s="11">
        <f t="shared" ref="I24:I29" si="15">G24/$C24-1</f>
        <v>-8.7205984250803281E-2</v>
      </c>
      <c r="J24" s="28">
        <v>35.699043273925781</v>
      </c>
      <c r="K24" s="28">
        <f t="shared" ref="K24:K29" si="16">J24-$C24</f>
        <v>-0.38862228393554688</v>
      </c>
      <c r="L24" s="11">
        <f t="shared" ref="L24:L29" si="17">J24/$C24-1</f>
        <v>-1.0768839655545093E-2</v>
      </c>
    </row>
    <row r="25" spans="1:12" x14ac:dyDescent="0.25">
      <c r="A25" s="20"/>
      <c r="B25" s="5" t="s">
        <v>8</v>
      </c>
      <c r="C25" s="26">
        <v>13.440409660339355</v>
      </c>
      <c r="D25" s="27">
        <v>12.449230194091797</v>
      </c>
      <c r="E25" s="27">
        <f t="shared" si="12"/>
        <v>-0.99117946624755859</v>
      </c>
      <c r="F25" s="11">
        <f t="shared" si="13"/>
        <v>-7.374622435597189E-2</v>
      </c>
      <c r="G25" s="27">
        <v>11.664889335632324</v>
      </c>
      <c r="H25" s="27">
        <f t="shared" si="14"/>
        <v>-1.7755203247070313</v>
      </c>
      <c r="I25" s="11">
        <f t="shared" si="15"/>
        <v>-0.13210314042334048</v>
      </c>
      <c r="J25" s="27">
        <v>13.225913047790527</v>
      </c>
      <c r="K25" s="27">
        <f t="shared" si="16"/>
        <v>-0.21449661254882813</v>
      </c>
      <c r="L25" s="11">
        <f t="shared" si="17"/>
        <v>-1.5959082942373026E-2</v>
      </c>
    </row>
    <row r="26" spans="1:12" ht="15.75" thickBot="1" x14ac:dyDescent="0.3">
      <c r="A26" s="21"/>
      <c r="B26" s="6" t="s">
        <v>9</v>
      </c>
      <c r="C26" s="29">
        <v>7.0490498542785645</v>
      </c>
      <c r="D26" s="30">
        <v>6.4367809295654297</v>
      </c>
      <c r="E26" s="27">
        <f t="shared" si="12"/>
        <v>-0.61226892471313477</v>
      </c>
      <c r="F26" s="12">
        <f t="shared" si="13"/>
        <v>-8.6858362101312925E-2</v>
      </c>
      <c r="G26" s="30">
        <v>5.8699226379394531</v>
      </c>
      <c r="H26" s="27">
        <f t="shared" si="14"/>
        <v>-1.1791272163391113</v>
      </c>
      <c r="I26" s="12">
        <f t="shared" si="15"/>
        <v>-0.16727463143467713</v>
      </c>
      <c r="J26" s="30">
        <v>6.9156975746154785</v>
      </c>
      <c r="K26" s="27">
        <f t="shared" si="16"/>
        <v>-0.13335227966308594</v>
      </c>
      <c r="L26" s="12">
        <f t="shared" si="17"/>
        <v>-1.8917766567099092E-2</v>
      </c>
    </row>
    <row r="27" spans="1:12" x14ac:dyDescent="0.25">
      <c r="A27" s="22" t="s">
        <v>6</v>
      </c>
      <c r="B27" s="4" t="s">
        <v>7</v>
      </c>
      <c r="C27" s="31">
        <v>7.7751116752624512</v>
      </c>
      <c r="D27" s="32">
        <v>6.8581633567810059</v>
      </c>
      <c r="E27" s="28">
        <f t="shared" si="12"/>
        <v>-0.91694831848144531</v>
      </c>
      <c r="F27" s="11">
        <f t="shared" si="13"/>
        <v>-0.11793378111839059</v>
      </c>
      <c r="G27" s="33">
        <v>6.3842291831970215</v>
      </c>
      <c r="H27" s="28">
        <f t="shared" si="14"/>
        <v>-1.3908824920654297</v>
      </c>
      <c r="I27" s="11">
        <f t="shared" si="15"/>
        <v>-0.17888906939956972</v>
      </c>
      <c r="J27" s="34">
        <v>7.6234908103942871</v>
      </c>
      <c r="K27" s="28">
        <f t="shared" si="16"/>
        <v>-0.15162086486816406</v>
      </c>
      <c r="L27" s="11">
        <f t="shared" si="17"/>
        <v>-1.9500795769990753E-2</v>
      </c>
    </row>
    <row r="28" spans="1:12" x14ac:dyDescent="0.25">
      <c r="A28" s="23"/>
      <c r="B28" s="5" t="s">
        <v>8</v>
      </c>
      <c r="C28" s="26">
        <v>2.7567813396453857</v>
      </c>
      <c r="D28" s="32">
        <v>2.4832684993743896</v>
      </c>
      <c r="E28" s="27">
        <f t="shared" si="12"/>
        <v>-0.27351284027099609</v>
      </c>
      <c r="F28" s="11">
        <f t="shared" si="13"/>
        <v>-9.9214557330897679E-2</v>
      </c>
      <c r="G28" s="33">
        <v>2.0431909561157227</v>
      </c>
      <c r="H28" s="27">
        <f t="shared" si="14"/>
        <v>-0.71359038352966309</v>
      </c>
      <c r="I28" s="11">
        <f t="shared" si="15"/>
        <v>-0.25884910539239747</v>
      </c>
      <c r="J28" s="35">
        <v>2.6887011528015137</v>
      </c>
      <c r="K28" s="27">
        <f t="shared" si="16"/>
        <v>-6.808018684387207E-2</v>
      </c>
      <c r="L28" s="11">
        <f t="shared" si="17"/>
        <v>-2.46955338331728E-2</v>
      </c>
    </row>
    <row r="29" spans="1:12" ht="15.75" thickBot="1" x14ac:dyDescent="0.3">
      <c r="A29" s="24"/>
      <c r="B29" s="6" t="s">
        <v>9</v>
      </c>
      <c r="C29" s="29">
        <v>1.5179766416549683</v>
      </c>
      <c r="D29" s="36">
        <v>1.3826644420623779</v>
      </c>
      <c r="E29" s="30">
        <f t="shared" si="12"/>
        <v>-0.13531219959259033</v>
      </c>
      <c r="F29" s="12">
        <f t="shared" si="13"/>
        <v>-8.9139843051251888E-2</v>
      </c>
      <c r="G29" s="37">
        <v>1.04051673412323</v>
      </c>
      <c r="H29" s="30">
        <f t="shared" si="14"/>
        <v>-0.47745990753173828</v>
      </c>
      <c r="I29" s="12">
        <f t="shared" si="15"/>
        <v>-0.31453705836421131</v>
      </c>
      <c r="J29" s="37">
        <v>1.4847210645675659</v>
      </c>
      <c r="K29" s="30">
        <f t="shared" si="16"/>
        <v>-3.3255577087402344E-2</v>
      </c>
      <c r="L29" s="12">
        <f t="shared" si="17"/>
        <v>-2.1907831895980667E-2</v>
      </c>
    </row>
    <row r="30" spans="1:12" ht="15.75" thickBot="1" x14ac:dyDescent="0.3"/>
    <row r="31" spans="1:12" ht="15.75" thickBot="1" x14ac:dyDescent="0.3">
      <c r="A31" s="15" t="s">
        <v>0</v>
      </c>
      <c r="B31" s="16"/>
      <c r="C31" s="25" t="s">
        <v>14</v>
      </c>
      <c r="D31" s="13"/>
      <c r="E31" s="13"/>
      <c r="F31" s="13"/>
      <c r="G31" s="13"/>
      <c r="H31" s="13"/>
      <c r="I31" s="13"/>
      <c r="J31" s="13"/>
      <c r="K31" s="13"/>
      <c r="L31" s="14"/>
    </row>
    <row r="32" spans="1:12" ht="15.75" thickBot="1" x14ac:dyDescent="0.3">
      <c r="A32" s="17"/>
      <c r="B32" s="18"/>
      <c r="C32" s="41" t="s">
        <v>1</v>
      </c>
      <c r="D32" s="38" t="s">
        <v>2</v>
      </c>
      <c r="E32" s="39"/>
      <c r="F32" s="40"/>
      <c r="G32" s="39" t="s">
        <v>3</v>
      </c>
      <c r="H32" s="39"/>
      <c r="I32" s="40"/>
      <c r="J32" s="39" t="s">
        <v>4</v>
      </c>
      <c r="K32" s="39"/>
      <c r="L32" s="40"/>
    </row>
    <row r="33" spans="1:13" ht="15.75" thickBot="1" x14ac:dyDescent="0.3">
      <c r="A33" s="17"/>
      <c r="B33" s="18"/>
      <c r="C33" s="42"/>
      <c r="D33" s="2" t="s">
        <v>10</v>
      </c>
      <c r="E33" s="2" t="s">
        <v>11</v>
      </c>
      <c r="F33" s="3" t="s">
        <v>12</v>
      </c>
      <c r="G33" s="2" t="s">
        <v>10</v>
      </c>
      <c r="H33" s="2" t="s">
        <v>11</v>
      </c>
      <c r="I33" s="3" t="s">
        <v>12</v>
      </c>
      <c r="J33" s="2" t="s">
        <v>10</v>
      </c>
      <c r="K33" s="2" t="s">
        <v>11</v>
      </c>
      <c r="L33" s="2" t="s">
        <v>12</v>
      </c>
      <c r="M33" s="43"/>
    </row>
    <row r="34" spans="1:13" x14ac:dyDescent="0.25">
      <c r="A34" s="19" t="s">
        <v>5</v>
      </c>
      <c r="B34" s="4" t="s">
        <v>7</v>
      </c>
      <c r="C34" s="26">
        <v>36.065628051757813</v>
      </c>
      <c r="D34" s="27">
        <v>31.969154357910156</v>
      </c>
      <c r="E34" s="27">
        <f t="shared" ref="E34:E39" si="18">D34-$C34</f>
        <v>-4.0964736938476563</v>
      </c>
      <c r="F34" s="11">
        <f t="shared" ref="F34:F39" si="19">D34/$C34-1</f>
        <v>-0.11358387237756695</v>
      </c>
      <c r="G34" s="27">
        <v>34.196861267089844</v>
      </c>
      <c r="H34" s="27">
        <f t="shared" ref="H34:H39" si="20">G34-$C34</f>
        <v>-1.8687667846679688</v>
      </c>
      <c r="I34" s="11">
        <f t="shared" ref="I34:I39" si="21">G34/$C34-1</f>
        <v>-5.1815728315783072E-2</v>
      </c>
      <c r="J34" s="28">
        <v>35.583938598632813</v>
      </c>
      <c r="K34" s="28">
        <f t="shared" ref="K34:K39" si="22">J34-$C34</f>
        <v>-0.481689453125</v>
      </c>
      <c r="L34" s="11">
        <f t="shared" ref="L34:L39" si="23">J34/$C34-1</f>
        <v>-1.3355914735041496E-2</v>
      </c>
    </row>
    <row r="35" spans="1:13" x14ac:dyDescent="0.25">
      <c r="A35" s="20"/>
      <c r="B35" s="5" t="s">
        <v>8</v>
      </c>
      <c r="C35" s="26">
        <v>13.815189361572266</v>
      </c>
      <c r="D35" s="27">
        <v>11.999856948852539</v>
      </c>
      <c r="E35" s="27">
        <f t="shared" si="18"/>
        <v>-1.8153324127197266</v>
      </c>
      <c r="F35" s="11">
        <f t="shared" si="19"/>
        <v>-0.13140119655320659</v>
      </c>
      <c r="G35" s="27">
        <v>12.836923599243164</v>
      </c>
      <c r="H35" s="27">
        <f t="shared" si="20"/>
        <v>-0.97826576232910156</v>
      </c>
      <c r="I35" s="11">
        <f t="shared" si="21"/>
        <v>-7.0810883349178178E-2</v>
      </c>
      <c r="J35" s="27">
        <v>13.558627128601074</v>
      </c>
      <c r="K35" s="27">
        <f t="shared" si="22"/>
        <v>-0.25656223297119141</v>
      </c>
      <c r="L35" s="11">
        <f t="shared" si="23"/>
        <v>-1.8571025431242671E-2</v>
      </c>
    </row>
    <row r="36" spans="1:13" ht="15.75" thickBot="1" x14ac:dyDescent="0.3">
      <c r="A36" s="21"/>
      <c r="B36" s="6" t="s">
        <v>9</v>
      </c>
      <c r="C36" s="29">
        <v>7.4955477714538574</v>
      </c>
      <c r="D36" s="30">
        <v>6.4310212135314941</v>
      </c>
      <c r="E36" s="27">
        <f t="shared" si="18"/>
        <v>-1.0645265579223633</v>
      </c>
      <c r="F36" s="12">
        <f t="shared" si="19"/>
        <v>-0.14202118249136109</v>
      </c>
      <c r="G36" s="30">
        <v>6.863518238067627</v>
      </c>
      <c r="H36" s="27">
        <f t="shared" si="20"/>
        <v>-0.63202953338623047</v>
      </c>
      <c r="I36" s="12">
        <f t="shared" si="21"/>
        <v>-8.4320659764621886E-2</v>
      </c>
      <c r="J36" s="30">
        <v>7.3248496055603027</v>
      </c>
      <c r="K36" s="27">
        <f t="shared" si="22"/>
        <v>-0.17069816589355469</v>
      </c>
      <c r="L36" s="12">
        <f t="shared" si="23"/>
        <v>-2.2773274362101192E-2</v>
      </c>
    </row>
    <row r="37" spans="1:13" x14ac:dyDescent="0.25">
      <c r="A37" s="22" t="s">
        <v>6</v>
      </c>
      <c r="B37" s="4" t="s">
        <v>7</v>
      </c>
      <c r="C37" s="31">
        <v>15.368209838867188</v>
      </c>
      <c r="D37" s="32">
        <v>13.265779495239258</v>
      </c>
      <c r="E37" s="28">
        <f t="shared" si="18"/>
        <v>-2.1024303436279297</v>
      </c>
      <c r="F37" s="11">
        <f t="shared" si="19"/>
        <v>-0.13680385455895772</v>
      </c>
      <c r="G37" s="33">
        <v>14.193903923034668</v>
      </c>
      <c r="H37" s="28">
        <f t="shared" si="20"/>
        <v>-1.1743059158325195</v>
      </c>
      <c r="I37" s="11">
        <f t="shared" si="21"/>
        <v>-7.6411366590181773E-2</v>
      </c>
      <c r="J37" s="34">
        <v>15.00341796875</v>
      </c>
      <c r="K37" s="28">
        <f t="shared" si="22"/>
        <v>-0.3647918701171875</v>
      </c>
      <c r="L37" s="11">
        <f t="shared" si="23"/>
        <v>-2.3736783525339811E-2</v>
      </c>
    </row>
    <row r="38" spans="1:13" x14ac:dyDescent="0.25">
      <c r="A38" s="23"/>
      <c r="B38" s="5" t="s">
        <v>8</v>
      </c>
      <c r="C38" s="26">
        <v>5.6430830955505371</v>
      </c>
      <c r="D38" s="32">
        <v>4.7755751609802246</v>
      </c>
      <c r="E38" s="27">
        <f t="shared" si="18"/>
        <v>-0.8675079345703125</v>
      </c>
      <c r="F38" s="11">
        <f t="shared" si="19"/>
        <v>-0.15372942766948194</v>
      </c>
      <c r="G38" s="33">
        <v>5.090660572052002</v>
      </c>
      <c r="H38" s="27">
        <f t="shared" si="20"/>
        <v>-0.55242252349853516</v>
      </c>
      <c r="I38" s="11">
        <f t="shared" si="21"/>
        <v>-9.7893742506487191E-2</v>
      </c>
      <c r="J38" s="35">
        <v>5.4841408729553223</v>
      </c>
      <c r="K38" s="27">
        <f t="shared" si="22"/>
        <v>-0.15894222259521484</v>
      </c>
      <c r="L38" s="11">
        <f t="shared" si="23"/>
        <v>-2.8165848332188825E-2</v>
      </c>
    </row>
    <row r="39" spans="1:13" ht="15.75" thickBot="1" x14ac:dyDescent="0.3">
      <c r="A39" s="24"/>
      <c r="B39" s="6" t="s">
        <v>9</v>
      </c>
      <c r="C39" s="29">
        <v>3.0475492477416992</v>
      </c>
      <c r="D39" s="36">
        <v>2.5591418743133545</v>
      </c>
      <c r="E39" s="30">
        <f t="shared" si="18"/>
        <v>-0.48840737342834473</v>
      </c>
      <c r="F39" s="12">
        <f t="shared" si="19"/>
        <v>-0.16026233990812955</v>
      </c>
      <c r="G39" s="37">
        <v>2.7060415744781494</v>
      </c>
      <c r="H39" s="30">
        <f t="shared" si="20"/>
        <v>-0.3415076732635498</v>
      </c>
      <c r="I39" s="12">
        <f t="shared" si="21"/>
        <v>-0.11205977180405358</v>
      </c>
      <c r="J39" s="37">
        <v>2.9625537395477295</v>
      </c>
      <c r="K39" s="30">
        <f t="shared" si="22"/>
        <v>-8.4995508193969727E-2</v>
      </c>
      <c r="L39" s="12">
        <f t="shared" si="23"/>
        <v>-2.7889789888367877E-2</v>
      </c>
    </row>
  </sheetData>
  <mergeCells count="32">
    <mergeCell ref="A34:A36"/>
    <mergeCell ref="A37:A39"/>
    <mergeCell ref="A24:A26"/>
    <mergeCell ref="A27:A29"/>
    <mergeCell ref="A31:B33"/>
    <mergeCell ref="C31:L31"/>
    <mergeCell ref="C32:C33"/>
    <mergeCell ref="D32:F32"/>
    <mergeCell ref="G32:I32"/>
    <mergeCell ref="J32:L32"/>
    <mergeCell ref="A14:A16"/>
    <mergeCell ref="A17:A19"/>
    <mergeCell ref="A21:B23"/>
    <mergeCell ref="C21:L21"/>
    <mergeCell ref="C22:C23"/>
    <mergeCell ref="D22:F22"/>
    <mergeCell ref="G22:I22"/>
    <mergeCell ref="J22:L22"/>
    <mergeCell ref="A11:B13"/>
    <mergeCell ref="C11:L11"/>
    <mergeCell ref="C12:C13"/>
    <mergeCell ref="D12:F12"/>
    <mergeCell ref="G12:I12"/>
    <mergeCell ref="J12:L12"/>
    <mergeCell ref="A1:B3"/>
    <mergeCell ref="A4:A6"/>
    <mergeCell ref="A7:A9"/>
    <mergeCell ref="C2:C3"/>
    <mergeCell ref="J2:L2"/>
    <mergeCell ref="D2:F2"/>
    <mergeCell ref="G2:I2"/>
    <mergeCell ref="C1:L1"/>
  </mergeCells>
  <pageMargins left="0.7" right="0.7" top="0.75" bottom="0.75" header="0.3" footer="0.3"/>
  <pageSetup paperSize="9" orientation="portrait" horizontalDpi="0" verticalDpi="0" r:id="rId1"/>
  <ignoredErrors>
    <ignoredError sqref="F14:F19 C30:L31 E24:F29 E34:F39 H34:I39 H24:I29 H14:I19 K34:L39 K24:L29 K14:L19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2021-09-10T16:49:31Z</dcterms:modified>
</cp:coreProperties>
</file>