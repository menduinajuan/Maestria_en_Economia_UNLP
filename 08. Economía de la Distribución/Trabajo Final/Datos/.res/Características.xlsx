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\Economía\Maestría en Economía\8. Economía de la Distribución\Monografía\Datos\.res\"/>
    </mc:Choice>
  </mc:AlternateContent>
  <xr:revisionPtr revIDLastSave="0" documentId="13_ncr:1_{462091BD-4131-40DD-89B2-8A4FE9C43B52}" xr6:coauthVersionLast="47" xr6:coauthVersionMax="47" xr10:uidLastSave="{00000000-0000-0000-0000-000000000000}"/>
  <bookViews>
    <workbookView xWindow="-120" yWindow="-120" windowWidth="20730" windowHeight="11760" xr2:uid="{D138BB85-EBFC-4C99-9271-6C93ADEA9943}"/>
  </bookViews>
  <sheets>
    <sheet name="Tabl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  <c r="M25" i="1"/>
  <c r="S25" i="1"/>
  <c r="Y25" i="1"/>
  <c r="Y21" i="1"/>
  <c r="S21" i="1"/>
  <c r="M21" i="1"/>
  <c r="G21" i="1"/>
  <c r="Y27" i="1" l="1"/>
  <c r="Y23" i="1"/>
  <c r="Y19" i="1"/>
  <c r="Y17" i="1"/>
  <c r="Y15" i="1"/>
  <c r="Y13" i="1"/>
  <c r="Y11" i="1"/>
  <c r="Y9" i="1"/>
  <c r="Y7" i="1"/>
  <c r="Y5" i="1"/>
  <c r="Y3" i="1"/>
  <c r="S27" i="1"/>
  <c r="S23" i="1"/>
  <c r="S19" i="1"/>
  <c r="S17" i="1"/>
  <c r="S15" i="1"/>
  <c r="S13" i="1"/>
  <c r="S11" i="1"/>
  <c r="S9" i="1"/>
  <c r="S7" i="1"/>
  <c r="S5" i="1"/>
  <c r="S3" i="1"/>
  <c r="M27" i="1"/>
  <c r="M23" i="1"/>
  <c r="M19" i="1"/>
  <c r="M17" i="1"/>
  <c r="M15" i="1"/>
  <c r="M13" i="1"/>
  <c r="M11" i="1"/>
  <c r="M9" i="1"/>
  <c r="M7" i="1"/>
  <c r="M5" i="1"/>
  <c r="M3" i="1"/>
  <c r="G5" i="1"/>
  <c r="G7" i="1"/>
  <c r="G9" i="1"/>
  <c r="G11" i="1"/>
  <c r="G13" i="1"/>
  <c r="G15" i="1"/>
  <c r="G17" i="1"/>
  <c r="G19" i="1"/>
  <c r="G23" i="1"/>
  <c r="G27" i="1"/>
  <c r="G3" i="1"/>
</calcChain>
</file>

<file path=xl/sharedStrings.xml><?xml version="1.0" encoding="utf-8"?>
<sst xmlns="http://schemas.openxmlformats.org/spreadsheetml/2006/main" count="22" uniqueCount="19">
  <si>
    <t>VARIABLE</t>
  </si>
  <si>
    <t>TOTAL NACIONAL</t>
  </si>
  <si>
    <t>ipcug</t>
  </si>
  <si>
    <t>Ingreso no laboral</t>
  </si>
  <si>
    <t>Miembros</t>
  </si>
  <si>
    <t>Mujeres</t>
  </si>
  <si>
    <t>Niños</t>
  </si>
  <si>
    <t>Educación</t>
  </si>
  <si>
    <t>Jefe mujer</t>
  </si>
  <si>
    <t>Jefe edad</t>
  </si>
  <si>
    <t>Jefe cuentapropista</t>
  </si>
  <si>
    <t>Desempleo</t>
  </si>
  <si>
    <t>Ayudas</t>
  </si>
  <si>
    <t>Variación (%)</t>
  </si>
  <si>
    <t>PRINCIPALES CIUDADES</t>
  </si>
  <si>
    <t>RESTO URBANO</t>
  </si>
  <si>
    <t>RURAL</t>
  </si>
  <si>
    <t>Participación laboral femenina</t>
  </si>
  <si>
    <t>Informalidad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</si>
</sst>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64" fontId="2" fillId="0" borderId="6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6" fontId="2" fillId="0" borderId="10" xfId="0" applyNumberFormat="1" applyFont="1" applyBorder="1" applyAlignment="1">
      <alignment vertical="center"/>
    </xf>
    <xf numFmtId="166" fontId="2" fillId="0" borderId="8" xfId="0" applyNumberFormat="1" applyFont="1" applyBorder="1" applyAlignment="1">
      <alignment vertical="center"/>
    </xf>
    <xf numFmtId="166" fontId="2" fillId="0" borderId="7" xfId="0" applyNumberFormat="1" applyFont="1" applyBorder="1" applyAlignment="1">
      <alignment vertical="center"/>
    </xf>
    <xf numFmtId="165" fontId="2" fillId="0" borderId="0" xfId="0" applyNumberFormat="1" applyFont="1" applyAlignment="1">
      <alignment horizontal="right" vertical="center"/>
    </xf>
    <xf numFmtId="165" fontId="2" fillId="0" borderId="11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3" fontId="2" fillId="0" borderId="9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7E2B-BA44-44E8-823A-FAD6080261EE}">
  <dimension ref="A1:Y28"/>
  <sheetViews>
    <sheetView tabSelected="1" zoomScale="80" zoomScaleNormal="80" workbookViewId="0">
      <selection sqref="A1:A2"/>
    </sheetView>
  </sheetViews>
  <sheetFormatPr baseColWidth="10" defaultRowHeight="15" x14ac:dyDescent="0.25"/>
  <cols>
    <col min="1" max="1" width="28.5703125" style="1" customWidth="1"/>
    <col min="2" max="6" width="14.28515625" style="1" customWidth="1"/>
    <col min="7" max="7" width="14.42578125" style="1" customWidth="1"/>
    <col min="8" max="25" width="14.28515625" style="1" customWidth="1"/>
    <col min="26" max="16384" width="11.42578125" style="1"/>
  </cols>
  <sheetData>
    <row r="1" spans="1:25" ht="15.75" thickBot="1" x14ac:dyDescent="0.3">
      <c r="A1" s="17" t="s">
        <v>0</v>
      </c>
      <c r="B1" s="19" t="s">
        <v>1</v>
      </c>
      <c r="C1" s="19"/>
      <c r="D1" s="19"/>
      <c r="E1" s="19"/>
      <c r="F1" s="19"/>
      <c r="G1" s="20"/>
      <c r="H1" s="19" t="s">
        <v>14</v>
      </c>
      <c r="I1" s="19"/>
      <c r="J1" s="19"/>
      <c r="K1" s="19"/>
      <c r="L1" s="19"/>
      <c r="M1" s="20"/>
      <c r="N1" s="19" t="s">
        <v>15</v>
      </c>
      <c r="O1" s="19"/>
      <c r="P1" s="19"/>
      <c r="Q1" s="19"/>
      <c r="R1" s="19"/>
      <c r="S1" s="20"/>
      <c r="T1" s="19" t="s">
        <v>16</v>
      </c>
      <c r="U1" s="19"/>
      <c r="V1" s="19"/>
      <c r="W1" s="19"/>
      <c r="X1" s="19"/>
      <c r="Y1" s="20"/>
    </row>
    <row r="2" spans="1:25" ht="15.75" thickBot="1" x14ac:dyDescent="0.3">
      <c r="A2" s="18"/>
      <c r="B2" s="2">
        <v>2002</v>
      </c>
      <c r="C2" s="2">
        <v>2005</v>
      </c>
      <c r="D2" s="2">
        <v>2008</v>
      </c>
      <c r="E2" s="2">
        <v>2015</v>
      </c>
      <c r="F2" s="2">
        <v>2018</v>
      </c>
      <c r="G2" s="3" t="s">
        <v>13</v>
      </c>
      <c r="H2" s="2">
        <v>2002</v>
      </c>
      <c r="I2" s="2">
        <v>2005</v>
      </c>
      <c r="J2" s="2">
        <v>2008</v>
      </c>
      <c r="K2" s="2">
        <v>2015</v>
      </c>
      <c r="L2" s="2">
        <v>2018</v>
      </c>
      <c r="M2" s="3" t="s">
        <v>13</v>
      </c>
      <c r="N2" s="2">
        <v>2002</v>
      </c>
      <c r="O2" s="2">
        <v>2005</v>
      </c>
      <c r="P2" s="2">
        <v>2008</v>
      </c>
      <c r="Q2" s="2">
        <v>2015</v>
      </c>
      <c r="R2" s="2">
        <v>2018</v>
      </c>
      <c r="S2" s="3" t="s">
        <v>13</v>
      </c>
      <c r="T2" s="2">
        <v>2002</v>
      </c>
      <c r="U2" s="2">
        <v>2005</v>
      </c>
      <c r="V2" s="2">
        <v>2008</v>
      </c>
      <c r="W2" s="2">
        <v>2015</v>
      </c>
      <c r="X2" s="2">
        <v>2018</v>
      </c>
      <c r="Y2" s="3" t="s">
        <v>13</v>
      </c>
    </row>
    <row r="3" spans="1:25" x14ac:dyDescent="0.25">
      <c r="A3" s="16" t="s">
        <v>2</v>
      </c>
      <c r="B3" s="13">
        <v>598236.75</v>
      </c>
      <c r="C3" s="14">
        <v>641155.5625</v>
      </c>
      <c r="D3" s="14">
        <v>700606.375</v>
      </c>
      <c r="E3" s="14">
        <v>841418.9375</v>
      </c>
      <c r="F3" s="14">
        <v>846094.0625</v>
      </c>
      <c r="G3" s="8">
        <f>F3/B3-1</f>
        <v>0.41431308340719619</v>
      </c>
      <c r="H3" s="13">
        <v>862315.875</v>
      </c>
      <c r="I3" s="14">
        <v>911911.125</v>
      </c>
      <c r="J3" s="14">
        <v>997018.5625</v>
      </c>
      <c r="K3" s="14">
        <v>1155833.875</v>
      </c>
      <c r="L3" s="14">
        <v>1140520.625</v>
      </c>
      <c r="M3" s="8">
        <f>L3/H3-1</f>
        <v>0.32262510533045674</v>
      </c>
      <c r="N3" s="13">
        <v>453317.5625</v>
      </c>
      <c r="O3" s="14">
        <v>504442.78125</v>
      </c>
      <c r="P3" s="14">
        <v>566403</v>
      </c>
      <c r="Q3" s="14">
        <v>700569.0625</v>
      </c>
      <c r="R3" s="14">
        <v>722931</v>
      </c>
      <c r="S3" s="8">
        <f>R3/N3-1</f>
        <v>0.59475621463485662</v>
      </c>
      <c r="T3" s="13">
        <v>275553.5625</v>
      </c>
      <c r="U3" s="14">
        <v>263963.75</v>
      </c>
      <c r="V3" s="14">
        <v>276411.96875</v>
      </c>
      <c r="W3" s="14">
        <v>368553.375</v>
      </c>
      <c r="X3" s="14">
        <v>387427.78125</v>
      </c>
      <c r="Y3" s="8">
        <f>X3/T3-1</f>
        <v>0.4059980852180054</v>
      </c>
    </row>
    <row r="4" spans="1:25" x14ac:dyDescent="0.25">
      <c r="A4" s="6"/>
      <c r="B4" s="13">
        <v>1304752.125</v>
      </c>
      <c r="C4" s="15">
        <v>1142612.375</v>
      </c>
      <c r="D4" s="15">
        <v>1261827.375</v>
      </c>
      <c r="E4" s="15">
        <v>1348671.625</v>
      </c>
      <c r="F4" s="15">
        <v>1363432.125</v>
      </c>
      <c r="G4" s="9"/>
      <c r="H4" s="13">
        <v>1576665</v>
      </c>
      <c r="I4" s="15">
        <v>1490174</v>
      </c>
      <c r="J4" s="15">
        <v>1597607.625</v>
      </c>
      <c r="K4" s="15">
        <v>1721435</v>
      </c>
      <c r="L4" s="15">
        <v>1696113.625</v>
      </c>
      <c r="M4" s="9"/>
      <c r="N4" s="13">
        <v>1209750.75</v>
      </c>
      <c r="O4" s="15">
        <v>696061.5</v>
      </c>
      <c r="P4" s="15">
        <v>933694.75</v>
      </c>
      <c r="Q4" s="15">
        <v>931424</v>
      </c>
      <c r="R4" s="15">
        <v>1070542.375</v>
      </c>
      <c r="S4" s="9"/>
      <c r="T4" s="13">
        <v>504622.09375</v>
      </c>
      <c r="U4" s="15">
        <v>410101.59375</v>
      </c>
      <c r="V4" s="15">
        <v>462749.53125</v>
      </c>
      <c r="W4" s="15">
        <v>510595.8125</v>
      </c>
      <c r="X4" s="15">
        <v>520505.96875</v>
      </c>
      <c r="Y4" s="9"/>
    </row>
    <row r="5" spans="1:25" x14ac:dyDescent="0.25">
      <c r="A5" s="6" t="s">
        <v>3</v>
      </c>
      <c r="B5" s="13">
        <v>302847.46875</v>
      </c>
      <c r="C5" s="15">
        <v>322637.9375</v>
      </c>
      <c r="D5" s="15">
        <v>355180.15625</v>
      </c>
      <c r="E5" s="15">
        <v>379984.90625</v>
      </c>
      <c r="F5" s="15">
        <v>376209.96875</v>
      </c>
      <c r="G5" s="9">
        <f t="shared" ref="G5:G27" si="0">F5/B5-1</f>
        <v>0.24224240771370154</v>
      </c>
      <c r="H5" s="13">
        <v>474426.03125</v>
      </c>
      <c r="I5" s="15">
        <v>491553.75</v>
      </c>
      <c r="J5" s="15">
        <v>550367.875</v>
      </c>
      <c r="K5" s="15">
        <v>541855</v>
      </c>
      <c r="L5" s="15">
        <v>525400.8125</v>
      </c>
      <c r="M5" s="9">
        <f t="shared" ref="M5" si="1">L5/H5-1</f>
        <v>0.10744516087301026</v>
      </c>
      <c r="N5" s="13">
        <v>195485.640625</v>
      </c>
      <c r="O5" s="15">
        <v>218986.203125</v>
      </c>
      <c r="P5" s="15">
        <v>264882.34375</v>
      </c>
      <c r="Q5" s="15">
        <v>306241</v>
      </c>
      <c r="R5" s="15">
        <v>315554.09375</v>
      </c>
      <c r="S5" s="9">
        <f t="shared" ref="S5" si="2">R5/N5-1</f>
        <v>0.61420599866630221</v>
      </c>
      <c r="T5" s="13">
        <v>109078.6640625</v>
      </c>
      <c r="U5" s="15">
        <v>110428.984375</v>
      </c>
      <c r="V5" s="15">
        <v>78394.8515625</v>
      </c>
      <c r="W5" s="15">
        <v>138297.390625</v>
      </c>
      <c r="X5" s="15">
        <v>141245.046875</v>
      </c>
      <c r="Y5" s="9">
        <f t="shared" ref="Y5" si="3">X5/T5-1</f>
        <v>0.29489160954583449</v>
      </c>
    </row>
    <row r="6" spans="1:25" x14ac:dyDescent="0.25">
      <c r="A6" s="6"/>
      <c r="B6" s="13">
        <v>1290028</v>
      </c>
      <c r="C6" s="15">
        <v>1033447.5</v>
      </c>
      <c r="D6" s="15">
        <v>1340290.75</v>
      </c>
      <c r="E6" s="15">
        <v>1143848.375</v>
      </c>
      <c r="F6" s="15">
        <v>1120106.375</v>
      </c>
      <c r="G6" s="9"/>
      <c r="H6" s="13">
        <v>1756113.25</v>
      </c>
      <c r="I6" s="15">
        <v>1348382</v>
      </c>
      <c r="J6" s="15">
        <v>1766330.75</v>
      </c>
      <c r="K6" s="15">
        <v>1443856.75</v>
      </c>
      <c r="L6" s="15">
        <v>1419998.875</v>
      </c>
      <c r="M6" s="9"/>
      <c r="N6" s="13">
        <v>711952.8125</v>
      </c>
      <c r="O6" s="15">
        <v>640842.3125</v>
      </c>
      <c r="P6" s="15">
        <v>953455.375</v>
      </c>
      <c r="Q6" s="15">
        <v>898360.1875</v>
      </c>
      <c r="R6" s="15">
        <v>832043.125</v>
      </c>
      <c r="S6" s="9"/>
      <c r="T6" s="13">
        <v>526856.5625</v>
      </c>
      <c r="U6" s="15">
        <v>507182.625</v>
      </c>
      <c r="V6" s="15">
        <v>344609.0625</v>
      </c>
      <c r="W6" s="15">
        <v>487754.53125</v>
      </c>
      <c r="X6" s="15">
        <v>560232.1875</v>
      </c>
      <c r="Y6" s="9"/>
    </row>
    <row r="7" spans="1:25" x14ac:dyDescent="0.25">
      <c r="A7" s="6" t="s">
        <v>4</v>
      </c>
      <c r="B7" s="11">
        <v>4.1283054351806641</v>
      </c>
      <c r="C7" s="4">
        <v>4.004401683807373</v>
      </c>
      <c r="D7" s="4">
        <v>3.710078239440918</v>
      </c>
      <c r="E7" s="4">
        <v>3.3863570690155029</v>
      </c>
      <c r="F7" s="4">
        <v>3.3102874755859375</v>
      </c>
      <c r="G7" s="9">
        <f t="shared" si="0"/>
        <v>-0.19814860417635938</v>
      </c>
      <c r="H7" s="11">
        <v>3.9712855815887451</v>
      </c>
      <c r="I7" s="4">
        <v>3.7822096347808838</v>
      </c>
      <c r="J7" s="4">
        <v>3.5783219337463379</v>
      </c>
      <c r="K7" s="4">
        <v>3.2827639579772949</v>
      </c>
      <c r="L7" s="4">
        <v>3.2182145118713379</v>
      </c>
      <c r="M7" s="9">
        <f t="shared" ref="M7" si="4">L7/H7-1</f>
        <v>-0.18962903932386932</v>
      </c>
      <c r="N7" s="11">
        <v>4.1533303260803223</v>
      </c>
      <c r="O7" s="4">
        <v>4.1279497146606445</v>
      </c>
      <c r="P7" s="4">
        <v>3.7507503032684326</v>
      </c>
      <c r="Q7" s="4">
        <v>3.4165866374969482</v>
      </c>
      <c r="R7" s="4">
        <v>3.3431797027587891</v>
      </c>
      <c r="S7" s="9">
        <f t="shared" ref="S7" si="5">R7/N7-1</f>
        <v>-0.1950604839288349</v>
      </c>
      <c r="T7" s="11">
        <v>4.3937315940856934</v>
      </c>
      <c r="U7" s="4">
        <v>4.299644947052002</v>
      </c>
      <c r="V7" s="4">
        <v>3.9237537384033203</v>
      </c>
      <c r="W7" s="4">
        <v>3.5652713775634766</v>
      </c>
      <c r="X7" s="4">
        <v>3.4619057178497314</v>
      </c>
      <c r="Y7" s="9">
        <f t="shared" ref="Y7" si="6">X7/T7-1</f>
        <v>-0.21208074646395614</v>
      </c>
    </row>
    <row r="8" spans="1:25" x14ac:dyDescent="0.25">
      <c r="A8" s="6"/>
      <c r="B8" s="11">
        <v>2.0545425415039063</v>
      </c>
      <c r="C8" s="4">
        <v>2.0257103443145752</v>
      </c>
      <c r="D8" s="4">
        <v>1.9288444519042969</v>
      </c>
      <c r="E8" s="4">
        <v>1.7936364412307739</v>
      </c>
      <c r="F8" s="4">
        <v>1.7704446315765381</v>
      </c>
      <c r="G8" s="9"/>
      <c r="H8" s="11">
        <v>1.9396299123764038</v>
      </c>
      <c r="I8" s="4">
        <v>1.8590131998062134</v>
      </c>
      <c r="J8" s="4">
        <v>1.815538763999939</v>
      </c>
      <c r="K8" s="4">
        <v>1.7253924608230591</v>
      </c>
      <c r="L8" s="4">
        <v>1.7137154340744019</v>
      </c>
      <c r="M8" s="9"/>
      <c r="N8" s="11">
        <v>2.0787336826324463</v>
      </c>
      <c r="O8" s="4">
        <v>2.08512282371521</v>
      </c>
      <c r="P8" s="4">
        <v>1.9917143583297729</v>
      </c>
      <c r="Q8" s="4">
        <v>1.7955682277679443</v>
      </c>
      <c r="R8" s="4">
        <v>1.7977888584136963</v>
      </c>
      <c r="S8" s="9"/>
      <c r="T8" s="11">
        <v>2.2018189430236816</v>
      </c>
      <c r="U8" s="4">
        <v>2.2144331932067871</v>
      </c>
      <c r="V8" s="4">
        <v>2.0427341461181641</v>
      </c>
      <c r="W8" s="4">
        <v>1.9146783351898193</v>
      </c>
      <c r="X8" s="4">
        <v>1.8379284143447876</v>
      </c>
      <c r="Y8" s="9"/>
    </row>
    <row r="9" spans="1:25" x14ac:dyDescent="0.25">
      <c r="A9" s="6" t="s">
        <v>5</v>
      </c>
      <c r="B9" s="11">
        <v>0.5051911473274231</v>
      </c>
      <c r="C9" s="4">
        <v>0.50416374206542969</v>
      </c>
      <c r="D9" s="4">
        <v>0.50123625993728638</v>
      </c>
      <c r="E9" s="4">
        <v>0.49640569090843201</v>
      </c>
      <c r="F9" s="4">
        <v>0.49679464101791382</v>
      </c>
      <c r="G9" s="9">
        <f t="shared" si="0"/>
        <v>-1.6620454166563881E-2</v>
      </c>
      <c r="H9" s="11">
        <v>0.52266055345535278</v>
      </c>
      <c r="I9" s="4">
        <v>0.52007597684860229</v>
      </c>
      <c r="J9" s="4">
        <v>0.51811718940734863</v>
      </c>
      <c r="K9" s="4">
        <v>0.51241558790206909</v>
      </c>
      <c r="L9" s="4">
        <v>0.51265186071395874</v>
      </c>
      <c r="M9" s="9">
        <f t="shared" ref="M9" si="7">L9/H9-1</f>
        <v>-1.914950855813724E-2</v>
      </c>
      <c r="N9" s="11">
        <v>0.5129578709602356</v>
      </c>
      <c r="O9" s="4">
        <v>0.51376837491989136</v>
      </c>
      <c r="P9" s="4">
        <v>0.51154834032058716</v>
      </c>
      <c r="Q9" s="4">
        <v>0.50561946630477905</v>
      </c>
      <c r="R9" s="4">
        <v>0.50730466842651367</v>
      </c>
      <c r="S9" s="9">
        <f t="shared" ref="S9" si="8">R9/N9-1</f>
        <v>-1.1020793039278942E-2</v>
      </c>
      <c r="T9" s="11">
        <v>0.46296685934066772</v>
      </c>
      <c r="U9" s="4">
        <v>0.45979553461074829</v>
      </c>
      <c r="V9" s="4">
        <v>0.45331656932830811</v>
      </c>
      <c r="W9" s="4">
        <v>0.44891548156738281</v>
      </c>
      <c r="X9" s="4">
        <v>0.44714155793190002</v>
      </c>
      <c r="Y9" s="9">
        <f t="shared" ref="Y9" si="9">X9/T9-1</f>
        <v>-3.4182363358157497E-2</v>
      </c>
    </row>
    <row r="10" spans="1:25" x14ac:dyDescent="0.25">
      <c r="A10" s="6"/>
      <c r="B10" s="11">
        <v>0.23769241571426392</v>
      </c>
      <c r="C10" s="4">
        <v>0.24355998635292053</v>
      </c>
      <c r="D10" s="4">
        <v>0.25926688313484192</v>
      </c>
      <c r="E10" s="4">
        <v>0.27363777160644531</v>
      </c>
      <c r="F10" s="4">
        <v>0.27615278959274292</v>
      </c>
      <c r="G10" s="9"/>
      <c r="H10" s="11">
        <v>0.23959425091743469</v>
      </c>
      <c r="I10" s="4">
        <v>0.25073510408401489</v>
      </c>
      <c r="J10" s="4">
        <v>0.26248106360435486</v>
      </c>
      <c r="K10" s="4">
        <v>0.2782195508480072</v>
      </c>
      <c r="L10" s="4">
        <v>0.27969714999198914</v>
      </c>
      <c r="M10" s="9"/>
      <c r="N10" s="11">
        <v>0.24020175635814667</v>
      </c>
      <c r="O10" s="4">
        <v>0.23882792890071869</v>
      </c>
      <c r="P10" s="4">
        <v>0.26205125451087952</v>
      </c>
      <c r="Q10" s="4">
        <v>0.27473050355911255</v>
      </c>
      <c r="R10" s="4">
        <v>0.27743586897850037</v>
      </c>
      <c r="S10" s="9"/>
      <c r="T10" s="11">
        <v>0.22567059099674225</v>
      </c>
      <c r="U10" s="4">
        <v>0.22892558574676514</v>
      </c>
      <c r="V10" s="4">
        <v>0.24265576899051666</v>
      </c>
      <c r="W10" s="4">
        <v>0.25627744197845459</v>
      </c>
      <c r="X10" s="4">
        <v>0.26036751270294189</v>
      </c>
      <c r="Y10" s="9"/>
    </row>
    <row r="11" spans="1:25" x14ac:dyDescent="0.25">
      <c r="A11" s="6" t="s">
        <v>6</v>
      </c>
      <c r="B11" s="11">
        <v>0.57681161165237427</v>
      </c>
      <c r="C11" s="4">
        <v>0.55309599637985229</v>
      </c>
      <c r="D11" s="4">
        <v>0.51124882698059082</v>
      </c>
      <c r="E11" s="4">
        <v>0.45677700638771057</v>
      </c>
      <c r="F11" s="4">
        <v>0.43901848793029785</v>
      </c>
      <c r="G11" s="9">
        <f t="shared" si="0"/>
        <v>-0.23888756907536024</v>
      </c>
      <c r="H11" s="11">
        <v>0.5293470025062561</v>
      </c>
      <c r="I11" s="4">
        <v>0.50208830833435059</v>
      </c>
      <c r="J11" s="4">
        <v>0.46720319986343384</v>
      </c>
      <c r="K11" s="4">
        <v>0.40823841094970703</v>
      </c>
      <c r="L11" s="4">
        <v>0.38956794142723083</v>
      </c>
      <c r="M11" s="9">
        <f t="shared" ref="M11" si="10">L11/H11-1</f>
        <v>-0.26405941739015193</v>
      </c>
      <c r="N11" s="11">
        <v>0.60939782857894897</v>
      </c>
      <c r="O11" s="4">
        <v>0.5865662693977356</v>
      </c>
      <c r="P11" s="4">
        <v>0.53395277261734009</v>
      </c>
      <c r="Q11" s="4">
        <v>0.48965272307395935</v>
      </c>
      <c r="R11" s="4">
        <v>0.47133851051330566</v>
      </c>
      <c r="S11" s="9">
        <f t="shared" ref="S11" si="11">R11/N11-1</f>
        <v>-0.22655039383317621</v>
      </c>
      <c r="T11" s="11">
        <v>0.62694251537322998</v>
      </c>
      <c r="U11" s="4">
        <v>0.61444520950317383</v>
      </c>
      <c r="V11" s="4">
        <v>0.57062745094299316</v>
      </c>
      <c r="W11" s="4">
        <v>0.51387196779251099</v>
      </c>
      <c r="X11" s="4">
        <v>0.49912175536155701</v>
      </c>
      <c r="Y11" s="9">
        <f t="shared" ref="Y11" si="12">X11/T11-1</f>
        <v>-0.20387955335199914</v>
      </c>
    </row>
    <row r="12" spans="1:25" x14ac:dyDescent="0.25">
      <c r="A12" s="6"/>
      <c r="B12" s="11">
        <v>0.49406665563583374</v>
      </c>
      <c r="C12" s="4">
        <v>0.497174471616745</v>
      </c>
      <c r="D12" s="4">
        <v>0.49987456202507019</v>
      </c>
      <c r="E12" s="4">
        <v>0.49812933802604675</v>
      </c>
      <c r="F12" s="4">
        <v>0.49626839160919189</v>
      </c>
      <c r="G12" s="9"/>
      <c r="H12" s="11">
        <v>0.49914032220840454</v>
      </c>
      <c r="I12" s="4">
        <v>0.49999791383743286</v>
      </c>
      <c r="J12" s="4">
        <v>0.49892547726631165</v>
      </c>
      <c r="K12" s="4">
        <v>0.49150994420051575</v>
      </c>
      <c r="L12" s="4">
        <v>0.48765450716018677</v>
      </c>
      <c r="M12" s="9"/>
      <c r="N12" s="11">
        <v>0.48790627717971802</v>
      </c>
      <c r="O12" s="4">
        <v>0.49245923757553101</v>
      </c>
      <c r="P12" s="4">
        <v>0.49884858727455139</v>
      </c>
      <c r="Q12" s="4">
        <v>0.49989542365074158</v>
      </c>
      <c r="R12" s="4">
        <v>0.4991803765296936</v>
      </c>
      <c r="S12" s="9"/>
      <c r="T12" s="11">
        <v>0.48364311456680298</v>
      </c>
      <c r="U12" s="4">
        <v>0.48674061894416809</v>
      </c>
      <c r="V12" s="4">
        <v>0.4949985146522522</v>
      </c>
      <c r="W12" s="4">
        <v>0.49981847405433655</v>
      </c>
      <c r="X12" s="4">
        <v>0.50001049041748047</v>
      </c>
      <c r="Y12" s="9"/>
    </row>
    <row r="13" spans="1:25" x14ac:dyDescent="0.25">
      <c r="A13" s="6" t="s">
        <v>7</v>
      </c>
      <c r="B13" s="11">
        <v>6.7639236450195313</v>
      </c>
      <c r="C13" s="4">
        <v>7.1686787605285645</v>
      </c>
      <c r="D13" s="4">
        <v>7.2230701446533203</v>
      </c>
      <c r="E13" s="4">
        <v>8.8054990768432617</v>
      </c>
      <c r="F13" s="4">
        <v>9.1614570617675781</v>
      </c>
      <c r="G13" s="9">
        <f t="shared" si="0"/>
        <v>0.35445897123830172</v>
      </c>
      <c r="H13" s="11">
        <v>8.3930330276489258</v>
      </c>
      <c r="I13" s="4">
        <v>8.7098855972290039</v>
      </c>
      <c r="J13" s="4">
        <v>8.7612924575805664</v>
      </c>
      <c r="K13" s="4">
        <v>10.251965522766113</v>
      </c>
      <c r="L13" s="4">
        <v>10.600963592529297</v>
      </c>
      <c r="M13" s="9">
        <f t="shared" ref="M13" si="13">L13/H13-1</f>
        <v>0.26306706498197374</v>
      </c>
      <c r="N13" s="11">
        <v>6.3438611030578613</v>
      </c>
      <c r="O13" s="4">
        <v>6.9721250534057617</v>
      </c>
      <c r="P13" s="4">
        <v>7.0976748466491699</v>
      </c>
      <c r="Q13" s="4">
        <v>8.9037513732910156</v>
      </c>
      <c r="R13" s="4">
        <v>9.2512712478637695</v>
      </c>
      <c r="S13" s="9">
        <f t="shared" ref="S13" si="14">R13/N13-1</f>
        <v>0.45830293216925599</v>
      </c>
      <c r="T13" s="11">
        <v>4.2030191421508789</v>
      </c>
      <c r="U13" s="4">
        <v>4.2893824577331543</v>
      </c>
      <c r="V13" s="4">
        <v>4.2656764984130859</v>
      </c>
      <c r="W13" s="4">
        <v>5.5636982917785645</v>
      </c>
      <c r="X13" s="4">
        <v>5.9118742942810059</v>
      </c>
      <c r="Y13" s="9">
        <f t="shared" ref="Y13" si="15">X13/T13-1</f>
        <v>0.40657800841126468</v>
      </c>
    </row>
    <row r="14" spans="1:25" x14ac:dyDescent="0.25">
      <c r="A14" s="6"/>
      <c r="B14" s="11">
        <v>3.9600598812103271</v>
      </c>
      <c r="C14" s="4">
        <v>4.0377202033996582</v>
      </c>
      <c r="D14" s="4">
        <v>4.0894503593444824</v>
      </c>
      <c r="E14" s="4">
        <v>4.3578276634216309</v>
      </c>
      <c r="F14" s="4">
        <v>4.3409757614135742</v>
      </c>
      <c r="G14" s="9"/>
      <c r="H14" s="11">
        <v>3.9316670894622803</v>
      </c>
      <c r="I14" s="4">
        <v>4.0107736587524414</v>
      </c>
      <c r="J14" s="4">
        <v>4.0373129844665527</v>
      </c>
      <c r="K14" s="4">
        <v>4.108273983001709</v>
      </c>
      <c r="L14" s="4">
        <v>4.0257735252380371</v>
      </c>
      <c r="M14" s="9"/>
      <c r="N14" s="11">
        <v>3.4739601612091064</v>
      </c>
      <c r="O14" s="4">
        <v>3.6269338130950928</v>
      </c>
      <c r="P14" s="4">
        <v>3.7651011943817139</v>
      </c>
      <c r="Q14" s="4">
        <v>4.134371280670166</v>
      </c>
      <c r="R14" s="4">
        <v>4.1521358489990234</v>
      </c>
      <c r="S14" s="9"/>
      <c r="T14" s="11">
        <v>2.9472739696502686</v>
      </c>
      <c r="U14" s="4">
        <v>2.7475545406341553</v>
      </c>
      <c r="V14" s="4">
        <v>2.7174971103668213</v>
      </c>
      <c r="W14" s="4">
        <v>3.3501567840576172</v>
      </c>
      <c r="X14" s="4">
        <v>3.4397215843200684</v>
      </c>
      <c r="Y14" s="9"/>
    </row>
    <row r="15" spans="1:25" x14ac:dyDescent="0.25">
      <c r="A15" s="6" t="s">
        <v>8</v>
      </c>
      <c r="B15" s="11">
        <v>0.25696942210197449</v>
      </c>
      <c r="C15" s="4">
        <v>0.27780395746231079</v>
      </c>
      <c r="D15" s="4">
        <v>0.29818710684776306</v>
      </c>
      <c r="E15" s="4">
        <v>0.35133108496665955</v>
      </c>
      <c r="F15" s="4">
        <v>0.3604603111743927</v>
      </c>
      <c r="G15" s="9">
        <f t="shared" si="0"/>
        <v>0.40273620194137094</v>
      </c>
      <c r="H15" s="11">
        <v>0.28978711366653442</v>
      </c>
      <c r="I15" s="4">
        <v>0.31677255034446716</v>
      </c>
      <c r="J15" s="4">
        <v>0.33753964304924011</v>
      </c>
      <c r="K15" s="4">
        <v>0.38497483730316162</v>
      </c>
      <c r="L15" s="4">
        <v>0.39148864150047302</v>
      </c>
      <c r="M15" s="9">
        <f t="shared" ref="M15" si="16">L15/H15-1</f>
        <v>0.35095255460865382</v>
      </c>
      <c r="N15" s="11">
        <v>0.27847877144813538</v>
      </c>
      <c r="O15" s="4">
        <v>0.29485884308815002</v>
      </c>
      <c r="P15" s="4">
        <v>0.3275911808013916</v>
      </c>
      <c r="Q15" s="4">
        <v>0.38473489880561829</v>
      </c>
      <c r="R15" s="4">
        <v>0.39743998646736145</v>
      </c>
      <c r="S15" s="9">
        <f t="shared" ref="S15" si="17">R15/N15-1</f>
        <v>0.4271823464338349</v>
      </c>
      <c r="T15" s="11">
        <v>0.16932368278503418</v>
      </c>
      <c r="U15" s="4">
        <v>0.17728646099567413</v>
      </c>
      <c r="V15" s="4">
        <v>0.1793765127658844</v>
      </c>
      <c r="W15" s="4">
        <v>0.23147058486938477</v>
      </c>
      <c r="X15" s="4">
        <v>0.23941327631473541</v>
      </c>
      <c r="Y15" s="9">
        <f t="shared" ref="Y15" si="18">X15/T15-1</f>
        <v>0.41393851336604737</v>
      </c>
    </row>
    <row r="16" spans="1:25" x14ac:dyDescent="0.25">
      <c r="A16" s="6"/>
      <c r="B16" s="11">
        <v>0.43696409463882446</v>
      </c>
      <c r="C16" s="4">
        <v>0.44791767001152039</v>
      </c>
      <c r="D16" s="4">
        <v>0.45746311545372009</v>
      </c>
      <c r="E16" s="4">
        <v>0.4773871898651123</v>
      </c>
      <c r="F16" s="4">
        <v>0.48013505339622498</v>
      </c>
      <c r="G16" s="9"/>
      <c r="H16" s="11">
        <v>0.45366555452346802</v>
      </c>
      <c r="I16" s="4">
        <v>0.46522000432014465</v>
      </c>
      <c r="J16" s="4">
        <v>0.47287279367446899</v>
      </c>
      <c r="K16" s="4">
        <v>0.48659160733222961</v>
      </c>
      <c r="L16" s="4">
        <v>0.48808550834655762</v>
      </c>
      <c r="M16" s="9"/>
      <c r="N16" s="11">
        <v>0.4482695460319519</v>
      </c>
      <c r="O16" s="4">
        <v>0.45598849654197693</v>
      </c>
      <c r="P16" s="4">
        <v>0.46933740377426147</v>
      </c>
      <c r="Q16" s="4">
        <v>0.48653501272201538</v>
      </c>
      <c r="R16" s="4">
        <v>0.48937088251113892</v>
      </c>
      <c r="S16" s="9"/>
      <c r="T16" s="11">
        <v>0.3750576376914978</v>
      </c>
      <c r="U16" s="4">
        <v>0.38192233443260193</v>
      </c>
      <c r="V16" s="4">
        <v>0.38367649912834167</v>
      </c>
      <c r="W16" s="4">
        <v>0.42178162932395935</v>
      </c>
      <c r="X16" s="4">
        <v>0.42673501372337341</v>
      </c>
      <c r="Y16" s="9"/>
    </row>
    <row r="17" spans="1:25" x14ac:dyDescent="0.25">
      <c r="A17" s="6" t="s">
        <v>9</v>
      </c>
      <c r="B17" s="11">
        <v>0.15001106262207031</v>
      </c>
      <c r="C17" s="4">
        <v>0.1451442539691925</v>
      </c>
      <c r="D17" s="4">
        <v>0.15283201634883881</v>
      </c>
      <c r="E17" s="4">
        <v>0.15332435071468353</v>
      </c>
      <c r="F17" s="4">
        <v>0.15501725673675537</v>
      </c>
      <c r="G17" s="9">
        <f t="shared" si="0"/>
        <v>3.3372166206817599E-2</v>
      </c>
      <c r="H17" s="11">
        <v>0.14837762713432312</v>
      </c>
      <c r="I17" s="4">
        <v>0.14695443212985992</v>
      </c>
      <c r="J17" s="4">
        <v>0.14993847906589508</v>
      </c>
      <c r="K17" s="4">
        <v>0.15075951814651489</v>
      </c>
      <c r="L17" s="4">
        <v>0.15085776150226593</v>
      </c>
      <c r="M17" s="9">
        <f t="shared" ref="M17" si="19">L17/H17-1</f>
        <v>1.6715015705822012E-2</v>
      </c>
      <c r="N17" s="11">
        <v>0.14847812056541443</v>
      </c>
      <c r="O17" s="4">
        <v>0.13567143678665161</v>
      </c>
      <c r="P17" s="4">
        <v>0.14928248524665833</v>
      </c>
      <c r="Q17" s="4">
        <v>0.15880692005157471</v>
      </c>
      <c r="R17" s="4">
        <v>0.15579870343208313</v>
      </c>
      <c r="S17" s="9">
        <f t="shared" ref="S17" si="20">R17/N17-1</f>
        <v>4.9304118605431269E-2</v>
      </c>
      <c r="T17" s="11">
        <v>0.15492969751358032</v>
      </c>
      <c r="U17" s="4">
        <v>0.15339455008506775</v>
      </c>
      <c r="V17" s="4">
        <v>0.16340407729148865</v>
      </c>
      <c r="W17" s="4">
        <v>0.15098989009857178</v>
      </c>
      <c r="X17" s="4">
        <v>0.16289205849170685</v>
      </c>
      <c r="Y17" s="9">
        <f t="shared" ref="Y17" si="21">X17/T17-1</f>
        <v>5.1393381036121788E-2</v>
      </c>
    </row>
    <row r="18" spans="1:25" x14ac:dyDescent="0.25">
      <c r="A18" s="6"/>
      <c r="B18" s="11">
        <v>0.35708364844322205</v>
      </c>
      <c r="C18" s="4">
        <v>0.35224738717079163</v>
      </c>
      <c r="D18" s="4">
        <v>0.35982632637023926</v>
      </c>
      <c r="E18" s="4">
        <v>0.36030063033103943</v>
      </c>
      <c r="F18" s="4">
        <v>0.36192190647125244</v>
      </c>
      <c r="G18" s="9"/>
      <c r="H18" s="11">
        <v>0.35547557473182678</v>
      </c>
      <c r="I18" s="4">
        <v>0.35406211018562317</v>
      </c>
      <c r="J18" s="4">
        <v>0.35701274871826172</v>
      </c>
      <c r="K18" s="4">
        <v>0.3578159511089325</v>
      </c>
      <c r="L18" s="4">
        <v>0.35791179537773132</v>
      </c>
      <c r="M18" s="9"/>
      <c r="N18" s="11">
        <v>0.35558855533599854</v>
      </c>
      <c r="O18" s="4">
        <v>0.34244626760482788</v>
      </c>
      <c r="P18" s="4">
        <v>0.35636863112449646</v>
      </c>
      <c r="Q18" s="4">
        <v>0.36549776792526245</v>
      </c>
      <c r="R18" s="4">
        <v>0.36266621947288513</v>
      </c>
      <c r="S18" s="9"/>
      <c r="T18" s="11">
        <v>0.36185702681541443</v>
      </c>
      <c r="U18" s="4">
        <v>0.36037814617156982</v>
      </c>
      <c r="V18" s="4">
        <v>0.36974281072616577</v>
      </c>
      <c r="W18" s="4">
        <v>0.35804685950279236</v>
      </c>
      <c r="X18" s="4">
        <v>0.36927551031112671</v>
      </c>
      <c r="Y18" s="9"/>
    </row>
    <row r="19" spans="1:25" x14ac:dyDescent="0.25">
      <c r="A19" s="6" t="s">
        <v>10</v>
      </c>
      <c r="B19" s="11">
        <v>0.33854401111602783</v>
      </c>
      <c r="C19" s="4">
        <v>0.33549699187278748</v>
      </c>
      <c r="D19" s="4">
        <v>0.34369152784347534</v>
      </c>
      <c r="E19" s="4">
        <v>0.35689494013786316</v>
      </c>
      <c r="F19" s="4">
        <v>0.35477358102798462</v>
      </c>
      <c r="G19" s="9">
        <f t="shared" si="0"/>
        <v>4.7939320676372743E-2</v>
      </c>
      <c r="H19" s="11">
        <v>0.28123852610588074</v>
      </c>
      <c r="I19" s="4">
        <v>0.27068087458610535</v>
      </c>
      <c r="J19" s="4">
        <v>0.30216974020004272</v>
      </c>
      <c r="K19" s="4">
        <v>0.29329904913902283</v>
      </c>
      <c r="L19" s="4">
        <v>0.28555315732955933</v>
      </c>
      <c r="M19" s="9">
        <f t="shared" ref="M19" si="22">L19/H19-1</f>
        <v>1.5341536891905871E-2</v>
      </c>
      <c r="N19" s="11">
        <v>0.37123456597328186</v>
      </c>
      <c r="O19" s="4">
        <v>0.36488640308380127</v>
      </c>
      <c r="P19" s="4">
        <v>0.36321818828582764</v>
      </c>
      <c r="Q19" s="4">
        <v>0.37516105175018311</v>
      </c>
      <c r="R19" s="4">
        <v>0.37606769800186157</v>
      </c>
      <c r="S19" s="9">
        <f t="shared" ref="S19" si="23">R19/N19-1</f>
        <v>1.3019078694648245E-2</v>
      </c>
      <c r="T19" s="11">
        <v>0.40707129240036011</v>
      </c>
      <c r="U19" s="4">
        <v>0.42999440431594849</v>
      </c>
      <c r="V19" s="4">
        <v>0.40215161442756653</v>
      </c>
      <c r="W19" s="4">
        <v>0.46714729070663452</v>
      </c>
      <c r="X19" s="4">
        <v>0.47375810146331787</v>
      </c>
      <c r="Y19" s="9">
        <f t="shared" ref="Y19" si="24">X19/T19-1</f>
        <v>0.16382095792048723</v>
      </c>
    </row>
    <row r="20" spans="1:25" x14ac:dyDescent="0.25">
      <c r="A20" s="6"/>
      <c r="B20" s="11">
        <v>0.47321632504463196</v>
      </c>
      <c r="C20" s="4">
        <v>0.47216546535491943</v>
      </c>
      <c r="D20" s="4">
        <v>0.4749407172203064</v>
      </c>
      <c r="E20" s="4">
        <v>0.47908446192741394</v>
      </c>
      <c r="F20" s="4">
        <v>0.47844567894935608</v>
      </c>
      <c r="G20" s="9"/>
      <c r="H20" s="11">
        <v>0.44960570335388184</v>
      </c>
      <c r="I20" s="4">
        <v>0.44431355595588684</v>
      </c>
      <c r="J20" s="4">
        <v>0.45920050144195557</v>
      </c>
      <c r="K20" s="4">
        <v>0.45527639985084534</v>
      </c>
      <c r="L20" s="4">
        <v>0.451679527759552</v>
      </c>
      <c r="M20" s="9"/>
      <c r="N20" s="11">
        <v>0.483155757188797</v>
      </c>
      <c r="O20" s="4">
        <v>0.48140802979469299</v>
      </c>
      <c r="P20" s="4">
        <v>0.48092958331108093</v>
      </c>
      <c r="Q20" s="4">
        <v>0.48416689038276672</v>
      </c>
      <c r="R20" s="4">
        <v>0.48439979553222656</v>
      </c>
      <c r="S20" s="9"/>
      <c r="T20" s="11">
        <v>0.49131467938423157</v>
      </c>
      <c r="U20" s="4">
        <v>0.49508970975875854</v>
      </c>
      <c r="V20" s="4">
        <v>0.49034398794174194</v>
      </c>
      <c r="W20" s="4">
        <v>0.49893045425415039</v>
      </c>
      <c r="X20" s="4">
        <v>0.49932214617729187</v>
      </c>
      <c r="Y20" s="9"/>
    </row>
    <row r="21" spans="1:25" x14ac:dyDescent="0.25">
      <c r="A21" s="6" t="s">
        <v>17</v>
      </c>
      <c r="B21" s="11">
        <v>0.41596901416778564</v>
      </c>
      <c r="C21" s="4">
        <v>0.40963423252105713</v>
      </c>
      <c r="D21" s="4">
        <v>0.40434390306472778</v>
      </c>
      <c r="E21" s="4">
        <v>0.48566976189613342</v>
      </c>
      <c r="F21" s="4">
        <v>0.47957152128219604</v>
      </c>
      <c r="G21" s="9">
        <f t="shared" si="0"/>
        <v>0.15290203103627231</v>
      </c>
      <c r="H21" s="11">
        <v>0.48051163554191589</v>
      </c>
      <c r="I21" s="4">
        <v>0.47766685485839844</v>
      </c>
      <c r="J21" s="4">
        <v>0.47744119167327881</v>
      </c>
      <c r="K21" s="4">
        <v>0.54720175266265869</v>
      </c>
      <c r="L21" s="4">
        <v>0.53191035985946655</v>
      </c>
      <c r="M21" s="9">
        <f t="shared" ref="M21" si="25">L21/H21-1</f>
        <v>0.10696665911031222</v>
      </c>
      <c r="N21" s="11">
        <v>0.39832878112792969</v>
      </c>
      <c r="O21" s="4">
        <v>0.39386558532714844</v>
      </c>
      <c r="P21" s="4">
        <v>0.4032076895236969</v>
      </c>
      <c r="Q21" s="4">
        <v>0.47799259424209595</v>
      </c>
      <c r="R21" s="4">
        <v>0.4802459180355072</v>
      </c>
      <c r="S21" s="9">
        <f t="shared" ref="S21" si="26">R21/N21-1</f>
        <v>0.20565206630466526</v>
      </c>
      <c r="T21" s="11">
        <v>0.3136076033115387</v>
      </c>
      <c r="U21" s="4">
        <v>0.29001346230506897</v>
      </c>
      <c r="V21" s="4">
        <v>0.25386974215507507</v>
      </c>
      <c r="W21" s="4">
        <v>0.36153274774551392</v>
      </c>
      <c r="X21" s="4">
        <v>0.3615926206111908</v>
      </c>
      <c r="Y21" s="9">
        <f t="shared" ref="Y21" si="27">X21/T21-1</f>
        <v>0.15300973826193753</v>
      </c>
    </row>
    <row r="22" spans="1:25" x14ac:dyDescent="0.25">
      <c r="A22" s="6"/>
      <c r="B22" s="11">
        <v>0.38103681802749634</v>
      </c>
      <c r="C22" s="4">
        <v>0.38406428694725037</v>
      </c>
      <c r="D22" s="4">
        <v>0.39165133237838745</v>
      </c>
      <c r="E22" s="4">
        <v>0.40263816714286804</v>
      </c>
      <c r="F22" s="4">
        <v>0.40521857142448425</v>
      </c>
      <c r="G22" s="9"/>
      <c r="H22" s="11">
        <v>0.37582734227180481</v>
      </c>
      <c r="I22" s="4">
        <v>0.38266095519065857</v>
      </c>
      <c r="J22" s="4">
        <v>0.38856783509254456</v>
      </c>
      <c r="K22" s="4">
        <v>0.39236977696418762</v>
      </c>
      <c r="L22" s="4">
        <v>0.39736810326576233</v>
      </c>
      <c r="M22" s="9"/>
      <c r="N22" s="11">
        <v>0.37305489182472229</v>
      </c>
      <c r="O22" s="4">
        <v>0.37380576133728027</v>
      </c>
      <c r="P22" s="4">
        <v>0.38600021600723267</v>
      </c>
      <c r="Q22" s="4">
        <v>0.39714840054512024</v>
      </c>
      <c r="R22" s="4">
        <v>0.39894619584083557</v>
      </c>
      <c r="S22" s="9"/>
      <c r="T22" s="11">
        <v>0.37588012218475342</v>
      </c>
      <c r="U22" s="4">
        <v>0.36824482679367065</v>
      </c>
      <c r="V22" s="4">
        <v>0.36137926578521729</v>
      </c>
      <c r="W22" s="4">
        <v>0.40336146950721741</v>
      </c>
      <c r="X22" s="4">
        <v>0.40722107887268066</v>
      </c>
      <c r="Y22" s="9"/>
    </row>
    <row r="23" spans="1:25" x14ac:dyDescent="0.25">
      <c r="A23" s="6" t="s">
        <v>11</v>
      </c>
      <c r="B23" s="11">
        <v>0.13718089461326599</v>
      </c>
      <c r="C23" s="4">
        <v>0.10342768579721451</v>
      </c>
      <c r="D23" s="4">
        <v>9.8814316093921661E-2</v>
      </c>
      <c r="E23" s="4">
        <v>8.1146977841854095E-2</v>
      </c>
      <c r="F23" s="4">
        <v>8.6158208549022675E-2</v>
      </c>
      <c r="G23" s="9">
        <f t="shared" si="0"/>
        <v>-0.37193725998131233</v>
      </c>
      <c r="H23" s="11">
        <v>0.15887947380542755</v>
      </c>
      <c r="I23" s="4">
        <v>0.12487682700157166</v>
      </c>
      <c r="J23" s="4">
        <v>0.1037590503692627</v>
      </c>
      <c r="K23" s="4">
        <v>9.0980157256126404E-2</v>
      </c>
      <c r="L23" s="4">
        <v>9.8179556429386139E-2</v>
      </c>
      <c r="M23" s="9">
        <f t="shared" ref="M23" si="28">L23/H23-1</f>
        <v>-0.38205009068936013</v>
      </c>
      <c r="N23" s="11">
        <v>0.13989916443824768</v>
      </c>
      <c r="O23" s="4">
        <v>0.10527203232049942</v>
      </c>
      <c r="P23" s="4">
        <v>0.11568810790777206</v>
      </c>
      <c r="Q23" s="4">
        <v>8.913104236125946E-2</v>
      </c>
      <c r="R23" s="4">
        <v>9.8257608711719513E-2</v>
      </c>
      <c r="S23" s="9">
        <f t="shared" ref="S23" si="29">R23/N23-1</f>
        <v>-0.29765407029939051</v>
      </c>
      <c r="T23" s="11">
        <v>9.3577943742275238E-2</v>
      </c>
      <c r="U23" s="4">
        <v>5.8496341109275818E-2</v>
      </c>
      <c r="V23" s="4">
        <v>6.708863377571106E-2</v>
      </c>
      <c r="W23" s="4">
        <v>4.9006648361682892E-2</v>
      </c>
      <c r="X23" s="4">
        <v>4.3447893112897873E-2</v>
      </c>
      <c r="Y23" s="9">
        <f t="shared" ref="Y23" si="30">X23/T23-1</f>
        <v>-0.53570369923324535</v>
      </c>
    </row>
    <row r="24" spans="1:25" x14ac:dyDescent="0.25">
      <c r="A24" s="6"/>
      <c r="B24" s="11">
        <v>0.26534268260002136</v>
      </c>
      <c r="C24" s="4">
        <v>0.23588564991950989</v>
      </c>
      <c r="D24" s="4">
        <v>0.23628462851047516</v>
      </c>
      <c r="E24" s="4">
        <v>0.21624825894832611</v>
      </c>
      <c r="F24" s="4">
        <v>0.2216944545507431</v>
      </c>
      <c r="G24" s="9"/>
      <c r="H24" s="11">
        <v>0.27874904870986938</v>
      </c>
      <c r="I24" s="4">
        <v>0.25478330254554749</v>
      </c>
      <c r="J24" s="4">
        <v>0.23766960203647614</v>
      </c>
      <c r="K24" s="4">
        <v>0.2259540855884552</v>
      </c>
      <c r="L24" s="4">
        <v>0.23343081772327423</v>
      </c>
      <c r="M24" s="9"/>
      <c r="N24" s="11">
        <v>0.26959154009819031</v>
      </c>
      <c r="O24" s="4">
        <v>0.23907341063022614</v>
      </c>
      <c r="P24" s="4">
        <v>0.25652062892913818</v>
      </c>
      <c r="Q24" s="4">
        <v>0.22794252634048462</v>
      </c>
      <c r="R24" s="4">
        <v>0.23604139685630798</v>
      </c>
      <c r="S24" s="9"/>
      <c r="T24" s="11">
        <v>0.22667475044727325</v>
      </c>
      <c r="U24" s="4">
        <v>0.18000981211662292</v>
      </c>
      <c r="V24" s="4">
        <v>0.2006126195192337</v>
      </c>
      <c r="W24" s="4">
        <v>0.170334592461586</v>
      </c>
      <c r="X24" s="4">
        <v>0.16169779002666473</v>
      </c>
      <c r="Y24" s="9"/>
    </row>
    <row r="25" spans="1:25" x14ac:dyDescent="0.25">
      <c r="A25" s="6" t="s">
        <v>18</v>
      </c>
      <c r="B25" s="11"/>
      <c r="C25" s="4"/>
      <c r="D25" s="4">
        <v>0.41289526224136353</v>
      </c>
      <c r="E25" s="4">
        <v>0.39801788330078125</v>
      </c>
      <c r="F25" s="4">
        <v>0.39471125602722168</v>
      </c>
      <c r="G25" s="9">
        <f>F25/D25-1</f>
        <v>-4.404023944336799E-2</v>
      </c>
      <c r="H25" s="11"/>
      <c r="I25" s="4"/>
      <c r="J25" s="4">
        <v>0.29944148659706116</v>
      </c>
      <c r="K25" s="4">
        <v>0.27793177962303162</v>
      </c>
      <c r="L25" s="4">
        <v>0.2751716673374176</v>
      </c>
      <c r="M25" s="9">
        <f>L25/J25-1</f>
        <v>-8.1050289775985052E-2</v>
      </c>
      <c r="N25" s="11"/>
      <c r="O25" s="4"/>
      <c r="P25" s="4">
        <v>0.47602799534797668</v>
      </c>
      <c r="Q25" s="4">
        <v>0.45178675651550293</v>
      </c>
      <c r="R25" s="4">
        <v>0.45108911395072937</v>
      </c>
      <c r="S25" s="9">
        <f>R25/P25-1</f>
        <v>-5.2389526752553706E-2</v>
      </c>
      <c r="T25" s="11"/>
      <c r="U25" s="4"/>
      <c r="V25" s="4">
        <v>0.56048816442489624</v>
      </c>
      <c r="W25" s="4">
        <v>0.57572740316390991</v>
      </c>
      <c r="X25" s="4">
        <v>0.56556284427642822</v>
      </c>
      <c r="Y25" s="9">
        <f>X25/V25-1</f>
        <v>9.054035702500407E-3</v>
      </c>
    </row>
    <row r="26" spans="1:25" x14ac:dyDescent="0.25">
      <c r="A26" s="6"/>
      <c r="B26" s="11"/>
      <c r="C26" s="4"/>
      <c r="D26" s="4">
        <v>0.45123618841171265</v>
      </c>
      <c r="E26" s="4">
        <v>0.44251734018325806</v>
      </c>
      <c r="F26" s="4">
        <v>0.44704043865203857</v>
      </c>
      <c r="G26" s="9"/>
      <c r="H26" s="11"/>
      <c r="I26" s="4"/>
      <c r="J26" s="4">
        <v>0.41532063484191895</v>
      </c>
      <c r="K26" s="4">
        <v>0.39970245957374573</v>
      </c>
      <c r="L26" s="4">
        <v>0.4041898250579834</v>
      </c>
      <c r="M26" s="9"/>
      <c r="N26" s="11"/>
      <c r="O26" s="4"/>
      <c r="P26" s="4">
        <v>0.45830845832824707</v>
      </c>
      <c r="Q26" s="4">
        <v>0.45224705338478088</v>
      </c>
      <c r="R26" s="4">
        <v>0.45669847726821899</v>
      </c>
      <c r="S26" s="9"/>
      <c r="T26" s="11"/>
      <c r="U26" s="4"/>
      <c r="V26" s="4">
        <v>0.45305249094963074</v>
      </c>
      <c r="W26" s="4">
        <v>0.44005858898162842</v>
      </c>
      <c r="X26" s="4">
        <v>0.44763371348381042</v>
      </c>
      <c r="Y26" s="9"/>
    </row>
    <row r="27" spans="1:25" x14ac:dyDescent="0.25">
      <c r="A27" s="6" t="s">
        <v>12</v>
      </c>
      <c r="B27" s="11">
        <v>0.6217305064201355</v>
      </c>
      <c r="C27" s="4">
        <v>0.61624932289123535</v>
      </c>
      <c r="D27" s="4">
        <v>0.60979050397872925</v>
      </c>
      <c r="E27" s="4">
        <v>0.60851132869720459</v>
      </c>
      <c r="F27" s="4">
        <v>0.58560633659362793</v>
      </c>
      <c r="G27" s="9">
        <f t="shared" si="0"/>
        <v>-5.8102617538436485E-2</v>
      </c>
      <c r="H27" s="11">
        <v>0.5865512490272522</v>
      </c>
      <c r="I27" s="4">
        <v>0.5816466212272644</v>
      </c>
      <c r="J27" s="4">
        <v>0.5698511004447937</v>
      </c>
      <c r="K27" s="4">
        <v>0.53575575351715088</v>
      </c>
      <c r="L27" s="4">
        <v>0.50361394882202148</v>
      </c>
      <c r="M27" s="9">
        <f t="shared" ref="M27" si="31">L27/H27-1</f>
        <v>-0.14139821600035041</v>
      </c>
      <c r="N27" s="11">
        <v>0.67313295602798462</v>
      </c>
      <c r="O27" s="4">
        <v>0.66325539350509644</v>
      </c>
      <c r="P27" s="4">
        <v>0.65748411417007446</v>
      </c>
      <c r="Q27" s="4">
        <v>0.66203975677490234</v>
      </c>
      <c r="R27" s="4">
        <v>0.64537191390991211</v>
      </c>
      <c r="S27" s="9">
        <f t="shared" ref="S27" si="32">R27/N27-1</f>
        <v>-4.1241543545697978E-2</v>
      </c>
      <c r="T27" s="11">
        <v>0.62610065937042236</v>
      </c>
      <c r="U27" s="4">
        <v>0.62728303670883179</v>
      </c>
      <c r="V27" s="4">
        <v>0.6277613639831543</v>
      </c>
      <c r="W27" s="4">
        <v>0.68801909685134888</v>
      </c>
      <c r="X27" s="4">
        <v>0.67627227306365967</v>
      </c>
      <c r="Y27" s="9">
        <f t="shared" ref="Y27" si="33">X27/T27-1</f>
        <v>8.0133462475007633E-2</v>
      </c>
    </row>
    <row r="28" spans="1:25" ht="15.75" thickBot="1" x14ac:dyDescent="0.3">
      <c r="A28" s="7"/>
      <c r="B28" s="12">
        <v>0.48495721817016602</v>
      </c>
      <c r="C28" s="5">
        <v>0.48629996180534363</v>
      </c>
      <c r="D28" s="5">
        <v>0.48779824376106262</v>
      </c>
      <c r="E28" s="5">
        <v>0.4880843460559845</v>
      </c>
      <c r="F28" s="5">
        <v>0.49261811375617981</v>
      </c>
      <c r="G28" s="10"/>
      <c r="H28" s="12">
        <v>0.49245420098304749</v>
      </c>
      <c r="I28" s="5">
        <v>0.49329102039337158</v>
      </c>
      <c r="J28" s="5">
        <v>0.49509903788566589</v>
      </c>
      <c r="K28" s="5">
        <v>0.49872216582298279</v>
      </c>
      <c r="L28" s="5">
        <v>0.49998921155929565</v>
      </c>
      <c r="M28" s="10"/>
      <c r="N28" s="12">
        <v>0.46908831596374512</v>
      </c>
      <c r="O28" s="5">
        <v>0.47260630130767822</v>
      </c>
      <c r="P28" s="5">
        <v>0.47455370426177979</v>
      </c>
      <c r="Q28" s="5">
        <v>0.47301727533340454</v>
      </c>
      <c r="R28" s="5">
        <v>0.47840288281440735</v>
      </c>
      <c r="S28" s="10"/>
      <c r="T28" s="12">
        <v>0.48386332392692566</v>
      </c>
      <c r="U28" s="5">
        <v>0.48354211449623108</v>
      </c>
      <c r="V28" s="5">
        <v>0.48341313004493713</v>
      </c>
      <c r="W28" s="5">
        <v>0.46331220865249634</v>
      </c>
      <c r="X28" s="5">
        <v>0.46790808439254761</v>
      </c>
      <c r="Y28" s="10"/>
    </row>
  </sheetData>
  <mergeCells count="5">
    <mergeCell ref="A1:A2"/>
    <mergeCell ref="B1:G1"/>
    <mergeCell ref="H1:M1"/>
    <mergeCell ref="N1:S1"/>
    <mergeCell ref="T1:Y1"/>
  </mergeCells>
  <pageMargins left="0.7" right="0.7" top="0.75" bottom="0.75" header="0.3" footer="0.3"/>
  <pageSetup paperSize="9" orientation="portrait" horizontalDpi="0" verticalDpi="0" r:id="rId1"/>
  <ignoredErrors>
    <ignoredError sqref="G3 G5 G7 G9 G11 G13 G15 G17 G19 G23 G27 M27 S27 Y27 Y3:Y20 S3:S20 M3:M20 Y23:Y24 S23:S24 M23:M2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Juani</cp:lastModifiedBy>
  <dcterms:created xsi:type="dcterms:W3CDTF">2021-08-31T00:38:34Z</dcterms:created>
  <dcterms:modified xsi:type="dcterms:W3CDTF">2022-10-31T18:48:03Z</dcterms:modified>
</cp:coreProperties>
</file>