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3. Tesis\Datos\.res\"/>
    </mc:Choice>
  </mc:AlternateContent>
  <xr:revisionPtr revIDLastSave="0" documentId="13_ncr:1_{E0F1217A-FD24-421F-9818-6BF8501E441E}" xr6:coauthVersionLast="47" xr6:coauthVersionMax="47" xr10:uidLastSave="{00000000-0000-0000-0000-000000000000}"/>
  <bookViews>
    <workbookView xWindow="-120" yWindow="-120" windowWidth="20730" windowHeight="11760" tabRatio="787" xr2:uid="{5EA8B1AC-5731-408A-B209-BA8D700D8F11}"/>
  </bookViews>
  <sheets>
    <sheet name="Tabla 1" sheetId="2" r:id="rId1"/>
    <sheet name="Tabla 2" sheetId="10" r:id="rId2"/>
    <sheet name="Tabla 3" sheetId="6" r:id="rId3"/>
    <sheet name="Tabla 4" sheetId="8" r:id="rId4"/>
    <sheet name="Tabla 5" sheetId="9" r:id="rId5"/>
    <sheet name="Tabla 6" sheetId="4" r:id="rId6"/>
    <sheet name="Tabla 7" sheetId="5" r:id="rId7"/>
    <sheet name="Tabla 8" sheetId="7" r:id="rId8"/>
    <sheet name="Tabla 9" sheetId="11" r:id="rId9"/>
    <sheet name="Tabla 10" sheetId="13" r:id="rId10"/>
    <sheet name="Tabla 11" sheetId="12" r:id="rId11"/>
    <sheet name="Tabla 12" sheetId="14" r:id="rId12"/>
    <sheet name="Tabla 13" sheetId="15" r:id="rId13"/>
    <sheet name="Tabla 14" sheetId="16" r:id="rId14"/>
    <sheet name="Tabla 15" sheetId="17" r:id="rId15"/>
    <sheet name="Tabla 16" sheetId="18" r:id="rId16"/>
  </sheets>
  <definedNames>
    <definedName name="_xlnm._FilterDatabase" localSheetId="5" hidden="1">'Tabla 6'!$P$38:$R$51</definedName>
    <definedName name="_xlnm._FilterDatabase" localSheetId="6" hidden="1">'Tabla 7'!$P$38:$R$51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1" l="1"/>
  <c r="C9" i="7"/>
  <c r="D9" i="7"/>
  <c r="E9" i="7"/>
  <c r="F9" i="7"/>
  <c r="G9" i="7"/>
  <c r="H9" i="7"/>
  <c r="I9" i="7"/>
  <c r="J9" i="7"/>
  <c r="K9" i="7"/>
  <c r="L9" i="7"/>
  <c r="M9" i="7"/>
  <c r="C10" i="7"/>
  <c r="D10" i="7"/>
  <c r="E10" i="7"/>
  <c r="F10" i="7"/>
  <c r="G10" i="7"/>
  <c r="H10" i="7"/>
  <c r="I10" i="7"/>
  <c r="J10" i="7"/>
  <c r="K10" i="7"/>
  <c r="L10" i="7"/>
  <c r="M10" i="7"/>
  <c r="C11" i="7"/>
  <c r="D11" i="7"/>
  <c r="E11" i="7"/>
  <c r="F11" i="7"/>
  <c r="G11" i="7"/>
  <c r="H11" i="7"/>
  <c r="I11" i="7"/>
  <c r="J11" i="7"/>
  <c r="K11" i="7"/>
  <c r="L11" i="7"/>
  <c r="M11" i="7"/>
  <c r="B11" i="7"/>
  <c r="B5" i="7"/>
  <c r="B10" i="7"/>
  <c r="B4" i="7"/>
  <c r="B9" i="7"/>
  <c r="M5" i="7"/>
  <c r="L5" i="7"/>
  <c r="K5" i="7"/>
  <c r="J5" i="7"/>
  <c r="M4" i="7"/>
  <c r="L4" i="7"/>
  <c r="K4" i="7"/>
  <c r="J4" i="7"/>
  <c r="M3" i="7"/>
  <c r="L3" i="7"/>
  <c r="K3" i="7"/>
  <c r="J3" i="7"/>
  <c r="I5" i="7"/>
  <c r="H5" i="7"/>
  <c r="G5" i="7"/>
  <c r="F5" i="7"/>
  <c r="I4" i="7"/>
  <c r="H4" i="7"/>
  <c r="G4" i="7"/>
  <c r="F4" i="7"/>
  <c r="I3" i="7"/>
  <c r="H3" i="7"/>
  <c r="G3" i="7"/>
  <c r="F3" i="7"/>
  <c r="C3" i="7"/>
  <c r="D3" i="7"/>
  <c r="E3" i="7"/>
  <c r="C4" i="7"/>
  <c r="D4" i="7"/>
  <c r="E4" i="7"/>
  <c r="C5" i="7"/>
  <c r="D5" i="7"/>
  <c r="E5" i="7"/>
  <c r="B3" i="7"/>
  <c r="N14" i="18"/>
  <c r="M14" i="18"/>
  <c r="L14" i="18"/>
  <c r="K14" i="18"/>
  <c r="N13" i="18"/>
  <c r="M13" i="18"/>
  <c r="L13" i="18"/>
  <c r="K13" i="18"/>
  <c r="N12" i="18"/>
  <c r="M12" i="18"/>
  <c r="L12" i="18"/>
  <c r="K12" i="18"/>
  <c r="N11" i="18"/>
  <c r="M11" i="18"/>
  <c r="L11" i="18"/>
  <c r="K11" i="18"/>
  <c r="N10" i="18"/>
  <c r="M10" i="18"/>
  <c r="L10" i="18"/>
  <c r="K10" i="18"/>
  <c r="N9" i="18"/>
  <c r="M9" i="18"/>
  <c r="L9" i="18"/>
  <c r="K9" i="18"/>
  <c r="N8" i="18"/>
  <c r="M8" i="18"/>
  <c r="L8" i="18"/>
  <c r="K8" i="18"/>
  <c r="N7" i="18"/>
  <c r="M7" i="18"/>
  <c r="L7" i="18"/>
  <c r="K7" i="18"/>
  <c r="N6" i="18"/>
  <c r="M6" i="18"/>
  <c r="L6" i="18"/>
  <c r="K6" i="18"/>
  <c r="N5" i="18"/>
  <c r="M5" i="18"/>
  <c r="L5" i="18"/>
  <c r="K5" i="18"/>
  <c r="N4" i="18"/>
  <c r="M4" i="18"/>
  <c r="L4" i="18"/>
  <c r="K4" i="18"/>
  <c r="K5" i="17"/>
  <c r="L5" i="17"/>
  <c r="M5" i="17"/>
  <c r="N5" i="17"/>
  <c r="K6" i="17"/>
  <c r="L6" i="17"/>
  <c r="M6" i="17"/>
  <c r="N6" i="17"/>
  <c r="K7" i="17"/>
  <c r="L7" i="17"/>
  <c r="M7" i="17"/>
  <c r="N7" i="17"/>
  <c r="K8" i="17"/>
  <c r="L8" i="17"/>
  <c r="M8" i="17"/>
  <c r="N8" i="17"/>
  <c r="K9" i="17"/>
  <c r="L9" i="17"/>
  <c r="M9" i="17"/>
  <c r="N9" i="17"/>
  <c r="K10" i="17"/>
  <c r="L10" i="17"/>
  <c r="M10" i="17"/>
  <c r="N10" i="17"/>
  <c r="K11" i="17"/>
  <c r="L11" i="17"/>
  <c r="M11" i="17"/>
  <c r="N11" i="17"/>
  <c r="K12" i="17"/>
  <c r="L12" i="17"/>
  <c r="M12" i="17"/>
  <c r="N12" i="17"/>
  <c r="K13" i="17"/>
  <c r="L13" i="17"/>
  <c r="M13" i="17"/>
  <c r="N13" i="17"/>
  <c r="K14" i="17"/>
  <c r="L14" i="17"/>
  <c r="M14" i="17"/>
  <c r="N14" i="17"/>
  <c r="L4" i="17"/>
  <c r="M4" i="17"/>
  <c r="N4" i="17"/>
  <c r="K4" i="17"/>
  <c r="N22" i="16"/>
  <c r="M22" i="16"/>
  <c r="L22" i="16"/>
  <c r="K22" i="16"/>
  <c r="N21" i="16"/>
  <c r="M21" i="16"/>
  <c r="L21" i="16"/>
  <c r="K21" i="16"/>
  <c r="N20" i="16"/>
  <c r="M20" i="16"/>
  <c r="L20" i="16"/>
  <c r="K20" i="16"/>
  <c r="N19" i="16"/>
  <c r="M19" i="16"/>
  <c r="L19" i="16"/>
  <c r="K19" i="16"/>
  <c r="N18" i="16"/>
  <c r="M18" i="16"/>
  <c r="L18" i="16"/>
  <c r="K18" i="16"/>
  <c r="N17" i="16"/>
  <c r="M17" i="16"/>
  <c r="L17" i="16"/>
  <c r="K17" i="16"/>
  <c r="N16" i="16"/>
  <c r="M16" i="16"/>
  <c r="L16" i="16"/>
  <c r="K16" i="16"/>
  <c r="N15" i="16"/>
  <c r="M15" i="16"/>
  <c r="L15" i="16"/>
  <c r="K15" i="16"/>
  <c r="N14" i="16"/>
  <c r="M14" i="16"/>
  <c r="L14" i="16"/>
  <c r="K14" i="16"/>
  <c r="N13" i="16"/>
  <c r="M13" i="16"/>
  <c r="L13" i="16"/>
  <c r="K13" i="16"/>
  <c r="N12" i="16"/>
  <c r="M12" i="16"/>
  <c r="L12" i="16"/>
  <c r="K12" i="16"/>
  <c r="N11" i="16"/>
  <c r="M11" i="16"/>
  <c r="L11" i="16"/>
  <c r="K11" i="16"/>
  <c r="N10" i="16"/>
  <c r="M10" i="16"/>
  <c r="L10" i="16"/>
  <c r="K10" i="16"/>
  <c r="N9" i="16"/>
  <c r="M9" i="16"/>
  <c r="L9" i="16"/>
  <c r="K9" i="16"/>
  <c r="N8" i="16"/>
  <c r="M8" i="16"/>
  <c r="L8" i="16"/>
  <c r="K8" i="16"/>
  <c r="N7" i="16"/>
  <c r="M7" i="16"/>
  <c r="L7" i="16"/>
  <c r="K7" i="16"/>
  <c r="N6" i="16"/>
  <c r="M6" i="16"/>
  <c r="L6" i="16"/>
  <c r="K6" i="16"/>
  <c r="N5" i="16"/>
  <c r="M5" i="16"/>
  <c r="L5" i="16"/>
  <c r="K5" i="16"/>
  <c r="N4" i="16"/>
  <c r="M4" i="16"/>
  <c r="L4" i="16"/>
  <c r="K4" i="16"/>
  <c r="K5" i="15"/>
  <c r="L5" i="15"/>
  <c r="M5" i="15"/>
  <c r="N5" i="15"/>
  <c r="K6" i="15"/>
  <c r="L6" i="15"/>
  <c r="M6" i="15"/>
  <c r="N6" i="15"/>
  <c r="K7" i="15"/>
  <c r="L7" i="15"/>
  <c r="M7" i="15"/>
  <c r="N7" i="15"/>
  <c r="K8" i="15"/>
  <c r="L8" i="15"/>
  <c r="M8" i="15"/>
  <c r="N8" i="15"/>
  <c r="K9" i="15"/>
  <c r="L9" i="15"/>
  <c r="M9" i="15"/>
  <c r="N9" i="15"/>
  <c r="K10" i="15"/>
  <c r="L10" i="15"/>
  <c r="M10" i="15"/>
  <c r="N10" i="15"/>
  <c r="K11" i="15"/>
  <c r="L11" i="15"/>
  <c r="M11" i="15"/>
  <c r="N11" i="15"/>
  <c r="K12" i="15"/>
  <c r="L12" i="15"/>
  <c r="M12" i="15"/>
  <c r="N12" i="15"/>
  <c r="K13" i="15"/>
  <c r="L13" i="15"/>
  <c r="M13" i="15"/>
  <c r="N13" i="15"/>
  <c r="K14" i="15"/>
  <c r="L14" i="15"/>
  <c r="M14" i="15"/>
  <c r="N14" i="15"/>
  <c r="K15" i="15"/>
  <c r="L15" i="15"/>
  <c r="M15" i="15"/>
  <c r="N15" i="15"/>
  <c r="K16" i="15"/>
  <c r="L16" i="15"/>
  <c r="M16" i="15"/>
  <c r="N16" i="15"/>
  <c r="K17" i="15"/>
  <c r="L17" i="15"/>
  <c r="M17" i="15"/>
  <c r="N17" i="15"/>
  <c r="K18" i="15"/>
  <c r="L18" i="15"/>
  <c r="M18" i="15"/>
  <c r="N18" i="15"/>
  <c r="K19" i="15"/>
  <c r="L19" i="15"/>
  <c r="M19" i="15"/>
  <c r="N19" i="15"/>
  <c r="K20" i="15"/>
  <c r="L20" i="15"/>
  <c r="M20" i="15"/>
  <c r="N20" i="15"/>
  <c r="K21" i="15"/>
  <c r="L21" i="15"/>
  <c r="M21" i="15"/>
  <c r="N21" i="15"/>
  <c r="K22" i="15"/>
  <c r="L22" i="15"/>
  <c r="M22" i="15"/>
  <c r="N22" i="15"/>
  <c r="L4" i="15"/>
  <c r="M4" i="15"/>
  <c r="N4" i="15"/>
  <c r="K4" i="15"/>
  <c r="C5" i="12"/>
  <c r="H5" i="13"/>
  <c r="G8" i="13"/>
  <c r="F12" i="13"/>
  <c r="G13" i="13"/>
  <c r="F16" i="13"/>
  <c r="G17" i="13"/>
  <c r="E18" i="13"/>
  <c r="F18" i="13" s="1"/>
  <c r="E17" i="13"/>
  <c r="F17" i="13" s="1"/>
  <c r="E16" i="13"/>
  <c r="H16" i="13" s="1"/>
  <c r="E15" i="13"/>
  <c r="G15" i="13" s="1"/>
  <c r="E14" i="13"/>
  <c r="F14" i="13" s="1"/>
  <c r="E13" i="13"/>
  <c r="F13" i="13" s="1"/>
  <c r="E12" i="13"/>
  <c r="H12" i="13" s="1"/>
  <c r="E11" i="13"/>
  <c r="G11" i="13" s="1"/>
  <c r="E10" i="13"/>
  <c r="F10" i="13" s="1"/>
  <c r="E9" i="13"/>
  <c r="G9" i="13" s="1"/>
  <c r="E8" i="13"/>
  <c r="E7" i="13"/>
  <c r="G7" i="13" s="1"/>
  <c r="E6" i="13"/>
  <c r="G6" i="13" s="1"/>
  <c r="E5" i="13"/>
  <c r="G5" i="13" s="1"/>
  <c r="E4" i="13"/>
  <c r="H4" i="13" s="1"/>
  <c r="P15" i="11"/>
  <c r="Q15" i="11"/>
  <c r="R15" i="11"/>
  <c r="S15" i="11"/>
  <c r="T15" i="11"/>
  <c r="U15" i="11"/>
  <c r="V15" i="11"/>
  <c r="W15" i="11"/>
  <c r="X15" i="11"/>
  <c r="Y15" i="11"/>
  <c r="Z15" i="11"/>
  <c r="AA15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O17" i="11"/>
  <c r="O16" i="11"/>
  <c r="O15" i="11"/>
  <c r="P9" i="11"/>
  <c r="Q9" i="11"/>
  <c r="R9" i="11"/>
  <c r="S9" i="11"/>
  <c r="T9" i="11"/>
  <c r="U9" i="11"/>
  <c r="V9" i="11"/>
  <c r="W9" i="11"/>
  <c r="X9" i="11"/>
  <c r="Y9" i="11"/>
  <c r="Z9" i="11"/>
  <c r="AA9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O11" i="11"/>
  <c r="O10" i="11"/>
  <c r="O9" i="11"/>
  <c r="P3" i="11"/>
  <c r="Q3" i="11"/>
  <c r="R3" i="11"/>
  <c r="S3" i="11"/>
  <c r="T3" i="11"/>
  <c r="U3" i="11"/>
  <c r="V3" i="11"/>
  <c r="W3" i="11"/>
  <c r="X3" i="11"/>
  <c r="Y3" i="11"/>
  <c r="Z3" i="11"/>
  <c r="AA3" i="11"/>
  <c r="P4" i="11"/>
  <c r="Q4" i="11"/>
  <c r="R4" i="11"/>
  <c r="S4" i="11"/>
  <c r="T4" i="11"/>
  <c r="U4" i="11"/>
  <c r="V4" i="11"/>
  <c r="W4" i="11"/>
  <c r="X4" i="11"/>
  <c r="Y4" i="11"/>
  <c r="Z4" i="11"/>
  <c r="AA4" i="11"/>
  <c r="P5" i="11"/>
  <c r="Q5" i="11"/>
  <c r="R5" i="11"/>
  <c r="S5" i="11"/>
  <c r="T5" i="11"/>
  <c r="U5" i="11"/>
  <c r="V5" i="11"/>
  <c r="W5" i="11"/>
  <c r="X5" i="11"/>
  <c r="Y5" i="11"/>
  <c r="Z5" i="11"/>
  <c r="AA5" i="11"/>
  <c r="O5" i="11"/>
  <c r="O4" i="11"/>
  <c r="O3" i="11"/>
  <c r="C15" i="11"/>
  <c r="D15" i="11"/>
  <c r="F15" i="11"/>
  <c r="G15" i="11"/>
  <c r="H15" i="11"/>
  <c r="I15" i="11"/>
  <c r="J15" i="11"/>
  <c r="K15" i="11"/>
  <c r="L15" i="11"/>
  <c r="M15" i="11"/>
  <c r="N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B17" i="11"/>
  <c r="B16" i="11"/>
  <c r="B15" i="11"/>
  <c r="C9" i="11"/>
  <c r="D9" i="11"/>
  <c r="E9" i="11"/>
  <c r="F9" i="11"/>
  <c r="G9" i="11"/>
  <c r="H9" i="11"/>
  <c r="I9" i="11"/>
  <c r="J9" i="11"/>
  <c r="K9" i="11"/>
  <c r="L9" i="11"/>
  <c r="M9" i="11"/>
  <c r="N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B11" i="11"/>
  <c r="B10" i="11"/>
  <c r="B9" i="11"/>
  <c r="C3" i="11"/>
  <c r="D3" i="11"/>
  <c r="E3" i="11"/>
  <c r="F3" i="11"/>
  <c r="G3" i="11"/>
  <c r="H3" i="11"/>
  <c r="I3" i="11"/>
  <c r="J3" i="11"/>
  <c r="K3" i="11"/>
  <c r="L3" i="11"/>
  <c r="M3" i="11"/>
  <c r="N3" i="11"/>
  <c r="C4" i="11"/>
  <c r="D4" i="11"/>
  <c r="E4" i="11"/>
  <c r="F4" i="11"/>
  <c r="G4" i="11"/>
  <c r="H4" i="11"/>
  <c r="I4" i="11"/>
  <c r="J4" i="11"/>
  <c r="K4" i="11"/>
  <c r="L4" i="11"/>
  <c r="M4" i="11"/>
  <c r="N4" i="11"/>
  <c r="C5" i="11"/>
  <c r="D5" i="11"/>
  <c r="E5" i="11"/>
  <c r="F5" i="11"/>
  <c r="G5" i="11"/>
  <c r="H5" i="11"/>
  <c r="I5" i="11"/>
  <c r="J5" i="11"/>
  <c r="K5" i="11"/>
  <c r="L5" i="11"/>
  <c r="M5" i="11"/>
  <c r="N5" i="11"/>
  <c r="B5" i="11"/>
  <c r="B4" i="11"/>
  <c r="B3" i="11"/>
  <c r="K15" i="14" l="1"/>
  <c r="G15" i="14"/>
  <c r="C15" i="14"/>
  <c r="G15" i="12"/>
  <c r="C15" i="12"/>
  <c r="K15" i="12"/>
  <c r="L16" i="14"/>
  <c r="H16" i="14"/>
  <c r="D16" i="14"/>
  <c r="H16" i="12"/>
  <c r="D16" i="12"/>
  <c r="L16" i="12"/>
  <c r="L4" i="14"/>
  <c r="H4" i="14"/>
  <c r="D4" i="14"/>
  <c r="L4" i="12"/>
  <c r="H4" i="12"/>
  <c r="D4" i="12"/>
  <c r="J13" i="12"/>
  <c r="J13" i="14"/>
  <c r="F13" i="14"/>
  <c r="B13" i="14"/>
  <c r="F13" i="12"/>
  <c r="B13" i="12"/>
  <c r="J17" i="12"/>
  <c r="J17" i="14"/>
  <c r="B17" i="12"/>
  <c r="F17" i="14"/>
  <c r="B17" i="14"/>
  <c r="F17" i="12"/>
  <c r="K11" i="14"/>
  <c r="G11" i="14"/>
  <c r="C11" i="14"/>
  <c r="G11" i="12"/>
  <c r="C11" i="12"/>
  <c r="K11" i="12"/>
  <c r="L12" i="14"/>
  <c r="H12" i="14"/>
  <c r="D12" i="14"/>
  <c r="H12" i="12"/>
  <c r="D12" i="12"/>
  <c r="L12" i="12"/>
  <c r="K6" i="12"/>
  <c r="K6" i="14"/>
  <c r="G6" i="14"/>
  <c r="C6" i="14"/>
  <c r="G6" i="12"/>
  <c r="C6" i="12"/>
  <c r="J14" i="14"/>
  <c r="F14" i="14"/>
  <c r="B14" i="14"/>
  <c r="F14" i="12"/>
  <c r="B14" i="12"/>
  <c r="J14" i="12"/>
  <c r="J18" i="14"/>
  <c r="F18" i="14"/>
  <c r="B18" i="14"/>
  <c r="F18" i="12"/>
  <c r="B18" i="12"/>
  <c r="J18" i="12"/>
  <c r="C5" i="14"/>
  <c r="G5" i="12"/>
  <c r="K5" i="12"/>
  <c r="K5" i="14"/>
  <c r="C9" i="14"/>
  <c r="G9" i="12"/>
  <c r="C9" i="12"/>
  <c r="K9" i="12"/>
  <c r="K9" i="14"/>
  <c r="G4" i="13"/>
  <c r="H17" i="13"/>
  <c r="G16" i="13"/>
  <c r="F15" i="13"/>
  <c r="H13" i="13"/>
  <c r="G12" i="13"/>
  <c r="F11" i="13"/>
  <c r="F9" i="13"/>
  <c r="G9" i="14"/>
  <c r="F6" i="13"/>
  <c r="H6" i="13"/>
  <c r="H19" i="13" s="1"/>
  <c r="J10" i="14"/>
  <c r="F10" i="14"/>
  <c r="B10" i="14"/>
  <c r="F10" i="12"/>
  <c r="B10" i="12"/>
  <c r="H18" i="13"/>
  <c r="C17" i="14"/>
  <c r="G17" i="12"/>
  <c r="C17" i="12"/>
  <c r="K17" i="12"/>
  <c r="K17" i="14"/>
  <c r="B16" i="14"/>
  <c r="F16" i="12"/>
  <c r="B16" i="12"/>
  <c r="J16" i="12"/>
  <c r="J16" i="14"/>
  <c r="H14" i="13"/>
  <c r="C13" i="14"/>
  <c r="G13" i="12"/>
  <c r="C13" i="12"/>
  <c r="K13" i="12"/>
  <c r="K13" i="14"/>
  <c r="B12" i="14"/>
  <c r="F12" i="12"/>
  <c r="B12" i="12"/>
  <c r="J12" i="12"/>
  <c r="J12" i="14"/>
  <c r="H10" i="13"/>
  <c r="G8" i="14"/>
  <c r="C8" i="14"/>
  <c r="G8" i="12"/>
  <c r="K8" i="12"/>
  <c r="H5" i="14"/>
  <c r="D5" i="12"/>
  <c r="D5" i="14"/>
  <c r="H5" i="12"/>
  <c r="L5" i="12"/>
  <c r="C8" i="12"/>
  <c r="J10" i="12"/>
  <c r="G13" i="14"/>
  <c r="K8" i="14"/>
  <c r="K7" i="14"/>
  <c r="G7" i="14"/>
  <c r="C7" i="14"/>
  <c r="G7" i="12"/>
  <c r="C7" i="12"/>
  <c r="F4" i="13"/>
  <c r="G18" i="13"/>
  <c r="I18" i="13" s="1"/>
  <c r="H15" i="13"/>
  <c r="G14" i="13"/>
  <c r="H11" i="13"/>
  <c r="G10" i="13"/>
  <c r="H7" i="13"/>
  <c r="F5" i="13"/>
  <c r="G17" i="14"/>
  <c r="F12" i="14"/>
  <c r="H8" i="13"/>
  <c r="F8" i="13"/>
  <c r="H9" i="13"/>
  <c r="F7" i="13"/>
  <c r="K7" i="12"/>
  <c r="F16" i="14"/>
  <c r="G5" i="14"/>
  <c r="L5" i="14"/>
  <c r="I6" i="13"/>
  <c r="I10" i="13"/>
  <c r="I14" i="13"/>
  <c r="G12" i="14" l="1"/>
  <c r="C12" i="14"/>
  <c r="G12" i="12"/>
  <c r="K12" i="12"/>
  <c r="C12" i="12"/>
  <c r="K12" i="14"/>
  <c r="M12" i="14" s="1"/>
  <c r="I12" i="13"/>
  <c r="B8" i="14"/>
  <c r="F8" i="12"/>
  <c r="B8" i="12"/>
  <c r="J8" i="12"/>
  <c r="J8" i="14"/>
  <c r="M8" i="14" s="1"/>
  <c r="F8" i="14"/>
  <c r="J5" i="12"/>
  <c r="M5" i="12" s="1"/>
  <c r="J5" i="14"/>
  <c r="M5" i="14" s="1"/>
  <c r="F5" i="14"/>
  <c r="I5" i="14" s="1"/>
  <c r="B5" i="14"/>
  <c r="E5" i="14" s="1"/>
  <c r="F5" i="12"/>
  <c r="I5" i="12" s="1"/>
  <c r="B5" i="12"/>
  <c r="E5" i="12" s="1"/>
  <c r="K14" i="12"/>
  <c r="M14" i="12" s="1"/>
  <c r="K14" i="14"/>
  <c r="C14" i="12"/>
  <c r="G14" i="14"/>
  <c r="C14" i="14"/>
  <c r="E14" i="14" s="1"/>
  <c r="G14" i="12"/>
  <c r="D18" i="14"/>
  <c r="H18" i="12"/>
  <c r="D18" i="12"/>
  <c r="L18" i="12"/>
  <c r="L18" i="14"/>
  <c r="H18" i="14"/>
  <c r="I18" i="14" s="1"/>
  <c r="H13" i="14"/>
  <c r="D13" i="14"/>
  <c r="E13" i="14" s="1"/>
  <c r="H13" i="12"/>
  <c r="I13" i="12" s="1"/>
  <c r="L13" i="12"/>
  <c r="L13" i="14"/>
  <c r="D13" i="12"/>
  <c r="E13" i="12" s="1"/>
  <c r="G4" i="14"/>
  <c r="C4" i="14"/>
  <c r="K4" i="12"/>
  <c r="G4" i="12"/>
  <c r="G19" i="13"/>
  <c r="C4" i="12"/>
  <c r="K4" i="14"/>
  <c r="M12" i="12"/>
  <c r="I11" i="12"/>
  <c r="H9" i="14"/>
  <c r="D9" i="14"/>
  <c r="H9" i="12"/>
  <c r="L9" i="12"/>
  <c r="D9" i="12"/>
  <c r="L9" i="14"/>
  <c r="L11" i="12"/>
  <c r="L11" i="14"/>
  <c r="H11" i="14"/>
  <c r="D11" i="14"/>
  <c r="H11" i="12"/>
  <c r="D11" i="12"/>
  <c r="M10" i="12"/>
  <c r="J6" i="14"/>
  <c r="F6" i="14"/>
  <c r="B6" i="14"/>
  <c r="E6" i="14" s="1"/>
  <c r="F6" i="12"/>
  <c r="B6" i="12"/>
  <c r="J6" i="12"/>
  <c r="H17" i="14"/>
  <c r="I17" i="14" s="1"/>
  <c r="D17" i="14"/>
  <c r="H17" i="12"/>
  <c r="I17" i="12" s="1"/>
  <c r="L17" i="12"/>
  <c r="L17" i="14"/>
  <c r="M17" i="14" s="1"/>
  <c r="D17" i="12"/>
  <c r="E12" i="14"/>
  <c r="E17" i="12"/>
  <c r="M13" i="12"/>
  <c r="M7" i="12"/>
  <c r="L8" i="14"/>
  <c r="H8" i="14"/>
  <c r="D8" i="14"/>
  <c r="H8" i="12"/>
  <c r="D8" i="12"/>
  <c r="L8" i="12"/>
  <c r="L7" i="12"/>
  <c r="L7" i="14"/>
  <c r="H7" i="14"/>
  <c r="D7" i="14"/>
  <c r="H7" i="12"/>
  <c r="D7" i="12"/>
  <c r="L15" i="12"/>
  <c r="L15" i="14"/>
  <c r="D15" i="12"/>
  <c r="H15" i="14"/>
  <c r="D15" i="14"/>
  <c r="H15" i="12"/>
  <c r="E12" i="12"/>
  <c r="D14" i="14"/>
  <c r="H14" i="12"/>
  <c r="D14" i="12"/>
  <c r="L14" i="12"/>
  <c r="L14" i="14"/>
  <c r="H14" i="14"/>
  <c r="I14" i="14" s="1"/>
  <c r="J9" i="12"/>
  <c r="M9" i="12" s="1"/>
  <c r="J9" i="14"/>
  <c r="M9" i="14" s="1"/>
  <c r="F9" i="14"/>
  <c r="I9" i="14" s="1"/>
  <c r="B9" i="12"/>
  <c r="B9" i="14"/>
  <c r="E9" i="14" s="1"/>
  <c r="F9" i="12"/>
  <c r="I9" i="12" s="1"/>
  <c r="F15" i="14"/>
  <c r="I15" i="14" s="1"/>
  <c r="B15" i="14"/>
  <c r="E15" i="14" s="1"/>
  <c r="F15" i="12"/>
  <c r="I15" i="12" s="1"/>
  <c r="J15" i="12"/>
  <c r="B15" i="12"/>
  <c r="E15" i="12" s="1"/>
  <c r="J15" i="14"/>
  <c r="E14" i="12"/>
  <c r="M14" i="14"/>
  <c r="E17" i="14"/>
  <c r="M17" i="12"/>
  <c r="I13" i="14"/>
  <c r="M15" i="12"/>
  <c r="B4" i="12"/>
  <c r="J4" i="14"/>
  <c r="F4" i="14"/>
  <c r="J4" i="12"/>
  <c r="B4" i="14"/>
  <c r="F4" i="12"/>
  <c r="F19" i="13"/>
  <c r="I19" i="13" s="1"/>
  <c r="F7" i="14"/>
  <c r="I7" i="14" s="1"/>
  <c r="B7" i="14"/>
  <c r="F7" i="12"/>
  <c r="I7" i="12" s="1"/>
  <c r="J7" i="12"/>
  <c r="B7" i="12"/>
  <c r="J7" i="14"/>
  <c r="I12" i="14"/>
  <c r="K10" i="12"/>
  <c r="K10" i="14"/>
  <c r="M10" i="14" s="1"/>
  <c r="G10" i="14"/>
  <c r="I10" i="14" s="1"/>
  <c r="C10" i="14"/>
  <c r="E10" i="14" s="1"/>
  <c r="G10" i="12"/>
  <c r="C10" i="12"/>
  <c r="K18" i="12"/>
  <c r="K18" i="14"/>
  <c r="M18" i="14" s="1"/>
  <c r="C18" i="12"/>
  <c r="E18" i="12" s="1"/>
  <c r="G18" i="14"/>
  <c r="C18" i="14"/>
  <c r="E18" i="14" s="1"/>
  <c r="G18" i="12"/>
  <c r="I18" i="12" s="1"/>
  <c r="E7" i="14"/>
  <c r="D10" i="14"/>
  <c r="H10" i="12"/>
  <c r="D10" i="12"/>
  <c r="E10" i="12" s="1"/>
  <c r="L10" i="12"/>
  <c r="L10" i="14"/>
  <c r="H10" i="14"/>
  <c r="I12" i="12"/>
  <c r="I10" i="12"/>
  <c r="D6" i="14"/>
  <c r="H6" i="12"/>
  <c r="H19" i="12" s="1"/>
  <c r="D6" i="12"/>
  <c r="D19" i="12" s="1"/>
  <c r="L6" i="12"/>
  <c r="L19" i="12" s="1"/>
  <c r="L6" i="14"/>
  <c r="H6" i="14"/>
  <c r="H19" i="14" s="1"/>
  <c r="F11" i="14"/>
  <c r="B11" i="14"/>
  <c r="E11" i="14" s="1"/>
  <c r="F11" i="12"/>
  <c r="J11" i="12"/>
  <c r="J11" i="14"/>
  <c r="M11" i="14" s="1"/>
  <c r="B11" i="12"/>
  <c r="E11" i="12" s="1"/>
  <c r="G16" i="14"/>
  <c r="I16" i="14" s="1"/>
  <c r="C16" i="14"/>
  <c r="G16" i="12"/>
  <c r="I16" i="12" s="1"/>
  <c r="K16" i="12"/>
  <c r="M16" i="12" s="1"/>
  <c r="K16" i="14"/>
  <c r="M16" i="14" s="1"/>
  <c r="C16" i="12"/>
  <c r="E16" i="12" s="1"/>
  <c r="M18" i="12"/>
  <c r="I14" i="12"/>
  <c r="M11" i="12"/>
  <c r="I11" i="14"/>
  <c r="M13" i="14"/>
  <c r="L19" i="14"/>
  <c r="E16" i="14"/>
  <c r="M15" i="14"/>
  <c r="I17" i="13"/>
  <c r="I16" i="13"/>
  <c r="I13" i="13"/>
  <c r="I15" i="13"/>
  <c r="I11" i="13"/>
  <c r="I9" i="13"/>
  <c r="I8" i="13"/>
  <c r="I5" i="13"/>
  <c r="I7" i="13"/>
  <c r="I4" i="13"/>
  <c r="I4" i="12" l="1"/>
  <c r="F19" i="12"/>
  <c r="I19" i="12" s="1"/>
  <c r="D19" i="14"/>
  <c r="M7" i="14"/>
  <c r="E4" i="14"/>
  <c r="B19" i="14"/>
  <c r="B19" i="12"/>
  <c r="E4" i="12"/>
  <c r="E8" i="14"/>
  <c r="M6" i="12"/>
  <c r="I6" i="14"/>
  <c r="K19" i="14"/>
  <c r="K19" i="12"/>
  <c r="M8" i="12"/>
  <c r="M4" i="14"/>
  <c r="J19" i="14"/>
  <c r="M19" i="14" s="1"/>
  <c r="G19" i="12"/>
  <c r="E7" i="12"/>
  <c r="M4" i="12"/>
  <c r="J19" i="12"/>
  <c r="M19" i="12" s="1"/>
  <c r="E6" i="12"/>
  <c r="M6" i="14"/>
  <c r="C19" i="12"/>
  <c r="C19" i="14"/>
  <c r="E8" i="12"/>
  <c r="I4" i="14"/>
  <c r="F19" i="14"/>
  <c r="I19" i="14" s="1"/>
  <c r="E9" i="12"/>
  <c r="I6" i="12"/>
  <c r="G19" i="14"/>
  <c r="I8" i="14"/>
  <c r="I8" i="12"/>
  <c r="E19" i="12" l="1"/>
  <c r="E19" i="14"/>
</calcChain>
</file>

<file path=xl/sharedStrings.xml><?xml version="1.0" encoding="utf-8"?>
<sst xmlns="http://schemas.openxmlformats.org/spreadsheetml/2006/main" count="563" uniqueCount="75">
  <si>
    <t>Incidencia (FGT0)</t>
  </si>
  <si>
    <t>Brecha (FGT1)</t>
  </si>
  <si>
    <t>Principales ciudades</t>
  </si>
  <si>
    <t>Rural</t>
  </si>
  <si>
    <t>Resto urbano</t>
  </si>
  <si>
    <t>Barranquilla</t>
  </si>
  <si>
    <t>Bogotá</t>
  </si>
  <si>
    <t>Bucaramanga</t>
  </si>
  <si>
    <t>Cali</t>
  </si>
  <si>
    <t>Cartagena</t>
  </si>
  <si>
    <t>Cúcuta</t>
  </si>
  <si>
    <t>Ibagué</t>
  </si>
  <si>
    <t>Manizales</t>
  </si>
  <si>
    <t>Medellín</t>
  </si>
  <si>
    <t>Montería</t>
  </si>
  <si>
    <t>Pasto</t>
  </si>
  <si>
    <t>Pereira</t>
  </si>
  <si>
    <t>Villavicencio</t>
  </si>
  <si>
    <t>INDIGENCIA</t>
  </si>
  <si>
    <t>POBREZA</t>
  </si>
  <si>
    <t>POBREZA (FGT0)</t>
  </si>
  <si>
    <t>INDIGENCIA (FGT0)</t>
  </si>
  <si>
    <t>Total Nacional</t>
  </si>
  <si>
    <t>AÑO</t>
  </si>
  <si>
    <t>Total nacional</t>
  </si>
  <si>
    <t>2002-2005</t>
  </si>
  <si>
    <t>2008-2018</t>
  </si>
  <si>
    <t>2002-2018</t>
  </si>
  <si>
    <t>POBREZA (FGT1)</t>
  </si>
  <si>
    <t>INDIGENCIA (FGT1)</t>
  </si>
  <si>
    <t>POBREZA (FGT2)</t>
  </si>
  <si>
    <t>INDIGENCIA (FGT2)</t>
  </si>
  <si>
    <t>POBLACIÓN</t>
  </si>
  <si>
    <t>Total</t>
  </si>
  <si>
    <t>Porcentaje</t>
  </si>
  <si>
    <t>Sexo</t>
  </si>
  <si>
    <t>Edad</t>
  </si>
  <si>
    <t>Nivel educativo</t>
  </si>
  <si>
    <t>Hombre</t>
  </si>
  <si>
    <t>Mujer</t>
  </si>
  <si>
    <t>Primario incompleo</t>
  </si>
  <si>
    <t>Primario completo</t>
  </si>
  <si>
    <t>Secundario incompleto</t>
  </si>
  <si>
    <t>Secundario completo</t>
  </si>
  <si>
    <t>Superior incompleto</t>
  </si>
  <si>
    <t>Superior completo</t>
  </si>
  <si>
    <t>Hasta 25 años</t>
  </si>
  <si>
    <t>Entre 26 y 35 años</t>
  </si>
  <si>
    <t>Entre 36 y 45 años</t>
  </si>
  <si>
    <t>Entre 46 y 55 años</t>
  </si>
  <si>
    <t>Entre 56 y 65 años</t>
  </si>
  <si>
    <t>Mayor a 65 años</t>
  </si>
  <si>
    <t>Desocupado</t>
  </si>
  <si>
    <t>Ocupado</t>
  </si>
  <si>
    <t>Inactivo</t>
  </si>
  <si>
    <t>Categoría ocupacional</t>
  </si>
  <si>
    <t>Estado ocupacional</t>
  </si>
  <si>
    <t>Variación (p.p.)</t>
  </si>
  <si>
    <t>PERÍODO</t>
  </si>
  <si>
    <t>Número de miembros</t>
  </si>
  <si>
    <t>Número de ocupados</t>
  </si>
  <si>
    <t>Número de niños menores a 12 años de edad</t>
  </si>
  <si>
    <t>Severidad (FGT2)</t>
  </si>
  <si>
    <t>Ciudad</t>
  </si>
  <si>
    <t>Asalariado</t>
  </si>
  <si>
    <t>Cuentapropista o patrón</t>
  </si>
  <si>
    <t>CARACTERÍSTICA DEL JEFE DE HOGAR</t>
  </si>
  <si>
    <t>CARACTERÍSTICA DEL HOGAR</t>
  </si>
  <si>
    <t>Ninguno</t>
  </si>
  <si>
    <t>Uno</t>
  </si>
  <si>
    <t>Dos</t>
  </si>
  <si>
    <t>Tres o más</t>
  </si>
  <si>
    <t>Dos o más</t>
  </si>
  <si>
    <t>Cuatro o más</t>
  </si>
  <si>
    <t>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</si>
</sst>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88">
    <xf numFmtId="0" fontId="0" fillId="0" borderId="0" xfId="0"/>
    <xf numFmtId="0" fontId="1" fillId="0" borderId="0" xfId="0" applyFont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0" fontId="1" fillId="0" borderId="0" xfId="0" applyNumberFormat="1" applyFont="1" applyBorder="1" applyAlignment="1">
      <alignment horizontal="right" vertical="center"/>
    </xf>
    <xf numFmtId="10" fontId="1" fillId="0" borderId="5" xfId="0" applyNumberFormat="1" applyFont="1" applyBorder="1" applyAlignment="1">
      <alignment horizontal="right" vertical="center"/>
    </xf>
    <xf numFmtId="10" fontId="1" fillId="0" borderId="6" xfId="0" applyNumberFormat="1" applyFont="1" applyBorder="1" applyAlignment="1">
      <alignment horizontal="right" vertical="center"/>
    </xf>
    <xf numFmtId="10" fontId="1" fillId="0" borderId="7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164" fontId="1" fillId="0" borderId="18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166" fontId="1" fillId="0" borderId="0" xfId="0" applyNumberFormat="1" applyFont="1" applyBorder="1" applyAlignment="1">
      <alignment horizontal="right" vertical="center"/>
    </xf>
    <xf numFmtId="166" fontId="1" fillId="0" borderId="5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166" fontId="1" fillId="0" borderId="2" xfId="0" applyNumberFormat="1" applyFont="1" applyBorder="1" applyAlignment="1">
      <alignment horizontal="right" vertical="center"/>
    </xf>
    <xf numFmtId="166" fontId="1" fillId="0" borderId="4" xfId="0" applyNumberFormat="1" applyFont="1" applyBorder="1" applyAlignment="1">
      <alignment horizontal="right" vertical="center"/>
    </xf>
    <xf numFmtId="166" fontId="1" fillId="0" borderId="6" xfId="0" applyNumberFormat="1" applyFont="1" applyBorder="1" applyAlignment="1">
      <alignment horizontal="right" vertical="center"/>
    </xf>
    <xf numFmtId="166" fontId="1" fillId="0" borderId="7" xfId="0" applyNumberFormat="1" applyFont="1" applyBorder="1" applyAlignment="1">
      <alignment horizontal="right" vertical="center"/>
    </xf>
    <xf numFmtId="166" fontId="1" fillId="0" borderId="8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horizontal="right" vertical="center"/>
    </xf>
    <xf numFmtId="165" fontId="1" fillId="0" borderId="13" xfId="0" applyNumberFormat="1" applyFont="1" applyBorder="1" applyAlignment="1">
      <alignment horizontal="right" vertical="center"/>
    </xf>
    <xf numFmtId="0" fontId="2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horizontal="right" vertical="center"/>
    </xf>
    <xf numFmtId="166" fontId="1" fillId="0" borderId="0" xfId="0" applyNumberFormat="1" applyFont="1" applyAlignment="1">
      <alignment vertical="center"/>
    </xf>
    <xf numFmtId="166" fontId="1" fillId="0" borderId="2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2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37BFA9F5-30AE-413F-951F-364C74BABF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1'!$A$4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1'!$B$3:$E$3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1'!$B$4:$E$4</c:f>
              <c:numCache>
                <c:formatCode>#,##0.0</c:formatCode>
                <c:ptCount val="4"/>
                <c:pt idx="0">
                  <c:v>49.368686676025391</c:v>
                </c:pt>
                <c:pt idx="1">
                  <c:v>35.907802581787109</c:v>
                </c:pt>
                <c:pt idx="2">
                  <c:v>59.349861145019531</c:v>
                </c:pt>
                <c:pt idx="3">
                  <c:v>60.916786193847656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C-4AA6-99CA-161CE4B3236D}"/>
            </c:ext>
          </c:extLst>
        </c:ser>
        <c:ser>
          <c:idx val="1"/>
          <c:order val="1"/>
          <c:tx>
            <c:strRef>
              <c:f>'Tabla 1'!$A$18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1'!$B$3:$E$3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1'!$B$18:$E$18</c:f>
              <c:numCache>
                <c:formatCode>#,##0.0</c:formatCode>
                <c:ptCount val="4"/>
                <c:pt idx="0">
                  <c:v>27.014764785766602</c:v>
                </c:pt>
                <c:pt idx="1">
                  <c:v>16.189910888671875</c:v>
                </c:pt>
                <c:pt idx="2">
                  <c:v>36.087665557861328</c:v>
                </c:pt>
                <c:pt idx="3">
                  <c:v>36.065628051757813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7C-4AA6-99CA-161CE4B32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95344"/>
        <c:axId val="413996984"/>
      </c:barChart>
      <c:catAx>
        <c:axId val="4139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6984"/>
        <c:crosses val="autoZero"/>
        <c:auto val="1"/>
        <c:lblAlgn val="ctr"/>
        <c:lblOffset val="100"/>
        <c:noMultiLvlLbl val="0"/>
      </c:catAx>
      <c:valAx>
        <c:axId val="4139969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1'!$A$4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1'!$F$3:$I$3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1'!$F$4:$I$4</c:f>
              <c:numCache>
                <c:formatCode>#,##0.0</c:formatCode>
                <c:ptCount val="4"/>
                <c:pt idx="0">
                  <c:v>21.707021713256836</c:v>
                </c:pt>
                <c:pt idx="1">
                  <c:v>13.82574462890625</c:v>
                </c:pt>
                <c:pt idx="2">
                  <c:v>27.427787780761719</c:v>
                </c:pt>
                <c:pt idx="3">
                  <c:v>28.608436584472656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9-4429-A13E-9FDC09370F08}"/>
            </c:ext>
          </c:extLst>
        </c:ser>
        <c:ser>
          <c:idx val="1"/>
          <c:order val="1"/>
          <c:tx>
            <c:strRef>
              <c:f>'Tabla 1'!$A$18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1'!$F$3:$I$3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1'!$F$18:$I$18</c:f>
              <c:numCache>
                <c:formatCode>#,##0.0</c:formatCode>
                <c:ptCount val="4"/>
                <c:pt idx="0">
                  <c:v>9.8325824737548828</c:v>
                </c:pt>
                <c:pt idx="1">
                  <c:v>5.3376679420471191</c:v>
                </c:pt>
                <c:pt idx="2">
                  <c:v>13.440409660339355</c:v>
                </c:pt>
                <c:pt idx="3">
                  <c:v>13.815189361572266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9-4429-A13E-9FDC09370F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95344"/>
        <c:axId val="413996984"/>
      </c:barChart>
      <c:catAx>
        <c:axId val="4139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6984"/>
        <c:crosses val="autoZero"/>
        <c:auto val="1"/>
        <c:lblAlgn val="ctr"/>
        <c:lblOffset val="100"/>
        <c:noMultiLvlLbl val="0"/>
      </c:catAx>
      <c:valAx>
        <c:axId val="4139969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1'!$A$4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1'!$J$3:$M$3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1'!$J$4:$M$4</c:f>
              <c:numCache>
                <c:formatCode>#,##0.0</c:formatCode>
                <c:ptCount val="4"/>
                <c:pt idx="0">
                  <c:v>12.646281242370605</c:v>
                </c:pt>
                <c:pt idx="1">
                  <c:v>7.4270291328430176</c:v>
                </c:pt>
                <c:pt idx="2">
                  <c:v>16.290250778198242</c:v>
                </c:pt>
                <c:pt idx="3">
                  <c:v>17.380990982055664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8-4236-BBFA-7D12F44B32F4}"/>
            </c:ext>
          </c:extLst>
        </c:ser>
        <c:ser>
          <c:idx val="1"/>
          <c:order val="1"/>
          <c:tx>
            <c:strRef>
              <c:f>'Tabla 1'!$A$18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1'!$J$3:$M$3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1'!$J$18:$M$18</c:f>
              <c:numCache>
                <c:formatCode>#,##0.0</c:formatCode>
                <c:ptCount val="4"/>
                <c:pt idx="0">
                  <c:v>5.1967906951904297</c:v>
                </c:pt>
                <c:pt idx="1">
                  <c:v>2.7629482746124268</c:v>
                </c:pt>
                <c:pt idx="2">
                  <c:v>7.0490498542785645</c:v>
                </c:pt>
                <c:pt idx="3">
                  <c:v>7.4955477714538574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18-4236-BBFA-7D12F44B32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95344"/>
        <c:axId val="413996984"/>
      </c:barChart>
      <c:catAx>
        <c:axId val="4139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6984"/>
        <c:crosses val="autoZero"/>
        <c:auto val="1"/>
        <c:lblAlgn val="ctr"/>
        <c:lblOffset val="100"/>
        <c:noMultiLvlLbl val="0"/>
      </c:catAx>
      <c:valAx>
        <c:axId val="4139969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2'!$A$4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2'!$B$3:$E$3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2'!$B$4:$E$4</c:f>
              <c:numCache>
                <c:formatCode>#,##0.0</c:formatCode>
                <c:ptCount val="4"/>
                <c:pt idx="0">
                  <c:v>17.637813568115234</c:v>
                </c:pt>
                <c:pt idx="1">
                  <c:v>7.4407234191894531</c:v>
                </c:pt>
                <c:pt idx="2">
                  <c:v>19.552263259887695</c:v>
                </c:pt>
                <c:pt idx="3">
                  <c:v>32.80767822265625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8-41BA-AF66-C658D1CCD695}"/>
            </c:ext>
          </c:extLst>
        </c:ser>
        <c:ser>
          <c:idx val="1"/>
          <c:order val="1"/>
          <c:tx>
            <c:strRef>
              <c:f>'Tabla 2'!$A$18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2'!$B$3:$E$3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2'!$B$18:$E$18</c:f>
              <c:numCache>
                <c:formatCode>#,##0.0</c:formatCode>
                <c:ptCount val="4"/>
                <c:pt idx="0">
                  <c:v>7.2499384880065918</c:v>
                </c:pt>
                <c:pt idx="1">
                  <c:v>2.8528001308441162</c:v>
                </c:pt>
                <c:pt idx="2">
                  <c:v>7.7751116752624512</c:v>
                </c:pt>
                <c:pt idx="3">
                  <c:v>15.368209838867188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D8-41BA-AF66-C658D1CCD6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95344"/>
        <c:axId val="413996984"/>
      </c:barChart>
      <c:catAx>
        <c:axId val="4139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6984"/>
        <c:crosses val="autoZero"/>
        <c:auto val="1"/>
        <c:lblAlgn val="ctr"/>
        <c:lblOffset val="100"/>
        <c:noMultiLvlLbl val="0"/>
      </c:catAx>
      <c:valAx>
        <c:axId val="413996984"/>
        <c:scaling>
          <c:orientation val="minMax"/>
          <c:max val="4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2'!$A$4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2'!$F$3:$I$3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2'!$F$4:$I$4</c:f>
              <c:numCache>
                <c:formatCode>#,##0.0</c:formatCode>
                <c:ptCount val="4"/>
                <c:pt idx="0">
                  <c:v>6.7014412879943848</c:v>
                </c:pt>
                <c:pt idx="1">
                  <c:v>2.7041831016540527</c:v>
                </c:pt>
                <c:pt idx="2">
                  <c:v>6.9257144927978516</c:v>
                </c:pt>
                <c:pt idx="3">
                  <c:v>13.246451377868652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9-4DAC-8905-44AC2165A40A}"/>
            </c:ext>
          </c:extLst>
        </c:ser>
        <c:ser>
          <c:idx val="1"/>
          <c:order val="1"/>
          <c:tx>
            <c:strRef>
              <c:f>'Tabla 2'!$A$18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2'!$F$3:$I$3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2'!$F$18:$I$18</c:f>
              <c:numCache>
                <c:formatCode>#,##0.0</c:formatCode>
                <c:ptCount val="4"/>
                <c:pt idx="0">
                  <c:v>2.725287914276123</c:v>
                </c:pt>
                <c:pt idx="1">
                  <c:v>1.254645824432373</c:v>
                </c:pt>
                <c:pt idx="2">
                  <c:v>2.7567813396453857</c:v>
                </c:pt>
                <c:pt idx="3">
                  <c:v>5.6430830955505371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9-4DAC-8905-44AC2165A4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95344"/>
        <c:axId val="413996984"/>
      </c:barChart>
      <c:catAx>
        <c:axId val="4139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6984"/>
        <c:crosses val="autoZero"/>
        <c:auto val="1"/>
        <c:lblAlgn val="ctr"/>
        <c:lblOffset val="100"/>
        <c:noMultiLvlLbl val="0"/>
      </c:catAx>
      <c:valAx>
        <c:axId val="413996984"/>
        <c:scaling>
          <c:orientation val="minMax"/>
          <c:max val="15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2'!$A$4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2'!$J$3:$M$3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2'!$J$4:$M$4</c:f>
              <c:numCache>
                <c:formatCode>#,##0.0</c:formatCode>
                <c:ptCount val="4"/>
                <c:pt idx="0">
                  <c:v>3.6983346939086914</c:v>
                </c:pt>
                <c:pt idx="1">
                  <c:v>1.556721568107605</c:v>
                </c:pt>
                <c:pt idx="2">
                  <c:v>3.6877033710479736</c:v>
                </c:pt>
                <c:pt idx="3">
                  <c:v>7.3537030220031738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2-4BA7-9181-55F395A1D0D8}"/>
            </c:ext>
          </c:extLst>
        </c:ser>
        <c:ser>
          <c:idx val="1"/>
          <c:order val="1"/>
          <c:tx>
            <c:strRef>
              <c:f>'Tabla 2'!$A$18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2'!$J$3:$M$3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2'!$J$18:$M$18</c:f>
              <c:numCache>
                <c:formatCode>#,##0.0</c:formatCode>
                <c:ptCount val="4"/>
                <c:pt idx="0">
                  <c:v>1.5609755516052246</c:v>
                </c:pt>
                <c:pt idx="1">
                  <c:v>0.85290676355361938</c:v>
                </c:pt>
                <c:pt idx="2">
                  <c:v>1.5179766416549683</c:v>
                </c:pt>
                <c:pt idx="3">
                  <c:v>3.0475492477416992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2-4BA7-9181-55F395A1D0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95344"/>
        <c:axId val="413996984"/>
      </c:barChart>
      <c:catAx>
        <c:axId val="4139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6984"/>
        <c:crosses val="autoZero"/>
        <c:auto val="1"/>
        <c:lblAlgn val="ctr"/>
        <c:lblOffset val="100"/>
        <c:noMultiLvlLbl val="0"/>
      </c:catAx>
      <c:valAx>
        <c:axId val="413996984"/>
        <c:scaling>
          <c:orientation val="minMax"/>
          <c:max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99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3'!$B$2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3'!$B$3:$B$17</c:f>
              <c:numCache>
                <c:formatCode>#,##0.0</c:formatCode>
                <c:ptCount val="15"/>
                <c:pt idx="0">
                  <c:v>49.368686676025391</c:v>
                </c:pt>
                <c:pt idx="1">
                  <c:v>47.694141387939453</c:v>
                </c:pt>
                <c:pt idx="2">
                  <c:v>47.356250762939453</c:v>
                </c:pt>
                <c:pt idx="3">
                  <c:v>44.952667236328125</c:v>
                </c:pt>
                <c:pt idx="4">
                  <c:v>42.004955291748047</c:v>
                </c:pt>
                <c:pt idx="5">
                  <c:v>40.217781066894531</c:v>
                </c:pt>
                <c:pt idx="6">
                  <c:v>37.174510955810547</c:v>
                </c:pt>
                <c:pt idx="7">
                  <c:v>34.039176940917969</c:v>
                </c:pt>
                <c:pt idx="8">
                  <c:v>32.734790802001953</c:v>
                </c:pt>
                <c:pt idx="9">
                  <c:v>30.571781158447266</c:v>
                </c:pt>
                <c:pt idx="10">
                  <c:v>28.533149719238281</c:v>
                </c:pt>
                <c:pt idx="11">
                  <c:v>27.849176406860352</c:v>
                </c:pt>
                <c:pt idx="12">
                  <c:v>28.024290084838867</c:v>
                </c:pt>
                <c:pt idx="13">
                  <c:v>26.913917541503906</c:v>
                </c:pt>
                <c:pt idx="14">
                  <c:v>27.014764785766602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8-4A60-A70D-72C23ACDAE6C}"/>
            </c:ext>
          </c:extLst>
        </c:ser>
        <c:ser>
          <c:idx val="1"/>
          <c:order val="1"/>
          <c:tx>
            <c:strRef>
              <c:f>'Tabla 3'!$C$2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3'!$C$3:$C$17</c:f>
              <c:numCache>
                <c:formatCode>#,##0.0</c:formatCode>
                <c:ptCount val="15"/>
                <c:pt idx="0">
                  <c:v>35.907802581787109</c:v>
                </c:pt>
                <c:pt idx="1">
                  <c:v>36.431411743164063</c:v>
                </c:pt>
                <c:pt idx="2">
                  <c:v>34.227439880371094</c:v>
                </c:pt>
                <c:pt idx="3">
                  <c:v>32.20989990234375</c:v>
                </c:pt>
                <c:pt idx="4">
                  <c:v>26.928564071655273</c:v>
                </c:pt>
                <c:pt idx="5">
                  <c:v>25.561538696289063</c:v>
                </c:pt>
                <c:pt idx="6">
                  <c:v>23.225870132446289</c:v>
                </c:pt>
                <c:pt idx="7">
                  <c:v>20.597190856933594</c:v>
                </c:pt>
                <c:pt idx="8">
                  <c:v>18.941196441650391</c:v>
                </c:pt>
                <c:pt idx="9">
                  <c:v>17.501565933227539</c:v>
                </c:pt>
                <c:pt idx="10">
                  <c:v>15.884819030761719</c:v>
                </c:pt>
                <c:pt idx="11">
                  <c:v>15.35108470916748</c:v>
                </c:pt>
                <c:pt idx="12">
                  <c:v>15.917905807495117</c:v>
                </c:pt>
                <c:pt idx="13">
                  <c:v>15.897193908691406</c:v>
                </c:pt>
                <c:pt idx="14">
                  <c:v>16.189910888671875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8-4A60-A70D-72C23ACDAE6C}"/>
            </c:ext>
          </c:extLst>
        </c:ser>
        <c:ser>
          <c:idx val="2"/>
          <c:order val="2"/>
          <c:tx>
            <c:strRef>
              <c:f>'Tabla 3'!$D$2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3'!$D$3:$D$17</c:f>
              <c:numCache>
                <c:formatCode>#,##0.0</c:formatCode>
                <c:ptCount val="15"/>
                <c:pt idx="0">
                  <c:v>59.349861145019531</c:v>
                </c:pt>
                <c:pt idx="1">
                  <c:v>57.020992279052734</c:v>
                </c:pt>
                <c:pt idx="2">
                  <c:v>57.594173431396484</c:v>
                </c:pt>
                <c:pt idx="3">
                  <c:v>54.308010101318359</c:v>
                </c:pt>
                <c:pt idx="4">
                  <c:v>52.141876220703125</c:v>
                </c:pt>
                <c:pt idx="5">
                  <c:v>50.665260314941406</c:v>
                </c:pt>
                <c:pt idx="6">
                  <c:v>47.352413177490234</c:v>
                </c:pt>
                <c:pt idx="7">
                  <c:v>43.783294677734375</c:v>
                </c:pt>
                <c:pt idx="8">
                  <c:v>42.158107757568359</c:v>
                </c:pt>
                <c:pt idx="9">
                  <c:v>40.411880493164063</c:v>
                </c:pt>
                <c:pt idx="10">
                  <c:v>37.296733856201172</c:v>
                </c:pt>
                <c:pt idx="11">
                  <c:v>36.779544830322266</c:v>
                </c:pt>
                <c:pt idx="12">
                  <c:v>37.818168640136719</c:v>
                </c:pt>
                <c:pt idx="13">
                  <c:v>36.583896636962891</c:v>
                </c:pt>
                <c:pt idx="14">
                  <c:v>36.087665557861328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8-4A60-A70D-72C23ACDAE6C}"/>
            </c:ext>
          </c:extLst>
        </c:ser>
        <c:ser>
          <c:idx val="3"/>
          <c:order val="3"/>
          <c:tx>
            <c:strRef>
              <c:f>'Tabla 3'!$E$2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3'!$E$3:$E$17</c:f>
              <c:numCache>
                <c:formatCode>#,##0.0</c:formatCode>
                <c:ptCount val="15"/>
                <c:pt idx="0">
                  <c:v>60.916786193847656</c:v>
                </c:pt>
                <c:pt idx="1">
                  <c:v>56.340629577636719</c:v>
                </c:pt>
                <c:pt idx="2">
                  <c:v>58.292533874511719</c:v>
                </c:pt>
                <c:pt idx="3">
                  <c:v>56.387481689453125</c:v>
                </c:pt>
                <c:pt idx="4">
                  <c:v>57.095619201660156</c:v>
                </c:pt>
                <c:pt idx="5">
                  <c:v>54.25628662109375</c:v>
                </c:pt>
                <c:pt idx="6">
                  <c:v>50.34149169921875</c:v>
                </c:pt>
                <c:pt idx="7">
                  <c:v>46.909652709960938</c:v>
                </c:pt>
                <c:pt idx="8">
                  <c:v>46.794525146484375</c:v>
                </c:pt>
                <c:pt idx="9">
                  <c:v>42.761981964111328</c:v>
                </c:pt>
                <c:pt idx="10">
                  <c:v>41.428699493408203</c:v>
                </c:pt>
                <c:pt idx="11">
                  <c:v>40.294448852539063</c:v>
                </c:pt>
                <c:pt idx="12">
                  <c:v>38.560688018798828</c:v>
                </c:pt>
                <c:pt idx="13">
                  <c:v>35.964435577392578</c:v>
                </c:pt>
                <c:pt idx="14">
                  <c:v>36.065628051757813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28-4A60-A70D-72C23ACDA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3'!$B$2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3'!$F$3:$F$17</c:f>
              <c:numCache>
                <c:formatCode>#,##0.0</c:formatCode>
                <c:ptCount val="15"/>
                <c:pt idx="0">
                  <c:v>17.637813568115234</c:v>
                </c:pt>
                <c:pt idx="1">
                  <c:v>15.564229965209961</c:v>
                </c:pt>
                <c:pt idx="2">
                  <c:v>14.843342781066895</c:v>
                </c:pt>
                <c:pt idx="3">
                  <c:v>13.797229766845703</c:v>
                </c:pt>
                <c:pt idx="4">
                  <c:v>16.41334342956543</c:v>
                </c:pt>
                <c:pt idx="5">
                  <c:v>14.427791595458984</c:v>
                </c:pt>
                <c:pt idx="6">
                  <c:v>12.27851676940918</c:v>
                </c:pt>
                <c:pt idx="7">
                  <c:v>10.621200561523438</c:v>
                </c:pt>
                <c:pt idx="8">
                  <c:v>10.396331787109375</c:v>
                </c:pt>
                <c:pt idx="9">
                  <c:v>9.0640411376953125</c:v>
                </c:pt>
                <c:pt idx="10">
                  <c:v>8.0824813842773438</c:v>
                </c:pt>
                <c:pt idx="11">
                  <c:v>7.9416317939758301</c:v>
                </c:pt>
                <c:pt idx="12">
                  <c:v>8.456242561340332</c:v>
                </c:pt>
                <c:pt idx="13">
                  <c:v>7.3836374282836914</c:v>
                </c:pt>
                <c:pt idx="14">
                  <c:v>7.2499384880065918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2D-4273-ADB1-1D44F89E1EEC}"/>
            </c:ext>
          </c:extLst>
        </c:ser>
        <c:ser>
          <c:idx val="1"/>
          <c:order val="1"/>
          <c:tx>
            <c:strRef>
              <c:f>'Tabla 3'!$C$2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3'!$G$3:$G$17</c:f>
              <c:numCache>
                <c:formatCode>#,##0.0</c:formatCode>
                <c:ptCount val="15"/>
                <c:pt idx="0">
                  <c:v>7.4407234191894531</c:v>
                </c:pt>
                <c:pt idx="1">
                  <c:v>7.3150067329406738</c:v>
                </c:pt>
                <c:pt idx="2">
                  <c:v>6.5363078117370605</c:v>
                </c:pt>
                <c:pt idx="3">
                  <c:v>5.6362271308898926</c:v>
                </c:pt>
                <c:pt idx="4">
                  <c:v>5.5752291679382324</c:v>
                </c:pt>
                <c:pt idx="5">
                  <c:v>5.2337636947631836</c:v>
                </c:pt>
                <c:pt idx="6">
                  <c:v>4.6380691528320313</c:v>
                </c:pt>
                <c:pt idx="7">
                  <c:v>3.4709594249725342</c:v>
                </c:pt>
                <c:pt idx="8">
                  <c:v>3.3154363632202148</c:v>
                </c:pt>
                <c:pt idx="9">
                  <c:v>3.003565788269043</c:v>
                </c:pt>
                <c:pt idx="10">
                  <c:v>2.6593377590179443</c:v>
                </c:pt>
                <c:pt idx="11">
                  <c:v>2.7217385768890381</c:v>
                </c:pt>
                <c:pt idx="12">
                  <c:v>2.9238207340240479</c:v>
                </c:pt>
                <c:pt idx="13">
                  <c:v>2.7685081958770752</c:v>
                </c:pt>
                <c:pt idx="14">
                  <c:v>2.8528001308441162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2D-4273-ADB1-1D44F89E1EEC}"/>
            </c:ext>
          </c:extLst>
        </c:ser>
        <c:ser>
          <c:idx val="2"/>
          <c:order val="2"/>
          <c:tx>
            <c:strRef>
              <c:f>'Tabla 3'!$D$2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3'!$H$3:$H$17</c:f>
              <c:numCache>
                <c:formatCode>#,##0.0</c:formatCode>
                <c:ptCount val="15"/>
                <c:pt idx="0">
                  <c:v>19.552263259887695</c:v>
                </c:pt>
                <c:pt idx="1">
                  <c:v>16.638545989990234</c:v>
                </c:pt>
                <c:pt idx="2">
                  <c:v>15.176298141479492</c:v>
                </c:pt>
                <c:pt idx="3">
                  <c:v>14.251157760620117</c:v>
                </c:pt>
                <c:pt idx="4">
                  <c:v>19.194358825683594</c:v>
                </c:pt>
                <c:pt idx="5">
                  <c:v>16.445438385009766</c:v>
                </c:pt>
                <c:pt idx="6">
                  <c:v>13.24906063079834</c:v>
                </c:pt>
                <c:pt idx="7">
                  <c:v>11.892560958862305</c:v>
                </c:pt>
                <c:pt idx="8">
                  <c:v>11.364069938659668</c:v>
                </c:pt>
                <c:pt idx="9">
                  <c:v>10.338157653808594</c:v>
                </c:pt>
                <c:pt idx="10">
                  <c:v>8.5913524627685547</c:v>
                </c:pt>
                <c:pt idx="11">
                  <c:v>8.1169700622558594</c:v>
                </c:pt>
                <c:pt idx="12">
                  <c:v>9.4415283203125</c:v>
                </c:pt>
                <c:pt idx="13">
                  <c:v>8.369166374206543</c:v>
                </c:pt>
                <c:pt idx="14">
                  <c:v>7.7751116752624512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2D-4273-ADB1-1D44F89E1EEC}"/>
            </c:ext>
          </c:extLst>
        </c:ser>
        <c:ser>
          <c:idx val="3"/>
          <c:order val="3"/>
          <c:tx>
            <c:strRef>
              <c:f>'Tabla 3'!$E$2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3'!$A$3:$A$17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3'!$I$3:$I$17</c:f>
              <c:numCache>
                <c:formatCode>#,##0.0</c:formatCode>
                <c:ptCount val="15"/>
                <c:pt idx="0">
                  <c:v>32.80767822265625</c:v>
                </c:pt>
                <c:pt idx="1">
                  <c:v>28.586454391479492</c:v>
                </c:pt>
                <c:pt idx="2">
                  <c:v>29.047744750976563</c:v>
                </c:pt>
                <c:pt idx="3">
                  <c:v>27.81190299987793</c:v>
                </c:pt>
                <c:pt idx="4">
                  <c:v>32.962203979492188</c:v>
                </c:pt>
                <c:pt idx="5">
                  <c:v>29.048913955688477</c:v>
                </c:pt>
                <c:pt idx="6">
                  <c:v>25.471567153930664</c:v>
                </c:pt>
                <c:pt idx="7">
                  <c:v>22.610340118408203</c:v>
                </c:pt>
                <c:pt idx="8">
                  <c:v>22.751810073852539</c:v>
                </c:pt>
                <c:pt idx="9">
                  <c:v>19.130285263061523</c:v>
                </c:pt>
                <c:pt idx="10">
                  <c:v>18.016717910766602</c:v>
                </c:pt>
                <c:pt idx="11">
                  <c:v>18.006320953369141</c:v>
                </c:pt>
                <c:pt idx="12">
                  <c:v>18.094327926635742</c:v>
                </c:pt>
                <c:pt idx="13">
                  <c:v>15.377017974853516</c:v>
                </c:pt>
                <c:pt idx="14">
                  <c:v>15.368209838867188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2D-4273-ADB1-1D44F89E1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  <c:max val="4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4'!$B$2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4'!$B$3:$B$17</c:f>
              <c:numCache>
                <c:formatCode>#,##0.0</c:formatCode>
                <c:ptCount val="15"/>
                <c:pt idx="0">
                  <c:v>21.707021713256836</c:v>
                </c:pt>
                <c:pt idx="1">
                  <c:v>20.340766906738281</c:v>
                </c:pt>
                <c:pt idx="2">
                  <c:v>19.819868087768555</c:v>
                </c:pt>
                <c:pt idx="3">
                  <c:v>18.380168914794922</c:v>
                </c:pt>
                <c:pt idx="4">
                  <c:v>18.363204956054688</c:v>
                </c:pt>
                <c:pt idx="5">
                  <c:v>16.738040924072266</c:v>
                </c:pt>
                <c:pt idx="6">
                  <c:v>15.118712425231934</c:v>
                </c:pt>
                <c:pt idx="7">
                  <c:v>13.368127822875977</c:v>
                </c:pt>
                <c:pt idx="8">
                  <c:v>12.888945579528809</c:v>
                </c:pt>
                <c:pt idx="9">
                  <c:v>11.79701042175293</c:v>
                </c:pt>
                <c:pt idx="10">
                  <c:v>10.835399627685547</c:v>
                </c:pt>
                <c:pt idx="11">
                  <c:v>10.300780296325684</c:v>
                </c:pt>
                <c:pt idx="12">
                  <c:v>10.341764450073242</c:v>
                </c:pt>
                <c:pt idx="13">
                  <c:v>9.7049779891967773</c:v>
                </c:pt>
                <c:pt idx="14">
                  <c:v>9.8325824737548828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85-49D0-A08B-C163DF9A5E5E}"/>
            </c:ext>
          </c:extLst>
        </c:ser>
        <c:ser>
          <c:idx val="1"/>
          <c:order val="1"/>
          <c:tx>
            <c:strRef>
              <c:f>'Tabla 4'!$C$2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4'!$C$3:$C$17</c:f>
              <c:numCache>
                <c:formatCode>#,##0.0</c:formatCode>
                <c:ptCount val="15"/>
                <c:pt idx="0">
                  <c:v>13.82574462890625</c:v>
                </c:pt>
                <c:pt idx="1">
                  <c:v>14.021664619445801</c:v>
                </c:pt>
                <c:pt idx="2">
                  <c:v>12.871612548828125</c:v>
                </c:pt>
                <c:pt idx="3">
                  <c:v>11.618705749511719</c:v>
                </c:pt>
                <c:pt idx="4">
                  <c:v>9.6745786666870117</c:v>
                </c:pt>
                <c:pt idx="5">
                  <c:v>9.1323995590209961</c:v>
                </c:pt>
                <c:pt idx="6">
                  <c:v>8.2836952209472656</c:v>
                </c:pt>
                <c:pt idx="7">
                  <c:v>6.8817615509033203</c:v>
                </c:pt>
                <c:pt idx="8">
                  <c:v>6.3695249557495117</c:v>
                </c:pt>
                <c:pt idx="9">
                  <c:v>5.9308576583862305</c:v>
                </c:pt>
                <c:pt idx="10">
                  <c:v>5.2488384246826172</c:v>
                </c:pt>
                <c:pt idx="11">
                  <c:v>5.112358570098877</c:v>
                </c:pt>
                <c:pt idx="12">
                  <c:v>5.194526195526123</c:v>
                </c:pt>
                <c:pt idx="13">
                  <c:v>5.1392221450805664</c:v>
                </c:pt>
                <c:pt idx="14">
                  <c:v>5.3376679420471191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85-49D0-A08B-C163DF9A5E5E}"/>
            </c:ext>
          </c:extLst>
        </c:ser>
        <c:ser>
          <c:idx val="2"/>
          <c:order val="2"/>
          <c:tx>
            <c:strRef>
              <c:f>'Tabla 4'!$D$2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4'!$D$3:$D$17</c:f>
              <c:numCache>
                <c:formatCode>#,##0.0</c:formatCode>
                <c:ptCount val="15"/>
                <c:pt idx="0">
                  <c:v>27.427787780761719</c:v>
                </c:pt>
                <c:pt idx="1">
                  <c:v>25.61369514465332</c:v>
                </c:pt>
                <c:pt idx="2">
                  <c:v>24.994251251220703</c:v>
                </c:pt>
                <c:pt idx="3">
                  <c:v>23.11046028137207</c:v>
                </c:pt>
                <c:pt idx="4">
                  <c:v>24.377931594848633</c:v>
                </c:pt>
                <c:pt idx="5">
                  <c:v>22.140453338623047</c:v>
                </c:pt>
                <c:pt idx="6">
                  <c:v>19.826812744140625</c:v>
                </c:pt>
                <c:pt idx="7">
                  <c:v>18.073257446289063</c:v>
                </c:pt>
                <c:pt idx="8">
                  <c:v>17.377151489257813</c:v>
                </c:pt>
                <c:pt idx="9">
                  <c:v>16.219566345214844</c:v>
                </c:pt>
                <c:pt idx="10">
                  <c:v>14.62827205657959</c:v>
                </c:pt>
                <c:pt idx="11">
                  <c:v>13.869400978088379</c:v>
                </c:pt>
                <c:pt idx="12">
                  <c:v>14.43464469909668</c:v>
                </c:pt>
                <c:pt idx="13">
                  <c:v>13.717391014099121</c:v>
                </c:pt>
                <c:pt idx="14">
                  <c:v>13.440409660339355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85-49D0-A08B-C163DF9A5E5E}"/>
            </c:ext>
          </c:extLst>
        </c:ser>
        <c:ser>
          <c:idx val="3"/>
          <c:order val="3"/>
          <c:tx>
            <c:strRef>
              <c:f>'Tabla 4'!$E$2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4'!$E$3:$E$17</c:f>
              <c:numCache>
                <c:formatCode>#,##0.0</c:formatCode>
                <c:ptCount val="15"/>
                <c:pt idx="0">
                  <c:v>28.608436584472656</c:v>
                </c:pt>
                <c:pt idx="1">
                  <c:v>25.145542144775391</c:v>
                </c:pt>
                <c:pt idx="2">
                  <c:v>25.896905899047852</c:v>
                </c:pt>
                <c:pt idx="3">
                  <c:v>24.730081558227539</c:v>
                </c:pt>
                <c:pt idx="4">
                  <c:v>26.841516494750977</c:v>
                </c:pt>
                <c:pt idx="5">
                  <c:v>24.047670364379883</c:v>
                </c:pt>
                <c:pt idx="6">
                  <c:v>21.933364868164063</c:v>
                </c:pt>
                <c:pt idx="7">
                  <c:v>19.574563980102539</c:v>
                </c:pt>
                <c:pt idx="8">
                  <c:v>19.488533020019531</c:v>
                </c:pt>
                <c:pt idx="9">
                  <c:v>17.259958267211914</c:v>
                </c:pt>
                <c:pt idx="10">
                  <c:v>16.636728286743164</c:v>
                </c:pt>
                <c:pt idx="11">
                  <c:v>15.657194137573242</c:v>
                </c:pt>
                <c:pt idx="12">
                  <c:v>14.919822692871094</c:v>
                </c:pt>
                <c:pt idx="13">
                  <c:v>13.449283599853516</c:v>
                </c:pt>
                <c:pt idx="14">
                  <c:v>13.815189361572266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85-49D0-A08B-C163DF9A5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4'!$B$2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4'!$F$3:$F$17</c:f>
              <c:numCache>
                <c:formatCode>#,##0.0</c:formatCode>
                <c:ptCount val="15"/>
                <c:pt idx="0">
                  <c:v>6.7014412879943848</c:v>
                </c:pt>
                <c:pt idx="1">
                  <c:v>5.737144947052002</c:v>
                </c:pt>
                <c:pt idx="2">
                  <c:v>5.3722748756408691</c:v>
                </c:pt>
                <c:pt idx="3">
                  <c:v>4.832310676574707</c:v>
                </c:pt>
                <c:pt idx="4">
                  <c:v>6.7177672386169434</c:v>
                </c:pt>
                <c:pt idx="5">
                  <c:v>5.4795660972595215</c:v>
                </c:pt>
                <c:pt idx="6">
                  <c:v>4.6093907356262207</c:v>
                </c:pt>
                <c:pt idx="7">
                  <c:v>3.7947773933410645</c:v>
                </c:pt>
                <c:pt idx="8">
                  <c:v>3.7822487354278564</c:v>
                </c:pt>
                <c:pt idx="9">
                  <c:v>3.3075382709503174</c:v>
                </c:pt>
                <c:pt idx="10">
                  <c:v>2.9789025783538818</c:v>
                </c:pt>
                <c:pt idx="11">
                  <c:v>2.8532488346099854</c:v>
                </c:pt>
                <c:pt idx="12">
                  <c:v>3.1126213073730469</c:v>
                </c:pt>
                <c:pt idx="13">
                  <c:v>2.6750195026397705</c:v>
                </c:pt>
                <c:pt idx="14">
                  <c:v>2.725287914276123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B-4F79-B74E-201921A25513}"/>
            </c:ext>
          </c:extLst>
        </c:ser>
        <c:ser>
          <c:idx val="1"/>
          <c:order val="1"/>
          <c:tx>
            <c:strRef>
              <c:f>'Tabla 4'!$C$2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4'!$G$3:$G$17</c:f>
              <c:numCache>
                <c:formatCode>#,##0.0</c:formatCode>
                <c:ptCount val="15"/>
                <c:pt idx="0">
                  <c:v>2.7041831016540527</c:v>
                </c:pt>
                <c:pt idx="1">
                  <c:v>2.5989482402801514</c:v>
                </c:pt>
                <c:pt idx="2">
                  <c:v>2.4179980754852295</c:v>
                </c:pt>
                <c:pt idx="3">
                  <c:v>1.9343752861022949</c:v>
                </c:pt>
                <c:pt idx="4">
                  <c:v>2.0906219482421875</c:v>
                </c:pt>
                <c:pt idx="5">
                  <c:v>1.9772406816482544</c:v>
                </c:pt>
                <c:pt idx="6">
                  <c:v>1.8083381652832031</c:v>
                </c:pt>
                <c:pt idx="7">
                  <c:v>1.2857649326324463</c:v>
                </c:pt>
                <c:pt idx="8">
                  <c:v>1.2282640933990479</c:v>
                </c:pt>
                <c:pt idx="9">
                  <c:v>1.2313377857208252</c:v>
                </c:pt>
                <c:pt idx="10">
                  <c:v>1.0889527797698975</c:v>
                </c:pt>
                <c:pt idx="11">
                  <c:v>1.1762490272521973</c:v>
                </c:pt>
                <c:pt idx="12">
                  <c:v>1.2303003072738647</c:v>
                </c:pt>
                <c:pt idx="13">
                  <c:v>1.1936614513397217</c:v>
                </c:pt>
                <c:pt idx="14">
                  <c:v>1.254645824432373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B-4F79-B74E-201921A25513}"/>
            </c:ext>
          </c:extLst>
        </c:ser>
        <c:ser>
          <c:idx val="2"/>
          <c:order val="2"/>
          <c:tx>
            <c:strRef>
              <c:f>'Tabla 4'!$D$2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4'!$H$3:$H$17</c:f>
              <c:numCache>
                <c:formatCode>#,##0.0</c:formatCode>
                <c:ptCount val="15"/>
                <c:pt idx="0">
                  <c:v>6.9257144927978516</c:v>
                </c:pt>
                <c:pt idx="1">
                  <c:v>6.0322360992431641</c:v>
                </c:pt>
                <c:pt idx="2">
                  <c:v>5.158909797668457</c:v>
                </c:pt>
                <c:pt idx="3">
                  <c:v>4.6525511741638184</c:v>
                </c:pt>
                <c:pt idx="4">
                  <c:v>7.6234173774719238</c:v>
                </c:pt>
                <c:pt idx="5">
                  <c:v>5.982670783996582</c:v>
                </c:pt>
                <c:pt idx="6">
                  <c:v>4.6438188552856445</c:v>
                </c:pt>
                <c:pt idx="7">
                  <c:v>4.0746164321899414</c:v>
                </c:pt>
                <c:pt idx="8">
                  <c:v>3.9957082271575928</c:v>
                </c:pt>
                <c:pt idx="9">
                  <c:v>3.6075971126556396</c:v>
                </c:pt>
                <c:pt idx="10">
                  <c:v>3.0546944141387939</c:v>
                </c:pt>
                <c:pt idx="11">
                  <c:v>2.7184772491455078</c:v>
                </c:pt>
                <c:pt idx="12">
                  <c:v>3.3947010040283203</c:v>
                </c:pt>
                <c:pt idx="13">
                  <c:v>2.925546407699585</c:v>
                </c:pt>
                <c:pt idx="14">
                  <c:v>2.7567813396453857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4B-4F79-B74E-201921A25513}"/>
            </c:ext>
          </c:extLst>
        </c:ser>
        <c:ser>
          <c:idx val="3"/>
          <c:order val="3"/>
          <c:tx>
            <c:strRef>
              <c:f>'Tabla 4'!$E$2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4'!$A$3:$A$17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4'!$I$3:$I$17</c:f>
              <c:numCache>
                <c:formatCode>#,##0.0</c:formatCode>
                <c:ptCount val="15"/>
                <c:pt idx="0">
                  <c:v>13.246451377868652</c:v>
                </c:pt>
                <c:pt idx="1">
                  <c:v>10.823101997375488</c:v>
                </c:pt>
                <c:pt idx="2">
                  <c:v>10.817176818847656</c:v>
                </c:pt>
                <c:pt idx="3">
                  <c:v>10.220839500427246</c:v>
                </c:pt>
                <c:pt idx="4">
                  <c:v>14.139316558837891</c:v>
                </c:pt>
                <c:pt idx="5">
                  <c:v>11.389569282531738</c:v>
                </c:pt>
                <c:pt idx="6">
                  <c:v>9.863520622253418</c:v>
                </c:pt>
                <c:pt idx="7">
                  <c:v>8.2203617095947266</c:v>
                </c:pt>
                <c:pt idx="8">
                  <c:v>8.4187345504760742</c:v>
                </c:pt>
                <c:pt idx="9">
                  <c:v>6.9391460418701172</c:v>
                </c:pt>
                <c:pt idx="10">
                  <c:v>6.5786514282226563</c:v>
                </c:pt>
                <c:pt idx="11">
                  <c:v>6.3484025001525879</c:v>
                </c:pt>
                <c:pt idx="12">
                  <c:v>6.465273380279541</c:v>
                </c:pt>
                <c:pt idx="13">
                  <c:v>5.330930233001709</c:v>
                </c:pt>
                <c:pt idx="14">
                  <c:v>5.6430830955505371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4B-4F79-B74E-201921A25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  <c:max val="18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5'!$B$2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5'!$B$3:$B$17</c:f>
              <c:numCache>
                <c:formatCode>#,##0.0</c:formatCode>
                <c:ptCount val="15"/>
                <c:pt idx="0">
                  <c:v>12.646281242370605</c:v>
                </c:pt>
                <c:pt idx="1">
                  <c:v>11.536758422851563</c:v>
                </c:pt>
                <c:pt idx="2">
                  <c:v>11.06525707244873</c:v>
                </c:pt>
                <c:pt idx="3">
                  <c:v>10.121403694152832</c:v>
                </c:pt>
                <c:pt idx="4">
                  <c:v>10.821671485900879</c:v>
                </c:pt>
                <c:pt idx="5">
                  <c:v>9.5029335021972656</c:v>
                </c:pt>
                <c:pt idx="6">
                  <c:v>8.4541292190551758</c:v>
                </c:pt>
                <c:pt idx="7">
                  <c:v>7.2484850883483887</c:v>
                </c:pt>
                <c:pt idx="8">
                  <c:v>7.0461273193359375</c:v>
                </c:pt>
                <c:pt idx="9">
                  <c:v>6.4046993255615234</c:v>
                </c:pt>
                <c:pt idx="10">
                  <c:v>5.8237042427062988</c:v>
                </c:pt>
                <c:pt idx="11">
                  <c:v>5.4340925216674805</c:v>
                </c:pt>
                <c:pt idx="12">
                  <c:v>5.4973363876342773</c:v>
                </c:pt>
                <c:pt idx="13">
                  <c:v>5.0725679397583008</c:v>
                </c:pt>
                <c:pt idx="14">
                  <c:v>5.1967906951904297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2-4311-B5D1-57E46FBF4F19}"/>
            </c:ext>
          </c:extLst>
        </c:ser>
        <c:ser>
          <c:idx val="1"/>
          <c:order val="1"/>
          <c:tx>
            <c:strRef>
              <c:f>'Tabla 5'!$C$2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5'!$C$3:$C$17</c:f>
              <c:numCache>
                <c:formatCode>#,##0.0</c:formatCode>
                <c:ptCount val="15"/>
                <c:pt idx="0">
                  <c:v>7.4270291328430176</c:v>
                </c:pt>
                <c:pt idx="1">
                  <c:v>7.4626688957214355</c:v>
                </c:pt>
                <c:pt idx="2">
                  <c:v>6.791351318359375</c:v>
                </c:pt>
                <c:pt idx="3">
                  <c:v>5.9389281272888184</c:v>
                </c:pt>
                <c:pt idx="4">
                  <c:v>5.0564618110656738</c:v>
                </c:pt>
                <c:pt idx="5">
                  <c:v>4.7965655326843262</c:v>
                </c:pt>
                <c:pt idx="6">
                  <c:v>4.3747501373291016</c:v>
                </c:pt>
                <c:pt idx="7">
                  <c:v>3.4479198455810547</c:v>
                </c:pt>
                <c:pt idx="8">
                  <c:v>3.2051980495452881</c:v>
                </c:pt>
                <c:pt idx="9">
                  <c:v>3.045499324798584</c:v>
                </c:pt>
                <c:pt idx="10">
                  <c:v>2.6739704608917236</c:v>
                </c:pt>
                <c:pt idx="11">
                  <c:v>2.6394188404083252</c:v>
                </c:pt>
                <c:pt idx="12">
                  <c:v>2.6558010578155518</c:v>
                </c:pt>
                <c:pt idx="13">
                  <c:v>2.6248531341552734</c:v>
                </c:pt>
                <c:pt idx="14">
                  <c:v>2.7629482746124268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22-4311-B5D1-57E46FBF4F19}"/>
            </c:ext>
          </c:extLst>
        </c:ser>
        <c:ser>
          <c:idx val="2"/>
          <c:order val="2"/>
          <c:tx>
            <c:strRef>
              <c:f>'Tabla 5'!$D$2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5'!$D$3:$D$17</c:f>
              <c:numCache>
                <c:formatCode>#,##0.0</c:formatCode>
                <c:ptCount val="15"/>
                <c:pt idx="0">
                  <c:v>16.290250778198242</c:v>
                </c:pt>
                <c:pt idx="1">
                  <c:v>14.830615997314453</c:v>
                </c:pt>
                <c:pt idx="2">
                  <c:v>14.047096252441406</c:v>
                </c:pt>
                <c:pt idx="3">
                  <c:v>12.90585994720459</c:v>
                </c:pt>
                <c:pt idx="4">
                  <c:v>14.745810508728027</c:v>
                </c:pt>
                <c:pt idx="5">
                  <c:v>12.797422409057617</c:v>
                </c:pt>
                <c:pt idx="6">
                  <c:v>11.10440731048584</c:v>
                </c:pt>
                <c:pt idx="7">
                  <c:v>9.9877338409423828</c:v>
                </c:pt>
                <c:pt idx="8">
                  <c:v>9.6195011138916016</c:v>
                </c:pt>
                <c:pt idx="9">
                  <c:v>8.9180202484130859</c:v>
                </c:pt>
                <c:pt idx="10">
                  <c:v>7.9056406021118164</c:v>
                </c:pt>
                <c:pt idx="11">
                  <c:v>7.2382006645202637</c:v>
                </c:pt>
                <c:pt idx="12">
                  <c:v>7.7273812294006348</c:v>
                </c:pt>
                <c:pt idx="13">
                  <c:v>7.2179555892944336</c:v>
                </c:pt>
                <c:pt idx="14">
                  <c:v>7.0490498542785645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22-4311-B5D1-57E46FBF4F19}"/>
            </c:ext>
          </c:extLst>
        </c:ser>
        <c:ser>
          <c:idx val="3"/>
          <c:order val="3"/>
          <c:tx>
            <c:strRef>
              <c:f>'Tabla 5'!$E$2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5'!$E$3:$E$17</c:f>
              <c:numCache>
                <c:formatCode>#,##0.0</c:formatCode>
                <c:ptCount val="15"/>
                <c:pt idx="0">
                  <c:v>17.380990982055664</c:v>
                </c:pt>
                <c:pt idx="1">
                  <c:v>14.757376670837402</c:v>
                </c:pt>
                <c:pt idx="2">
                  <c:v>15.041489601135254</c:v>
                </c:pt>
                <c:pt idx="3">
                  <c:v>14.220385551452637</c:v>
                </c:pt>
                <c:pt idx="4">
                  <c:v>16.531894683837891</c:v>
                </c:pt>
                <c:pt idx="5">
                  <c:v>14.088325500488281</c:v>
                </c:pt>
                <c:pt idx="6">
                  <c:v>12.728764533996582</c:v>
                </c:pt>
                <c:pt idx="7">
                  <c:v>10.908215522766113</c:v>
                </c:pt>
                <c:pt idx="8">
                  <c:v>11.028373718261719</c:v>
                </c:pt>
                <c:pt idx="9">
                  <c:v>9.5587978363037109</c:v>
                </c:pt>
                <c:pt idx="10">
                  <c:v>9.171147346496582</c:v>
                </c:pt>
                <c:pt idx="11">
                  <c:v>8.4809322357177734</c:v>
                </c:pt>
                <c:pt idx="12">
                  <c:v>8.0653257369995117</c:v>
                </c:pt>
                <c:pt idx="13">
                  <c:v>7.0876846313476563</c:v>
                </c:pt>
                <c:pt idx="14">
                  <c:v>7.4955477714538574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22-4311-B5D1-57E46FBF4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'Tabla 5'!$B$2</c:f>
              <c:strCache>
                <c:ptCount val="1"/>
                <c:pt idx="0">
                  <c:v>Total nacional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5'!$F$3:$F$17</c:f>
              <c:numCache>
                <c:formatCode>#,##0.0</c:formatCode>
                <c:ptCount val="15"/>
                <c:pt idx="0">
                  <c:v>3.6983346939086914</c:v>
                </c:pt>
                <c:pt idx="1">
                  <c:v>3.11244797706604</c:v>
                </c:pt>
                <c:pt idx="2">
                  <c:v>2.8364865779876709</c:v>
                </c:pt>
                <c:pt idx="3">
                  <c:v>2.5063140392303467</c:v>
                </c:pt>
                <c:pt idx="4">
                  <c:v>3.9523298740386963</c:v>
                </c:pt>
                <c:pt idx="5">
                  <c:v>3.0474379062652588</c:v>
                </c:pt>
                <c:pt idx="6">
                  <c:v>2.5390057563781738</c:v>
                </c:pt>
                <c:pt idx="7">
                  <c:v>2.0224745273590088</c:v>
                </c:pt>
                <c:pt idx="8">
                  <c:v>2.0719451904296875</c:v>
                </c:pt>
                <c:pt idx="9">
                  <c:v>1.8294616937637329</c:v>
                </c:pt>
                <c:pt idx="10">
                  <c:v>1.6688942909240723</c:v>
                </c:pt>
                <c:pt idx="11">
                  <c:v>1.5720375776290894</c:v>
                </c:pt>
                <c:pt idx="12">
                  <c:v>1.7354797124862671</c:v>
                </c:pt>
                <c:pt idx="13">
                  <c:v>1.5000764131546021</c:v>
                </c:pt>
                <c:pt idx="14">
                  <c:v>1.5609755516052246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9-40F5-82E6-75F5AC69FBB1}"/>
            </c:ext>
          </c:extLst>
        </c:ser>
        <c:ser>
          <c:idx val="1"/>
          <c:order val="1"/>
          <c:tx>
            <c:strRef>
              <c:f>'Tabla 5'!$C$2</c:f>
              <c:strCache>
                <c:ptCount val="1"/>
                <c:pt idx="0">
                  <c:v>Principales ciudades</c:v>
                </c:pt>
              </c:strCache>
            </c:strRef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5'!$G$3:$G$17</c:f>
              <c:numCache>
                <c:formatCode>#,##0.0</c:formatCode>
                <c:ptCount val="15"/>
                <c:pt idx="0">
                  <c:v>1.556721568107605</c:v>
                </c:pt>
                <c:pt idx="1">
                  <c:v>1.4516253471374512</c:v>
                </c:pt>
                <c:pt idx="2">
                  <c:v>1.3803051710128784</c:v>
                </c:pt>
                <c:pt idx="3">
                  <c:v>1.0641170740127563</c:v>
                </c:pt>
                <c:pt idx="4">
                  <c:v>1.2543526887893677</c:v>
                </c:pt>
                <c:pt idx="5">
                  <c:v>1.1929848194122314</c:v>
                </c:pt>
                <c:pt idx="6">
                  <c:v>1.0946974754333496</c:v>
                </c:pt>
                <c:pt idx="7">
                  <c:v>0.75957298278808594</c:v>
                </c:pt>
                <c:pt idx="8">
                  <c:v>0.72233831882476807</c:v>
                </c:pt>
                <c:pt idx="9">
                  <c:v>0.77509611845016479</c:v>
                </c:pt>
                <c:pt idx="10">
                  <c:v>0.70494425296783447</c:v>
                </c:pt>
                <c:pt idx="11">
                  <c:v>0.78596514463424683</c:v>
                </c:pt>
                <c:pt idx="12">
                  <c:v>0.79174906015396118</c:v>
                </c:pt>
                <c:pt idx="13">
                  <c:v>0.80452847480773926</c:v>
                </c:pt>
                <c:pt idx="14">
                  <c:v>0.85290676355361938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9-40F5-82E6-75F5AC69FBB1}"/>
            </c:ext>
          </c:extLst>
        </c:ser>
        <c:ser>
          <c:idx val="2"/>
          <c:order val="2"/>
          <c:tx>
            <c:strRef>
              <c:f>'Tabla 5'!$D$2</c:f>
              <c:strCache>
                <c:ptCount val="1"/>
                <c:pt idx="0">
                  <c:v>Resto urbano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5'!$H$3:$H$17</c:f>
              <c:numCache>
                <c:formatCode>#,##0.0</c:formatCode>
                <c:ptCount val="15"/>
                <c:pt idx="0">
                  <c:v>3.6877033710479736</c:v>
                </c:pt>
                <c:pt idx="1">
                  <c:v>3.2489852905273438</c:v>
                </c:pt>
                <c:pt idx="2">
                  <c:v>2.60817551612854</c:v>
                </c:pt>
                <c:pt idx="3">
                  <c:v>2.2804217338562012</c:v>
                </c:pt>
                <c:pt idx="4">
                  <c:v>4.4473276138305664</c:v>
                </c:pt>
                <c:pt idx="5">
                  <c:v>3.2266249656677246</c:v>
                </c:pt>
                <c:pt idx="6">
                  <c:v>2.4209229946136475</c:v>
                </c:pt>
                <c:pt idx="7">
                  <c:v>2.1351265907287598</c:v>
                </c:pt>
                <c:pt idx="8">
                  <c:v>2.1801605224609375</c:v>
                </c:pt>
                <c:pt idx="9">
                  <c:v>1.96037757396698</c:v>
                </c:pt>
                <c:pt idx="10">
                  <c:v>1.7023869752883911</c:v>
                </c:pt>
                <c:pt idx="11">
                  <c:v>1.4518489837646484</c:v>
                </c:pt>
                <c:pt idx="12">
                  <c:v>1.8970315456390381</c:v>
                </c:pt>
                <c:pt idx="13">
                  <c:v>1.6419486999511719</c:v>
                </c:pt>
                <c:pt idx="14">
                  <c:v>1.5179766416549683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69-40F5-82E6-75F5AC69FBB1}"/>
            </c:ext>
          </c:extLst>
        </c:ser>
        <c:ser>
          <c:idx val="3"/>
          <c:order val="3"/>
          <c:tx>
            <c:strRef>
              <c:f>'Tabla 5'!$E$2</c:f>
              <c:strCache>
                <c:ptCount val="1"/>
                <c:pt idx="0">
                  <c:v>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'Tabla 5'!$A$3:$A$17</c:f>
              <c:numCache>
                <c:formatCode>General</c:formatCode>
                <c:ptCount val="15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</c:numCache>
            </c:numRef>
          </c:xVal>
          <c:yVal>
            <c:numRef>
              <c:f>'Tabla 5'!$I$3:$I$17</c:f>
              <c:numCache>
                <c:formatCode>#,##0.0</c:formatCode>
                <c:ptCount val="15"/>
                <c:pt idx="0">
                  <c:v>7.3537030220031738</c:v>
                </c:pt>
                <c:pt idx="1">
                  <c:v>5.8268933296203613</c:v>
                </c:pt>
                <c:pt idx="2">
                  <c:v>5.666295051574707</c:v>
                </c:pt>
                <c:pt idx="3">
                  <c:v>5.3528456687927246</c:v>
                </c:pt>
                <c:pt idx="4">
                  <c:v>8.3214855194091797</c:v>
                </c:pt>
                <c:pt idx="5">
                  <c:v>6.2885160446166992</c:v>
                </c:pt>
                <c:pt idx="6">
                  <c:v>5.4246320724487305</c:v>
                </c:pt>
                <c:pt idx="7">
                  <c:v>4.2871546745300293</c:v>
                </c:pt>
                <c:pt idx="8">
                  <c:v>4.5280976295471191</c:v>
                </c:pt>
                <c:pt idx="9">
                  <c:v>3.7025249004364014</c:v>
                </c:pt>
                <c:pt idx="10">
                  <c:v>3.5119130611419678</c:v>
                </c:pt>
                <c:pt idx="11">
                  <c:v>3.2884142398834229</c:v>
                </c:pt>
                <c:pt idx="12">
                  <c:v>3.3885715007781982</c:v>
                </c:pt>
                <c:pt idx="13">
                  <c:v>2.7138874530792236</c:v>
                </c:pt>
                <c:pt idx="14">
                  <c:v>3.0475492477416992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69-40F5-82E6-75F5AC69F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712000"/>
        <c:axId val="411717248"/>
      </c:scatterChart>
      <c:valAx>
        <c:axId val="411712000"/>
        <c:scaling>
          <c:orientation val="minMax"/>
          <c:max val="2018"/>
          <c:min val="200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7248"/>
        <c:crosses val="autoZero"/>
        <c:crossBetween val="midCat"/>
        <c:majorUnit val="1"/>
      </c:valAx>
      <c:valAx>
        <c:axId val="411717248"/>
        <c:scaling>
          <c:orientation val="minMax"/>
          <c:max val="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1712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6'!$Q$2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6'!$P$3:$P$15</c:f>
              <c:strCache>
                <c:ptCount val="13"/>
                <c:pt idx="0">
                  <c:v>Cúcuta</c:v>
                </c:pt>
                <c:pt idx="1">
                  <c:v>Montería</c:v>
                </c:pt>
                <c:pt idx="2">
                  <c:v>Cartagena</c:v>
                </c:pt>
                <c:pt idx="3">
                  <c:v>Pasto</c:v>
                </c:pt>
                <c:pt idx="4">
                  <c:v>Barranquilla</c:v>
                </c:pt>
                <c:pt idx="5">
                  <c:v>Ibagué</c:v>
                </c:pt>
                <c:pt idx="6">
                  <c:v>Manizales</c:v>
                </c:pt>
                <c:pt idx="7">
                  <c:v>Medellín</c:v>
                </c:pt>
                <c:pt idx="8">
                  <c:v>Villavicencio</c:v>
                </c:pt>
                <c:pt idx="9">
                  <c:v>Bucaramanga</c:v>
                </c:pt>
                <c:pt idx="10">
                  <c:v>Cali</c:v>
                </c:pt>
                <c:pt idx="11">
                  <c:v>Pereira</c:v>
                </c:pt>
                <c:pt idx="12">
                  <c:v>Bogotá</c:v>
                </c:pt>
              </c:strCache>
            </c:strRef>
          </c:cat>
          <c:val>
            <c:numRef>
              <c:f>'Tabla 6'!$Q$3:$Q$15</c:f>
              <c:numCache>
                <c:formatCode>0.0</c:formatCode>
                <c:ptCount val="13"/>
                <c:pt idx="0">
                  <c:v>52.86279296875</c:v>
                </c:pt>
                <c:pt idx="1">
                  <c:v>48.665122985839844</c:v>
                </c:pt>
                <c:pt idx="2">
                  <c:v>47.718971252441406</c:v>
                </c:pt>
                <c:pt idx="3">
                  <c:v>44.679496765136719</c:v>
                </c:pt>
                <c:pt idx="4">
                  <c:v>43.097087860107422</c:v>
                </c:pt>
                <c:pt idx="5">
                  <c:v>38.160659790039063</c:v>
                </c:pt>
                <c:pt idx="6">
                  <c:v>37.030666351318359</c:v>
                </c:pt>
                <c:pt idx="7">
                  <c:v>36.139499664306641</c:v>
                </c:pt>
                <c:pt idx="8">
                  <c:v>33.922077178955078</c:v>
                </c:pt>
                <c:pt idx="9">
                  <c:v>33.522819519042969</c:v>
                </c:pt>
                <c:pt idx="10">
                  <c:v>33.112995147705078</c:v>
                </c:pt>
                <c:pt idx="11">
                  <c:v>32.092311859130859</c:v>
                </c:pt>
                <c:pt idx="12">
                  <c:v>31.345975875854492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1-4E50-88DA-A304244414EB}"/>
            </c:ext>
          </c:extLst>
        </c:ser>
        <c:ser>
          <c:idx val="1"/>
          <c:order val="1"/>
          <c:tx>
            <c:strRef>
              <c:f>'Tabla 6'!$R$2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6'!$P$3:$P$15</c:f>
              <c:strCache>
                <c:ptCount val="13"/>
                <c:pt idx="0">
                  <c:v>Cúcuta</c:v>
                </c:pt>
                <c:pt idx="1">
                  <c:v>Montería</c:v>
                </c:pt>
                <c:pt idx="2">
                  <c:v>Cartagena</c:v>
                </c:pt>
                <c:pt idx="3">
                  <c:v>Pasto</c:v>
                </c:pt>
                <c:pt idx="4">
                  <c:v>Barranquilla</c:v>
                </c:pt>
                <c:pt idx="5">
                  <c:v>Ibagué</c:v>
                </c:pt>
                <c:pt idx="6">
                  <c:v>Manizales</c:v>
                </c:pt>
                <c:pt idx="7">
                  <c:v>Medellín</c:v>
                </c:pt>
                <c:pt idx="8">
                  <c:v>Villavicencio</c:v>
                </c:pt>
                <c:pt idx="9">
                  <c:v>Bucaramanga</c:v>
                </c:pt>
                <c:pt idx="10">
                  <c:v>Cali</c:v>
                </c:pt>
                <c:pt idx="11">
                  <c:v>Pereira</c:v>
                </c:pt>
                <c:pt idx="12">
                  <c:v>Bogotá</c:v>
                </c:pt>
              </c:strCache>
            </c:strRef>
          </c:cat>
          <c:val>
            <c:numRef>
              <c:f>'Tabla 6'!$R$3:$R$15</c:f>
              <c:numCache>
                <c:formatCode>0.0</c:formatCode>
                <c:ptCount val="13"/>
                <c:pt idx="0">
                  <c:v>36.188556671142578</c:v>
                </c:pt>
                <c:pt idx="1">
                  <c:v>27.501991271972656</c:v>
                </c:pt>
                <c:pt idx="2">
                  <c:v>25.930797576904297</c:v>
                </c:pt>
                <c:pt idx="3">
                  <c:v>25.438892364501953</c:v>
                </c:pt>
                <c:pt idx="4">
                  <c:v>21.087165832519531</c:v>
                </c:pt>
                <c:pt idx="5">
                  <c:v>18.127588272094727</c:v>
                </c:pt>
                <c:pt idx="6">
                  <c:v>11.900731086730957</c:v>
                </c:pt>
                <c:pt idx="7">
                  <c:v>13.87612247467041</c:v>
                </c:pt>
                <c:pt idx="8">
                  <c:v>18.0546875</c:v>
                </c:pt>
                <c:pt idx="9">
                  <c:v>14.491611480712891</c:v>
                </c:pt>
                <c:pt idx="10">
                  <c:v>15.711861610412598</c:v>
                </c:pt>
                <c:pt idx="11">
                  <c:v>14.609869956970215</c:v>
                </c:pt>
                <c:pt idx="12">
                  <c:v>12.420042991638184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1-4E50-88DA-A304244414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0831024"/>
        <c:axId val="540835288"/>
      </c:barChart>
      <c:catAx>
        <c:axId val="54083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0835288"/>
        <c:crosses val="autoZero"/>
        <c:auto val="1"/>
        <c:lblAlgn val="ctr"/>
        <c:lblOffset val="100"/>
        <c:noMultiLvlLbl val="0"/>
      </c:catAx>
      <c:valAx>
        <c:axId val="540835288"/>
        <c:scaling>
          <c:orientation val="minMax"/>
          <c:max val="7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08310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6'!$Q$20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6'!$P$21:$P$33</c:f>
              <c:strCache>
                <c:ptCount val="13"/>
                <c:pt idx="0">
                  <c:v>Cúcuta</c:v>
                </c:pt>
                <c:pt idx="1">
                  <c:v>Montería</c:v>
                </c:pt>
                <c:pt idx="2">
                  <c:v>Pasto</c:v>
                </c:pt>
                <c:pt idx="3">
                  <c:v>Cartagena</c:v>
                </c:pt>
                <c:pt idx="4">
                  <c:v>Barranquilla</c:v>
                </c:pt>
                <c:pt idx="5">
                  <c:v>Ibagué</c:v>
                </c:pt>
                <c:pt idx="6">
                  <c:v>Manizales</c:v>
                </c:pt>
                <c:pt idx="7">
                  <c:v>Medellín</c:v>
                </c:pt>
                <c:pt idx="8">
                  <c:v>Villavicencio</c:v>
                </c:pt>
                <c:pt idx="9">
                  <c:v>Bogotá</c:v>
                </c:pt>
                <c:pt idx="10">
                  <c:v>Cali</c:v>
                </c:pt>
                <c:pt idx="11">
                  <c:v>Bucaramanga</c:v>
                </c:pt>
                <c:pt idx="12">
                  <c:v>Pereira</c:v>
                </c:pt>
              </c:strCache>
            </c:strRef>
          </c:cat>
          <c:val>
            <c:numRef>
              <c:f>'Tabla 6'!$Q$21:$Q$33</c:f>
              <c:numCache>
                <c:formatCode>0.0</c:formatCode>
                <c:ptCount val="13"/>
                <c:pt idx="0">
                  <c:v>20.424325942993164</c:v>
                </c:pt>
                <c:pt idx="1">
                  <c:v>18.828195571899414</c:v>
                </c:pt>
                <c:pt idx="2">
                  <c:v>18.489391326904297</c:v>
                </c:pt>
                <c:pt idx="3">
                  <c:v>17.890142440795898</c:v>
                </c:pt>
                <c:pt idx="4">
                  <c:v>16.274669647216797</c:v>
                </c:pt>
                <c:pt idx="5">
                  <c:v>14.639001846313477</c:v>
                </c:pt>
                <c:pt idx="6">
                  <c:v>14.094773292541504</c:v>
                </c:pt>
                <c:pt idx="7">
                  <c:v>14.063553810119629</c:v>
                </c:pt>
                <c:pt idx="8">
                  <c:v>12.761795043945313</c:v>
                </c:pt>
                <c:pt idx="9">
                  <c:v>12.543070793151855</c:v>
                </c:pt>
                <c:pt idx="10">
                  <c:v>12.233553886413574</c:v>
                </c:pt>
                <c:pt idx="11">
                  <c:v>12.04807186126709</c:v>
                </c:pt>
                <c:pt idx="12">
                  <c:v>10.501593589782715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7-4BDD-92E5-E23D47286C6B}"/>
            </c:ext>
          </c:extLst>
        </c:ser>
        <c:ser>
          <c:idx val="1"/>
          <c:order val="1"/>
          <c:tx>
            <c:strRef>
              <c:f>'Tabla 6'!$R$20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6'!$P$21:$P$33</c:f>
              <c:strCache>
                <c:ptCount val="13"/>
                <c:pt idx="0">
                  <c:v>Cúcuta</c:v>
                </c:pt>
                <c:pt idx="1">
                  <c:v>Montería</c:v>
                </c:pt>
                <c:pt idx="2">
                  <c:v>Pasto</c:v>
                </c:pt>
                <c:pt idx="3">
                  <c:v>Cartagena</c:v>
                </c:pt>
                <c:pt idx="4">
                  <c:v>Barranquilla</c:v>
                </c:pt>
                <c:pt idx="5">
                  <c:v>Ibagué</c:v>
                </c:pt>
                <c:pt idx="6">
                  <c:v>Manizales</c:v>
                </c:pt>
                <c:pt idx="7">
                  <c:v>Medellín</c:v>
                </c:pt>
                <c:pt idx="8">
                  <c:v>Villavicencio</c:v>
                </c:pt>
                <c:pt idx="9">
                  <c:v>Bogotá</c:v>
                </c:pt>
                <c:pt idx="10">
                  <c:v>Cali</c:v>
                </c:pt>
                <c:pt idx="11">
                  <c:v>Bucaramanga</c:v>
                </c:pt>
                <c:pt idx="12">
                  <c:v>Pereira</c:v>
                </c:pt>
              </c:strCache>
            </c:strRef>
          </c:cat>
          <c:val>
            <c:numRef>
              <c:f>'Tabla 6'!$R$21:$R$33</c:f>
              <c:numCache>
                <c:formatCode>0.0</c:formatCode>
                <c:ptCount val="13"/>
                <c:pt idx="0">
                  <c:v>12.832697868347168</c:v>
                </c:pt>
                <c:pt idx="1">
                  <c:v>9.0409450531005859</c:v>
                </c:pt>
                <c:pt idx="2">
                  <c:v>8.2633132934570313</c:v>
                </c:pt>
                <c:pt idx="3">
                  <c:v>7.7868080139160156</c:v>
                </c:pt>
                <c:pt idx="4">
                  <c:v>5.8592548370361328</c:v>
                </c:pt>
                <c:pt idx="5">
                  <c:v>5.8541665077209473</c:v>
                </c:pt>
                <c:pt idx="6">
                  <c:v>4.0452361106872559</c:v>
                </c:pt>
                <c:pt idx="7">
                  <c:v>4.8362388610839844</c:v>
                </c:pt>
                <c:pt idx="8">
                  <c:v>6.4537925720214844</c:v>
                </c:pt>
                <c:pt idx="9">
                  <c:v>4.2878966331481934</c:v>
                </c:pt>
                <c:pt idx="10">
                  <c:v>5.3859567642211914</c:v>
                </c:pt>
                <c:pt idx="11">
                  <c:v>4.0637707710266113</c:v>
                </c:pt>
                <c:pt idx="12">
                  <c:v>4.1872577667236328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7-4BDD-92E5-E23D47286C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2142448"/>
        <c:axId val="512144088"/>
      </c:barChart>
      <c:catAx>
        <c:axId val="51214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2144088"/>
        <c:crosses val="autoZero"/>
        <c:auto val="1"/>
        <c:lblAlgn val="ctr"/>
        <c:lblOffset val="100"/>
        <c:noMultiLvlLbl val="0"/>
      </c:catAx>
      <c:valAx>
        <c:axId val="512144088"/>
        <c:scaling>
          <c:orientation val="minMax"/>
          <c:max val="3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214244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6'!$Q$38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6'!$P$39:$P$51</c:f>
              <c:strCache>
                <c:ptCount val="13"/>
                <c:pt idx="0">
                  <c:v>Cúcuta</c:v>
                </c:pt>
                <c:pt idx="1">
                  <c:v>Pasto</c:v>
                </c:pt>
                <c:pt idx="2">
                  <c:v>Montería</c:v>
                </c:pt>
                <c:pt idx="3">
                  <c:v>Cartagena</c:v>
                </c:pt>
                <c:pt idx="4">
                  <c:v>Barranquilla</c:v>
                </c:pt>
                <c:pt idx="5">
                  <c:v>Ibagué</c:v>
                </c:pt>
                <c:pt idx="6">
                  <c:v>Medellín</c:v>
                </c:pt>
                <c:pt idx="7">
                  <c:v>Manizales</c:v>
                </c:pt>
                <c:pt idx="8">
                  <c:v>Bogotá</c:v>
                </c:pt>
                <c:pt idx="9">
                  <c:v>Villavicencio</c:v>
                </c:pt>
                <c:pt idx="10">
                  <c:v>Cali</c:v>
                </c:pt>
                <c:pt idx="11">
                  <c:v>Bucaramanga</c:v>
                </c:pt>
                <c:pt idx="12">
                  <c:v>Pereira</c:v>
                </c:pt>
              </c:strCache>
            </c:strRef>
          </c:cat>
          <c:val>
            <c:numRef>
              <c:f>'Tabla 6'!$Q$39:$Q$51</c:f>
              <c:numCache>
                <c:formatCode>0.0</c:formatCode>
                <c:ptCount val="13"/>
                <c:pt idx="0">
                  <c:v>10.611623764038086</c:v>
                </c:pt>
                <c:pt idx="1">
                  <c:v>10.009566307067871</c:v>
                </c:pt>
                <c:pt idx="2">
                  <c:v>9.6982765197753906</c:v>
                </c:pt>
                <c:pt idx="3">
                  <c:v>9.0022964477539063</c:v>
                </c:pt>
                <c:pt idx="4">
                  <c:v>8.2844352722167969</c:v>
                </c:pt>
                <c:pt idx="5">
                  <c:v>7.9118461608886719</c:v>
                </c:pt>
                <c:pt idx="6">
                  <c:v>7.7511134147644043</c:v>
                </c:pt>
                <c:pt idx="7">
                  <c:v>7.6454019546508789</c:v>
                </c:pt>
                <c:pt idx="8">
                  <c:v>7.0165386199951172</c:v>
                </c:pt>
                <c:pt idx="9">
                  <c:v>6.8188042640686035</c:v>
                </c:pt>
                <c:pt idx="10">
                  <c:v>6.4249234199523926</c:v>
                </c:pt>
                <c:pt idx="11">
                  <c:v>6.2613430023193359</c:v>
                </c:pt>
                <c:pt idx="12">
                  <c:v>4.9310159683227539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E-4101-8B96-4F9D9E8A6598}"/>
            </c:ext>
          </c:extLst>
        </c:ser>
        <c:ser>
          <c:idx val="1"/>
          <c:order val="1"/>
          <c:tx>
            <c:strRef>
              <c:f>'Tabla 6'!$R$38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6'!$P$39:$P$51</c:f>
              <c:strCache>
                <c:ptCount val="13"/>
                <c:pt idx="0">
                  <c:v>Cúcuta</c:v>
                </c:pt>
                <c:pt idx="1">
                  <c:v>Pasto</c:v>
                </c:pt>
                <c:pt idx="2">
                  <c:v>Montería</c:v>
                </c:pt>
                <c:pt idx="3">
                  <c:v>Cartagena</c:v>
                </c:pt>
                <c:pt idx="4">
                  <c:v>Barranquilla</c:v>
                </c:pt>
                <c:pt idx="5">
                  <c:v>Ibagué</c:v>
                </c:pt>
                <c:pt idx="6">
                  <c:v>Medellín</c:v>
                </c:pt>
                <c:pt idx="7">
                  <c:v>Manizales</c:v>
                </c:pt>
                <c:pt idx="8">
                  <c:v>Bogotá</c:v>
                </c:pt>
                <c:pt idx="9">
                  <c:v>Villavicencio</c:v>
                </c:pt>
                <c:pt idx="10">
                  <c:v>Cali</c:v>
                </c:pt>
                <c:pt idx="11">
                  <c:v>Bucaramanga</c:v>
                </c:pt>
                <c:pt idx="12">
                  <c:v>Pereira</c:v>
                </c:pt>
              </c:strCache>
            </c:strRef>
          </c:cat>
          <c:val>
            <c:numRef>
              <c:f>'Tabla 6'!$R$39:$R$51</c:f>
              <c:numCache>
                <c:formatCode>0.0</c:formatCode>
                <c:ptCount val="13"/>
                <c:pt idx="0">
                  <c:v>6.7785186767578125</c:v>
                </c:pt>
                <c:pt idx="1">
                  <c:v>3.9471008777618408</c:v>
                </c:pt>
                <c:pt idx="2">
                  <c:v>4.3111791610717773</c:v>
                </c:pt>
                <c:pt idx="3">
                  <c:v>3.613694429397583</c:v>
                </c:pt>
                <c:pt idx="4">
                  <c:v>2.4711651802062988</c:v>
                </c:pt>
                <c:pt idx="5">
                  <c:v>2.9103810787200928</c:v>
                </c:pt>
                <c:pt idx="6">
                  <c:v>2.6063747406005859</c:v>
                </c:pt>
                <c:pt idx="7">
                  <c:v>2.1675803661346436</c:v>
                </c:pt>
                <c:pt idx="8">
                  <c:v>2.363778829574585</c:v>
                </c:pt>
                <c:pt idx="9">
                  <c:v>3.6105501651763916</c:v>
                </c:pt>
                <c:pt idx="10">
                  <c:v>2.923126220703125</c:v>
                </c:pt>
                <c:pt idx="11">
                  <c:v>1.8923189640045166</c:v>
                </c:pt>
                <c:pt idx="12">
                  <c:v>1.9311193227767944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E-4101-8B96-4F9D9E8A65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4743856"/>
        <c:axId val="524743528"/>
      </c:barChart>
      <c:catAx>
        <c:axId val="5247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4743528"/>
        <c:crosses val="autoZero"/>
        <c:auto val="1"/>
        <c:lblAlgn val="ctr"/>
        <c:lblOffset val="100"/>
        <c:noMultiLvlLbl val="0"/>
      </c:catAx>
      <c:valAx>
        <c:axId val="524743528"/>
        <c:scaling>
          <c:orientation val="minMax"/>
          <c:max val="15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47438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7'!$Q$2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7'!$P$3:$P$15</c:f>
              <c:strCache>
                <c:ptCount val="13"/>
                <c:pt idx="0">
                  <c:v>Cúcuta</c:v>
                </c:pt>
                <c:pt idx="1">
                  <c:v>Pasto</c:v>
                </c:pt>
                <c:pt idx="2">
                  <c:v>Montería</c:v>
                </c:pt>
                <c:pt idx="3">
                  <c:v>Cartagena</c:v>
                </c:pt>
                <c:pt idx="4">
                  <c:v>Barranquilla</c:v>
                </c:pt>
                <c:pt idx="5">
                  <c:v>Ibagué</c:v>
                </c:pt>
                <c:pt idx="6">
                  <c:v>Medellín</c:v>
                </c:pt>
                <c:pt idx="7">
                  <c:v>Villavicencio</c:v>
                </c:pt>
                <c:pt idx="8">
                  <c:v>Manizales</c:v>
                </c:pt>
                <c:pt idx="9">
                  <c:v>Bogotá</c:v>
                </c:pt>
                <c:pt idx="10">
                  <c:v>Cali</c:v>
                </c:pt>
                <c:pt idx="11">
                  <c:v>Bucaramanga</c:v>
                </c:pt>
                <c:pt idx="12">
                  <c:v>Pereira</c:v>
                </c:pt>
              </c:strCache>
            </c:strRef>
          </c:cat>
          <c:val>
            <c:numRef>
              <c:f>'Tabla 7'!$Q$3:$Q$15</c:f>
              <c:numCache>
                <c:formatCode>0.0</c:formatCode>
                <c:ptCount val="13"/>
                <c:pt idx="0">
                  <c:v>11.069615364074707</c:v>
                </c:pt>
                <c:pt idx="1">
                  <c:v>10.810505867004395</c:v>
                </c:pt>
                <c:pt idx="2">
                  <c:v>9.531733512878418</c:v>
                </c:pt>
                <c:pt idx="3">
                  <c:v>9.4850835800170898</c:v>
                </c:pt>
                <c:pt idx="4">
                  <c:v>8.4546175003051758</c:v>
                </c:pt>
                <c:pt idx="5">
                  <c:v>8.4059286117553711</c:v>
                </c:pt>
                <c:pt idx="6">
                  <c:v>7.877110481262207</c:v>
                </c:pt>
                <c:pt idx="7">
                  <c:v>7.4426755905151367</c:v>
                </c:pt>
                <c:pt idx="8">
                  <c:v>7.2938308715820313</c:v>
                </c:pt>
                <c:pt idx="9">
                  <c:v>6.9875469207763672</c:v>
                </c:pt>
                <c:pt idx="10">
                  <c:v>6.0818405151367188</c:v>
                </c:pt>
                <c:pt idx="11">
                  <c:v>6.0661988258361816</c:v>
                </c:pt>
                <c:pt idx="12">
                  <c:v>4.0400052070617676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B-4DE1-BED6-AC05A017D333}"/>
            </c:ext>
          </c:extLst>
        </c:ser>
        <c:ser>
          <c:idx val="1"/>
          <c:order val="1"/>
          <c:tx>
            <c:strRef>
              <c:f>'Tabla 7'!$R$2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7'!$P$3:$P$15</c:f>
              <c:strCache>
                <c:ptCount val="13"/>
                <c:pt idx="0">
                  <c:v>Cúcuta</c:v>
                </c:pt>
                <c:pt idx="1">
                  <c:v>Pasto</c:v>
                </c:pt>
                <c:pt idx="2">
                  <c:v>Montería</c:v>
                </c:pt>
                <c:pt idx="3">
                  <c:v>Cartagena</c:v>
                </c:pt>
                <c:pt idx="4">
                  <c:v>Barranquilla</c:v>
                </c:pt>
                <c:pt idx="5">
                  <c:v>Ibagué</c:v>
                </c:pt>
                <c:pt idx="6">
                  <c:v>Medellín</c:v>
                </c:pt>
                <c:pt idx="7">
                  <c:v>Villavicencio</c:v>
                </c:pt>
                <c:pt idx="8">
                  <c:v>Manizales</c:v>
                </c:pt>
                <c:pt idx="9">
                  <c:v>Bogotá</c:v>
                </c:pt>
                <c:pt idx="10">
                  <c:v>Cali</c:v>
                </c:pt>
                <c:pt idx="11">
                  <c:v>Bucaramanga</c:v>
                </c:pt>
                <c:pt idx="12">
                  <c:v>Pereira</c:v>
                </c:pt>
              </c:strCache>
            </c:strRef>
          </c:cat>
          <c:val>
            <c:numRef>
              <c:f>'Tabla 7'!$R$3:$R$15</c:f>
              <c:numCache>
                <c:formatCode>0.0</c:formatCode>
                <c:ptCount val="13"/>
                <c:pt idx="0">
                  <c:v>6.9796109199523926</c:v>
                </c:pt>
                <c:pt idx="1">
                  <c:v>4.1619906425476074</c:v>
                </c:pt>
                <c:pt idx="2">
                  <c:v>3.9328153133392334</c:v>
                </c:pt>
                <c:pt idx="3">
                  <c:v>3.3911418914794922</c:v>
                </c:pt>
                <c:pt idx="4">
                  <c:v>2.2256844043731689</c:v>
                </c:pt>
                <c:pt idx="5">
                  <c:v>2.9705464839935303</c:v>
                </c:pt>
                <c:pt idx="6">
                  <c:v>2.6862013339996338</c:v>
                </c:pt>
                <c:pt idx="7">
                  <c:v>3.8829948902130127</c:v>
                </c:pt>
                <c:pt idx="8">
                  <c:v>2.1334209442138672</c:v>
                </c:pt>
                <c:pt idx="9">
                  <c:v>2.5256009101867676</c:v>
                </c:pt>
                <c:pt idx="10">
                  <c:v>3.4288640022277832</c:v>
                </c:pt>
                <c:pt idx="11">
                  <c:v>1.5500067472457886</c:v>
                </c:pt>
                <c:pt idx="12">
                  <c:v>1.7405334711074829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4B-4DE1-BED6-AC05A017D3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6321640"/>
        <c:axId val="506325904"/>
      </c:barChart>
      <c:catAx>
        <c:axId val="50632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06325904"/>
        <c:crosses val="autoZero"/>
        <c:auto val="1"/>
        <c:lblAlgn val="ctr"/>
        <c:lblOffset val="100"/>
        <c:noMultiLvlLbl val="0"/>
      </c:catAx>
      <c:valAx>
        <c:axId val="506325904"/>
        <c:scaling>
          <c:orientation val="minMax"/>
          <c:max val="15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063216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7'!$Q$20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7'!$P$21:$P$33</c:f>
              <c:strCache>
                <c:ptCount val="13"/>
                <c:pt idx="0">
                  <c:v>Cúcuta</c:v>
                </c:pt>
                <c:pt idx="1">
                  <c:v>Pasto</c:v>
                </c:pt>
                <c:pt idx="2">
                  <c:v>Medellín</c:v>
                </c:pt>
                <c:pt idx="3">
                  <c:v>Ibagué</c:v>
                </c:pt>
                <c:pt idx="4">
                  <c:v>Bogotá</c:v>
                </c:pt>
                <c:pt idx="5">
                  <c:v>Montería</c:v>
                </c:pt>
                <c:pt idx="6">
                  <c:v>Manizales</c:v>
                </c:pt>
                <c:pt idx="7">
                  <c:v>Villavicencio</c:v>
                </c:pt>
                <c:pt idx="8">
                  <c:v>Cartagena</c:v>
                </c:pt>
                <c:pt idx="9">
                  <c:v>Barranquilla</c:v>
                </c:pt>
                <c:pt idx="10">
                  <c:v>Cali</c:v>
                </c:pt>
                <c:pt idx="11">
                  <c:v>Bucaramanga</c:v>
                </c:pt>
                <c:pt idx="12">
                  <c:v>Pereira</c:v>
                </c:pt>
              </c:strCache>
            </c:strRef>
          </c:cat>
          <c:val>
            <c:numRef>
              <c:f>'Tabla 7'!$Q$21:$Q$33</c:f>
              <c:numCache>
                <c:formatCode>0.0</c:formatCode>
                <c:ptCount val="13"/>
                <c:pt idx="0">
                  <c:v>3.5154104232788086</c:v>
                </c:pt>
                <c:pt idx="1">
                  <c:v>3.27217698097229</c:v>
                </c:pt>
                <c:pt idx="2">
                  <c:v>3.0791337490081787</c:v>
                </c:pt>
                <c:pt idx="3">
                  <c:v>2.9123108386993408</c:v>
                </c:pt>
                <c:pt idx="4">
                  <c:v>2.8358535766601563</c:v>
                </c:pt>
                <c:pt idx="5">
                  <c:v>2.8185369968414307</c:v>
                </c:pt>
                <c:pt idx="6">
                  <c:v>2.8040082454681396</c:v>
                </c:pt>
                <c:pt idx="7">
                  <c:v>2.6720511913299561</c:v>
                </c:pt>
                <c:pt idx="8">
                  <c:v>2.5079703330993652</c:v>
                </c:pt>
                <c:pt idx="9">
                  <c:v>2.410275936126709</c:v>
                </c:pt>
                <c:pt idx="10">
                  <c:v>2.2488973140716553</c:v>
                </c:pt>
                <c:pt idx="11">
                  <c:v>2.18178391456604</c:v>
                </c:pt>
                <c:pt idx="12">
                  <c:v>1.2597416639328003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F-4547-B323-CC04B5AC7CAA}"/>
            </c:ext>
          </c:extLst>
        </c:ser>
        <c:ser>
          <c:idx val="1"/>
          <c:order val="1"/>
          <c:tx>
            <c:strRef>
              <c:f>'Tabla 7'!$R$20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7'!$P$21:$P$33</c:f>
              <c:strCache>
                <c:ptCount val="13"/>
                <c:pt idx="0">
                  <c:v>Cúcuta</c:v>
                </c:pt>
                <c:pt idx="1">
                  <c:v>Pasto</c:v>
                </c:pt>
                <c:pt idx="2">
                  <c:v>Medellín</c:v>
                </c:pt>
                <c:pt idx="3">
                  <c:v>Ibagué</c:v>
                </c:pt>
                <c:pt idx="4">
                  <c:v>Bogotá</c:v>
                </c:pt>
                <c:pt idx="5">
                  <c:v>Montería</c:v>
                </c:pt>
                <c:pt idx="6">
                  <c:v>Manizales</c:v>
                </c:pt>
                <c:pt idx="7">
                  <c:v>Villavicencio</c:v>
                </c:pt>
                <c:pt idx="8">
                  <c:v>Cartagena</c:v>
                </c:pt>
                <c:pt idx="9">
                  <c:v>Barranquilla</c:v>
                </c:pt>
                <c:pt idx="10">
                  <c:v>Cali</c:v>
                </c:pt>
                <c:pt idx="11">
                  <c:v>Bucaramanga</c:v>
                </c:pt>
                <c:pt idx="12">
                  <c:v>Pereira</c:v>
                </c:pt>
              </c:strCache>
            </c:strRef>
          </c:cat>
          <c:val>
            <c:numRef>
              <c:f>'Tabla 7'!$R$21:$R$33</c:f>
              <c:numCache>
                <c:formatCode>0.0</c:formatCode>
                <c:ptCount val="13"/>
                <c:pt idx="0">
                  <c:v>2.8344967365264893</c:v>
                </c:pt>
                <c:pt idx="1">
                  <c:v>1.3381161689758301</c:v>
                </c:pt>
                <c:pt idx="2">
                  <c:v>1.1962758302688599</c:v>
                </c:pt>
                <c:pt idx="3">
                  <c:v>1.1256242990493774</c:v>
                </c:pt>
                <c:pt idx="4">
                  <c:v>1.2858262062072754</c:v>
                </c:pt>
                <c:pt idx="5">
                  <c:v>1.2601550817489624</c:v>
                </c:pt>
                <c:pt idx="6">
                  <c:v>1.0235896110534668</c:v>
                </c:pt>
                <c:pt idx="7">
                  <c:v>1.9100322723388672</c:v>
                </c:pt>
                <c:pt idx="8">
                  <c:v>1.0923840999603271</c:v>
                </c:pt>
                <c:pt idx="9">
                  <c:v>0.62925350666046143</c:v>
                </c:pt>
                <c:pt idx="10">
                  <c:v>1.5424696207046509</c:v>
                </c:pt>
                <c:pt idx="11">
                  <c:v>0.73091119527816772</c:v>
                </c:pt>
                <c:pt idx="12">
                  <c:v>0.68346530199050903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F-4547-B323-CC04B5AC7C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5410584"/>
        <c:axId val="515408616"/>
      </c:barChart>
      <c:catAx>
        <c:axId val="51541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5408616"/>
        <c:crosses val="autoZero"/>
        <c:auto val="1"/>
        <c:lblAlgn val="ctr"/>
        <c:lblOffset val="100"/>
        <c:noMultiLvlLbl val="0"/>
      </c:catAx>
      <c:valAx>
        <c:axId val="515408616"/>
        <c:scaling>
          <c:orientation val="minMax"/>
          <c:max val="5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5410584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7'!$Q$38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7'!$P$39:$P$51</c:f>
              <c:strCache>
                <c:ptCount val="13"/>
                <c:pt idx="0">
                  <c:v>Cúcuta</c:v>
                </c:pt>
                <c:pt idx="1">
                  <c:v>Bogotá</c:v>
                </c:pt>
                <c:pt idx="2">
                  <c:v>Medellín</c:v>
                </c:pt>
                <c:pt idx="3">
                  <c:v>Manizales</c:v>
                </c:pt>
                <c:pt idx="4">
                  <c:v>Ibagué</c:v>
                </c:pt>
                <c:pt idx="5">
                  <c:v>Pasto</c:v>
                </c:pt>
                <c:pt idx="6">
                  <c:v>Villavicencio</c:v>
                </c:pt>
                <c:pt idx="7">
                  <c:v>Montería</c:v>
                </c:pt>
                <c:pt idx="8">
                  <c:v>Cali</c:v>
                </c:pt>
                <c:pt idx="9">
                  <c:v>Bucaramanga</c:v>
                </c:pt>
                <c:pt idx="10">
                  <c:v>Barranquilla</c:v>
                </c:pt>
                <c:pt idx="11">
                  <c:v>Cartagena</c:v>
                </c:pt>
                <c:pt idx="12">
                  <c:v>Pereira</c:v>
                </c:pt>
              </c:strCache>
            </c:strRef>
          </c:cat>
          <c:val>
            <c:numRef>
              <c:f>'Tabla 7'!$Q$39:$Q$51</c:f>
              <c:numCache>
                <c:formatCode>0.0</c:formatCode>
                <c:ptCount val="13"/>
                <c:pt idx="0">
                  <c:v>1.8110804557800293</c:v>
                </c:pt>
                <c:pt idx="1">
                  <c:v>1.8061826229095459</c:v>
                </c:pt>
                <c:pt idx="2">
                  <c:v>1.7812659740447998</c:v>
                </c:pt>
                <c:pt idx="3">
                  <c:v>1.7401609420776367</c:v>
                </c:pt>
                <c:pt idx="4">
                  <c:v>1.5424199104309082</c:v>
                </c:pt>
                <c:pt idx="5">
                  <c:v>1.5386983156204224</c:v>
                </c:pt>
                <c:pt idx="6">
                  <c:v>1.5343149900436401</c:v>
                </c:pt>
                <c:pt idx="7">
                  <c:v>1.309013843536377</c:v>
                </c:pt>
                <c:pt idx="8">
                  <c:v>1.3023582696914673</c:v>
                </c:pt>
                <c:pt idx="9">
                  <c:v>1.2509679794311523</c:v>
                </c:pt>
                <c:pt idx="10">
                  <c:v>1.1061651706695557</c:v>
                </c:pt>
                <c:pt idx="11">
                  <c:v>1.0386079549789429</c:v>
                </c:pt>
                <c:pt idx="12">
                  <c:v>0.61806726455688477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E-4B26-9151-6D4DB6027D54}"/>
            </c:ext>
          </c:extLst>
        </c:ser>
        <c:ser>
          <c:idx val="1"/>
          <c:order val="1"/>
          <c:tx>
            <c:strRef>
              <c:f>'Tabla 7'!$R$38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7'!$P$39:$P$51</c:f>
              <c:strCache>
                <c:ptCount val="13"/>
                <c:pt idx="0">
                  <c:v>Cúcuta</c:v>
                </c:pt>
                <c:pt idx="1">
                  <c:v>Bogotá</c:v>
                </c:pt>
                <c:pt idx="2">
                  <c:v>Medellín</c:v>
                </c:pt>
                <c:pt idx="3">
                  <c:v>Manizales</c:v>
                </c:pt>
                <c:pt idx="4">
                  <c:v>Ibagué</c:v>
                </c:pt>
                <c:pt idx="5">
                  <c:v>Pasto</c:v>
                </c:pt>
                <c:pt idx="6">
                  <c:v>Villavicencio</c:v>
                </c:pt>
                <c:pt idx="7">
                  <c:v>Montería</c:v>
                </c:pt>
                <c:pt idx="8">
                  <c:v>Cali</c:v>
                </c:pt>
                <c:pt idx="9">
                  <c:v>Bucaramanga</c:v>
                </c:pt>
                <c:pt idx="10">
                  <c:v>Barranquilla</c:v>
                </c:pt>
                <c:pt idx="11">
                  <c:v>Cartagena</c:v>
                </c:pt>
                <c:pt idx="12">
                  <c:v>Pereira</c:v>
                </c:pt>
              </c:strCache>
            </c:strRef>
          </c:cat>
          <c:val>
            <c:numRef>
              <c:f>'Tabla 7'!$R$39:$R$51</c:f>
              <c:numCache>
                <c:formatCode>0.0</c:formatCode>
                <c:ptCount val="13"/>
                <c:pt idx="0">
                  <c:v>1.7543110847473145</c:v>
                </c:pt>
                <c:pt idx="1">
                  <c:v>0.9543001651763916</c:v>
                </c:pt>
                <c:pt idx="2">
                  <c:v>0.81463390588760376</c:v>
                </c:pt>
                <c:pt idx="3">
                  <c:v>0.75246381759643555</c:v>
                </c:pt>
                <c:pt idx="4">
                  <c:v>0.68121123313903809</c:v>
                </c:pt>
                <c:pt idx="5">
                  <c:v>0.69126808643341064</c:v>
                </c:pt>
                <c:pt idx="6">
                  <c:v>1.3902807235717773</c:v>
                </c:pt>
                <c:pt idx="7">
                  <c:v>0.6791766881942749</c:v>
                </c:pt>
                <c:pt idx="8">
                  <c:v>1.0484715700149536</c:v>
                </c:pt>
                <c:pt idx="9">
                  <c:v>0.53178727626800537</c:v>
                </c:pt>
                <c:pt idx="10">
                  <c:v>0.2834736704826355</c:v>
                </c:pt>
                <c:pt idx="11">
                  <c:v>0.62405592203140259</c:v>
                </c:pt>
                <c:pt idx="12">
                  <c:v>0.40295183658599854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E-4B26-9151-6D4DB6027D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3932112"/>
        <c:axId val="513929488"/>
      </c:barChart>
      <c:catAx>
        <c:axId val="51393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3929488"/>
        <c:crosses val="autoZero"/>
        <c:auto val="1"/>
        <c:lblAlgn val="ctr"/>
        <c:lblOffset val="100"/>
        <c:noMultiLvlLbl val="0"/>
      </c:catAx>
      <c:valAx>
        <c:axId val="513929488"/>
        <c:scaling>
          <c:orientation val="minMax"/>
          <c:max val="2.5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39321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8'!$A$3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8'!$B$2:$E$2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8'!$B$3:$E$3</c:f>
              <c:numCache>
                <c:formatCode>#,##0.0</c:formatCode>
                <c:ptCount val="4"/>
                <c:pt idx="0">
                  <c:v>-4.4160194396972656</c:v>
                </c:pt>
                <c:pt idx="1">
                  <c:v>-3.6979026794433594</c:v>
                </c:pt>
                <c:pt idx="2">
                  <c:v>-5.0418510437011719</c:v>
                </c:pt>
                <c:pt idx="3">
                  <c:v>-4.5293045043945313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F-47B0-AAA2-EE31C47AADDC}"/>
            </c:ext>
          </c:extLst>
        </c:ser>
        <c:ser>
          <c:idx val="1"/>
          <c:order val="1"/>
          <c:tx>
            <c:strRef>
              <c:f>'Tabla 8'!$A$4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8'!$B$2:$E$2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8'!$B$4:$E$4</c:f>
              <c:numCache>
                <c:formatCode>#,##0.0</c:formatCode>
                <c:ptCount val="4"/>
                <c:pt idx="0">
                  <c:v>-14.990190505981445</c:v>
                </c:pt>
                <c:pt idx="1">
                  <c:v>-10.738653182983398</c:v>
                </c:pt>
                <c:pt idx="2">
                  <c:v>-16.054210662841797</c:v>
                </c:pt>
                <c:pt idx="3">
                  <c:v>-21.029991149902344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F-47B0-AAA2-EE31C47AADDC}"/>
            </c:ext>
          </c:extLst>
        </c:ser>
        <c:ser>
          <c:idx val="2"/>
          <c:order val="2"/>
          <c:tx>
            <c:strRef>
              <c:f>'Tabla 8'!$A$5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8'!$B$2:$E$2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8'!$B$5:$E$5</c:f>
              <c:numCache>
                <c:formatCode>#,##0.0</c:formatCode>
                <c:ptCount val="4"/>
                <c:pt idx="0">
                  <c:v>-22.353921890258789</c:v>
                </c:pt>
                <c:pt idx="1">
                  <c:v>-19.717891693115234</c:v>
                </c:pt>
                <c:pt idx="2">
                  <c:v>-23.262195587158203</c:v>
                </c:pt>
                <c:pt idx="3">
                  <c:v>-24.851158142089844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F-47B0-AAA2-EE31C47A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471712"/>
        <c:axId val="544474664"/>
      </c:barChart>
      <c:catAx>
        <c:axId val="54447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4474664"/>
        <c:crosses val="autoZero"/>
        <c:auto val="1"/>
        <c:lblAlgn val="ctr"/>
        <c:lblOffset val="100"/>
        <c:noMultiLvlLbl val="0"/>
      </c:catAx>
      <c:valAx>
        <c:axId val="544474664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4471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8'!$A$3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8'!$F$2:$I$2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8'!$F$3:$I$3</c:f>
              <c:numCache>
                <c:formatCode>#,##0.0</c:formatCode>
                <c:ptCount val="4"/>
                <c:pt idx="0">
                  <c:v>-3.3268527984619141</c:v>
                </c:pt>
                <c:pt idx="1">
                  <c:v>-2.2070388793945313</c:v>
                </c:pt>
                <c:pt idx="2">
                  <c:v>-4.3173274993896484</c:v>
                </c:pt>
                <c:pt idx="3">
                  <c:v>-3.8783550262451172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4-4D3C-90C2-C1F2DAE4C252}"/>
            </c:ext>
          </c:extLst>
        </c:ser>
        <c:ser>
          <c:idx val="1"/>
          <c:order val="1"/>
          <c:tx>
            <c:strRef>
              <c:f>'Tabla 8'!$A$4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8'!$F$2:$I$2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8'!$F$4:$I$4</c:f>
              <c:numCache>
                <c:formatCode>#,##0.0</c:formatCode>
                <c:ptCount val="4"/>
                <c:pt idx="0">
                  <c:v>-8.5306224822998047</c:v>
                </c:pt>
                <c:pt idx="1">
                  <c:v>-4.3369107246398926</c:v>
                </c:pt>
                <c:pt idx="2">
                  <c:v>-10.937521934509277</c:v>
                </c:pt>
                <c:pt idx="3">
                  <c:v>-13.026327133178711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4-4D3C-90C2-C1F2DAE4C252}"/>
            </c:ext>
          </c:extLst>
        </c:ser>
        <c:ser>
          <c:idx val="2"/>
          <c:order val="2"/>
          <c:tx>
            <c:strRef>
              <c:f>'Tabla 8'!$A$5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8'!$F$2:$I$2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8'!$F$5:$I$5</c:f>
              <c:numCache>
                <c:formatCode>#,##0.0</c:formatCode>
                <c:ptCount val="4"/>
                <c:pt idx="0">
                  <c:v>-11.874439239501953</c:v>
                </c:pt>
                <c:pt idx="1">
                  <c:v>-8.4880766868591309</c:v>
                </c:pt>
                <c:pt idx="2">
                  <c:v>-13.987378120422363</c:v>
                </c:pt>
                <c:pt idx="3">
                  <c:v>-14.793247222900391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4-4D3C-90C2-C1F2DAE4C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8531800"/>
        <c:axId val="508532128"/>
      </c:barChart>
      <c:catAx>
        <c:axId val="50853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08532128"/>
        <c:crosses val="autoZero"/>
        <c:auto val="1"/>
        <c:lblAlgn val="ctr"/>
        <c:lblOffset val="100"/>
        <c:noMultiLvlLbl val="0"/>
      </c:catAx>
      <c:valAx>
        <c:axId val="50853212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085318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8'!$A$3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8'!$J$2:$M$2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8'!$J$3:$M$3</c:f>
              <c:numCache>
                <c:formatCode>#,##0.0</c:formatCode>
                <c:ptCount val="4"/>
                <c:pt idx="0">
                  <c:v>-2.5248775482177734</c:v>
                </c:pt>
                <c:pt idx="1">
                  <c:v>-1.4881010055541992</c:v>
                </c:pt>
                <c:pt idx="2">
                  <c:v>-3.3843908309936523</c:v>
                </c:pt>
                <c:pt idx="3">
                  <c:v>-3.1606054306030273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0-45F0-80C0-0D52AE317B9D}"/>
            </c:ext>
          </c:extLst>
        </c:ser>
        <c:ser>
          <c:idx val="1"/>
          <c:order val="1"/>
          <c:tx>
            <c:strRef>
              <c:f>'Tabla 8'!$A$4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8'!$J$2:$M$2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8'!$J$4:$M$4</c:f>
              <c:numCache>
                <c:formatCode>#,##0.0</c:formatCode>
                <c:ptCount val="4"/>
                <c:pt idx="0">
                  <c:v>-5.6248807907104492</c:v>
                </c:pt>
                <c:pt idx="1">
                  <c:v>-2.2935135364532471</c:v>
                </c:pt>
                <c:pt idx="2">
                  <c:v>-7.6967606544494629</c:v>
                </c:pt>
                <c:pt idx="3">
                  <c:v>-9.0363469123840332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0-45F0-80C0-0D52AE317B9D}"/>
            </c:ext>
          </c:extLst>
        </c:ser>
        <c:ser>
          <c:idx val="2"/>
          <c:order val="2"/>
          <c:tx>
            <c:strRef>
              <c:f>'Tabla 8'!$A$5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8'!$J$2:$M$2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8'!$J$5:$M$5</c:f>
              <c:numCache>
                <c:formatCode>#,##0.0</c:formatCode>
                <c:ptCount val="4"/>
                <c:pt idx="0">
                  <c:v>-7.4494905471801758</c:v>
                </c:pt>
                <c:pt idx="1">
                  <c:v>-4.6640808582305908</c:v>
                </c:pt>
                <c:pt idx="2">
                  <c:v>-9.2412009239196777</c:v>
                </c:pt>
                <c:pt idx="3">
                  <c:v>-9.8854432106018066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0-45F0-80C0-0D52AE31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9033560"/>
        <c:axId val="519041432"/>
      </c:barChart>
      <c:catAx>
        <c:axId val="519033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9041432"/>
        <c:crosses val="autoZero"/>
        <c:auto val="1"/>
        <c:lblAlgn val="ctr"/>
        <c:lblOffset val="100"/>
        <c:noMultiLvlLbl val="0"/>
      </c:catAx>
      <c:valAx>
        <c:axId val="51904143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9033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8'!$A$9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8'!$B$8:$E$8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8'!$B$9:$E$9</c:f>
              <c:numCache>
                <c:formatCode>#,##0.0</c:formatCode>
                <c:ptCount val="4"/>
                <c:pt idx="0">
                  <c:v>-3.8405838012695313</c:v>
                </c:pt>
                <c:pt idx="1">
                  <c:v>-1.8044962882995605</c:v>
                </c:pt>
                <c:pt idx="2">
                  <c:v>-5.3011054992675781</c:v>
                </c:pt>
                <c:pt idx="3">
                  <c:v>-4.9957752227783203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3-45EB-B6E6-9A41C6FEE556}"/>
            </c:ext>
          </c:extLst>
        </c:ser>
        <c:ser>
          <c:idx val="1"/>
          <c:order val="1"/>
          <c:tx>
            <c:strRef>
              <c:f>'Tabla 8'!$A$10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8'!$B$8:$E$8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8'!$B$10:$E$10</c:f>
              <c:numCache>
                <c:formatCode>#,##0.0</c:formatCode>
                <c:ptCount val="4"/>
                <c:pt idx="0">
                  <c:v>-9.1634049415588379</c:v>
                </c:pt>
                <c:pt idx="1">
                  <c:v>-2.7224290370941162</c:v>
                </c:pt>
                <c:pt idx="2">
                  <c:v>-11.419247150421143</c:v>
                </c:pt>
                <c:pt idx="3">
                  <c:v>-17.593994140625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3-45EB-B6E6-9A41C6FEE556}"/>
            </c:ext>
          </c:extLst>
        </c:ser>
        <c:ser>
          <c:idx val="2"/>
          <c:order val="2"/>
          <c:tx>
            <c:strRef>
              <c:f>'Tabla 8'!$A$11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8'!$B$8:$E$8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8'!$B$11:$E$11</c:f>
              <c:numCache>
                <c:formatCode>#,##0.0</c:formatCode>
                <c:ptCount val="4"/>
                <c:pt idx="0">
                  <c:v>-10.387875080108643</c:v>
                </c:pt>
                <c:pt idx="1">
                  <c:v>-4.5879232883453369</c:v>
                </c:pt>
                <c:pt idx="2">
                  <c:v>-11.777151584625244</c:v>
                </c:pt>
                <c:pt idx="3">
                  <c:v>-17.439468383789063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3-45EB-B6E6-9A41C6FEE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261592"/>
        <c:axId val="542258968"/>
      </c:barChart>
      <c:catAx>
        <c:axId val="542261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2258968"/>
        <c:crosses val="autoZero"/>
        <c:auto val="1"/>
        <c:lblAlgn val="ctr"/>
        <c:lblOffset val="100"/>
        <c:noMultiLvlLbl val="0"/>
      </c:catAx>
      <c:valAx>
        <c:axId val="54225896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226159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8'!$A$9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8'!$F$8:$I$8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8'!$F$9:$I$9</c:f>
              <c:numCache>
                <c:formatCode>#,##0.0</c:formatCode>
                <c:ptCount val="4"/>
                <c:pt idx="0">
                  <c:v>-1.8691306114196777</c:v>
                </c:pt>
                <c:pt idx="1">
                  <c:v>-0.76980781555175781</c:v>
                </c:pt>
                <c:pt idx="2">
                  <c:v>-2.2731633186340332</c:v>
                </c:pt>
                <c:pt idx="3">
                  <c:v>-3.0256118774414063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F-45C6-B4FE-B509B3823A81}"/>
            </c:ext>
          </c:extLst>
        </c:ser>
        <c:ser>
          <c:idx val="1"/>
          <c:order val="1"/>
          <c:tx>
            <c:strRef>
              <c:f>'Tabla 8'!$A$10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8'!$F$8:$I$8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8'!$F$10:$I$10</c:f>
              <c:numCache>
                <c:formatCode>#,##0.0</c:formatCode>
                <c:ptCount val="4"/>
                <c:pt idx="0">
                  <c:v>-3.9924793243408203</c:v>
                </c:pt>
                <c:pt idx="1">
                  <c:v>-0.83597612380981445</c:v>
                </c:pt>
                <c:pt idx="2">
                  <c:v>-4.8666360378265381</c:v>
                </c:pt>
                <c:pt idx="3">
                  <c:v>-8.4962334632873535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F-45C6-B4FE-B509B3823A81}"/>
            </c:ext>
          </c:extLst>
        </c:ser>
        <c:ser>
          <c:idx val="2"/>
          <c:order val="2"/>
          <c:tx>
            <c:strRef>
              <c:f>'Tabla 8'!$A$11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8'!$F$8:$I$8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8'!$F$11:$I$11</c:f>
              <c:numCache>
                <c:formatCode>#,##0.0</c:formatCode>
                <c:ptCount val="4"/>
                <c:pt idx="0">
                  <c:v>-3.9761533737182617</c:v>
                </c:pt>
                <c:pt idx="1">
                  <c:v>-1.4495372772216797</c:v>
                </c:pt>
                <c:pt idx="2">
                  <c:v>-4.1689331531524658</c:v>
                </c:pt>
                <c:pt idx="3">
                  <c:v>-7.6033682823181152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F-45C6-B4FE-B509B3823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259624"/>
        <c:axId val="542255360"/>
      </c:barChart>
      <c:catAx>
        <c:axId val="542259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2255360"/>
        <c:crosses val="autoZero"/>
        <c:auto val="1"/>
        <c:lblAlgn val="ctr"/>
        <c:lblOffset val="100"/>
        <c:noMultiLvlLbl val="0"/>
      </c:catAx>
      <c:valAx>
        <c:axId val="54225536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2259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8'!$A$9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8'!$J$8:$M$8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8'!$J$9:$M$9</c:f>
              <c:numCache>
                <c:formatCode>#,##0.0</c:formatCode>
                <c:ptCount val="4"/>
                <c:pt idx="0">
                  <c:v>-1.1920206546783447</c:v>
                </c:pt>
                <c:pt idx="1">
                  <c:v>-0.49260449409484863</c:v>
                </c:pt>
                <c:pt idx="2">
                  <c:v>-1.4072816371917725</c:v>
                </c:pt>
                <c:pt idx="3">
                  <c:v>-2.0008573532104492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5-4B41-B788-8F405E39ECBC}"/>
            </c:ext>
          </c:extLst>
        </c:ser>
        <c:ser>
          <c:idx val="1"/>
          <c:order val="1"/>
          <c:tx>
            <c:strRef>
              <c:f>'Tabla 8'!$A$10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8'!$J$8:$M$8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8'!$J$10:$M$10</c:f>
              <c:numCache>
                <c:formatCode>#,##0.0</c:formatCode>
                <c:ptCount val="4"/>
                <c:pt idx="0">
                  <c:v>-2.3913543224334717</c:v>
                </c:pt>
                <c:pt idx="1">
                  <c:v>-0.40144592523574829</c:v>
                </c:pt>
                <c:pt idx="2">
                  <c:v>-2.9293509721755981</c:v>
                </c:pt>
                <c:pt idx="3">
                  <c:v>-5.2739362716674805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5-4B41-B788-8F405E39ECBC}"/>
            </c:ext>
          </c:extLst>
        </c:ser>
        <c:ser>
          <c:idx val="2"/>
          <c:order val="2"/>
          <c:tx>
            <c:strRef>
              <c:f>'Tabla 8'!$A$11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8'!$J$8:$M$8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8'!$J$11:$M$11</c:f>
              <c:numCache>
                <c:formatCode>#,##0.0</c:formatCode>
                <c:ptCount val="4"/>
                <c:pt idx="0">
                  <c:v>-2.1373591423034668</c:v>
                </c:pt>
                <c:pt idx="1">
                  <c:v>-0.7038148045539856</c:v>
                </c:pt>
                <c:pt idx="2">
                  <c:v>-2.1697267293930054</c:v>
                </c:pt>
                <c:pt idx="3">
                  <c:v>-4.3061537742614746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85-4B41-B788-8F405E39E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8997480"/>
        <c:axId val="518994200"/>
      </c:barChart>
      <c:catAx>
        <c:axId val="518997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8994200"/>
        <c:crosses val="autoZero"/>
        <c:auto val="1"/>
        <c:lblAlgn val="ctr"/>
        <c:lblOffset val="100"/>
        <c:noMultiLvlLbl val="0"/>
      </c:catAx>
      <c:valAx>
        <c:axId val="51899420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899748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9'!$A$3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9'!$B$2:$N$2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9'!$B$3:$N$3</c:f>
              <c:numCache>
                <c:formatCode>#,##0.0</c:formatCode>
                <c:ptCount val="13"/>
                <c:pt idx="0">
                  <c:v>0.96723556518554688</c:v>
                </c:pt>
                <c:pt idx="1">
                  <c:v>-4.7078189849853516</c:v>
                </c:pt>
                <c:pt idx="2">
                  <c:v>-2.4497776031494141</c:v>
                </c:pt>
                <c:pt idx="3">
                  <c:v>-3.0154953002929688</c:v>
                </c:pt>
                <c:pt idx="4">
                  <c:v>-9.999847412109375</c:v>
                </c:pt>
                <c:pt idx="5">
                  <c:v>2.31011962890625</c:v>
                </c:pt>
                <c:pt idx="6">
                  <c:v>1.2961959838867188</c:v>
                </c:pt>
                <c:pt idx="7">
                  <c:v>-0.52350616455078125</c:v>
                </c:pt>
                <c:pt idx="8">
                  <c:v>-6.7744255065917969</c:v>
                </c:pt>
                <c:pt idx="9">
                  <c:v>-1.7576713562011719</c:v>
                </c:pt>
                <c:pt idx="10">
                  <c:v>1.0659255981445313</c:v>
                </c:pt>
                <c:pt idx="11">
                  <c:v>-3.4044532775878906</c:v>
                </c:pt>
                <c:pt idx="12">
                  <c:v>0.9015960693359375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7-4622-98AF-D17C3ED0900D}"/>
            </c:ext>
          </c:extLst>
        </c:ser>
        <c:ser>
          <c:idx val="1"/>
          <c:order val="1"/>
          <c:tx>
            <c:strRef>
              <c:f>'Tabla 9'!$A$4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9'!$B$2:$N$2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9'!$B$4:$N$4</c:f>
              <c:numCache>
                <c:formatCode>#,##0.0</c:formatCode>
                <c:ptCount val="13"/>
                <c:pt idx="0">
                  <c:v>-22.250202178955078</c:v>
                </c:pt>
                <c:pt idx="1">
                  <c:v>-7.1530485153198242</c:v>
                </c:pt>
                <c:pt idx="2">
                  <c:v>-4.6023998260498047</c:v>
                </c:pt>
                <c:pt idx="3">
                  <c:v>-12.71897029876709</c:v>
                </c:pt>
                <c:pt idx="4">
                  <c:v>-14.268142700195313</c:v>
                </c:pt>
                <c:pt idx="5">
                  <c:v>-6.0443496704101563</c:v>
                </c:pt>
                <c:pt idx="6">
                  <c:v>-14.475095748901367</c:v>
                </c:pt>
                <c:pt idx="7">
                  <c:v>-19.348734855651855</c:v>
                </c:pt>
                <c:pt idx="8">
                  <c:v>-11.074091911315918</c:v>
                </c:pt>
                <c:pt idx="9">
                  <c:v>-13.010753631591797</c:v>
                </c:pt>
                <c:pt idx="10">
                  <c:v>-13.939449310302734</c:v>
                </c:pt>
                <c:pt idx="11">
                  <c:v>-12.892275810241699</c:v>
                </c:pt>
                <c:pt idx="12">
                  <c:v>-8.6651630401611328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7-4622-98AF-D17C3ED0900D}"/>
            </c:ext>
          </c:extLst>
        </c:ser>
        <c:ser>
          <c:idx val="2"/>
          <c:order val="2"/>
          <c:tx>
            <c:strRef>
              <c:f>'Tabla 9'!$A$5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9'!$B$2:$N$2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9'!$B$5:$N$5</c:f>
              <c:numCache>
                <c:formatCode>#,##0.0</c:formatCode>
                <c:ptCount val="13"/>
                <c:pt idx="0">
                  <c:v>-22.009922027587891</c:v>
                </c:pt>
                <c:pt idx="1">
                  <c:v>-18.925932884216309</c:v>
                </c:pt>
                <c:pt idx="2">
                  <c:v>-19.031208038330078</c:v>
                </c:pt>
                <c:pt idx="3">
                  <c:v>-17.40113353729248</c:v>
                </c:pt>
                <c:pt idx="4">
                  <c:v>-21.788173675537109</c:v>
                </c:pt>
                <c:pt idx="5">
                  <c:v>-16.674236297607422</c:v>
                </c:pt>
                <c:pt idx="6">
                  <c:v>-20.033071517944336</c:v>
                </c:pt>
                <c:pt idx="7">
                  <c:v>-25.129935264587402</c:v>
                </c:pt>
                <c:pt idx="8">
                  <c:v>-22.26337718963623</c:v>
                </c:pt>
                <c:pt idx="9">
                  <c:v>-21.163131713867188</c:v>
                </c:pt>
                <c:pt idx="10">
                  <c:v>-19.240604400634766</c:v>
                </c:pt>
                <c:pt idx="11">
                  <c:v>-17.482441902160645</c:v>
                </c:pt>
                <c:pt idx="12">
                  <c:v>-15.867389678955078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7-4622-98AF-D17C3ED09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792352"/>
        <c:axId val="543511968"/>
      </c:barChart>
      <c:catAx>
        <c:axId val="54779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3511968"/>
        <c:crosses val="autoZero"/>
        <c:auto val="1"/>
        <c:lblAlgn val="ctr"/>
        <c:lblOffset val="100"/>
        <c:noMultiLvlLbl val="0"/>
      </c:catAx>
      <c:valAx>
        <c:axId val="54351196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77923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9'!$A$3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9'!$O$2:$AA$2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9'!$O$3:$AA$3</c:f>
              <c:numCache>
                <c:formatCode>#,##0.0</c:formatCode>
                <c:ptCount val="13"/>
                <c:pt idx="0">
                  <c:v>-0.62516689300537109</c:v>
                </c:pt>
                <c:pt idx="1">
                  <c:v>-2.3241209983825684</c:v>
                </c:pt>
                <c:pt idx="2">
                  <c:v>-1.2410240173339844</c:v>
                </c:pt>
                <c:pt idx="3">
                  <c:v>-1.0585260391235352</c:v>
                </c:pt>
                <c:pt idx="4">
                  <c:v>-4.8320193290710449</c:v>
                </c:pt>
                <c:pt idx="5">
                  <c:v>0.18586158752441406</c:v>
                </c:pt>
                <c:pt idx="6">
                  <c:v>0.12113094329833984</c:v>
                </c:pt>
                <c:pt idx="7">
                  <c:v>0.26869773864746094</c:v>
                </c:pt>
                <c:pt idx="8">
                  <c:v>-2.9150638580322266</c:v>
                </c:pt>
                <c:pt idx="9">
                  <c:v>-0.27677536010742188</c:v>
                </c:pt>
                <c:pt idx="10">
                  <c:v>0.84018421173095703</c:v>
                </c:pt>
                <c:pt idx="11">
                  <c:v>-0.34691548347473145</c:v>
                </c:pt>
                <c:pt idx="12">
                  <c:v>-1.2008166313171387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F-4426-882E-FED224423177}"/>
            </c:ext>
          </c:extLst>
        </c:ser>
        <c:ser>
          <c:idx val="1"/>
          <c:order val="1"/>
          <c:tx>
            <c:strRef>
              <c:f>'Tabla 9'!$A$4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9'!$O$2:$AA$2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9'!$O$4:$AA$4</c:f>
              <c:numCache>
                <c:formatCode>#,##0.0</c:formatCode>
                <c:ptCount val="13"/>
                <c:pt idx="0">
                  <c:v>-7.8085000514984131</c:v>
                </c:pt>
                <c:pt idx="1">
                  <c:v>-0.83932638168334961</c:v>
                </c:pt>
                <c:pt idx="2">
                  <c:v>-1.0341032743453979</c:v>
                </c:pt>
                <c:pt idx="3">
                  <c:v>-3.9488811492919922</c:v>
                </c:pt>
                <c:pt idx="4">
                  <c:v>-3.5064043998718262</c:v>
                </c:pt>
                <c:pt idx="5">
                  <c:v>-0.89546632766723633</c:v>
                </c:pt>
                <c:pt idx="6">
                  <c:v>-4.2923800945281982</c:v>
                </c:pt>
                <c:pt idx="7">
                  <c:v>-4.7154941558837891</c:v>
                </c:pt>
                <c:pt idx="8">
                  <c:v>-3.4645011425018311</c:v>
                </c:pt>
                <c:pt idx="9">
                  <c:v>-2.6842634677886963</c:v>
                </c:pt>
                <c:pt idx="10">
                  <c:v>-5.9029660224914551</c:v>
                </c:pt>
                <c:pt idx="11">
                  <c:v>-3.011471152305603</c:v>
                </c:pt>
                <c:pt idx="12">
                  <c:v>-1.3476288318634033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F-4426-882E-FED224423177}"/>
            </c:ext>
          </c:extLst>
        </c:ser>
        <c:ser>
          <c:idx val="2"/>
          <c:order val="2"/>
          <c:tx>
            <c:strRef>
              <c:f>'Tabla 9'!$A$5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9'!$O$2:$AA$2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9'!$O$5:$AA$5</c:f>
              <c:numCache>
                <c:formatCode>#,##0.0</c:formatCode>
                <c:ptCount val="13"/>
                <c:pt idx="0">
                  <c:v>-6.2289330959320068</c:v>
                </c:pt>
                <c:pt idx="1">
                  <c:v>-4.4619460105895996</c:v>
                </c:pt>
                <c:pt idx="2">
                  <c:v>-4.5161920785903931</c:v>
                </c:pt>
                <c:pt idx="3">
                  <c:v>-2.6529765129089355</c:v>
                </c:pt>
                <c:pt idx="4">
                  <c:v>-6.0939416885375977</c:v>
                </c:pt>
                <c:pt idx="5">
                  <c:v>-4.0900044441223145</c:v>
                </c:pt>
                <c:pt idx="6">
                  <c:v>-5.4353821277618408</c:v>
                </c:pt>
                <c:pt idx="7">
                  <c:v>-5.1604099273681641</c:v>
                </c:pt>
                <c:pt idx="8">
                  <c:v>-5.1909091472625732</c:v>
                </c:pt>
                <c:pt idx="9">
                  <c:v>-5.5989181995391846</c:v>
                </c:pt>
                <c:pt idx="10">
                  <c:v>-6.6485152244567871</c:v>
                </c:pt>
                <c:pt idx="11">
                  <c:v>-2.2994717359542847</c:v>
                </c:pt>
                <c:pt idx="12">
                  <c:v>-3.559680700302124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BF-4426-882E-FED224423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792352"/>
        <c:axId val="543511968"/>
      </c:barChart>
      <c:catAx>
        <c:axId val="54779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3511968"/>
        <c:crosses val="autoZero"/>
        <c:auto val="1"/>
        <c:lblAlgn val="ctr"/>
        <c:lblOffset val="100"/>
        <c:noMultiLvlLbl val="0"/>
      </c:catAx>
      <c:valAx>
        <c:axId val="54351196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77923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9'!$A$3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9'!$B$8:$N$8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9'!$B$9:$N$9</c:f>
              <c:numCache>
                <c:formatCode>#,##0.0</c:formatCode>
                <c:ptCount val="13"/>
                <c:pt idx="0">
                  <c:v>0.11812973022460938</c:v>
                </c:pt>
                <c:pt idx="1">
                  <c:v>-2.9297904968261719</c:v>
                </c:pt>
                <c:pt idx="2">
                  <c:v>-1.213841438293457</c:v>
                </c:pt>
                <c:pt idx="3">
                  <c:v>-1.7776336669921875</c:v>
                </c:pt>
                <c:pt idx="4">
                  <c:v>-5.5503978729248047</c:v>
                </c:pt>
                <c:pt idx="5">
                  <c:v>1.1092815399169922</c:v>
                </c:pt>
                <c:pt idx="6">
                  <c:v>0.50350475311279297</c:v>
                </c:pt>
                <c:pt idx="7">
                  <c:v>-8.2551002502441406E-2</c:v>
                </c:pt>
                <c:pt idx="8">
                  <c:v>-3.7523775100708008</c:v>
                </c:pt>
                <c:pt idx="9">
                  <c:v>-0.41852569580078125</c:v>
                </c:pt>
                <c:pt idx="10">
                  <c:v>-1.4219284057617188E-2</c:v>
                </c:pt>
                <c:pt idx="11">
                  <c:v>-1.2869653701782227</c:v>
                </c:pt>
                <c:pt idx="12">
                  <c:v>-0.13789176940917969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F-43B3-B35E-DADFCA8B14C9}"/>
            </c:ext>
          </c:extLst>
        </c:ser>
        <c:ser>
          <c:idx val="1"/>
          <c:order val="1"/>
          <c:tx>
            <c:strRef>
              <c:f>'Tabla 9'!$A$4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9'!$B$8:$N$8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9'!$B$10:$N$10</c:f>
              <c:numCache>
                <c:formatCode>#,##0.0</c:formatCode>
                <c:ptCount val="13"/>
                <c:pt idx="0">
                  <c:v>-10.349294662475586</c:v>
                </c:pt>
                <c:pt idx="1">
                  <c:v>-2.2939400672912598</c:v>
                </c:pt>
                <c:pt idx="2">
                  <c:v>-1.7420482635498047</c:v>
                </c:pt>
                <c:pt idx="3">
                  <c:v>-5.5727338790893555</c:v>
                </c:pt>
                <c:pt idx="4">
                  <c:v>-6.0639076232910156</c:v>
                </c:pt>
                <c:pt idx="5">
                  <c:v>-2.2191257476806641</c:v>
                </c:pt>
                <c:pt idx="6">
                  <c:v>-6.1818909645080566</c:v>
                </c:pt>
                <c:pt idx="7">
                  <c:v>-7.628058910369873</c:v>
                </c:pt>
                <c:pt idx="8">
                  <c:v>-4.6994876861572266</c:v>
                </c:pt>
                <c:pt idx="9">
                  <c:v>-4.9978399276733398</c:v>
                </c:pt>
                <c:pt idx="10">
                  <c:v>-7.1143064498901367</c:v>
                </c:pt>
                <c:pt idx="11">
                  <c:v>-5.0979557037353516</c:v>
                </c:pt>
                <c:pt idx="12">
                  <c:v>-3.2213850021362305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F-43B3-B35E-DADFCA8B14C9}"/>
            </c:ext>
          </c:extLst>
        </c:ser>
        <c:ser>
          <c:idx val="2"/>
          <c:order val="2"/>
          <c:tx>
            <c:strRef>
              <c:f>'Tabla 9'!$A$5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9'!$B$8:$N$8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9'!$B$11:$N$11</c:f>
              <c:numCache>
                <c:formatCode>#,##0.0</c:formatCode>
                <c:ptCount val="13"/>
                <c:pt idx="0">
                  <c:v>-10.415414810180664</c:v>
                </c:pt>
                <c:pt idx="1">
                  <c:v>-8.2551741600036621</c:v>
                </c:pt>
                <c:pt idx="2">
                  <c:v>-7.9843010902404785</c:v>
                </c:pt>
                <c:pt idx="3">
                  <c:v>-6.8475971221923828</c:v>
                </c:pt>
                <c:pt idx="4">
                  <c:v>-10.103334426879883</c:v>
                </c:pt>
                <c:pt idx="5">
                  <c:v>-7.5916280746459961</c:v>
                </c:pt>
                <c:pt idx="6">
                  <c:v>-8.7848353385925293</c:v>
                </c:pt>
                <c:pt idx="7">
                  <c:v>-10.049537181854248</c:v>
                </c:pt>
                <c:pt idx="8">
                  <c:v>-9.2273149490356445</c:v>
                </c:pt>
                <c:pt idx="9">
                  <c:v>-9.7872505187988281</c:v>
                </c:pt>
                <c:pt idx="10">
                  <c:v>-10.226078033447266</c:v>
                </c:pt>
                <c:pt idx="11">
                  <c:v>-6.314335823059082</c:v>
                </c:pt>
                <c:pt idx="12">
                  <c:v>-6.3080024719238281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BF-43B3-B35E-DADFCA8B1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792352"/>
        <c:axId val="543511968"/>
      </c:barChart>
      <c:catAx>
        <c:axId val="54779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3511968"/>
        <c:crosses val="autoZero"/>
        <c:auto val="1"/>
        <c:lblAlgn val="ctr"/>
        <c:lblOffset val="100"/>
        <c:noMultiLvlLbl val="0"/>
      </c:catAx>
      <c:valAx>
        <c:axId val="54351196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77923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9'!$A$3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9'!$O$8:$AA$8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9'!$O$9:$AA$9</c:f>
              <c:numCache>
                <c:formatCode>#,##0.0</c:formatCode>
                <c:ptCount val="13"/>
                <c:pt idx="0">
                  <c:v>-0.12197089195251465</c:v>
                </c:pt>
                <c:pt idx="1">
                  <c:v>-1.0986583232879639</c:v>
                </c:pt>
                <c:pt idx="2">
                  <c:v>-0.40731918811798096</c:v>
                </c:pt>
                <c:pt idx="3">
                  <c:v>-0.47387003898620605</c:v>
                </c:pt>
                <c:pt idx="4">
                  <c:v>-1.3584295511245728</c:v>
                </c:pt>
                <c:pt idx="5">
                  <c:v>0.15658211708068848</c:v>
                </c:pt>
                <c:pt idx="6">
                  <c:v>7.4075937271118164E-2</c:v>
                </c:pt>
                <c:pt idx="7">
                  <c:v>0.12952375411987305</c:v>
                </c:pt>
                <c:pt idx="8">
                  <c:v>-1.3487648963928223</c:v>
                </c:pt>
                <c:pt idx="9">
                  <c:v>1.3271093368530273E-2</c:v>
                </c:pt>
                <c:pt idx="10">
                  <c:v>0.11228680610656738</c:v>
                </c:pt>
                <c:pt idx="11">
                  <c:v>-0.15468060970306396</c:v>
                </c:pt>
                <c:pt idx="12">
                  <c:v>-0.15375614166259766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9-4D4B-B040-24492C230406}"/>
            </c:ext>
          </c:extLst>
        </c:ser>
        <c:ser>
          <c:idx val="1"/>
          <c:order val="1"/>
          <c:tx>
            <c:strRef>
              <c:f>'Tabla 9'!$A$4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9'!$O$8:$AA$8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9'!$O$10:$AA$10</c:f>
              <c:numCache>
                <c:formatCode>#,##0.0</c:formatCode>
                <c:ptCount val="13"/>
                <c:pt idx="0">
                  <c:v>-2.4101709127426147</c:v>
                </c:pt>
                <c:pt idx="1">
                  <c:v>-2.4989604949951172E-2</c:v>
                </c:pt>
                <c:pt idx="2">
                  <c:v>-0.14638090133666992</c:v>
                </c:pt>
                <c:pt idx="3">
                  <c:v>-1.5935002565383911</c:v>
                </c:pt>
                <c:pt idx="4">
                  <c:v>-0.82814764976501465</c:v>
                </c:pt>
                <c:pt idx="5">
                  <c:v>0.20441699028015137</c:v>
                </c:pt>
                <c:pt idx="6">
                  <c:v>-1.3969434499740601</c:v>
                </c:pt>
                <c:pt idx="7">
                  <c:v>-1.8083829879760742</c:v>
                </c:pt>
                <c:pt idx="8">
                  <c:v>-1.574067234992981</c:v>
                </c:pt>
                <c:pt idx="9">
                  <c:v>-0.54665076732635498</c:v>
                </c:pt>
                <c:pt idx="10">
                  <c:v>-1.446547269821167</c:v>
                </c:pt>
                <c:pt idx="11">
                  <c:v>-0.82332247495651245</c:v>
                </c:pt>
                <c:pt idx="12">
                  <c:v>-0.3390958309173584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9-4D4B-B040-24492C230406}"/>
            </c:ext>
          </c:extLst>
        </c:ser>
        <c:ser>
          <c:idx val="2"/>
          <c:order val="2"/>
          <c:tx>
            <c:strRef>
              <c:f>'Tabla 9'!$A$5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9'!$O$8:$AA$8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9'!$O$11:$AA$11</c:f>
              <c:numCache>
                <c:formatCode>#,##0.0</c:formatCode>
                <c:ptCount val="13"/>
                <c:pt idx="0">
                  <c:v>-1.7810224294662476</c:v>
                </c:pt>
                <c:pt idx="1">
                  <c:v>-1.5500273704528809</c:v>
                </c:pt>
                <c:pt idx="2">
                  <c:v>-1.4508727192878723</c:v>
                </c:pt>
                <c:pt idx="3">
                  <c:v>-0.70642769336700439</c:v>
                </c:pt>
                <c:pt idx="4">
                  <c:v>-1.4155862331390381</c:v>
                </c:pt>
                <c:pt idx="5">
                  <c:v>-0.68091368675231934</c:v>
                </c:pt>
                <c:pt idx="6">
                  <c:v>-1.7866865396499634</c:v>
                </c:pt>
                <c:pt idx="7">
                  <c:v>-1.7804186344146729</c:v>
                </c:pt>
                <c:pt idx="8">
                  <c:v>-1.8828579187393188</c:v>
                </c:pt>
                <c:pt idx="9">
                  <c:v>-1.5583819150924683</c:v>
                </c:pt>
                <c:pt idx="10">
                  <c:v>-1.93406081199646</c:v>
                </c:pt>
                <c:pt idx="11">
                  <c:v>-0.57627636194229126</c:v>
                </c:pt>
                <c:pt idx="12">
                  <c:v>-0.76201891899108887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9-4D4B-B040-24492C230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792352"/>
        <c:axId val="543511968"/>
      </c:barChart>
      <c:catAx>
        <c:axId val="54779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3511968"/>
        <c:crosses val="autoZero"/>
        <c:auto val="1"/>
        <c:lblAlgn val="ctr"/>
        <c:lblOffset val="100"/>
        <c:noMultiLvlLbl val="0"/>
      </c:catAx>
      <c:valAx>
        <c:axId val="543511968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77923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9'!$A$3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9'!$B$14:$N$14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9'!$B$15:$N$15</c:f>
              <c:numCache>
                <c:formatCode>#,##0.0</c:formatCode>
                <c:ptCount val="13"/>
                <c:pt idx="0">
                  <c:v>-3.8039207458496094E-2</c:v>
                </c:pt>
                <c:pt idx="1">
                  <c:v>-2.028475284576416</c:v>
                </c:pt>
                <c:pt idx="2">
                  <c:v>-0.79134607315063477</c:v>
                </c:pt>
                <c:pt idx="3">
                  <c:v>-1.1604399681091309</c:v>
                </c:pt>
                <c:pt idx="4">
                  <c:v>-3.3916473388671875</c:v>
                </c:pt>
                <c:pt idx="5">
                  <c:v>0.74205970764160156</c:v>
                </c:pt>
                <c:pt idx="6">
                  <c:v>0.21292209625244141</c:v>
                </c:pt>
                <c:pt idx="7">
                  <c:v>-1.4977931976318359E-2</c:v>
                </c:pt>
                <c:pt idx="8">
                  <c:v>-2.522794246673584</c:v>
                </c:pt>
                <c:pt idx="9">
                  <c:v>-8.9511871337890625E-2</c:v>
                </c:pt>
                <c:pt idx="10">
                  <c:v>-9.4340324401855469E-2</c:v>
                </c:pt>
                <c:pt idx="11">
                  <c:v>-0.60519933700561523</c:v>
                </c:pt>
                <c:pt idx="12">
                  <c:v>-0.17600822448730469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D-4817-8D14-493374F4BC19}"/>
            </c:ext>
          </c:extLst>
        </c:ser>
        <c:ser>
          <c:idx val="1"/>
          <c:order val="1"/>
          <c:tx>
            <c:strRef>
              <c:f>'Tabla 9'!$A$4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9'!$B$14:$N$14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9'!$B$16:$N$16</c:f>
              <c:numCache>
                <c:formatCode>#,##0.0</c:formatCode>
                <c:ptCount val="13"/>
                <c:pt idx="0">
                  <c:v>-5.8701968193054199</c:v>
                </c:pt>
                <c:pt idx="1">
                  <c:v>-0.95787405967712402</c:v>
                </c:pt>
                <c:pt idx="2">
                  <c:v>-0.83409738540649414</c:v>
                </c:pt>
                <c:pt idx="3">
                  <c:v>-3.2926287651062012</c:v>
                </c:pt>
                <c:pt idx="4">
                  <c:v>-3.008833646774292</c:v>
                </c:pt>
                <c:pt idx="5">
                  <c:v>-0.81561136245727539</c:v>
                </c:pt>
                <c:pt idx="6">
                  <c:v>-3.3991067409515381</c:v>
                </c:pt>
                <c:pt idx="7">
                  <c:v>-4.129863977432251</c:v>
                </c:pt>
                <c:pt idx="8">
                  <c:v>-2.7725787162780762</c:v>
                </c:pt>
                <c:pt idx="9">
                  <c:v>-2.4125890731811523</c:v>
                </c:pt>
                <c:pt idx="10">
                  <c:v>-4.0577027797698975</c:v>
                </c:pt>
                <c:pt idx="11">
                  <c:v>-2.5749112367630005</c:v>
                </c:pt>
                <c:pt idx="12">
                  <c:v>-1.54378342628479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D-4817-8D14-493374F4BC19}"/>
            </c:ext>
          </c:extLst>
        </c:ser>
        <c:ser>
          <c:idx val="2"/>
          <c:order val="2"/>
          <c:tx>
            <c:strRef>
              <c:f>'Tabla 9'!$A$5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9'!$B$14:$N$14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9'!$B$17:$N$17</c:f>
              <c:numCache>
                <c:formatCode>#,##0.0</c:formatCode>
                <c:ptCount val="13"/>
                <c:pt idx="0">
                  <c:v>-5.813270092010498</c:v>
                </c:pt>
                <c:pt idx="1">
                  <c:v>-4.6527597904205322</c:v>
                </c:pt>
                <c:pt idx="2">
                  <c:v>-4.3690240383148193</c:v>
                </c:pt>
                <c:pt idx="3">
                  <c:v>-3.5017971992492676</c:v>
                </c:pt>
                <c:pt idx="4">
                  <c:v>-5.3886020183563232</c:v>
                </c:pt>
                <c:pt idx="5">
                  <c:v>-3.8331050872802734</c:v>
                </c:pt>
                <c:pt idx="6">
                  <c:v>-5.0014650821685791</c:v>
                </c:pt>
                <c:pt idx="7">
                  <c:v>-5.4778215885162354</c:v>
                </c:pt>
                <c:pt idx="8">
                  <c:v>-5.1447386741638184</c:v>
                </c:pt>
                <c:pt idx="9">
                  <c:v>-5.3870973587036133</c:v>
                </c:pt>
                <c:pt idx="10">
                  <c:v>-6.0624654293060303</c:v>
                </c:pt>
                <c:pt idx="11">
                  <c:v>-2.9998966455459595</c:v>
                </c:pt>
                <c:pt idx="12">
                  <c:v>-3.2082540988922119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D-4817-8D14-493374F4B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792352"/>
        <c:axId val="543511968"/>
      </c:barChart>
      <c:catAx>
        <c:axId val="54779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3511968"/>
        <c:crosses val="autoZero"/>
        <c:auto val="1"/>
        <c:lblAlgn val="ctr"/>
        <c:lblOffset val="100"/>
        <c:noMultiLvlLbl val="0"/>
      </c:catAx>
      <c:valAx>
        <c:axId val="54351196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77923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9'!$A$3</c:f>
              <c:strCache>
                <c:ptCount val="1"/>
                <c:pt idx="0">
                  <c:v>2002-2005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'Tabla 9'!$O$14:$AA$14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9'!$O$15:$AA$15</c:f>
              <c:numCache>
                <c:formatCode>#,##0.0</c:formatCode>
                <c:ptCount val="13"/>
                <c:pt idx="0">
                  <c:v>-4.4429898262023926E-2</c:v>
                </c:pt>
                <c:pt idx="1">
                  <c:v>-0.78261017799377441</c:v>
                </c:pt>
                <c:pt idx="2">
                  <c:v>-0.20663511753082275</c:v>
                </c:pt>
                <c:pt idx="3">
                  <c:v>-0.32313412427902222</c:v>
                </c:pt>
                <c:pt idx="4">
                  <c:v>-0.53910422325134277</c:v>
                </c:pt>
                <c:pt idx="5">
                  <c:v>0.11950099468231201</c:v>
                </c:pt>
                <c:pt idx="6">
                  <c:v>7.5171351432800293E-2</c:v>
                </c:pt>
                <c:pt idx="7">
                  <c:v>-3.8101315498352051E-2</c:v>
                </c:pt>
                <c:pt idx="8">
                  <c:v>-0.81732940673828125</c:v>
                </c:pt>
                <c:pt idx="9">
                  <c:v>5.9533834457397461E-2</c:v>
                </c:pt>
                <c:pt idx="10">
                  <c:v>-7.7984333038330078E-3</c:v>
                </c:pt>
                <c:pt idx="11">
                  <c:v>-2.9726684093475342E-2</c:v>
                </c:pt>
                <c:pt idx="12">
                  <c:v>3.4586548805236816E-2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2-4CAD-9CDD-7C4BB745C0F3}"/>
            </c:ext>
          </c:extLst>
        </c:ser>
        <c:ser>
          <c:idx val="1"/>
          <c:order val="1"/>
          <c:tx>
            <c:strRef>
              <c:f>'Tabla 9'!$A$4</c:f>
              <c:strCache>
                <c:ptCount val="1"/>
                <c:pt idx="0">
                  <c:v>2008-2018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'Tabla 9'!$O$14:$AA$14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9'!$O$16:$AA$16</c:f>
              <c:numCache>
                <c:formatCode>#,##0.0</c:formatCode>
                <c:ptCount val="13"/>
                <c:pt idx="0">
                  <c:v>-1.2562115788459778</c:v>
                </c:pt>
                <c:pt idx="1">
                  <c:v>0.14474177360534668</c:v>
                </c:pt>
                <c:pt idx="2">
                  <c:v>1.1352300643920898E-2</c:v>
                </c:pt>
                <c:pt idx="3">
                  <c:v>-0.99508631229400635</c:v>
                </c:pt>
                <c:pt idx="4">
                  <c:v>-0.20350903272628784</c:v>
                </c:pt>
                <c:pt idx="5">
                  <c:v>0.33474242687225342</c:v>
                </c:pt>
                <c:pt idx="6">
                  <c:v>-0.70756363868713379</c:v>
                </c:pt>
                <c:pt idx="7">
                  <c:v>-0.99721860885620117</c:v>
                </c:pt>
                <c:pt idx="8">
                  <c:v>-1.0340451598167419</c:v>
                </c:pt>
                <c:pt idx="9">
                  <c:v>-0.17591571807861328</c:v>
                </c:pt>
                <c:pt idx="10">
                  <c:v>-0.53299176692962646</c:v>
                </c:pt>
                <c:pt idx="11">
                  <c:v>-0.40920883417129517</c:v>
                </c:pt>
                <c:pt idx="12">
                  <c:v>-0.10188627243041992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2-4CAD-9CDD-7C4BB745C0F3}"/>
            </c:ext>
          </c:extLst>
        </c:ser>
        <c:ser>
          <c:idx val="2"/>
          <c:order val="2"/>
          <c:tx>
            <c:strRef>
              <c:f>'Tabla 9'!$A$5</c:f>
              <c:strCache>
                <c:ptCount val="1"/>
                <c:pt idx="0">
                  <c:v>2002-2018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 9'!$O$14:$AA$14</c:f>
              <c:strCache>
                <c:ptCount val="13"/>
                <c:pt idx="0">
                  <c:v>Barranquilla</c:v>
                </c:pt>
                <c:pt idx="1">
                  <c:v>Bogotá</c:v>
                </c:pt>
                <c:pt idx="2">
                  <c:v>Bucaramanga</c:v>
                </c:pt>
                <c:pt idx="3">
                  <c:v>Cali</c:v>
                </c:pt>
                <c:pt idx="4">
                  <c:v>Cartagena</c:v>
                </c:pt>
                <c:pt idx="5">
                  <c:v>Cúcuta</c:v>
                </c:pt>
                <c:pt idx="6">
                  <c:v>Ibagué</c:v>
                </c:pt>
                <c:pt idx="7">
                  <c:v>Manizales</c:v>
                </c:pt>
                <c:pt idx="8">
                  <c:v>Medellín</c:v>
                </c:pt>
                <c:pt idx="9">
                  <c:v>Montería</c:v>
                </c:pt>
                <c:pt idx="10">
                  <c:v>Pasto</c:v>
                </c:pt>
                <c:pt idx="11">
                  <c:v>Pereira</c:v>
                </c:pt>
                <c:pt idx="12">
                  <c:v>Villavicencio</c:v>
                </c:pt>
              </c:strCache>
            </c:strRef>
          </c:cat>
          <c:val>
            <c:numRef>
              <c:f>'Tabla 9'!$O$17:$AA$17</c:f>
              <c:numCache>
                <c:formatCode>#,##0.0</c:formatCode>
                <c:ptCount val="13"/>
                <c:pt idx="0">
                  <c:v>-0.82269150018692017</c:v>
                </c:pt>
                <c:pt idx="1">
                  <c:v>-0.8518824577331543</c:v>
                </c:pt>
                <c:pt idx="2">
                  <c:v>-0.71918070316314697</c:v>
                </c:pt>
                <c:pt idx="3">
                  <c:v>-0.25388669967651367</c:v>
                </c:pt>
                <c:pt idx="4">
                  <c:v>-0.41455203294754028</c:v>
                </c:pt>
                <c:pt idx="5">
                  <c:v>-5.6769371032714844E-2</c:v>
                </c:pt>
                <c:pt idx="6">
                  <c:v>-0.86120867729187012</c:v>
                </c:pt>
                <c:pt idx="7">
                  <c:v>-0.98769712448120117</c:v>
                </c:pt>
                <c:pt idx="8">
                  <c:v>-0.96663206815719604</c:v>
                </c:pt>
                <c:pt idx="9">
                  <c:v>-0.62983715534210205</c:v>
                </c:pt>
                <c:pt idx="10">
                  <c:v>-0.84743022918701172</c:v>
                </c:pt>
                <c:pt idx="11">
                  <c:v>-0.21511542797088623</c:v>
                </c:pt>
                <c:pt idx="12">
                  <c:v>-0.14403426647186279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E2-4CAD-9CDD-7C4BB745C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7792352"/>
        <c:axId val="543511968"/>
      </c:barChart>
      <c:catAx>
        <c:axId val="54779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3511968"/>
        <c:crosses val="autoZero"/>
        <c:auto val="1"/>
        <c:lblAlgn val="ctr"/>
        <c:lblOffset val="100"/>
        <c:noMultiLvlLbl val="0"/>
      </c:catAx>
      <c:valAx>
        <c:axId val="543511968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477923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</xdr:colOff>
      <xdr:row>18</xdr:row>
      <xdr:rowOff>188119</xdr:rowOff>
    </xdr:from>
    <xdr:to>
      <xdr:col>5</xdr:col>
      <xdr:colOff>107672</xdr:colOff>
      <xdr:row>33</xdr:row>
      <xdr:rowOff>73819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4172AB-FCB2-4AE1-9833-440DBDA99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875625</xdr:colOff>
      <xdr:row>33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0B01434-A53C-414F-8937-70895403A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17</xdr:col>
      <xdr:colOff>458906</xdr:colOff>
      <xdr:row>33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25B90B0-57EA-43FF-A25D-F6D4269EC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</xdr:colOff>
      <xdr:row>18</xdr:row>
      <xdr:rowOff>188119</xdr:rowOff>
    </xdr:from>
    <xdr:to>
      <xdr:col>5</xdr:col>
      <xdr:colOff>107672</xdr:colOff>
      <xdr:row>33</xdr:row>
      <xdr:rowOff>73819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536F4B-73CE-4E4C-AF84-FA7A0A9FA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875625</xdr:colOff>
      <xdr:row>33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DB6C2C-8011-4D96-A15D-486E33D13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17</xdr:col>
      <xdr:colOff>458906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144019-2CD5-480A-A2B6-79D8297D3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5952</xdr:colOff>
      <xdr:row>0</xdr:row>
      <xdr:rowOff>0</xdr:rowOff>
    </xdr:from>
    <xdr:to>
      <xdr:col>17</xdr:col>
      <xdr:colOff>71952</xdr:colOff>
      <xdr:row>14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0A8890-8884-4803-BD07-A40611BA0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17</xdr:col>
      <xdr:colOff>66000</xdr:colOff>
      <xdr:row>29</xdr:row>
      <xdr:rowOff>64294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B92BED-D30C-40D7-BDEA-D1E64DCC8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5952</xdr:colOff>
      <xdr:row>0</xdr:row>
      <xdr:rowOff>0</xdr:rowOff>
    </xdr:from>
    <xdr:to>
      <xdr:col>17</xdr:col>
      <xdr:colOff>71952</xdr:colOff>
      <xdr:row>14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4173E3-ED9C-4440-BF03-F1EB8F22A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17</xdr:col>
      <xdr:colOff>66000</xdr:colOff>
      <xdr:row>29</xdr:row>
      <xdr:rowOff>64294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AFF0FC-F6D3-494A-A02B-611AA7C69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5952</xdr:colOff>
      <xdr:row>0</xdr:row>
      <xdr:rowOff>0</xdr:rowOff>
    </xdr:from>
    <xdr:to>
      <xdr:col>17</xdr:col>
      <xdr:colOff>71952</xdr:colOff>
      <xdr:row>14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C000C2-8138-471A-8836-70522D6F2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17</xdr:col>
      <xdr:colOff>66000</xdr:colOff>
      <xdr:row>29</xdr:row>
      <xdr:rowOff>64294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9A7849-EE13-47E3-B403-1134D49FE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5953</xdr:colOff>
      <xdr:row>2</xdr:row>
      <xdr:rowOff>8</xdr:rowOff>
    </xdr:from>
    <xdr:to>
      <xdr:col>24</xdr:col>
      <xdr:colOff>386953</xdr:colOff>
      <xdr:row>16</xdr:row>
      <xdr:rowOff>64302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0B942D-7EC1-4D42-8F6E-9DA31CF4F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11907</xdr:colOff>
      <xdr:row>19</xdr:row>
      <xdr:rowOff>200024</xdr:rowOff>
    </xdr:from>
    <xdr:to>
      <xdr:col>24</xdr:col>
      <xdr:colOff>392907</xdr:colOff>
      <xdr:row>34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2A8098-E938-4D70-B6A9-24A564BCC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11907</xdr:colOff>
      <xdr:row>36</xdr:row>
      <xdr:rowOff>200024</xdr:rowOff>
    </xdr:from>
    <xdr:to>
      <xdr:col>24</xdr:col>
      <xdr:colOff>392907</xdr:colOff>
      <xdr:row>51</xdr:row>
      <xdr:rowOff>50006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BCEAA0-01B4-424B-802B-457DABB0F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5953</xdr:colOff>
      <xdr:row>2</xdr:row>
      <xdr:rowOff>7</xdr:rowOff>
    </xdr:from>
    <xdr:to>
      <xdr:col>25</xdr:col>
      <xdr:colOff>5953</xdr:colOff>
      <xdr:row>16</xdr:row>
      <xdr:rowOff>64301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DD7256-F6B7-4818-AB78-5CC43E9F0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20</xdr:row>
      <xdr:rowOff>9525</xdr:rowOff>
    </xdr:from>
    <xdr:to>
      <xdr:col>25</xdr:col>
      <xdr:colOff>0</xdr:colOff>
      <xdr:row>34</xdr:row>
      <xdr:rowOff>73819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5531A78-D9C9-4B9C-B842-B65146159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5953</xdr:colOff>
      <xdr:row>37</xdr:row>
      <xdr:rowOff>200025</xdr:rowOff>
    </xdr:from>
    <xdr:to>
      <xdr:col>25</xdr:col>
      <xdr:colOff>5953</xdr:colOff>
      <xdr:row>52</xdr:row>
      <xdr:rowOff>61913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4B3714C-CE3A-4207-AA76-C963817AB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</xdr:colOff>
      <xdr:row>11</xdr:row>
      <xdr:rowOff>188119</xdr:rowOff>
    </xdr:from>
    <xdr:to>
      <xdr:col>4</xdr:col>
      <xdr:colOff>238133</xdr:colOff>
      <xdr:row>26</xdr:row>
      <xdr:rowOff>73819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10F64B-5D56-4BBC-97CC-8064978A8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11</xdr:row>
      <xdr:rowOff>188119</xdr:rowOff>
    </xdr:from>
    <xdr:to>
      <xdr:col>9</xdr:col>
      <xdr:colOff>35719</xdr:colOff>
      <xdr:row>26</xdr:row>
      <xdr:rowOff>73819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0516EE-006E-4822-976C-B480DF5F0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11</xdr:row>
      <xdr:rowOff>188119</xdr:rowOff>
    </xdr:from>
    <xdr:to>
      <xdr:col>14</xdr:col>
      <xdr:colOff>464344</xdr:colOff>
      <xdr:row>26</xdr:row>
      <xdr:rowOff>73819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01CD614-84D9-4DB4-9031-133A6B1A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</xdr:colOff>
      <xdr:row>27</xdr:row>
      <xdr:rowOff>9524</xdr:rowOff>
    </xdr:from>
    <xdr:to>
      <xdr:col>4</xdr:col>
      <xdr:colOff>261937</xdr:colOff>
      <xdr:row>41</xdr:row>
      <xdr:rowOff>85724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0319F2C-B875-41B0-AD2F-0FDB36144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5954</xdr:colOff>
      <xdr:row>26</xdr:row>
      <xdr:rowOff>188118</xdr:rowOff>
    </xdr:from>
    <xdr:to>
      <xdr:col>9</xdr:col>
      <xdr:colOff>41672</xdr:colOff>
      <xdr:row>41</xdr:row>
      <xdr:rowOff>73818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A57B3F6-7766-42BF-8196-0C1C54841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1184671</xdr:colOff>
      <xdr:row>26</xdr:row>
      <xdr:rowOff>188118</xdr:rowOff>
    </xdr:from>
    <xdr:to>
      <xdr:col>14</xdr:col>
      <xdr:colOff>458390</xdr:colOff>
      <xdr:row>41</xdr:row>
      <xdr:rowOff>73818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CFC6479-88A1-4D94-A359-557CF0274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11915</xdr:colOff>
      <xdr:row>17</xdr:row>
      <xdr:rowOff>188118</xdr:rowOff>
    </xdr:from>
    <xdr:to>
      <xdr:col>5</xdr:col>
      <xdr:colOff>11915</xdr:colOff>
      <xdr:row>32</xdr:row>
      <xdr:rowOff>73818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FEFE0C-4020-449D-9545-B5113DBC6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10</xdr:col>
      <xdr:colOff>762000</xdr:colOff>
      <xdr:row>32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0C1D6C-622B-4B80-99AB-9AEDD5B80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5</xdr:col>
      <xdr:colOff>0</xdr:colOff>
      <xdr:row>47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BB47905-452C-4451-A840-CA2C85441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10</xdr:col>
      <xdr:colOff>762000</xdr:colOff>
      <xdr:row>47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74DABFD-6BC9-4C33-8E02-6D5EF9774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5</xdr:col>
      <xdr:colOff>0</xdr:colOff>
      <xdr:row>62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2674476-9179-47D9-A6D5-8ED5AB8DC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48</xdr:row>
      <xdr:rowOff>0</xdr:rowOff>
    </xdr:from>
    <xdr:to>
      <xdr:col>10</xdr:col>
      <xdr:colOff>762000</xdr:colOff>
      <xdr:row>62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12110FC-1748-499C-9A97-D8F594227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3C6B-E365-40D2-B603-4F5B29A86B43}">
  <sheetPr codeName="Hoja2"/>
  <dimension ref="A1:M18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9" width="14.28515625" style="1" customWidth="1"/>
    <col min="10" max="10" width="17.85546875" style="1" customWidth="1"/>
    <col min="11" max="11" width="21.42578125" style="1" customWidth="1"/>
    <col min="12" max="12" width="14.140625" style="1" customWidth="1"/>
    <col min="13" max="13" width="14.28515625" style="1" customWidth="1"/>
    <col min="14" max="16384" width="11.42578125" style="1"/>
  </cols>
  <sheetData>
    <row r="1" spans="1:13" ht="15.75" thickBot="1" x14ac:dyDescent="0.3">
      <c r="A1" s="68" t="s">
        <v>23</v>
      </c>
      <c r="B1" s="66" t="s">
        <v>19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15.75" thickBot="1" x14ac:dyDescent="0.3">
      <c r="A2" s="69"/>
      <c r="B2" s="66" t="s">
        <v>0</v>
      </c>
      <c r="C2" s="66"/>
      <c r="D2" s="66"/>
      <c r="E2" s="67"/>
      <c r="F2" s="71" t="s">
        <v>1</v>
      </c>
      <c r="G2" s="66"/>
      <c r="H2" s="66"/>
      <c r="I2" s="67"/>
      <c r="J2" s="71" t="s">
        <v>62</v>
      </c>
      <c r="K2" s="66"/>
      <c r="L2" s="66"/>
      <c r="M2" s="67"/>
    </row>
    <row r="3" spans="1:13" ht="15.75" thickBot="1" x14ac:dyDescent="0.3">
      <c r="A3" s="70"/>
      <c r="B3" s="2" t="s">
        <v>24</v>
      </c>
      <c r="C3" s="2" t="s">
        <v>2</v>
      </c>
      <c r="D3" s="2" t="s">
        <v>4</v>
      </c>
      <c r="E3" s="3" t="s">
        <v>3</v>
      </c>
      <c r="F3" s="2" t="s">
        <v>24</v>
      </c>
      <c r="G3" s="2" t="s">
        <v>2</v>
      </c>
      <c r="H3" s="2" t="s">
        <v>4</v>
      </c>
      <c r="I3" s="7" t="s">
        <v>3</v>
      </c>
      <c r="J3" s="2" t="s">
        <v>24</v>
      </c>
      <c r="K3" s="2" t="s">
        <v>2</v>
      </c>
      <c r="L3" s="2" t="s">
        <v>4</v>
      </c>
      <c r="M3" s="3" t="s">
        <v>3</v>
      </c>
    </row>
    <row r="4" spans="1:13" x14ac:dyDescent="0.25">
      <c r="A4" s="4">
        <v>2002</v>
      </c>
      <c r="B4" s="14">
        <v>49.368686676025391</v>
      </c>
      <c r="C4" s="14">
        <v>35.907802581787109</v>
      </c>
      <c r="D4" s="14">
        <v>59.349861145019531</v>
      </c>
      <c r="E4" s="15">
        <v>60.916786193847656</v>
      </c>
      <c r="F4" s="14">
        <v>21.707021713256836</v>
      </c>
      <c r="G4" s="14">
        <v>13.82574462890625</v>
      </c>
      <c r="H4" s="14">
        <v>27.427787780761719</v>
      </c>
      <c r="I4" s="15">
        <v>28.608436584472656</v>
      </c>
      <c r="J4" s="18">
        <v>12.646281242370605</v>
      </c>
      <c r="K4" s="14">
        <v>7.4270291328430176</v>
      </c>
      <c r="L4" s="14">
        <v>16.290250778198242</v>
      </c>
      <c r="M4" s="15">
        <v>17.380990982055664</v>
      </c>
    </row>
    <row r="5" spans="1:13" x14ac:dyDescent="0.25">
      <c r="A5" s="5">
        <v>2003</v>
      </c>
      <c r="B5" s="14">
        <v>47.694141387939453</v>
      </c>
      <c r="C5" s="14">
        <v>36.431411743164063</v>
      </c>
      <c r="D5" s="14">
        <v>57.020992279052734</v>
      </c>
      <c r="E5" s="15">
        <v>56.340629577636719</v>
      </c>
      <c r="F5" s="14">
        <v>20.340766906738281</v>
      </c>
      <c r="G5" s="14">
        <v>14.021664619445801</v>
      </c>
      <c r="H5" s="14">
        <v>25.61369514465332</v>
      </c>
      <c r="I5" s="15">
        <v>25.145542144775391</v>
      </c>
      <c r="J5" s="19">
        <v>11.536758422851563</v>
      </c>
      <c r="K5" s="14">
        <v>7.4626688957214355</v>
      </c>
      <c r="L5" s="14">
        <v>14.830615997314453</v>
      </c>
      <c r="M5" s="15">
        <v>14.757376670837402</v>
      </c>
    </row>
    <row r="6" spans="1:13" x14ac:dyDescent="0.25">
      <c r="A6" s="5">
        <v>2004</v>
      </c>
      <c r="B6" s="14">
        <v>47.356250762939453</v>
      </c>
      <c r="C6" s="14">
        <v>34.227439880371094</v>
      </c>
      <c r="D6" s="14">
        <v>57.594173431396484</v>
      </c>
      <c r="E6" s="15">
        <v>58.292533874511719</v>
      </c>
      <c r="F6" s="14">
        <v>19.819868087768555</v>
      </c>
      <c r="G6" s="14">
        <v>12.871612548828125</v>
      </c>
      <c r="H6" s="14">
        <v>24.994251251220703</v>
      </c>
      <c r="I6" s="15">
        <v>25.896905899047852</v>
      </c>
      <c r="J6" s="19">
        <v>11.06525707244873</v>
      </c>
      <c r="K6" s="14">
        <v>6.791351318359375</v>
      </c>
      <c r="L6" s="14">
        <v>14.047096252441406</v>
      </c>
      <c r="M6" s="15">
        <v>15.041489601135254</v>
      </c>
    </row>
    <row r="7" spans="1:13" x14ac:dyDescent="0.25">
      <c r="A7" s="5">
        <v>2005</v>
      </c>
      <c r="B7" s="14">
        <v>44.952667236328125</v>
      </c>
      <c r="C7" s="14">
        <v>32.20989990234375</v>
      </c>
      <c r="D7" s="14">
        <v>54.308010101318359</v>
      </c>
      <c r="E7" s="15">
        <v>56.387481689453125</v>
      </c>
      <c r="F7" s="14">
        <v>18.380168914794922</v>
      </c>
      <c r="G7" s="14">
        <v>11.618705749511719</v>
      </c>
      <c r="H7" s="14">
        <v>23.11046028137207</v>
      </c>
      <c r="I7" s="15">
        <v>24.730081558227539</v>
      </c>
      <c r="J7" s="19">
        <v>10.121403694152832</v>
      </c>
      <c r="K7" s="14">
        <v>5.9389281272888184</v>
      </c>
      <c r="L7" s="14">
        <v>12.90585994720459</v>
      </c>
      <c r="M7" s="15">
        <v>14.220385551452637</v>
      </c>
    </row>
    <row r="8" spans="1:13" x14ac:dyDescent="0.25">
      <c r="A8" s="5">
        <v>2008</v>
      </c>
      <c r="B8" s="14">
        <v>42.004955291748047</v>
      </c>
      <c r="C8" s="14">
        <v>26.928564071655273</v>
      </c>
      <c r="D8" s="14">
        <v>52.141876220703125</v>
      </c>
      <c r="E8" s="15">
        <v>57.095619201660156</v>
      </c>
      <c r="F8" s="14">
        <v>18.363204956054688</v>
      </c>
      <c r="G8" s="14">
        <v>9.6745786666870117</v>
      </c>
      <c r="H8" s="14">
        <v>24.377931594848633</v>
      </c>
      <c r="I8" s="15">
        <v>26.841516494750977</v>
      </c>
      <c r="J8" s="19">
        <v>10.821671485900879</v>
      </c>
      <c r="K8" s="14">
        <v>5.0564618110656738</v>
      </c>
      <c r="L8" s="14">
        <v>14.745810508728027</v>
      </c>
      <c r="M8" s="15">
        <v>16.531894683837891</v>
      </c>
    </row>
    <row r="9" spans="1:13" x14ac:dyDescent="0.25">
      <c r="A9" s="5">
        <v>2009</v>
      </c>
      <c r="B9" s="14">
        <v>40.217781066894531</v>
      </c>
      <c r="C9" s="14">
        <v>25.561538696289063</v>
      </c>
      <c r="D9" s="14">
        <v>50.665260314941406</v>
      </c>
      <c r="E9" s="15">
        <v>54.25628662109375</v>
      </c>
      <c r="F9" s="14">
        <v>16.738040924072266</v>
      </c>
      <c r="G9" s="14">
        <v>9.1323995590209961</v>
      </c>
      <c r="H9" s="14">
        <v>22.140453338623047</v>
      </c>
      <c r="I9" s="15">
        <v>24.047670364379883</v>
      </c>
      <c r="J9" s="19">
        <v>9.5029335021972656</v>
      </c>
      <c r="K9" s="14">
        <v>4.7965655326843262</v>
      </c>
      <c r="L9" s="14">
        <v>12.797422409057617</v>
      </c>
      <c r="M9" s="15">
        <v>14.088325500488281</v>
      </c>
    </row>
    <row r="10" spans="1:13" x14ac:dyDescent="0.25">
      <c r="A10" s="5">
        <v>2010</v>
      </c>
      <c r="B10" s="14">
        <v>37.174510955810547</v>
      </c>
      <c r="C10" s="14">
        <v>23.225870132446289</v>
      </c>
      <c r="D10" s="14">
        <v>47.352413177490234</v>
      </c>
      <c r="E10" s="15">
        <v>50.34149169921875</v>
      </c>
      <c r="F10" s="14">
        <v>15.118712425231934</v>
      </c>
      <c r="G10" s="14">
        <v>8.2836952209472656</v>
      </c>
      <c r="H10" s="14">
        <v>19.826812744140625</v>
      </c>
      <c r="I10" s="15">
        <v>21.933364868164063</v>
      </c>
      <c r="J10" s="19">
        <v>8.4541292190551758</v>
      </c>
      <c r="K10" s="14">
        <v>4.3747501373291016</v>
      </c>
      <c r="L10" s="14">
        <v>11.10440731048584</v>
      </c>
      <c r="M10" s="15">
        <v>12.728764533996582</v>
      </c>
    </row>
    <row r="11" spans="1:13" x14ac:dyDescent="0.25">
      <c r="A11" s="5">
        <v>2011</v>
      </c>
      <c r="B11" s="14">
        <v>34.039176940917969</v>
      </c>
      <c r="C11" s="14">
        <v>20.597190856933594</v>
      </c>
      <c r="D11" s="14">
        <v>43.783294677734375</v>
      </c>
      <c r="E11" s="15">
        <v>46.909652709960938</v>
      </c>
      <c r="F11" s="14">
        <v>13.368127822875977</v>
      </c>
      <c r="G11" s="14">
        <v>6.8817615509033203</v>
      </c>
      <c r="H11" s="14">
        <v>18.073257446289063</v>
      </c>
      <c r="I11" s="15">
        <v>19.574563980102539</v>
      </c>
      <c r="J11" s="19">
        <v>7.2484850883483887</v>
      </c>
      <c r="K11" s="14">
        <v>3.4479198455810547</v>
      </c>
      <c r="L11" s="14">
        <v>9.9877338409423828</v>
      </c>
      <c r="M11" s="15">
        <v>10.908215522766113</v>
      </c>
    </row>
    <row r="12" spans="1:13" x14ac:dyDescent="0.25">
      <c r="A12" s="5">
        <v>2012</v>
      </c>
      <c r="B12" s="14">
        <v>32.734790802001953</v>
      </c>
      <c r="C12" s="14">
        <v>18.941196441650391</v>
      </c>
      <c r="D12" s="14">
        <v>42.158107757568359</v>
      </c>
      <c r="E12" s="15">
        <v>46.794525146484375</v>
      </c>
      <c r="F12" s="14">
        <v>12.888945579528809</v>
      </c>
      <c r="G12" s="14">
        <v>6.3695249557495117</v>
      </c>
      <c r="H12" s="14">
        <v>17.377151489257813</v>
      </c>
      <c r="I12" s="15">
        <v>19.488533020019531</v>
      </c>
      <c r="J12" s="19">
        <v>7.0461273193359375</v>
      </c>
      <c r="K12" s="14">
        <v>3.2051980495452881</v>
      </c>
      <c r="L12" s="14">
        <v>9.6195011138916016</v>
      </c>
      <c r="M12" s="15">
        <v>11.028373718261719</v>
      </c>
    </row>
    <row r="13" spans="1:13" x14ac:dyDescent="0.25">
      <c r="A13" s="5">
        <v>2013</v>
      </c>
      <c r="B13" s="14">
        <v>30.571781158447266</v>
      </c>
      <c r="C13" s="14">
        <v>17.501565933227539</v>
      </c>
      <c r="D13" s="14">
        <v>40.411880493164063</v>
      </c>
      <c r="E13" s="15">
        <v>42.761981964111328</v>
      </c>
      <c r="F13" s="14">
        <v>11.79701042175293</v>
      </c>
      <c r="G13" s="14">
        <v>5.9308576583862305</v>
      </c>
      <c r="H13" s="14">
        <v>16.219566345214844</v>
      </c>
      <c r="I13" s="15">
        <v>17.259958267211914</v>
      </c>
      <c r="J13" s="19">
        <v>6.4046993255615234</v>
      </c>
      <c r="K13" s="14">
        <v>3.045499324798584</v>
      </c>
      <c r="L13" s="14">
        <v>8.9180202484130859</v>
      </c>
      <c r="M13" s="15">
        <v>9.5587978363037109</v>
      </c>
    </row>
    <row r="14" spans="1:13" x14ac:dyDescent="0.25">
      <c r="A14" s="5">
        <v>2014</v>
      </c>
      <c r="B14" s="14">
        <v>28.533149719238281</v>
      </c>
      <c r="C14" s="14">
        <v>15.884819030761719</v>
      </c>
      <c r="D14" s="14">
        <v>37.296733856201172</v>
      </c>
      <c r="E14" s="15">
        <v>41.428699493408203</v>
      </c>
      <c r="F14" s="14">
        <v>10.835399627685547</v>
      </c>
      <c r="G14" s="14">
        <v>5.2488384246826172</v>
      </c>
      <c r="H14" s="14">
        <v>14.62827205657959</v>
      </c>
      <c r="I14" s="15">
        <v>16.636728286743164</v>
      </c>
      <c r="J14" s="19">
        <v>5.8237042427062988</v>
      </c>
      <c r="K14" s="14">
        <v>2.6739704608917236</v>
      </c>
      <c r="L14" s="14">
        <v>7.9056406021118164</v>
      </c>
      <c r="M14" s="15">
        <v>9.171147346496582</v>
      </c>
    </row>
    <row r="15" spans="1:13" x14ac:dyDescent="0.25">
      <c r="A15" s="5">
        <v>2015</v>
      </c>
      <c r="B15" s="14">
        <v>27.849176406860352</v>
      </c>
      <c r="C15" s="14">
        <v>15.35108470916748</v>
      </c>
      <c r="D15" s="14">
        <v>36.779544830322266</v>
      </c>
      <c r="E15" s="15">
        <v>40.294448852539063</v>
      </c>
      <c r="F15" s="14">
        <v>10.300780296325684</v>
      </c>
      <c r="G15" s="14">
        <v>5.112358570098877</v>
      </c>
      <c r="H15" s="14">
        <v>13.869400978088379</v>
      </c>
      <c r="I15" s="15">
        <v>15.657194137573242</v>
      </c>
      <c r="J15" s="19">
        <v>5.4340925216674805</v>
      </c>
      <c r="K15" s="14">
        <v>2.6394188404083252</v>
      </c>
      <c r="L15" s="14">
        <v>7.2382006645202637</v>
      </c>
      <c r="M15" s="15">
        <v>8.4809322357177734</v>
      </c>
    </row>
    <row r="16" spans="1:13" x14ac:dyDescent="0.25">
      <c r="A16" s="5">
        <v>2016</v>
      </c>
      <c r="B16" s="14">
        <v>28.024290084838867</v>
      </c>
      <c r="C16" s="14">
        <v>15.917905807495117</v>
      </c>
      <c r="D16" s="14">
        <v>37.818168640136719</v>
      </c>
      <c r="E16" s="15">
        <v>38.560688018798828</v>
      </c>
      <c r="F16" s="14">
        <v>10.341764450073242</v>
      </c>
      <c r="G16" s="14">
        <v>5.194526195526123</v>
      </c>
      <c r="H16" s="14">
        <v>14.43464469909668</v>
      </c>
      <c r="I16" s="15">
        <v>14.919822692871094</v>
      </c>
      <c r="J16" s="19">
        <v>5.4973363876342773</v>
      </c>
      <c r="K16" s="14">
        <v>2.6558010578155518</v>
      </c>
      <c r="L16" s="14">
        <v>7.7273812294006348</v>
      </c>
      <c r="M16" s="15">
        <v>8.0653257369995117</v>
      </c>
    </row>
    <row r="17" spans="1:13" x14ac:dyDescent="0.25">
      <c r="A17" s="5">
        <v>2017</v>
      </c>
      <c r="B17" s="14">
        <v>26.913917541503906</v>
      </c>
      <c r="C17" s="14">
        <v>15.897193908691406</v>
      </c>
      <c r="D17" s="14">
        <v>36.583896636962891</v>
      </c>
      <c r="E17" s="15">
        <v>35.964435577392578</v>
      </c>
      <c r="F17" s="14">
        <v>9.7049779891967773</v>
      </c>
      <c r="G17" s="14">
        <v>5.1392221450805664</v>
      </c>
      <c r="H17" s="14">
        <v>13.717391014099121</v>
      </c>
      <c r="I17" s="15">
        <v>13.449283599853516</v>
      </c>
      <c r="J17" s="19">
        <v>5.0725679397583008</v>
      </c>
      <c r="K17" s="14">
        <v>2.6248531341552734</v>
      </c>
      <c r="L17" s="14">
        <v>7.2179555892944336</v>
      </c>
      <c r="M17" s="15">
        <v>7.0876846313476563</v>
      </c>
    </row>
    <row r="18" spans="1:13" ht="15.75" thickBot="1" x14ac:dyDescent="0.3">
      <c r="A18" s="6">
        <v>2018</v>
      </c>
      <c r="B18" s="17">
        <v>27.014764785766602</v>
      </c>
      <c r="C18" s="17">
        <v>16.189910888671875</v>
      </c>
      <c r="D18" s="17">
        <v>36.087665557861328</v>
      </c>
      <c r="E18" s="20">
        <v>36.065628051757813</v>
      </c>
      <c r="F18" s="17">
        <v>9.8325824737548828</v>
      </c>
      <c r="G18" s="17">
        <v>5.3376679420471191</v>
      </c>
      <c r="H18" s="17">
        <v>13.440409660339355</v>
      </c>
      <c r="I18" s="20">
        <v>13.815189361572266</v>
      </c>
      <c r="J18" s="16">
        <v>5.1967906951904297</v>
      </c>
      <c r="K18" s="17">
        <v>2.7629482746124268</v>
      </c>
      <c r="L18" s="17">
        <v>7.0490498542785645</v>
      </c>
      <c r="M18" s="20">
        <v>7.4955477714538574</v>
      </c>
    </row>
  </sheetData>
  <mergeCells count="5">
    <mergeCell ref="B2:E2"/>
    <mergeCell ref="A1:A3"/>
    <mergeCell ref="B1:M1"/>
    <mergeCell ref="F2:I2"/>
    <mergeCell ref="J2:M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EFBF-7C41-4D66-A1DE-C137FC7EB8B3}">
  <dimension ref="A1:M18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9" width="14.28515625" style="1" customWidth="1"/>
    <col min="10" max="10" width="17.85546875" style="1" customWidth="1"/>
    <col min="11" max="11" width="21.42578125" style="1" customWidth="1"/>
    <col min="12" max="12" width="14.140625" style="1" customWidth="1"/>
    <col min="13" max="13" width="14.28515625" style="1" customWidth="1"/>
    <col min="14" max="16384" width="11.42578125" style="1"/>
  </cols>
  <sheetData>
    <row r="1" spans="1:13" ht="15.75" thickBot="1" x14ac:dyDescent="0.3">
      <c r="A1" s="68" t="s">
        <v>23</v>
      </c>
      <c r="B1" s="66" t="s">
        <v>18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15.75" thickBot="1" x14ac:dyDescent="0.3">
      <c r="A2" s="69"/>
      <c r="B2" s="66" t="s">
        <v>0</v>
      </c>
      <c r="C2" s="66"/>
      <c r="D2" s="66"/>
      <c r="E2" s="67"/>
      <c r="F2" s="71" t="s">
        <v>1</v>
      </c>
      <c r="G2" s="66"/>
      <c r="H2" s="66"/>
      <c r="I2" s="67"/>
      <c r="J2" s="71" t="s">
        <v>62</v>
      </c>
      <c r="K2" s="66"/>
      <c r="L2" s="66"/>
      <c r="M2" s="67"/>
    </row>
    <row r="3" spans="1:13" ht="15.75" thickBot="1" x14ac:dyDescent="0.3">
      <c r="A3" s="70"/>
      <c r="B3" s="2" t="s">
        <v>24</v>
      </c>
      <c r="C3" s="2" t="s">
        <v>2</v>
      </c>
      <c r="D3" s="2" t="s">
        <v>4</v>
      </c>
      <c r="E3" s="3" t="s">
        <v>3</v>
      </c>
      <c r="F3" s="2" t="s">
        <v>24</v>
      </c>
      <c r="G3" s="2" t="s">
        <v>2</v>
      </c>
      <c r="H3" s="2" t="s">
        <v>4</v>
      </c>
      <c r="I3" s="7" t="s">
        <v>3</v>
      </c>
      <c r="J3" s="2" t="s">
        <v>24</v>
      </c>
      <c r="K3" s="2" t="s">
        <v>2</v>
      </c>
      <c r="L3" s="2" t="s">
        <v>4</v>
      </c>
      <c r="M3" s="3" t="s">
        <v>3</v>
      </c>
    </row>
    <row r="4" spans="1:13" x14ac:dyDescent="0.25">
      <c r="A4" s="4">
        <v>2002</v>
      </c>
      <c r="B4" s="14">
        <v>17.637813568115234</v>
      </c>
      <c r="C4" s="14">
        <v>7.4407234191894531</v>
      </c>
      <c r="D4" s="14">
        <v>19.552263259887695</v>
      </c>
      <c r="E4" s="15">
        <v>32.80767822265625</v>
      </c>
      <c r="F4" s="14">
        <v>6.7014412879943848</v>
      </c>
      <c r="G4" s="14">
        <v>2.7041831016540527</v>
      </c>
      <c r="H4" s="14">
        <v>6.9257144927978516</v>
      </c>
      <c r="I4" s="15">
        <v>13.246451377868652</v>
      </c>
      <c r="J4" s="18">
        <v>3.6983346939086914</v>
      </c>
      <c r="K4" s="14">
        <v>1.556721568107605</v>
      </c>
      <c r="L4" s="14">
        <v>3.6877033710479736</v>
      </c>
      <c r="M4" s="15">
        <v>7.3537030220031738</v>
      </c>
    </row>
    <row r="5" spans="1:13" x14ac:dyDescent="0.25">
      <c r="A5" s="5">
        <v>2003</v>
      </c>
      <c r="B5" s="14">
        <v>15.564229965209961</v>
      </c>
      <c r="C5" s="14">
        <v>7.3150067329406738</v>
      </c>
      <c r="D5" s="14">
        <v>16.638545989990234</v>
      </c>
      <c r="E5" s="15">
        <v>28.586454391479492</v>
      </c>
      <c r="F5" s="14">
        <v>5.737144947052002</v>
      </c>
      <c r="G5" s="14">
        <v>2.5989482402801514</v>
      </c>
      <c r="H5" s="14">
        <v>6.0322360992431641</v>
      </c>
      <c r="I5" s="15">
        <v>10.823101997375488</v>
      </c>
      <c r="J5" s="19">
        <v>3.11244797706604</v>
      </c>
      <c r="K5" s="14">
        <v>1.4516253471374512</v>
      </c>
      <c r="L5" s="14">
        <v>3.2489852905273438</v>
      </c>
      <c r="M5" s="15">
        <v>5.8268933296203613</v>
      </c>
    </row>
    <row r="6" spans="1:13" x14ac:dyDescent="0.25">
      <c r="A6" s="5">
        <v>2004</v>
      </c>
      <c r="B6" s="14">
        <v>14.843342781066895</v>
      </c>
      <c r="C6" s="14">
        <v>6.5363078117370605</v>
      </c>
      <c r="D6" s="14">
        <v>15.176298141479492</v>
      </c>
      <c r="E6" s="15">
        <v>29.047744750976563</v>
      </c>
      <c r="F6" s="14">
        <v>5.3722748756408691</v>
      </c>
      <c r="G6" s="14">
        <v>2.4179980754852295</v>
      </c>
      <c r="H6" s="14">
        <v>5.158909797668457</v>
      </c>
      <c r="I6" s="15">
        <v>10.817176818847656</v>
      </c>
      <c r="J6" s="19">
        <v>2.8364865779876709</v>
      </c>
      <c r="K6" s="14">
        <v>1.3803051710128784</v>
      </c>
      <c r="L6" s="14">
        <v>2.60817551612854</v>
      </c>
      <c r="M6" s="15">
        <v>5.666295051574707</v>
      </c>
    </row>
    <row r="7" spans="1:13" x14ac:dyDescent="0.25">
      <c r="A7" s="5">
        <v>2005</v>
      </c>
      <c r="B7" s="14">
        <v>13.797229766845703</v>
      </c>
      <c r="C7" s="14">
        <v>5.6362271308898926</v>
      </c>
      <c r="D7" s="14">
        <v>14.251157760620117</v>
      </c>
      <c r="E7" s="15">
        <v>27.81190299987793</v>
      </c>
      <c r="F7" s="14">
        <v>4.832310676574707</v>
      </c>
      <c r="G7" s="14">
        <v>1.9343752861022949</v>
      </c>
      <c r="H7" s="14">
        <v>4.6525511741638184</v>
      </c>
      <c r="I7" s="15">
        <v>10.220839500427246</v>
      </c>
      <c r="J7" s="19">
        <v>2.5063140392303467</v>
      </c>
      <c r="K7" s="14">
        <v>1.0641170740127563</v>
      </c>
      <c r="L7" s="14">
        <v>2.2804217338562012</v>
      </c>
      <c r="M7" s="15">
        <v>5.3528456687927246</v>
      </c>
    </row>
    <row r="8" spans="1:13" x14ac:dyDescent="0.25">
      <c r="A8" s="5">
        <v>2008</v>
      </c>
      <c r="B8" s="14">
        <v>16.41334342956543</v>
      </c>
      <c r="C8" s="14">
        <v>5.5752291679382324</v>
      </c>
      <c r="D8" s="14">
        <v>19.194358825683594</v>
      </c>
      <c r="E8" s="15">
        <v>32.962203979492188</v>
      </c>
      <c r="F8" s="14">
        <v>6.7177672386169434</v>
      </c>
      <c r="G8" s="14">
        <v>2.0906219482421875</v>
      </c>
      <c r="H8" s="14">
        <v>7.6234173774719238</v>
      </c>
      <c r="I8" s="15">
        <v>14.139316558837891</v>
      </c>
      <c r="J8" s="19">
        <v>3.9523298740386963</v>
      </c>
      <c r="K8" s="14">
        <v>1.2543526887893677</v>
      </c>
      <c r="L8" s="14">
        <v>4.4473276138305664</v>
      </c>
      <c r="M8" s="15">
        <v>8.3214855194091797</v>
      </c>
    </row>
    <row r="9" spans="1:13" x14ac:dyDescent="0.25">
      <c r="A9" s="5">
        <v>2009</v>
      </c>
      <c r="B9" s="14">
        <v>14.427791595458984</v>
      </c>
      <c r="C9" s="14">
        <v>5.2337636947631836</v>
      </c>
      <c r="D9" s="14">
        <v>16.445438385009766</v>
      </c>
      <c r="E9" s="15">
        <v>29.048913955688477</v>
      </c>
      <c r="F9" s="14">
        <v>5.4795660972595215</v>
      </c>
      <c r="G9" s="14">
        <v>1.9772406816482544</v>
      </c>
      <c r="H9" s="14">
        <v>5.982670783996582</v>
      </c>
      <c r="I9" s="15">
        <v>11.389569282531738</v>
      </c>
      <c r="J9" s="19">
        <v>3.0474379062652588</v>
      </c>
      <c r="K9" s="14">
        <v>1.1929848194122314</v>
      </c>
      <c r="L9" s="14">
        <v>3.2266249656677246</v>
      </c>
      <c r="M9" s="15">
        <v>6.2885160446166992</v>
      </c>
    </row>
    <row r="10" spans="1:13" x14ac:dyDescent="0.25">
      <c r="A10" s="5">
        <v>2010</v>
      </c>
      <c r="B10" s="14">
        <v>12.27851676940918</v>
      </c>
      <c r="C10" s="14">
        <v>4.6380691528320313</v>
      </c>
      <c r="D10" s="14">
        <v>13.24906063079834</v>
      </c>
      <c r="E10" s="15">
        <v>25.471567153930664</v>
      </c>
      <c r="F10" s="14">
        <v>4.6093907356262207</v>
      </c>
      <c r="G10" s="14">
        <v>1.8083381652832031</v>
      </c>
      <c r="H10" s="14">
        <v>4.6438188552856445</v>
      </c>
      <c r="I10" s="15">
        <v>9.863520622253418</v>
      </c>
      <c r="J10" s="19">
        <v>2.5390057563781738</v>
      </c>
      <c r="K10" s="14">
        <v>1.0946974754333496</v>
      </c>
      <c r="L10" s="14">
        <v>2.4209229946136475</v>
      </c>
      <c r="M10" s="15">
        <v>5.4246320724487305</v>
      </c>
    </row>
    <row r="11" spans="1:13" x14ac:dyDescent="0.25">
      <c r="A11" s="5">
        <v>2011</v>
      </c>
      <c r="B11" s="14">
        <v>10.621200561523438</v>
      </c>
      <c r="C11" s="14">
        <v>3.4709594249725342</v>
      </c>
      <c r="D11" s="14">
        <v>11.892560958862305</v>
      </c>
      <c r="E11" s="15">
        <v>22.610340118408203</v>
      </c>
      <c r="F11" s="14">
        <v>3.7947773933410645</v>
      </c>
      <c r="G11" s="14">
        <v>1.2857649326324463</v>
      </c>
      <c r="H11" s="14">
        <v>4.0746164321899414</v>
      </c>
      <c r="I11" s="15">
        <v>8.2203617095947266</v>
      </c>
      <c r="J11" s="19">
        <v>2.0224745273590088</v>
      </c>
      <c r="K11" s="14">
        <v>0.75957298278808594</v>
      </c>
      <c r="L11" s="14">
        <v>2.1351265907287598</v>
      </c>
      <c r="M11" s="15">
        <v>4.2871546745300293</v>
      </c>
    </row>
    <row r="12" spans="1:13" x14ac:dyDescent="0.25">
      <c r="A12" s="5">
        <v>2012</v>
      </c>
      <c r="B12" s="14">
        <v>10.396331787109375</v>
      </c>
      <c r="C12" s="14">
        <v>3.3154363632202148</v>
      </c>
      <c r="D12" s="14">
        <v>11.364069938659668</v>
      </c>
      <c r="E12" s="15">
        <v>22.751810073852539</v>
      </c>
      <c r="F12" s="14">
        <v>3.7822487354278564</v>
      </c>
      <c r="G12" s="14">
        <v>1.2282640933990479</v>
      </c>
      <c r="H12" s="14">
        <v>3.9957082271575928</v>
      </c>
      <c r="I12" s="15">
        <v>8.4187345504760742</v>
      </c>
      <c r="J12" s="19">
        <v>2.0719451904296875</v>
      </c>
      <c r="K12" s="14">
        <v>0.72233831882476807</v>
      </c>
      <c r="L12" s="14">
        <v>2.1801605224609375</v>
      </c>
      <c r="M12" s="15">
        <v>4.5280976295471191</v>
      </c>
    </row>
    <row r="13" spans="1:13" x14ac:dyDescent="0.25">
      <c r="A13" s="5">
        <v>2013</v>
      </c>
      <c r="B13" s="14">
        <v>9.0640411376953125</v>
      </c>
      <c r="C13" s="14">
        <v>3.003565788269043</v>
      </c>
      <c r="D13" s="14">
        <v>10.338157653808594</v>
      </c>
      <c r="E13" s="15">
        <v>19.130285263061523</v>
      </c>
      <c r="F13" s="14">
        <v>3.3075382709503174</v>
      </c>
      <c r="G13" s="14">
        <v>1.2313377857208252</v>
      </c>
      <c r="H13" s="14">
        <v>3.6075971126556396</v>
      </c>
      <c r="I13" s="15">
        <v>6.9391460418701172</v>
      </c>
      <c r="J13" s="19">
        <v>1.8294616937637329</v>
      </c>
      <c r="K13" s="14">
        <v>0.77509611845016479</v>
      </c>
      <c r="L13" s="14">
        <v>1.96037757396698</v>
      </c>
      <c r="M13" s="15">
        <v>3.7025249004364014</v>
      </c>
    </row>
    <row r="14" spans="1:13" x14ac:dyDescent="0.25">
      <c r="A14" s="5">
        <v>2014</v>
      </c>
      <c r="B14" s="14">
        <v>8.0824813842773438</v>
      </c>
      <c r="C14" s="14">
        <v>2.6593377590179443</v>
      </c>
      <c r="D14" s="14">
        <v>8.5913524627685547</v>
      </c>
      <c r="E14" s="15">
        <v>18.016717910766602</v>
      </c>
      <c r="F14" s="14">
        <v>2.9789025783538818</v>
      </c>
      <c r="G14" s="14">
        <v>1.0889527797698975</v>
      </c>
      <c r="H14" s="14">
        <v>3.0546944141387939</v>
      </c>
      <c r="I14" s="15">
        <v>6.5786514282226563</v>
      </c>
      <c r="J14" s="19">
        <v>1.6688942909240723</v>
      </c>
      <c r="K14" s="14">
        <v>0.70494425296783447</v>
      </c>
      <c r="L14" s="14">
        <v>1.7023869752883911</v>
      </c>
      <c r="M14" s="15">
        <v>3.5119130611419678</v>
      </c>
    </row>
    <row r="15" spans="1:13" x14ac:dyDescent="0.25">
      <c r="A15" s="5">
        <v>2015</v>
      </c>
      <c r="B15" s="14">
        <v>7.9416317939758301</v>
      </c>
      <c r="C15" s="14">
        <v>2.7217385768890381</v>
      </c>
      <c r="D15" s="14">
        <v>8.1169700622558594</v>
      </c>
      <c r="E15" s="15">
        <v>18.006320953369141</v>
      </c>
      <c r="F15" s="14">
        <v>2.8532488346099854</v>
      </c>
      <c r="G15" s="14">
        <v>1.1762490272521973</v>
      </c>
      <c r="H15" s="14">
        <v>2.7184772491455078</v>
      </c>
      <c r="I15" s="15">
        <v>6.3484025001525879</v>
      </c>
      <c r="J15" s="19">
        <v>1.5720375776290894</v>
      </c>
      <c r="K15" s="14">
        <v>0.78596514463424683</v>
      </c>
      <c r="L15" s="14">
        <v>1.4518489837646484</v>
      </c>
      <c r="M15" s="15">
        <v>3.2884142398834229</v>
      </c>
    </row>
    <row r="16" spans="1:13" x14ac:dyDescent="0.25">
      <c r="A16" s="5">
        <v>2016</v>
      </c>
      <c r="B16" s="14">
        <v>8.456242561340332</v>
      </c>
      <c r="C16" s="14">
        <v>2.9238207340240479</v>
      </c>
      <c r="D16" s="14">
        <v>9.4415283203125</v>
      </c>
      <c r="E16" s="15">
        <v>18.094327926635742</v>
      </c>
      <c r="F16" s="14">
        <v>3.1126213073730469</v>
      </c>
      <c r="G16" s="14">
        <v>1.2303003072738647</v>
      </c>
      <c r="H16" s="14">
        <v>3.3947010040283203</v>
      </c>
      <c r="I16" s="15">
        <v>6.465273380279541</v>
      </c>
      <c r="J16" s="19">
        <v>1.7354797124862671</v>
      </c>
      <c r="K16" s="14">
        <v>0.79174906015396118</v>
      </c>
      <c r="L16" s="14">
        <v>1.8970315456390381</v>
      </c>
      <c r="M16" s="15">
        <v>3.3885715007781982</v>
      </c>
    </row>
    <row r="17" spans="1:13" x14ac:dyDescent="0.25">
      <c r="A17" s="5">
        <v>2017</v>
      </c>
      <c r="B17" s="14">
        <v>7.3836374282836914</v>
      </c>
      <c r="C17" s="14">
        <v>2.7685081958770752</v>
      </c>
      <c r="D17" s="14">
        <v>8.369166374206543</v>
      </c>
      <c r="E17" s="15">
        <v>15.377017974853516</v>
      </c>
      <c r="F17" s="14">
        <v>2.6750195026397705</v>
      </c>
      <c r="G17" s="14">
        <v>1.1936614513397217</v>
      </c>
      <c r="H17" s="14">
        <v>2.925546407699585</v>
      </c>
      <c r="I17" s="15">
        <v>5.330930233001709</v>
      </c>
      <c r="J17" s="19">
        <v>1.5000764131546021</v>
      </c>
      <c r="K17" s="14">
        <v>0.80452847480773926</v>
      </c>
      <c r="L17" s="14">
        <v>1.6419486999511719</v>
      </c>
      <c r="M17" s="15">
        <v>2.7138874530792236</v>
      </c>
    </row>
    <row r="18" spans="1:13" ht="15.75" thickBot="1" x14ac:dyDescent="0.3">
      <c r="A18" s="6">
        <v>2018</v>
      </c>
      <c r="B18" s="17">
        <v>7.2499384880065918</v>
      </c>
      <c r="C18" s="17">
        <v>2.8528001308441162</v>
      </c>
      <c r="D18" s="17">
        <v>7.7751116752624512</v>
      </c>
      <c r="E18" s="20">
        <v>15.368209838867188</v>
      </c>
      <c r="F18" s="17">
        <v>2.725287914276123</v>
      </c>
      <c r="G18" s="17">
        <v>1.254645824432373</v>
      </c>
      <c r="H18" s="17">
        <v>2.7567813396453857</v>
      </c>
      <c r="I18" s="20">
        <v>5.6430830955505371</v>
      </c>
      <c r="J18" s="16">
        <v>1.5609755516052246</v>
      </c>
      <c r="K18" s="17">
        <v>0.85290676355361938</v>
      </c>
      <c r="L18" s="17">
        <v>1.5179766416549683</v>
      </c>
      <c r="M18" s="20">
        <v>3.0475492477416992</v>
      </c>
    </row>
  </sheetData>
  <mergeCells count="5">
    <mergeCell ref="A1:A3"/>
    <mergeCell ref="B1:M1"/>
    <mergeCell ref="B2:E2"/>
    <mergeCell ref="F2:I2"/>
    <mergeCell ref="J2:M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B876-5D71-412E-A7F7-F529191891AC}">
  <sheetPr codeName="Hoja6"/>
  <dimension ref="A1:I1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8" width="14.42578125" style="1" customWidth="1"/>
    <col min="9" max="9" width="14.28515625" style="1" customWidth="1"/>
    <col min="10" max="16384" width="11.42578125" style="1"/>
  </cols>
  <sheetData>
    <row r="1" spans="1:9" ht="15.75" thickBot="1" x14ac:dyDescent="0.3">
      <c r="A1" s="68" t="s">
        <v>23</v>
      </c>
      <c r="B1" s="66" t="s">
        <v>20</v>
      </c>
      <c r="C1" s="66"/>
      <c r="D1" s="66"/>
      <c r="E1" s="67"/>
      <c r="F1" s="66" t="s">
        <v>21</v>
      </c>
      <c r="G1" s="66"/>
      <c r="H1" s="66"/>
      <c r="I1" s="67"/>
    </row>
    <row r="2" spans="1:9" ht="15.75" thickBot="1" x14ac:dyDescent="0.3">
      <c r="A2" s="70"/>
      <c r="B2" s="8" t="s">
        <v>24</v>
      </c>
      <c r="C2" s="2" t="s">
        <v>2</v>
      </c>
      <c r="D2" s="2" t="s">
        <v>4</v>
      </c>
      <c r="E2" s="7" t="s">
        <v>3</v>
      </c>
      <c r="F2" s="8" t="s">
        <v>22</v>
      </c>
      <c r="G2" s="2" t="s">
        <v>2</v>
      </c>
      <c r="H2" s="2" t="s">
        <v>4</v>
      </c>
      <c r="I2" s="7" t="s">
        <v>3</v>
      </c>
    </row>
    <row r="3" spans="1:9" x14ac:dyDescent="0.25">
      <c r="A3" s="5">
        <v>2002</v>
      </c>
      <c r="B3" s="14">
        <v>49.368686676025391</v>
      </c>
      <c r="C3" s="14">
        <v>35.907802581787109</v>
      </c>
      <c r="D3" s="14">
        <v>59.349861145019531</v>
      </c>
      <c r="E3" s="15">
        <v>60.916786193847656</v>
      </c>
      <c r="F3" s="14">
        <v>17.637813568115234</v>
      </c>
      <c r="G3" s="14">
        <v>7.4407234191894531</v>
      </c>
      <c r="H3" s="14">
        <v>19.552263259887695</v>
      </c>
      <c r="I3" s="15">
        <v>32.80767822265625</v>
      </c>
    </row>
    <row r="4" spans="1:9" x14ac:dyDescent="0.25">
      <c r="A4" s="5">
        <v>2003</v>
      </c>
      <c r="B4" s="14">
        <v>47.694141387939453</v>
      </c>
      <c r="C4" s="14">
        <v>36.431411743164063</v>
      </c>
      <c r="D4" s="14">
        <v>57.020992279052734</v>
      </c>
      <c r="E4" s="15">
        <v>56.340629577636719</v>
      </c>
      <c r="F4" s="14">
        <v>15.564229965209961</v>
      </c>
      <c r="G4" s="14">
        <v>7.3150067329406738</v>
      </c>
      <c r="H4" s="14">
        <v>16.638545989990234</v>
      </c>
      <c r="I4" s="15">
        <v>28.586454391479492</v>
      </c>
    </row>
    <row r="5" spans="1:9" x14ac:dyDescent="0.25">
      <c r="A5" s="5">
        <v>2004</v>
      </c>
      <c r="B5" s="14">
        <v>47.356250762939453</v>
      </c>
      <c r="C5" s="14">
        <v>34.227439880371094</v>
      </c>
      <c r="D5" s="14">
        <v>57.594173431396484</v>
      </c>
      <c r="E5" s="15">
        <v>58.292533874511719</v>
      </c>
      <c r="F5" s="14">
        <v>14.843342781066895</v>
      </c>
      <c r="G5" s="14">
        <v>6.5363078117370605</v>
      </c>
      <c r="H5" s="14">
        <v>15.176298141479492</v>
      </c>
      <c r="I5" s="15">
        <v>29.047744750976563</v>
      </c>
    </row>
    <row r="6" spans="1:9" x14ac:dyDescent="0.25">
      <c r="A6" s="5">
        <v>2005</v>
      </c>
      <c r="B6" s="14">
        <v>44.952667236328125</v>
      </c>
      <c r="C6" s="14">
        <v>32.20989990234375</v>
      </c>
      <c r="D6" s="14">
        <v>54.308010101318359</v>
      </c>
      <c r="E6" s="15">
        <v>56.387481689453125</v>
      </c>
      <c r="F6" s="14">
        <v>13.797229766845703</v>
      </c>
      <c r="G6" s="14">
        <v>5.6362271308898926</v>
      </c>
      <c r="H6" s="14">
        <v>14.251157760620117</v>
      </c>
      <c r="I6" s="15">
        <v>27.81190299987793</v>
      </c>
    </row>
    <row r="7" spans="1:9" x14ac:dyDescent="0.25">
      <c r="A7" s="5">
        <v>2008</v>
      </c>
      <c r="B7" s="14">
        <v>42.004955291748047</v>
      </c>
      <c r="C7" s="14">
        <v>26.928564071655273</v>
      </c>
      <c r="D7" s="14">
        <v>52.141876220703125</v>
      </c>
      <c r="E7" s="15">
        <v>57.095619201660156</v>
      </c>
      <c r="F7" s="14">
        <v>16.41334342956543</v>
      </c>
      <c r="G7" s="14">
        <v>5.5752291679382324</v>
      </c>
      <c r="H7" s="14">
        <v>19.194358825683594</v>
      </c>
      <c r="I7" s="15">
        <v>32.962203979492188</v>
      </c>
    </row>
    <row r="8" spans="1:9" x14ac:dyDescent="0.25">
      <c r="A8" s="5">
        <v>2009</v>
      </c>
      <c r="B8" s="14">
        <v>40.217781066894531</v>
      </c>
      <c r="C8" s="14">
        <v>25.561538696289063</v>
      </c>
      <c r="D8" s="14">
        <v>50.665260314941406</v>
      </c>
      <c r="E8" s="15">
        <v>54.25628662109375</v>
      </c>
      <c r="F8" s="14">
        <v>14.427791595458984</v>
      </c>
      <c r="G8" s="14">
        <v>5.2337636947631836</v>
      </c>
      <c r="H8" s="14">
        <v>16.445438385009766</v>
      </c>
      <c r="I8" s="15">
        <v>29.048913955688477</v>
      </c>
    </row>
    <row r="9" spans="1:9" x14ac:dyDescent="0.25">
      <c r="A9" s="5">
        <v>2010</v>
      </c>
      <c r="B9" s="14">
        <v>37.174510955810547</v>
      </c>
      <c r="C9" s="14">
        <v>23.225870132446289</v>
      </c>
      <c r="D9" s="14">
        <v>47.352413177490234</v>
      </c>
      <c r="E9" s="15">
        <v>50.34149169921875</v>
      </c>
      <c r="F9" s="14">
        <v>12.27851676940918</v>
      </c>
      <c r="G9" s="14">
        <v>4.6380691528320313</v>
      </c>
      <c r="H9" s="14">
        <v>13.24906063079834</v>
      </c>
      <c r="I9" s="15">
        <v>25.471567153930664</v>
      </c>
    </row>
    <row r="10" spans="1:9" x14ac:dyDescent="0.25">
      <c r="A10" s="5">
        <v>2011</v>
      </c>
      <c r="B10" s="14">
        <v>34.039176940917969</v>
      </c>
      <c r="C10" s="14">
        <v>20.597190856933594</v>
      </c>
      <c r="D10" s="14">
        <v>43.783294677734375</v>
      </c>
      <c r="E10" s="15">
        <v>46.909652709960938</v>
      </c>
      <c r="F10" s="14">
        <v>10.621200561523438</v>
      </c>
      <c r="G10" s="14">
        <v>3.4709594249725342</v>
      </c>
      <c r="H10" s="14">
        <v>11.892560958862305</v>
      </c>
      <c r="I10" s="15">
        <v>22.610340118408203</v>
      </c>
    </row>
    <row r="11" spans="1:9" x14ac:dyDescent="0.25">
      <c r="A11" s="5">
        <v>2012</v>
      </c>
      <c r="B11" s="14">
        <v>32.734790802001953</v>
      </c>
      <c r="C11" s="14">
        <v>18.941196441650391</v>
      </c>
      <c r="D11" s="14">
        <v>42.158107757568359</v>
      </c>
      <c r="E11" s="15">
        <v>46.794525146484375</v>
      </c>
      <c r="F11" s="14">
        <v>10.396331787109375</v>
      </c>
      <c r="G11" s="14">
        <v>3.3154363632202148</v>
      </c>
      <c r="H11" s="14">
        <v>11.364069938659668</v>
      </c>
      <c r="I11" s="15">
        <v>22.751810073852539</v>
      </c>
    </row>
    <row r="12" spans="1:9" x14ac:dyDescent="0.25">
      <c r="A12" s="5">
        <v>2013</v>
      </c>
      <c r="B12" s="14">
        <v>30.571781158447266</v>
      </c>
      <c r="C12" s="14">
        <v>17.501565933227539</v>
      </c>
      <c r="D12" s="14">
        <v>40.411880493164063</v>
      </c>
      <c r="E12" s="15">
        <v>42.761981964111328</v>
      </c>
      <c r="F12" s="14">
        <v>9.0640411376953125</v>
      </c>
      <c r="G12" s="14">
        <v>3.003565788269043</v>
      </c>
      <c r="H12" s="14">
        <v>10.338157653808594</v>
      </c>
      <c r="I12" s="15">
        <v>19.130285263061523</v>
      </c>
    </row>
    <row r="13" spans="1:9" x14ac:dyDescent="0.25">
      <c r="A13" s="5">
        <v>2014</v>
      </c>
      <c r="B13" s="14">
        <v>28.533149719238281</v>
      </c>
      <c r="C13" s="14">
        <v>15.884819030761719</v>
      </c>
      <c r="D13" s="14">
        <v>37.296733856201172</v>
      </c>
      <c r="E13" s="15">
        <v>41.428699493408203</v>
      </c>
      <c r="F13" s="14">
        <v>8.0824813842773438</v>
      </c>
      <c r="G13" s="14">
        <v>2.6593377590179443</v>
      </c>
      <c r="H13" s="14">
        <v>8.5913524627685547</v>
      </c>
      <c r="I13" s="15">
        <v>18.016717910766602</v>
      </c>
    </row>
    <row r="14" spans="1:9" x14ac:dyDescent="0.25">
      <c r="A14" s="5">
        <v>2015</v>
      </c>
      <c r="B14" s="14">
        <v>27.849176406860352</v>
      </c>
      <c r="C14" s="14">
        <v>15.35108470916748</v>
      </c>
      <c r="D14" s="14">
        <v>36.779544830322266</v>
      </c>
      <c r="E14" s="15">
        <v>40.294448852539063</v>
      </c>
      <c r="F14" s="14">
        <v>7.9416317939758301</v>
      </c>
      <c r="G14" s="14">
        <v>2.7217385768890381</v>
      </c>
      <c r="H14" s="14">
        <v>8.1169700622558594</v>
      </c>
      <c r="I14" s="15">
        <v>18.006320953369141</v>
      </c>
    </row>
    <row r="15" spans="1:9" x14ac:dyDescent="0.25">
      <c r="A15" s="5">
        <v>2016</v>
      </c>
      <c r="B15" s="14">
        <v>28.024290084838867</v>
      </c>
      <c r="C15" s="14">
        <v>15.917905807495117</v>
      </c>
      <c r="D15" s="14">
        <v>37.818168640136719</v>
      </c>
      <c r="E15" s="15">
        <v>38.560688018798828</v>
      </c>
      <c r="F15" s="14">
        <v>8.456242561340332</v>
      </c>
      <c r="G15" s="14">
        <v>2.9238207340240479</v>
      </c>
      <c r="H15" s="14">
        <v>9.4415283203125</v>
      </c>
      <c r="I15" s="15">
        <v>18.094327926635742</v>
      </c>
    </row>
    <row r="16" spans="1:9" x14ac:dyDescent="0.25">
      <c r="A16" s="5">
        <v>2017</v>
      </c>
      <c r="B16" s="14">
        <v>26.913917541503906</v>
      </c>
      <c r="C16" s="14">
        <v>15.897193908691406</v>
      </c>
      <c r="D16" s="14">
        <v>36.583896636962891</v>
      </c>
      <c r="E16" s="15">
        <v>35.964435577392578</v>
      </c>
      <c r="F16" s="14">
        <v>7.3836374282836914</v>
      </c>
      <c r="G16" s="14">
        <v>2.7685081958770752</v>
      </c>
      <c r="H16" s="14">
        <v>8.369166374206543</v>
      </c>
      <c r="I16" s="15">
        <v>15.377017974853516</v>
      </c>
    </row>
    <row r="17" spans="1:9" ht="15.75" thickBot="1" x14ac:dyDescent="0.3">
      <c r="A17" s="6">
        <v>2018</v>
      </c>
      <c r="B17" s="17">
        <v>27.014764785766602</v>
      </c>
      <c r="C17" s="17">
        <v>16.189910888671875</v>
      </c>
      <c r="D17" s="17">
        <v>36.087665557861328</v>
      </c>
      <c r="E17" s="20">
        <v>36.065628051757813</v>
      </c>
      <c r="F17" s="17">
        <v>7.2499384880065918</v>
      </c>
      <c r="G17" s="17">
        <v>2.8528001308441162</v>
      </c>
      <c r="H17" s="17">
        <v>7.7751116752624512</v>
      </c>
      <c r="I17" s="20">
        <v>15.368209838867188</v>
      </c>
    </row>
  </sheetData>
  <mergeCells count="3">
    <mergeCell ref="A1:A2"/>
    <mergeCell ref="B1:E1"/>
    <mergeCell ref="F1:I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56AA-BDAB-4BE5-B023-7FBAE3035D5B}">
  <sheetPr codeName="Hoja8"/>
  <dimension ref="A1:I1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8" width="14.42578125" style="1" customWidth="1"/>
    <col min="9" max="9" width="14.28515625" style="1" customWidth="1"/>
    <col min="10" max="16384" width="11.42578125" style="1"/>
  </cols>
  <sheetData>
    <row r="1" spans="1:9" ht="15.75" thickBot="1" x14ac:dyDescent="0.3">
      <c r="A1" s="68" t="s">
        <v>23</v>
      </c>
      <c r="B1" s="66" t="s">
        <v>28</v>
      </c>
      <c r="C1" s="66"/>
      <c r="D1" s="66"/>
      <c r="E1" s="67"/>
      <c r="F1" s="66" t="s">
        <v>29</v>
      </c>
      <c r="G1" s="66"/>
      <c r="H1" s="66"/>
      <c r="I1" s="67"/>
    </row>
    <row r="2" spans="1:9" ht="15.75" thickBot="1" x14ac:dyDescent="0.3">
      <c r="A2" s="70"/>
      <c r="B2" s="8" t="s">
        <v>24</v>
      </c>
      <c r="C2" s="2" t="s">
        <v>2</v>
      </c>
      <c r="D2" s="2" t="s">
        <v>4</v>
      </c>
      <c r="E2" s="7" t="s">
        <v>3</v>
      </c>
      <c r="F2" s="8" t="s">
        <v>22</v>
      </c>
      <c r="G2" s="2" t="s">
        <v>2</v>
      </c>
      <c r="H2" s="2" t="s">
        <v>4</v>
      </c>
      <c r="I2" s="7" t="s">
        <v>3</v>
      </c>
    </row>
    <row r="3" spans="1:9" x14ac:dyDescent="0.25">
      <c r="A3" s="5">
        <v>2002</v>
      </c>
      <c r="B3" s="14">
        <v>21.707021713256836</v>
      </c>
      <c r="C3" s="14">
        <v>13.82574462890625</v>
      </c>
      <c r="D3" s="14">
        <v>27.427787780761719</v>
      </c>
      <c r="E3" s="15">
        <v>28.608436584472656</v>
      </c>
      <c r="F3" s="14">
        <v>6.7014412879943848</v>
      </c>
      <c r="G3" s="14">
        <v>2.7041831016540527</v>
      </c>
      <c r="H3" s="14">
        <v>6.9257144927978516</v>
      </c>
      <c r="I3" s="15">
        <v>13.246451377868652</v>
      </c>
    </row>
    <row r="4" spans="1:9" x14ac:dyDescent="0.25">
      <c r="A4" s="5">
        <v>2003</v>
      </c>
      <c r="B4" s="14">
        <v>20.340766906738281</v>
      </c>
      <c r="C4" s="14">
        <v>14.021664619445801</v>
      </c>
      <c r="D4" s="14">
        <v>25.61369514465332</v>
      </c>
      <c r="E4" s="15">
        <v>25.145542144775391</v>
      </c>
      <c r="F4" s="14">
        <v>5.737144947052002</v>
      </c>
      <c r="G4" s="14">
        <v>2.5989482402801514</v>
      </c>
      <c r="H4" s="14">
        <v>6.0322360992431641</v>
      </c>
      <c r="I4" s="15">
        <v>10.823101997375488</v>
      </c>
    </row>
    <row r="5" spans="1:9" x14ac:dyDescent="0.25">
      <c r="A5" s="5">
        <v>2004</v>
      </c>
      <c r="B5" s="14">
        <v>19.819868087768555</v>
      </c>
      <c r="C5" s="14">
        <v>12.871612548828125</v>
      </c>
      <c r="D5" s="14">
        <v>24.994251251220703</v>
      </c>
      <c r="E5" s="15">
        <v>25.896905899047852</v>
      </c>
      <c r="F5" s="14">
        <v>5.3722748756408691</v>
      </c>
      <c r="G5" s="14">
        <v>2.4179980754852295</v>
      </c>
      <c r="H5" s="14">
        <v>5.158909797668457</v>
      </c>
      <c r="I5" s="15">
        <v>10.817176818847656</v>
      </c>
    </row>
    <row r="6" spans="1:9" x14ac:dyDescent="0.25">
      <c r="A6" s="5">
        <v>2005</v>
      </c>
      <c r="B6" s="14">
        <v>18.380168914794922</v>
      </c>
      <c r="C6" s="14">
        <v>11.618705749511719</v>
      </c>
      <c r="D6" s="14">
        <v>23.11046028137207</v>
      </c>
      <c r="E6" s="15">
        <v>24.730081558227539</v>
      </c>
      <c r="F6" s="14">
        <v>4.832310676574707</v>
      </c>
      <c r="G6" s="14">
        <v>1.9343752861022949</v>
      </c>
      <c r="H6" s="14">
        <v>4.6525511741638184</v>
      </c>
      <c r="I6" s="15">
        <v>10.220839500427246</v>
      </c>
    </row>
    <row r="7" spans="1:9" x14ac:dyDescent="0.25">
      <c r="A7" s="5">
        <v>2008</v>
      </c>
      <c r="B7" s="14">
        <v>18.363204956054688</v>
      </c>
      <c r="C7" s="14">
        <v>9.6745786666870117</v>
      </c>
      <c r="D7" s="14">
        <v>24.377931594848633</v>
      </c>
      <c r="E7" s="15">
        <v>26.841516494750977</v>
      </c>
      <c r="F7" s="14">
        <v>6.7177672386169434</v>
      </c>
      <c r="G7" s="14">
        <v>2.0906219482421875</v>
      </c>
      <c r="H7" s="14">
        <v>7.6234173774719238</v>
      </c>
      <c r="I7" s="15">
        <v>14.139316558837891</v>
      </c>
    </row>
    <row r="8" spans="1:9" x14ac:dyDescent="0.25">
      <c r="A8" s="5">
        <v>2009</v>
      </c>
      <c r="B8" s="14">
        <v>16.738040924072266</v>
      </c>
      <c r="C8" s="14">
        <v>9.1323995590209961</v>
      </c>
      <c r="D8" s="14">
        <v>22.140453338623047</v>
      </c>
      <c r="E8" s="15">
        <v>24.047670364379883</v>
      </c>
      <c r="F8" s="14">
        <v>5.4795660972595215</v>
      </c>
      <c r="G8" s="14">
        <v>1.9772406816482544</v>
      </c>
      <c r="H8" s="14">
        <v>5.982670783996582</v>
      </c>
      <c r="I8" s="15">
        <v>11.389569282531738</v>
      </c>
    </row>
    <row r="9" spans="1:9" x14ac:dyDescent="0.25">
      <c r="A9" s="5">
        <v>2010</v>
      </c>
      <c r="B9" s="14">
        <v>15.118712425231934</v>
      </c>
      <c r="C9" s="14">
        <v>8.2836952209472656</v>
      </c>
      <c r="D9" s="14">
        <v>19.826812744140625</v>
      </c>
      <c r="E9" s="15">
        <v>21.933364868164063</v>
      </c>
      <c r="F9" s="14">
        <v>4.6093907356262207</v>
      </c>
      <c r="G9" s="14">
        <v>1.8083381652832031</v>
      </c>
      <c r="H9" s="14">
        <v>4.6438188552856445</v>
      </c>
      <c r="I9" s="15">
        <v>9.863520622253418</v>
      </c>
    </row>
    <row r="10" spans="1:9" x14ac:dyDescent="0.25">
      <c r="A10" s="5">
        <v>2011</v>
      </c>
      <c r="B10" s="14">
        <v>13.368127822875977</v>
      </c>
      <c r="C10" s="14">
        <v>6.8817615509033203</v>
      </c>
      <c r="D10" s="14">
        <v>18.073257446289063</v>
      </c>
      <c r="E10" s="15">
        <v>19.574563980102539</v>
      </c>
      <c r="F10" s="14">
        <v>3.7947773933410645</v>
      </c>
      <c r="G10" s="14">
        <v>1.2857649326324463</v>
      </c>
      <c r="H10" s="14">
        <v>4.0746164321899414</v>
      </c>
      <c r="I10" s="15">
        <v>8.2203617095947266</v>
      </c>
    </row>
    <row r="11" spans="1:9" x14ac:dyDescent="0.25">
      <c r="A11" s="5">
        <v>2012</v>
      </c>
      <c r="B11" s="14">
        <v>12.888945579528809</v>
      </c>
      <c r="C11" s="14">
        <v>6.3695249557495117</v>
      </c>
      <c r="D11" s="14">
        <v>17.377151489257813</v>
      </c>
      <c r="E11" s="15">
        <v>19.488533020019531</v>
      </c>
      <c r="F11" s="14">
        <v>3.7822487354278564</v>
      </c>
      <c r="G11" s="14">
        <v>1.2282640933990479</v>
      </c>
      <c r="H11" s="14">
        <v>3.9957082271575928</v>
      </c>
      <c r="I11" s="15">
        <v>8.4187345504760742</v>
      </c>
    </row>
    <row r="12" spans="1:9" x14ac:dyDescent="0.25">
      <c r="A12" s="5">
        <v>2013</v>
      </c>
      <c r="B12" s="14">
        <v>11.79701042175293</v>
      </c>
      <c r="C12" s="14">
        <v>5.9308576583862305</v>
      </c>
      <c r="D12" s="14">
        <v>16.219566345214844</v>
      </c>
      <c r="E12" s="15">
        <v>17.259958267211914</v>
      </c>
      <c r="F12" s="14">
        <v>3.3075382709503174</v>
      </c>
      <c r="G12" s="14">
        <v>1.2313377857208252</v>
      </c>
      <c r="H12" s="14">
        <v>3.6075971126556396</v>
      </c>
      <c r="I12" s="15">
        <v>6.9391460418701172</v>
      </c>
    </row>
    <row r="13" spans="1:9" x14ac:dyDescent="0.25">
      <c r="A13" s="5">
        <v>2014</v>
      </c>
      <c r="B13" s="14">
        <v>10.835399627685547</v>
      </c>
      <c r="C13" s="14">
        <v>5.2488384246826172</v>
      </c>
      <c r="D13" s="14">
        <v>14.62827205657959</v>
      </c>
      <c r="E13" s="15">
        <v>16.636728286743164</v>
      </c>
      <c r="F13" s="14">
        <v>2.9789025783538818</v>
      </c>
      <c r="G13" s="14">
        <v>1.0889527797698975</v>
      </c>
      <c r="H13" s="14">
        <v>3.0546944141387939</v>
      </c>
      <c r="I13" s="15">
        <v>6.5786514282226563</v>
      </c>
    </row>
    <row r="14" spans="1:9" x14ac:dyDescent="0.25">
      <c r="A14" s="5">
        <v>2015</v>
      </c>
      <c r="B14" s="14">
        <v>10.300780296325684</v>
      </c>
      <c r="C14" s="14">
        <v>5.112358570098877</v>
      </c>
      <c r="D14" s="14">
        <v>13.869400978088379</v>
      </c>
      <c r="E14" s="15">
        <v>15.657194137573242</v>
      </c>
      <c r="F14" s="14">
        <v>2.8532488346099854</v>
      </c>
      <c r="G14" s="14">
        <v>1.1762490272521973</v>
      </c>
      <c r="H14" s="14">
        <v>2.7184772491455078</v>
      </c>
      <c r="I14" s="15">
        <v>6.3484025001525879</v>
      </c>
    </row>
    <row r="15" spans="1:9" x14ac:dyDescent="0.25">
      <c r="A15" s="5">
        <v>2016</v>
      </c>
      <c r="B15" s="14">
        <v>10.341764450073242</v>
      </c>
      <c r="C15" s="14">
        <v>5.194526195526123</v>
      </c>
      <c r="D15" s="14">
        <v>14.43464469909668</v>
      </c>
      <c r="E15" s="15">
        <v>14.919822692871094</v>
      </c>
      <c r="F15" s="14">
        <v>3.1126213073730469</v>
      </c>
      <c r="G15" s="14">
        <v>1.2303003072738647</v>
      </c>
      <c r="H15" s="14">
        <v>3.3947010040283203</v>
      </c>
      <c r="I15" s="15">
        <v>6.465273380279541</v>
      </c>
    </row>
    <row r="16" spans="1:9" x14ac:dyDescent="0.25">
      <c r="A16" s="5">
        <v>2017</v>
      </c>
      <c r="B16" s="14">
        <v>9.7049779891967773</v>
      </c>
      <c r="C16" s="14">
        <v>5.1392221450805664</v>
      </c>
      <c r="D16" s="14">
        <v>13.717391014099121</v>
      </c>
      <c r="E16" s="15">
        <v>13.449283599853516</v>
      </c>
      <c r="F16" s="14">
        <v>2.6750195026397705</v>
      </c>
      <c r="G16" s="14">
        <v>1.1936614513397217</v>
      </c>
      <c r="H16" s="14">
        <v>2.925546407699585</v>
      </c>
      <c r="I16" s="15">
        <v>5.330930233001709</v>
      </c>
    </row>
    <row r="17" spans="1:9" ht="15.75" thickBot="1" x14ac:dyDescent="0.3">
      <c r="A17" s="6">
        <v>2018</v>
      </c>
      <c r="B17" s="17">
        <v>9.8325824737548828</v>
      </c>
      <c r="C17" s="17">
        <v>5.3376679420471191</v>
      </c>
      <c r="D17" s="17">
        <v>13.440409660339355</v>
      </c>
      <c r="E17" s="20">
        <v>13.815189361572266</v>
      </c>
      <c r="F17" s="17">
        <v>2.725287914276123</v>
      </c>
      <c r="G17" s="17">
        <v>1.254645824432373</v>
      </c>
      <c r="H17" s="17">
        <v>2.7567813396453857</v>
      </c>
      <c r="I17" s="20">
        <v>5.6430830955505371</v>
      </c>
    </row>
  </sheetData>
  <mergeCells count="3">
    <mergeCell ref="A1:A2"/>
    <mergeCell ref="B1:E1"/>
    <mergeCell ref="F1:I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87BC-0DEA-41EE-88CD-A8AD809FB8CB}">
  <sheetPr codeName="Hoja9"/>
  <dimension ref="A1:I1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8" width="14.42578125" style="1" customWidth="1"/>
    <col min="9" max="9" width="14.28515625" style="1" customWidth="1"/>
    <col min="10" max="16384" width="11.42578125" style="1"/>
  </cols>
  <sheetData>
    <row r="1" spans="1:9" ht="15.75" thickBot="1" x14ac:dyDescent="0.3">
      <c r="A1" s="68" t="s">
        <v>23</v>
      </c>
      <c r="B1" s="66" t="s">
        <v>30</v>
      </c>
      <c r="C1" s="66"/>
      <c r="D1" s="66"/>
      <c r="E1" s="67"/>
      <c r="F1" s="66" t="s">
        <v>31</v>
      </c>
      <c r="G1" s="66"/>
      <c r="H1" s="66"/>
      <c r="I1" s="67"/>
    </row>
    <row r="2" spans="1:9" ht="15.75" thickBot="1" x14ac:dyDescent="0.3">
      <c r="A2" s="70"/>
      <c r="B2" s="8" t="s">
        <v>24</v>
      </c>
      <c r="C2" s="2" t="s">
        <v>2</v>
      </c>
      <c r="D2" s="2" t="s">
        <v>4</v>
      </c>
      <c r="E2" s="7" t="s">
        <v>3</v>
      </c>
      <c r="F2" s="8" t="s">
        <v>22</v>
      </c>
      <c r="G2" s="2" t="s">
        <v>2</v>
      </c>
      <c r="H2" s="2" t="s">
        <v>4</v>
      </c>
      <c r="I2" s="7" t="s">
        <v>3</v>
      </c>
    </row>
    <row r="3" spans="1:9" x14ac:dyDescent="0.25">
      <c r="A3" s="5">
        <v>2002</v>
      </c>
      <c r="B3" s="18">
        <v>12.646281242370605</v>
      </c>
      <c r="C3" s="14">
        <v>7.4270291328430176</v>
      </c>
      <c r="D3" s="14">
        <v>16.290250778198242</v>
      </c>
      <c r="E3" s="15">
        <v>17.380990982055664</v>
      </c>
      <c r="F3" s="18">
        <v>3.6983346939086914</v>
      </c>
      <c r="G3" s="14">
        <v>1.556721568107605</v>
      </c>
      <c r="H3" s="14">
        <v>3.6877033710479736</v>
      </c>
      <c r="I3" s="15">
        <v>7.3537030220031738</v>
      </c>
    </row>
    <row r="4" spans="1:9" x14ac:dyDescent="0.25">
      <c r="A4" s="5">
        <v>2003</v>
      </c>
      <c r="B4" s="19">
        <v>11.536758422851563</v>
      </c>
      <c r="C4" s="14">
        <v>7.4626688957214355</v>
      </c>
      <c r="D4" s="14">
        <v>14.830615997314453</v>
      </c>
      <c r="E4" s="15">
        <v>14.757376670837402</v>
      </c>
      <c r="F4" s="19">
        <v>3.11244797706604</v>
      </c>
      <c r="G4" s="14">
        <v>1.4516253471374512</v>
      </c>
      <c r="H4" s="14">
        <v>3.2489852905273438</v>
      </c>
      <c r="I4" s="15">
        <v>5.8268933296203613</v>
      </c>
    </row>
    <row r="5" spans="1:9" x14ac:dyDescent="0.25">
      <c r="A5" s="5">
        <v>2004</v>
      </c>
      <c r="B5" s="19">
        <v>11.06525707244873</v>
      </c>
      <c r="C5" s="14">
        <v>6.791351318359375</v>
      </c>
      <c r="D5" s="14">
        <v>14.047096252441406</v>
      </c>
      <c r="E5" s="15">
        <v>15.041489601135254</v>
      </c>
      <c r="F5" s="19">
        <v>2.8364865779876709</v>
      </c>
      <c r="G5" s="14">
        <v>1.3803051710128784</v>
      </c>
      <c r="H5" s="14">
        <v>2.60817551612854</v>
      </c>
      <c r="I5" s="15">
        <v>5.666295051574707</v>
      </c>
    </row>
    <row r="6" spans="1:9" x14ac:dyDescent="0.25">
      <c r="A6" s="5">
        <v>2005</v>
      </c>
      <c r="B6" s="19">
        <v>10.121403694152832</v>
      </c>
      <c r="C6" s="14">
        <v>5.9389281272888184</v>
      </c>
      <c r="D6" s="14">
        <v>12.90585994720459</v>
      </c>
      <c r="E6" s="15">
        <v>14.220385551452637</v>
      </c>
      <c r="F6" s="19">
        <v>2.5063140392303467</v>
      </c>
      <c r="G6" s="14">
        <v>1.0641170740127563</v>
      </c>
      <c r="H6" s="14">
        <v>2.2804217338562012</v>
      </c>
      <c r="I6" s="15">
        <v>5.3528456687927246</v>
      </c>
    </row>
    <row r="7" spans="1:9" x14ac:dyDescent="0.25">
      <c r="A7" s="5">
        <v>2008</v>
      </c>
      <c r="B7" s="19">
        <v>10.821671485900879</v>
      </c>
      <c r="C7" s="14">
        <v>5.0564618110656738</v>
      </c>
      <c r="D7" s="14">
        <v>14.745810508728027</v>
      </c>
      <c r="E7" s="15">
        <v>16.531894683837891</v>
      </c>
      <c r="F7" s="19">
        <v>3.9523298740386963</v>
      </c>
      <c r="G7" s="14">
        <v>1.2543526887893677</v>
      </c>
      <c r="H7" s="14">
        <v>4.4473276138305664</v>
      </c>
      <c r="I7" s="15">
        <v>8.3214855194091797</v>
      </c>
    </row>
    <row r="8" spans="1:9" x14ac:dyDescent="0.25">
      <c r="A8" s="5">
        <v>2009</v>
      </c>
      <c r="B8" s="19">
        <v>9.5029335021972656</v>
      </c>
      <c r="C8" s="14">
        <v>4.7965655326843262</v>
      </c>
      <c r="D8" s="14">
        <v>12.797422409057617</v>
      </c>
      <c r="E8" s="15">
        <v>14.088325500488281</v>
      </c>
      <c r="F8" s="19">
        <v>3.0474379062652588</v>
      </c>
      <c r="G8" s="14">
        <v>1.1929848194122314</v>
      </c>
      <c r="H8" s="14">
        <v>3.2266249656677246</v>
      </c>
      <c r="I8" s="15">
        <v>6.2885160446166992</v>
      </c>
    </row>
    <row r="9" spans="1:9" x14ac:dyDescent="0.25">
      <c r="A9" s="5">
        <v>2010</v>
      </c>
      <c r="B9" s="19">
        <v>8.4541292190551758</v>
      </c>
      <c r="C9" s="14">
        <v>4.3747501373291016</v>
      </c>
      <c r="D9" s="14">
        <v>11.10440731048584</v>
      </c>
      <c r="E9" s="15">
        <v>12.728764533996582</v>
      </c>
      <c r="F9" s="19">
        <v>2.5390057563781738</v>
      </c>
      <c r="G9" s="14">
        <v>1.0946974754333496</v>
      </c>
      <c r="H9" s="14">
        <v>2.4209229946136475</v>
      </c>
      <c r="I9" s="15">
        <v>5.4246320724487305</v>
      </c>
    </row>
    <row r="10" spans="1:9" x14ac:dyDescent="0.25">
      <c r="A10" s="5">
        <v>2011</v>
      </c>
      <c r="B10" s="19">
        <v>7.2484850883483887</v>
      </c>
      <c r="C10" s="14">
        <v>3.4479198455810547</v>
      </c>
      <c r="D10" s="14">
        <v>9.9877338409423828</v>
      </c>
      <c r="E10" s="15">
        <v>10.908215522766113</v>
      </c>
      <c r="F10" s="19">
        <v>2.0224745273590088</v>
      </c>
      <c r="G10" s="14">
        <v>0.75957298278808594</v>
      </c>
      <c r="H10" s="14">
        <v>2.1351265907287598</v>
      </c>
      <c r="I10" s="15">
        <v>4.2871546745300293</v>
      </c>
    </row>
    <row r="11" spans="1:9" x14ac:dyDescent="0.25">
      <c r="A11" s="5">
        <v>2012</v>
      </c>
      <c r="B11" s="19">
        <v>7.0461273193359375</v>
      </c>
      <c r="C11" s="14">
        <v>3.2051980495452881</v>
      </c>
      <c r="D11" s="14">
        <v>9.6195011138916016</v>
      </c>
      <c r="E11" s="15">
        <v>11.028373718261719</v>
      </c>
      <c r="F11" s="19">
        <v>2.0719451904296875</v>
      </c>
      <c r="G11" s="14">
        <v>0.72233831882476807</v>
      </c>
      <c r="H11" s="14">
        <v>2.1801605224609375</v>
      </c>
      <c r="I11" s="15">
        <v>4.5280976295471191</v>
      </c>
    </row>
    <row r="12" spans="1:9" x14ac:dyDescent="0.25">
      <c r="A12" s="5">
        <v>2013</v>
      </c>
      <c r="B12" s="19">
        <v>6.4046993255615234</v>
      </c>
      <c r="C12" s="14">
        <v>3.045499324798584</v>
      </c>
      <c r="D12" s="14">
        <v>8.9180202484130859</v>
      </c>
      <c r="E12" s="15">
        <v>9.5587978363037109</v>
      </c>
      <c r="F12" s="19">
        <v>1.8294616937637329</v>
      </c>
      <c r="G12" s="14">
        <v>0.77509611845016479</v>
      </c>
      <c r="H12" s="14">
        <v>1.96037757396698</v>
      </c>
      <c r="I12" s="15">
        <v>3.7025249004364014</v>
      </c>
    </row>
    <row r="13" spans="1:9" x14ac:dyDescent="0.25">
      <c r="A13" s="5">
        <v>2014</v>
      </c>
      <c r="B13" s="19">
        <v>5.8237042427062988</v>
      </c>
      <c r="C13" s="14">
        <v>2.6739704608917236</v>
      </c>
      <c r="D13" s="14">
        <v>7.9056406021118164</v>
      </c>
      <c r="E13" s="15">
        <v>9.171147346496582</v>
      </c>
      <c r="F13" s="19">
        <v>1.6688942909240723</v>
      </c>
      <c r="G13" s="14">
        <v>0.70494425296783447</v>
      </c>
      <c r="H13" s="14">
        <v>1.7023869752883911</v>
      </c>
      <c r="I13" s="15">
        <v>3.5119130611419678</v>
      </c>
    </row>
    <row r="14" spans="1:9" x14ac:dyDescent="0.25">
      <c r="A14" s="5">
        <v>2015</v>
      </c>
      <c r="B14" s="19">
        <v>5.4340925216674805</v>
      </c>
      <c r="C14" s="14">
        <v>2.6394188404083252</v>
      </c>
      <c r="D14" s="14">
        <v>7.2382006645202637</v>
      </c>
      <c r="E14" s="15">
        <v>8.4809322357177734</v>
      </c>
      <c r="F14" s="19">
        <v>1.5720375776290894</v>
      </c>
      <c r="G14" s="14">
        <v>0.78596514463424683</v>
      </c>
      <c r="H14" s="14">
        <v>1.4518489837646484</v>
      </c>
      <c r="I14" s="15">
        <v>3.2884142398834229</v>
      </c>
    </row>
    <row r="15" spans="1:9" x14ac:dyDescent="0.25">
      <c r="A15" s="5">
        <v>2016</v>
      </c>
      <c r="B15" s="19">
        <v>5.4973363876342773</v>
      </c>
      <c r="C15" s="14">
        <v>2.6558010578155518</v>
      </c>
      <c r="D15" s="14">
        <v>7.7273812294006348</v>
      </c>
      <c r="E15" s="15">
        <v>8.0653257369995117</v>
      </c>
      <c r="F15" s="19">
        <v>1.7354797124862671</v>
      </c>
      <c r="G15" s="14">
        <v>0.79174906015396118</v>
      </c>
      <c r="H15" s="14">
        <v>1.8970315456390381</v>
      </c>
      <c r="I15" s="15">
        <v>3.3885715007781982</v>
      </c>
    </row>
    <row r="16" spans="1:9" x14ac:dyDescent="0.25">
      <c r="A16" s="5">
        <v>2017</v>
      </c>
      <c r="B16" s="19">
        <v>5.0725679397583008</v>
      </c>
      <c r="C16" s="14">
        <v>2.6248531341552734</v>
      </c>
      <c r="D16" s="14">
        <v>7.2179555892944336</v>
      </c>
      <c r="E16" s="15">
        <v>7.0876846313476563</v>
      </c>
      <c r="F16" s="19">
        <v>1.5000764131546021</v>
      </c>
      <c r="G16" s="14">
        <v>0.80452847480773926</v>
      </c>
      <c r="H16" s="14">
        <v>1.6419486999511719</v>
      </c>
      <c r="I16" s="15">
        <v>2.7138874530792236</v>
      </c>
    </row>
    <row r="17" spans="1:9" ht="15.75" thickBot="1" x14ac:dyDescent="0.3">
      <c r="A17" s="6">
        <v>2018</v>
      </c>
      <c r="B17" s="16">
        <v>5.1967906951904297</v>
      </c>
      <c r="C17" s="17">
        <v>2.7629482746124268</v>
      </c>
      <c r="D17" s="17">
        <v>7.0490498542785645</v>
      </c>
      <c r="E17" s="20">
        <v>7.4955477714538574</v>
      </c>
      <c r="F17" s="16">
        <v>1.5609755516052246</v>
      </c>
      <c r="G17" s="17">
        <v>0.85290676355361938</v>
      </c>
      <c r="H17" s="17">
        <v>1.5179766416549683</v>
      </c>
      <c r="I17" s="20">
        <v>3.0475492477416992</v>
      </c>
    </row>
  </sheetData>
  <mergeCells count="3">
    <mergeCell ref="A1:A2"/>
    <mergeCell ref="B1:E1"/>
    <mergeCell ref="F1:I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4593-D44E-4BE9-8550-264ECE455C31}">
  <sheetPr codeName="Hoja4"/>
  <dimension ref="A1:R5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14" width="14.28515625" style="1" customWidth="1"/>
    <col min="15" max="15" width="11.42578125" style="1"/>
    <col min="16" max="21" width="14.28515625" style="1" customWidth="1"/>
    <col min="22" max="16384" width="11.42578125" style="1"/>
  </cols>
  <sheetData>
    <row r="1" spans="1:18" ht="15.75" thickBot="1" x14ac:dyDescent="0.3">
      <c r="A1" s="68" t="s">
        <v>23</v>
      </c>
      <c r="B1" s="72" t="s">
        <v>20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  <c r="P1" s="68" t="s">
        <v>20</v>
      </c>
      <c r="Q1" s="68"/>
      <c r="R1" s="68"/>
    </row>
    <row r="2" spans="1:18" ht="15.75" thickBot="1" x14ac:dyDescent="0.3">
      <c r="A2" s="70"/>
      <c r="B2" s="9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7" t="s">
        <v>17</v>
      </c>
      <c r="P2" s="60" t="s">
        <v>63</v>
      </c>
      <c r="Q2" s="61">
        <v>2002</v>
      </c>
      <c r="R2" s="61">
        <v>2018</v>
      </c>
    </row>
    <row r="3" spans="1:18" x14ac:dyDescent="0.25">
      <c r="A3" s="4">
        <v>2002</v>
      </c>
      <c r="B3" s="21">
        <v>43.097087860107422</v>
      </c>
      <c r="C3" s="22">
        <v>31.345975875854492</v>
      </c>
      <c r="D3" s="22">
        <v>33.522819519042969</v>
      </c>
      <c r="E3" s="22">
        <v>33.112995147705078</v>
      </c>
      <c r="F3" s="22">
        <v>47.718971252441406</v>
      </c>
      <c r="G3" s="22">
        <v>52.86279296875</v>
      </c>
      <c r="H3" s="22">
        <v>38.160659790039063</v>
      </c>
      <c r="I3" s="22">
        <v>37.030666351318359</v>
      </c>
      <c r="J3" s="22">
        <v>36.139499664306641</v>
      </c>
      <c r="K3" s="22">
        <v>48.665122985839844</v>
      </c>
      <c r="L3" s="22">
        <v>44.679496765136719</v>
      </c>
      <c r="M3" s="22">
        <v>32.092311859130859</v>
      </c>
      <c r="N3" s="23">
        <v>33.922077178955078</v>
      </c>
      <c r="P3" s="47" t="s">
        <v>10</v>
      </c>
      <c r="Q3" s="58">
        <v>52.86279296875</v>
      </c>
      <c r="R3" s="58">
        <v>36.188556671142578</v>
      </c>
    </row>
    <row r="4" spans="1:18" x14ac:dyDescent="0.25">
      <c r="A4" s="5">
        <v>2003</v>
      </c>
      <c r="B4" s="24">
        <v>48.837100982666016</v>
      </c>
      <c r="C4" s="25">
        <v>31.792337417602539</v>
      </c>
      <c r="D4" s="25">
        <v>34.008983612060547</v>
      </c>
      <c r="E4" s="25">
        <v>33.353092193603516</v>
      </c>
      <c r="F4" s="25">
        <v>43.595035552978516</v>
      </c>
      <c r="G4" s="25">
        <v>57.010398864746094</v>
      </c>
      <c r="H4" s="25">
        <v>39.966876983642578</v>
      </c>
      <c r="I4" s="25">
        <v>39.456783294677734</v>
      </c>
      <c r="J4" s="25">
        <v>34.470146179199219</v>
      </c>
      <c r="K4" s="25">
        <v>50.760234832763672</v>
      </c>
      <c r="L4" s="25">
        <v>46.779312133789063</v>
      </c>
      <c r="M4" s="25">
        <v>29.616979598999023</v>
      </c>
      <c r="N4" s="26">
        <v>35.717372894287109</v>
      </c>
      <c r="P4" s="47" t="s">
        <v>14</v>
      </c>
      <c r="Q4" s="58">
        <v>48.665122985839844</v>
      </c>
      <c r="R4" s="58">
        <v>27.501991271972656</v>
      </c>
    </row>
    <row r="5" spans="1:18" x14ac:dyDescent="0.25">
      <c r="A5" s="5">
        <v>2004</v>
      </c>
      <c r="B5" s="24">
        <v>45.905303955078125</v>
      </c>
      <c r="C5" s="25">
        <v>28.666929244995117</v>
      </c>
      <c r="D5" s="25">
        <v>31.318410873413086</v>
      </c>
      <c r="E5" s="25">
        <v>31.602165222167969</v>
      </c>
      <c r="F5" s="25">
        <v>44.992023468017578</v>
      </c>
      <c r="G5" s="25">
        <v>55.249530792236328</v>
      </c>
      <c r="H5" s="25">
        <v>42.984317779541016</v>
      </c>
      <c r="I5" s="25">
        <v>40.492839813232422</v>
      </c>
      <c r="J5" s="25">
        <v>31.604751586914063</v>
      </c>
      <c r="K5" s="25">
        <v>50.637172698974609</v>
      </c>
      <c r="L5" s="25">
        <v>46.152202606201172</v>
      </c>
      <c r="M5" s="25">
        <v>29.629718780517578</v>
      </c>
      <c r="N5" s="26">
        <v>32.346237182617188</v>
      </c>
      <c r="P5" s="47" t="s">
        <v>9</v>
      </c>
      <c r="Q5" s="58">
        <v>47.718971252441406</v>
      </c>
      <c r="R5" s="58">
        <v>25.930797576904297</v>
      </c>
    </row>
    <row r="6" spans="1:18" x14ac:dyDescent="0.25">
      <c r="A6" s="5">
        <v>2005</v>
      </c>
      <c r="B6" s="24">
        <v>44.064323425292969</v>
      </c>
      <c r="C6" s="25">
        <v>26.638156890869141</v>
      </c>
      <c r="D6" s="25">
        <v>31.073041915893555</v>
      </c>
      <c r="E6" s="25">
        <v>30.097499847412109</v>
      </c>
      <c r="F6" s="25">
        <v>37.719123840332031</v>
      </c>
      <c r="G6" s="25">
        <v>55.17291259765625</v>
      </c>
      <c r="H6" s="25">
        <v>39.456855773925781</v>
      </c>
      <c r="I6" s="25">
        <v>36.507160186767578</v>
      </c>
      <c r="J6" s="25">
        <v>29.365074157714844</v>
      </c>
      <c r="K6" s="25">
        <v>46.907451629638672</v>
      </c>
      <c r="L6" s="25">
        <v>45.74542236328125</v>
      </c>
      <c r="M6" s="25">
        <v>28.687858581542969</v>
      </c>
      <c r="N6" s="26">
        <v>34.823673248291016</v>
      </c>
      <c r="P6" s="47" t="s">
        <v>15</v>
      </c>
      <c r="Q6" s="58">
        <v>44.679496765136719</v>
      </c>
      <c r="R6" s="58">
        <v>25.438892364501953</v>
      </c>
    </row>
    <row r="7" spans="1:18" x14ac:dyDescent="0.25">
      <c r="A7" s="5">
        <v>2008</v>
      </c>
      <c r="B7" s="24">
        <v>43.337368011474609</v>
      </c>
      <c r="C7" s="25">
        <v>19.573091506958008</v>
      </c>
      <c r="D7" s="25">
        <v>19.094011306762695</v>
      </c>
      <c r="E7" s="25">
        <v>28.430831909179688</v>
      </c>
      <c r="F7" s="25">
        <v>40.198940277099609</v>
      </c>
      <c r="G7" s="25">
        <v>42.232906341552734</v>
      </c>
      <c r="H7" s="25">
        <v>32.602684020996094</v>
      </c>
      <c r="I7" s="25">
        <v>31.249465942382813</v>
      </c>
      <c r="J7" s="25">
        <v>24.950214385986328</v>
      </c>
      <c r="K7" s="25">
        <v>40.512744903564453</v>
      </c>
      <c r="L7" s="25">
        <v>39.378341674804688</v>
      </c>
      <c r="M7" s="25">
        <v>27.502145767211914</v>
      </c>
      <c r="N7" s="26">
        <v>26.719850540161133</v>
      </c>
      <c r="P7" s="47" t="s">
        <v>5</v>
      </c>
      <c r="Q7" s="58">
        <v>43.097087860107422</v>
      </c>
      <c r="R7" s="58">
        <v>21.087165832519531</v>
      </c>
    </row>
    <row r="8" spans="1:18" x14ac:dyDescent="0.25">
      <c r="A8" s="5">
        <v>2009</v>
      </c>
      <c r="B8" s="24">
        <v>42.38861083984375</v>
      </c>
      <c r="C8" s="25">
        <v>18.275114059448242</v>
      </c>
      <c r="D8" s="25">
        <v>13.857089996337891</v>
      </c>
      <c r="E8" s="25">
        <v>28.332504272460938</v>
      </c>
      <c r="F8" s="25">
        <v>38.478054046630859</v>
      </c>
      <c r="G8" s="25">
        <v>38.207576751708984</v>
      </c>
      <c r="H8" s="25">
        <v>28.658378601074219</v>
      </c>
      <c r="I8" s="25">
        <v>27.302036285400391</v>
      </c>
      <c r="J8" s="25">
        <v>23.906238555908203</v>
      </c>
      <c r="K8" s="25">
        <v>38.36181640625</v>
      </c>
      <c r="L8" s="25">
        <v>42.258262634277344</v>
      </c>
      <c r="M8" s="25">
        <v>28.384479522705078</v>
      </c>
      <c r="N8" s="26">
        <v>27.606306076049805</v>
      </c>
      <c r="P8" s="47" t="s">
        <v>11</v>
      </c>
      <c r="Q8" s="58">
        <v>38.160659790039063</v>
      </c>
      <c r="R8" s="58">
        <v>18.127588272094727</v>
      </c>
    </row>
    <row r="9" spans="1:18" x14ac:dyDescent="0.25">
      <c r="A9" s="5">
        <v>2010</v>
      </c>
      <c r="B9" s="24">
        <v>39.542732238769531</v>
      </c>
      <c r="C9" s="25">
        <v>15.508410453796387</v>
      </c>
      <c r="D9" s="25">
        <v>10.845887184143066</v>
      </c>
      <c r="E9" s="25">
        <v>26.111566543579102</v>
      </c>
      <c r="F9" s="25">
        <v>34.222896575927734</v>
      </c>
      <c r="G9" s="25">
        <v>39.224376678466797</v>
      </c>
      <c r="H9" s="25">
        <v>26.646402359008789</v>
      </c>
      <c r="I9" s="25">
        <v>23.886159896850586</v>
      </c>
      <c r="J9" s="25">
        <v>22.023883819580078</v>
      </c>
      <c r="K9" s="25">
        <v>39.488929748535156</v>
      </c>
      <c r="L9" s="25">
        <v>42.647151947021484</v>
      </c>
      <c r="M9" s="25">
        <v>26.647710800170898</v>
      </c>
      <c r="N9" s="26">
        <v>25.344079971313477</v>
      </c>
      <c r="P9" s="47" t="s">
        <v>12</v>
      </c>
      <c r="Q9" s="58">
        <v>37.030666351318359</v>
      </c>
      <c r="R9" s="58">
        <v>11.900731086730957</v>
      </c>
    </row>
    <row r="10" spans="1:18" x14ac:dyDescent="0.25">
      <c r="A10" s="5">
        <v>2011</v>
      </c>
      <c r="B10" s="24">
        <v>34.812019348144531</v>
      </c>
      <c r="C10" s="25">
        <v>13.09496021270752</v>
      </c>
      <c r="D10" s="25">
        <v>10.711444854736328</v>
      </c>
      <c r="E10" s="25">
        <v>25.1429443359375</v>
      </c>
      <c r="F10" s="25">
        <v>33.380325317382813</v>
      </c>
      <c r="G10" s="25">
        <v>33.863662719726563</v>
      </c>
      <c r="H10" s="25">
        <v>22.013240814208984</v>
      </c>
      <c r="I10" s="25">
        <v>19.308872222900391</v>
      </c>
      <c r="J10" s="25">
        <v>19.168380737304688</v>
      </c>
      <c r="K10" s="25">
        <v>37.233348846435547</v>
      </c>
      <c r="L10" s="25">
        <v>39.959136962890625</v>
      </c>
      <c r="M10" s="25">
        <v>21.503410339355469</v>
      </c>
      <c r="N10" s="26">
        <v>22.952587127685547</v>
      </c>
      <c r="P10" s="47" t="s">
        <v>13</v>
      </c>
      <c r="Q10" s="58">
        <v>36.139499664306641</v>
      </c>
      <c r="R10" s="58">
        <v>13.87612247467041</v>
      </c>
    </row>
    <row r="11" spans="1:18" x14ac:dyDescent="0.25">
      <c r="A11" s="5">
        <v>2012</v>
      </c>
      <c r="B11" s="24">
        <v>30.410554885864258</v>
      </c>
      <c r="C11" s="25">
        <v>11.556772232055664</v>
      </c>
      <c r="D11" s="25">
        <v>10.413187026977539</v>
      </c>
      <c r="E11" s="25">
        <v>23.120147705078125</v>
      </c>
      <c r="F11" s="25">
        <v>32.706352233886719</v>
      </c>
      <c r="G11" s="25">
        <v>32.375324249267578</v>
      </c>
      <c r="H11" s="25">
        <v>21.342206954956055</v>
      </c>
      <c r="I11" s="25">
        <v>17.638385772705078</v>
      </c>
      <c r="J11" s="25">
        <v>17.693378448486328</v>
      </c>
      <c r="K11" s="25">
        <v>36.872829437255859</v>
      </c>
      <c r="L11" s="25">
        <v>36.75274658203125</v>
      </c>
      <c r="M11" s="25">
        <v>21.851045608520508</v>
      </c>
      <c r="N11" s="26">
        <v>21.644363403320313</v>
      </c>
      <c r="P11" s="47" t="s">
        <v>17</v>
      </c>
      <c r="Q11" s="58">
        <v>33.922077178955078</v>
      </c>
      <c r="R11" s="58">
        <v>18.0546875</v>
      </c>
    </row>
    <row r="12" spans="1:18" x14ac:dyDescent="0.25">
      <c r="A12" s="5">
        <v>2013</v>
      </c>
      <c r="B12" s="24">
        <v>29.071975708007813</v>
      </c>
      <c r="C12" s="25">
        <v>10.19179630279541</v>
      </c>
      <c r="D12" s="25">
        <v>10.320489883422852</v>
      </c>
      <c r="E12" s="25">
        <v>21.930019378662109</v>
      </c>
      <c r="F12" s="25">
        <v>29.167526245117188</v>
      </c>
      <c r="G12" s="25">
        <v>31.343645095825195</v>
      </c>
      <c r="H12" s="25">
        <v>18.583274841308594</v>
      </c>
      <c r="I12" s="25">
        <v>16.230381011962891</v>
      </c>
      <c r="J12" s="25">
        <v>16.131671905517578</v>
      </c>
      <c r="K12" s="25">
        <v>34.776466369628906</v>
      </c>
      <c r="L12" s="25">
        <v>30.507472991943359</v>
      </c>
      <c r="M12" s="25">
        <v>23.993284225463867</v>
      </c>
      <c r="N12" s="26">
        <v>19.543649673461914</v>
      </c>
      <c r="P12" s="47" t="s">
        <v>7</v>
      </c>
      <c r="Q12" s="58">
        <v>33.522819519042969</v>
      </c>
      <c r="R12" s="58">
        <v>14.491611480712891</v>
      </c>
    </row>
    <row r="13" spans="1:18" x14ac:dyDescent="0.25">
      <c r="A13" s="5">
        <v>2014</v>
      </c>
      <c r="B13" s="24">
        <v>25.509122848510742</v>
      </c>
      <c r="C13" s="25">
        <v>10.135043144226074</v>
      </c>
      <c r="D13" s="25">
        <v>8.4339485168457031</v>
      </c>
      <c r="E13" s="25">
        <v>19.066301345825195</v>
      </c>
      <c r="F13" s="25">
        <v>26.583784103393555</v>
      </c>
      <c r="G13" s="25">
        <v>33.059032440185547</v>
      </c>
      <c r="H13" s="25">
        <v>16.448017120361328</v>
      </c>
      <c r="I13" s="25">
        <v>15.700268745422363</v>
      </c>
      <c r="J13" s="25">
        <v>14.679391860961914</v>
      </c>
      <c r="K13" s="25">
        <v>20.931365966796875</v>
      </c>
      <c r="L13" s="25">
        <v>26.855167388916016</v>
      </c>
      <c r="M13" s="25">
        <v>18.133525848388672</v>
      </c>
      <c r="N13" s="26">
        <v>17.109291076660156</v>
      </c>
      <c r="P13" s="47" t="s">
        <v>8</v>
      </c>
      <c r="Q13" s="58">
        <v>33.112995147705078</v>
      </c>
      <c r="R13" s="58">
        <v>15.711861610412598</v>
      </c>
    </row>
    <row r="14" spans="1:18" x14ac:dyDescent="0.25">
      <c r="A14" s="5">
        <v>2015</v>
      </c>
      <c r="B14" s="24">
        <v>22.031774520874023</v>
      </c>
      <c r="C14" s="25">
        <v>10.424038887023926</v>
      </c>
      <c r="D14" s="25">
        <v>9.1028604507446289</v>
      </c>
      <c r="E14" s="25">
        <v>16.537071228027344</v>
      </c>
      <c r="F14" s="25">
        <v>26.154413223266602</v>
      </c>
      <c r="G14" s="25">
        <v>32.869865417480469</v>
      </c>
      <c r="H14" s="25">
        <v>17.456661224365234</v>
      </c>
      <c r="I14" s="25">
        <v>13.894011497497559</v>
      </c>
      <c r="J14" s="25">
        <v>14.293904304504395</v>
      </c>
      <c r="K14" s="25">
        <v>25.201272964477539</v>
      </c>
      <c r="L14" s="25">
        <v>25.317462921142578</v>
      </c>
      <c r="M14" s="25">
        <v>17.662261962890625</v>
      </c>
      <c r="N14" s="26">
        <v>16.583148956298828</v>
      </c>
      <c r="P14" s="47" t="s">
        <v>16</v>
      </c>
      <c r="Q14" s="58">
        <v>32.092311859130859</v>
      </c>
      <c r="R14" s="58">
        <v>14.609869956970215</v>
      </c>
    </row>
    <row r="15" spans="1:18" ht="15.75" thickBot="1" x14ac:dyDescent="0.3">
      <c r="A15" s="5">
        <v>2016</v>
      </c>
      <c r="B15" s="24">
        <v>21.682147979736328</v>
      </c>
      <c r="C15" s="25">
        <v>11.596970558166504</v>
      </c>
      <c r="D15" s="25">
        <v>10.632632255554199</v>
      </c>
      <c r="E15" s="25">
        <v>15.430877685546875</v>
      </c>
      <c r="F15" s="25">
        <v>29.12977409362793</v>
      </c>
      <c r="G15" s="25">
        <v>33.373500823974609</v>
      </c>
      <c r="H15" s="25">
        <v>17.293569564819336</v>
      </c>
      <c r="I15" s="25">
        <v>14.631772041320801</v>
      </c>
      <c r="J15" s="25">
        <v>14.07491397857666</v>
      </c>
      <c r="K15" s="25">
        <v>30.989477157592773</v>
      </c>
      <c r="L15" s="25">
        <v>23.038545608520508</v>
      </c>
      <c r="M15" s="25">
        <v>16.370054244995117</v>
      </c>
      <c r="N15" s="26">
        <v>19.781440734863281</v>
      </c>
      <c r="P15" s="49" t="s">
        <v>6</v>
      </c>
      <c r="Q15" s="59">
        <v>31.345975875854492</v>
      </c>
      <c r="R15" s="59">
        <v>12.420042991638184</v>
      </c>
    </row>
    <row r="16" spans="1:18" x14ac:dyDescent="0.25">
      <c r="A16" s="5">
        <v>2017</v>
      </c>
      <c r="B16" s="24">
        <v>20.026363372802734</v>
      </c>
      <c r="C16" s="25">
        <v>12.449297904968262</v>
      </c>
      <c r="D16" s="25">
        <v>11.985431671142578</v>
      </c>
      <c r="E16" s="25">
        <v>15.465807914733887</v>
      </c>
      <c r="F16" s="25">
        <v>26.96299934387207</v>
      </c>
      <c r="G16" s="25">
        <v>33.531417846679688</v>
      </c>
      <c r="H16" s="25">
        <v>18.360502243041992</v>
      </c>
      <c r="I16" s="25">
        <v>13.804939270019531</v>
      </c>
      <c r="J16" s="25">
        <v>13.351927757263184</v>
      </c>
      <c r="K16" s="25">
        <v>28.245368957519531</v>
      </c>
      <c r="L16" s="25">
        <v>20.191627502441406</v>
      </c>
      <c r="M16" s="25">
        <v>12.698195457458496</v>
      </c>
      <c r="N16" s="26">
        <v>19.495559692382813</v>
      </c>
    </row>
    <row r="17" spans="1:18" ht="15.75" thickBot="1" x14ac:dyDescent="0.3">
      <c r="A17" s="6">
        <v>2018</v>
      </c>
      <c r="B17" s="27">
        <v>21.087165832519531</v>
      </c>
      <c r="C17" s="28">
        <v>12.420042991638184</v>
      </c>
      <c r="D17" s="28">
        <v>14.491611480712891</v>
      </c>
      <c r="E17" s="28">
        <v>15.711861610412598</v>
      </c>
      <c r="F17" s="28">
        <v>25.930797576904297</v>
      </c>
      <c r="G17" s="28">
        <v>36.188556671142578</v>
      </c>
      <c r="H17" s="28">
        <v>18.127588272094727</v>
      </c>
      <c r="I17" s="28">
        <v>11.900731086730957</v>
      </c>
      <c r="J17" s="28">
        <v>13.87612247467041</v>
      </c>
      <c r="K17" s="28">
        <v>27.501991271972656</v>
      </c>
      <c r="L17" s="28">
        <v>25.438892364501953</v>
      </c>
      <c r="M17" s="28">
        <v>14.609869956970215</v>
      </c>
      <c r="N17" s="29">
        <v>18.0546875</v>
      </c>
    </row>
    <row r="18" spans="1:18" ht="15.75" thickBot="1" x14ac:dyDescent="0.3"/>
    <row r="19" spans="1:18" ht="15.75" thickBot="1" x14ac:dyDescent="0.3">
      <c r="A19" s="68" t="s">
        <v>23</v>
      </c>
      <c r="B19" s="72" t="s">
        <v>28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3"/>
      <c r="P19" s="68" t="s">
        <v>28</v>
      </c>
      <c r="Q19" s="68"/>
      <c r="R19" s="68"/>
    </row>
    <row r="20" spans="1:18" ht="15.75" thickBot="1" x14ac:dyDescent="0.3">
      <c r="A20" s="70"/>
      <c r="B20" s="9" t="s">
        <v>5</v>
      </c>
      <c r="C20" s="10" t="s">
        <v>6</v>
      </c>
      <c r="D20" s="10" t="s">
        <v>7</v>
      </c>
      <c r="E20" s="10" t="s">
        <v>8</v>
      </c>
      <c r="F20" s="10" t="s">
        <v>9</v>
      </c>
      <c r="G20" s="10" t="s">
        <v>10</v>
      </c>
      <c r="H20" s="10" t="s">
        <v>11</v>
      </c>
      <c r="I20" s="10" t="s">
        <v>12</v>
      </c>
      <c r="J20" s="10" t="s">
        <v>13</v>
      </c>
      <c r="K20" s="10" t="s">
        <v>14</v>
      </c>
      <c r="L20" s="10" t="s">
        <v>15</v>
      </c>
      <c r="M20" s="10" t="s">
        <v>16</v>
      </c>
      <c r="N20" s="7" t="s">
        <v>17</v>
      </c>
      <c r="P20" s="60" t="s">
        <v>63</v>
      </c>
      <c r="Q20" s="61">
        <v>2002</v>
      </c>
      <c r="R20" s="61">
        <v>2018</v>
      </c>
    </row>
    <row r="21" spans="1:18" x14ac:dyDescent="0.25">
      <c r="A21" s="4">
        <v>2002</v>
      </c>
      <c r="B21" s="21">
        <v>16.274669647216797</v>
      </c>
      <c r="C21" s="22">
        <v>12.543070793151855</v>
      </c>
      <c r="D21" s="22">
        <v>12.04807186126709</v>
      </c>
      <c r="E21" s="22">
        <v>12.233553886413574</v>
      </c>
      <c r="F21" s="22">
        <v>17.890142440795898</v>
      </c>
      <c r="G21" s="22">
        <v>20.424325942993164</v>
      </c>
      <c r="H21" s="22">
        <v>14.639001846313477</v>
      </c>
      <c r="I21" s="22">
        <v>14.094773292541504</v>
      </c>
      <c r="J21" s="22">
        <v>14.063553810119629</v>
      </c>
      <c r="K21" s="22">
        <v>18.828195571899414</v>
      </c>
      <c r="L21" s="22">
        <v>18.489391326904297</v>
      </c>
      <c r="M21" s="22">
        <v>10.501593589782715</v>
      </c>
      <c r="N21" s="23">
        <v>12.761795043945313</v>
      </c>
      <c r="P21" s="47" t="s">
        <v>10</v>
      </c>
      <c r="Q21" s="58">
        <v>20.424325942993164</v>
      </c>
      <c r="R21" s="58">
        <v>12.832697868347168</v>
      </c>
    </row>
    <row r="22" spans="1:18" x14ac:dyDescent="0.25">
      <c r="A22" s="5">
        <v>2003</v>
      </c>
      <c r="B22" s="24">
        <v>19.366840362548828</v>
      </c>
      <c r="C22" s="25">
        <v>12.658799171447754</v>
      </c>
      <c r="D22" s="25">
        <v>12.006065368652344</v>
      </c>
      <c r="E22" s="25">
        <v>12.038741111755371</v>
      </c>
      <c r="F22" s="25">
        <v>15.877758026123047</v>
      </c>
      <c r="G22" s="25">
        <v>23.216632843017578</v>
      </c>
      <c r="H22" s="25">
        <v>15.884588241577148</v>
      </c>
      <c r="I22" s="25">
        <v>15.413776397705078</v>
      </c>
      <c r="J22" s="25">
        <v>13.065402030944824</v>
      </c>
      <c r="K22" s="25">
        <v>20.282285690307617</v>
      </c>
      <c r="L22" s="25">
        <v>19.052520751953125</v>
      </c>
      <c r="M22" s="25">
        <v>9.279057502746582</v>
      </c>
      <c r="N22" s="26">
        <v>13.250600814819336</v>
      </c>
      <c r="P22" s="47" t="s">
        <v>14</v>
      </c>
      <c r="Q22" s="58">
        <v>18.828195571899414</v>
      </c>
      <c r="R22" s="58">
        <v>9.0409450531005859</v>
      </c>
    </row>
    <row r="23" spans="1:18" x14ac:dyDescent="0.25">
      <c r="A23" s="5">
        <v>2004</v>
      </c>
      <c r="B23" s="24">
        <v>17.247526168823242</v>
      </c>
      <c r="C23" s="25">
        <v>11.139952659606934</v>
      </c>
      <c r="D23" s="25">
        <v>10.530183792114258</v>
      </c>
      <c r="E23" s="25">
        <v>11.311297416687012</v>
      </c>
      <c r="F23" s="25">
        <v>16.010931015014648</v>
      </c>
      <c r="G23" s="25">
        <v>23.067144393920898</v>
      </c>
      <c r="H23" s="25">
        <v>17.387203216552734</v>
      </c>
      <c r="I23" s="25">
        <v>16.344888687133789</v>
      </c>
      <c r="J23" s="25">
        <v>11.560973167419434</v>
      </c>
      <c r="K23" s="25">
        <v>20.031652450561523</v>
      </c>
      <c r="L23" s="25">
        <v>18.316131591796875</v>
      </c>
      <c r="M23" s="25">
        <v>9.1131610870361328</v>
      </c>
      <c r="N23" s="26">
        <v>11.392765998840332</v>
      </c>
      <c r="P23" s="47" t="s">
        <v>15</v>
      </c>
      <c r="Q23" s="58">
        <v>18.489391326904297</v>
      </c>
      <c r="R23" s="58">
        <v>8.2633132934570313</v>
      </c>
    </row>
    <row r="24" spans="1:18" x14ac:dyDescent="0.25">
      <c r="A24" s="5">
        <v>2005</v>
      </c>
      <c r="B24" s="24">
        <v>16.392799377441406</v>
      </c>
      <c r="C24" s="25">
        <v>9.6132802963256836</v>
      </c>
      <c r="D24" s="25">
        <v>10.834230422973633</v>
      </c>
      <c r="E24" s="25">
        <v>10.455920219421387</v>
      </c>
      <c r="F24" s="25">
        <v>12.339744567871094</v>
      </c>
      <c r="G24" s="25">
        <v>21.533607482910156</v>
      </c>
      <c r="H24" s="25">
        <v>15.14250659942627</v>
      </c>
      <c r="I24" s="25">
        <v>14.012222290039063</v>
      </c>
      <c r="J24" s="25">
        <v>10.311176300048828</v>
      </c>
      <c r="K24" s="25">
        <v>18.409669876098633</v>
      </c>
      <c r="L24" s="25">
        <v>18.47517204284668</v>
      </c>
      <c r="M24" s="25">
        <v>9.2146282196044922</v>
      </c>
      <c r="N24" s="26">
        <v>12.623903274536133</v>
      </c>
      <c r="P24" s="47" t="s">
        <v>9</v>
      </c>
      <c r="Q24" s="58">
        <v>17.890142440795898</v>
      </c>
      <c r="R24" s="58">
        <v>7.7868080139160156</v>
      </c>
    </row>
    <row r="25" spans="1:18" x14ac:dyDescent="0.25">
      <c r="A25" s="5">
        <v>2008</v>
      </c>
      <c r="B25" s="24">
        <v>16.208549499511719</v>
      </c>
      <c r="C25" s="25">
        <v>6.5818367004394531</v>
      </c>
      <c r="D25" s="25">
        <v>5.805819034576416</v>
      </c>
      <c r="E25" s="25">
        <v>10.958690643310547</v>
      </c>
      <c r="F25" s="25">
        <v>13.850715637207031</v>
      </c>
      <c r="G25" s="25">
        <v>15.051823616027832</v>
      </c>
      <c r="H25" s="25">
        <v>12.036057472229004</v>
      </c>
      <c r="I25" s="25">
        <v>11.673295021057129</v>
      </c>
      <c r="J25" s="25">
        <v>9.5357265472412109</v>
      </c>
      <c r="K25" s="25">
        <v>14.038784980773926</v>
      </c>
      <c r="L25" s="25">
        <v>15.377619743347168</v>
      </c>
      <c r="M25" s="25">
        <v>9.2852134704589844</v>
      </c>
      <c r="N25" s="26">
        <v>9.6751775741577148</v>
      </c>
      <c r="P25" s="47" t="s">
        <v>5</v>
      </c>
      <c r="Q25" s="58">
        <v>16.274669647216797</v>
      </c>
      <c r="R25" s="58">
        <v>5.8592548370361328</v>
      </c>
    </row>
    <row r="26" spans="1:18" x14ac:dyDescent="0.25">
      <c r="A26" s="5">
        <v>2009</v>
      </c>
      <c r="B26" s="24">
        <v>14.754171371459961</v>
      </c>
      <c r="C26" s="25">
        <v>6.2411861419677734</v>
      </c>
      <c r="D26" s="25">
        <v>3.7520139217376709</v>
      </c>
      <c r="E26" s="25">
        <v>11.094964981079102</v>
      </c>
      <c r="F26" s="25">
        <v>13.289159774780273</v>
      </c>
      <c r="G26" s="25">
        <v>13.383303642272949</v>
      </c>
      <c r="H26" s="25">
        <v>9.8398876190185547</v>
      </c>
      <c r="I26" s="25">
        <v>10.596485137939453</v>
      </c>
      <c r="J26" s="25">
        <v>9.2798624038696289</v>
      </c>
      <c r="K26" s="25">
        <v>12.93791389465332</v>
      </c>
      <c r="L26" s="25">
        <v>16.498931884765625</v>
      </c>
      <c r="M26" s="25">
        <v>9.3803377151489258</v>
      </c>
      <c r="N26" s="26">
        <v>9.8065967559814453</v>
      </c>
      <c r="P26" s="47" t="s">
        <v>11</v>
      </c>
      <c r="Q26" s="58">
        <v>14.639001846313477</v>
      </c>
      <c r="R26" s="58">
        <v>5.8541665077209473</v>
      </c>
    </row>
    <row r="27" spans="1:18" x14ac:dyDescent="0.25">
      <c r="A27" s="5">
        <v>2010</v>
      </c>
      <c r="B27" s="24">
        <v>13.886645317077637</v>
      </c>
      <c r="C27" s="25">
        <v>5.1114158630371094</v>
      </c>
      <c r="D27" s="25">
        <v>2.9817922115325928</v>
      </c>
      <c r="E27" s="25">
        <v>10.124673843383789</v>
      </c>
      <c r="F27" s="25">
        <v>11.970845222473145</v>
      </c>
      <c r="G27" s="25">
        <v>15.081912040710449</v>
      </c>
      <c r="H27" s="25">
        <v>9.0061168670654297</v>
      </c>
      <c r="I27" s="25">
        <v>8.4764852523803711</v>
      </c>
      <c r="J27" s="25">
        <v>8.4415035247802734</v>
      </c>
      <c r="K27" s="25">
        <v>13.66246509552002</v>
      </c>
      <c r="L27" s="25">
        <v>17.347053527832031</v>
      </c>
      <c r="M27" s="25">
        <v>8.8130483627319336</v>
      </c>
      <c r="N27" s="26">
        <v>8.9845743179321289</v>
      </c>
      <c r="P27" s="47" t="s">
        <v>12</v>
      </c>
      <c r="Q27" s="58">
        <v>14.094773292541504</v>
      </c>
      <c r="R27" s="58">
        <v>4.0452361106872559</v>
      </c>
    </row>
    <row r="28" spans="1:18" x14ac:dyDescent="0.25">
      <c r="A28" s="5">
        <v>2011</v>
      </c>
      <c r="B28" s="24">
        <v>11.518625259399414</v>
      </c>
      <c r="C28" s="25">
        <v>4.0939764976501465</v>
      </c>
      <c r="D28" s="25">
        <v>2.9854755401611328</v>
      </c>
      <c r="E28" s="25">
        <v>9.0670318603515625</v>
      </c>
      <c r="F28" s="25">
        <v>10.794919967651367</v>
      </c>
      <c r="G28" s="25">
        <v>11.558115005493164</v>
      </c>
      <c r="H28" s="25">
        <v>6.6727385520935059</v>
      </c>
      <c r="I28" s="25">
        <v>6.0342378616333008</v>
      </c>
      <c r="J28" s="25">
        <v>6.8801426887512207</v>
      </c>
      <c r="K28" s="25">
        <v>13.165153503417969</v>
      </c>
      <c r="L28" s="25">
        <v>14.970553398132324</v>
      </c>
      <c r="M28" s="25">
        <v>6.3771991729736328</v>
      </c>
      <c r="N28" s="26">
        <v>7.8343005180358887</v>
      </c>
      <c r="P28" s="47" t="s">
        <v>13</v>
      </c>
      <c r="Q28" s="58">
        <v>14.063553810119629</v>
      </c>
      <c r="R28" s="58">
        <v>4.8362388610839844</v>
      </c>
    </row>
    <row r="29" spans="1:18" x14ac:dyDescent="0.25">
      <c r="A29" s="5">
        <v>2012</v>
      </c>
      <c r="B29" s="24">
        <v>9.3608989715576172</v>
      </c>
      <c r="C29" s="25">
        <v>3.7265603542327881</v>
      </c>
      <c r="D29" s="25">
        <v>2.9660329818725586</v>
      </c>
      <c r="E29" s="25">
        <v>8.5675430297851563</v>
      </c>
      <c r="F29" s="25">
        <v>11.16203784942627</v>
      </c>
      <c r="G29" s="25">
        <v>11.010729789733887</v>
      </c>
      <c r="H29" s="25">
        <v>6.7519078254699707</v>
      </c>
      <c r="I29" s="25">
        <v>5.6424117088317871</v>
      </c>
      <c r="J29" s="25">
        <v>6.234471321105957</v>
      </c>
      <c r="K29" s="25">
        <v>13.043673515319824</v>
      </c>
      <c r="L29" s="25">
        <v>13.703746795654297</v>
      </c>
      <c r="M29" s="25">
        <v>6.8239808082580566</v>
      </c>
      <c r="N29" s="26">
        <v>7.6488628387451172</v>
      </c>
      <c r="P29" s="47" t="s">
        <v>17</v>
      </c>
      <c r="Q29" s="58">
        <v>12.761795043945313</v>
      </c>
      <c r="R29" s="58">
        <v>6.4537925720214844</v>
      </c>
    </row>
    <row r="30" spans="1:18" x14ac:dyDescent="0.25">
      <c r="A30" s="5">
        <v>2013</v>
      </c>
      <c r="B30" s="24">
        <v>9.2140941619873047</v>
      </c>
      <c r="C30" s="25">
        <v>3.2419450283050537</v>
      </c>
      <c r="D30" s="25">
        <v>2.9154043197631836</v>
      </c>
      <c r="E30" s="25">
        <v>7.925166130065918</v>
      </c>
      <c r="F30" s="25">
        <v>10.333025932312012</v>
      </c>
      <c r="G30" s="25">
        <v>11.394206047058105</v>
      </c>
      <c r="H30" s="25">
        <v>5.7750105857849121</v>
      </c>
      <c r="I30" s="25">
        <v>5.3131146430969238</v>
      </c>
      <c r="J30" s="25">
        <v>5.7574515342712402</v>
      </c>
      <c r="K30" s="25">
        <v>12.329180717468262</v>
      </c>
      <c r="L30" s="25">
        <v>10.080349922180176</v>
      </c>
      <c r="M30" s="25">
        <v>8.7750778198242188</v>
      </c>
      <c r="N30" s="26">
        <v>6.6331291198730469</v>
      </c>
      <c r="P30" s="47" t="s">
        <v>6</v>
      </c>
      <c r="Q30" s="58">
        <v>12.543070793151855</v>
      </c>
      <c r="R30" s="58">
        <v>4.2878966331481934</v>
      </c>
    </row>
    <row r="31" spans="1:18" x14ac:dyDescent="0.25">
      <c r="A31" s="5">
        <v>2014</v>
      </c>
      <c r="B31" s="24">
        <v>7.8015437126159668</v>
      </c>
      <c r="C31" s="25">
        <v>3.4069724082946777</v>
      </c>
      <c r="D31" s="25">
        <v>2.3081767559051514</v>
      </c>
      <c r="E31" s="25">
        <v>6.4895725250244141</v>
      </c>
      <c r="F31" s="25">
        <v>8.6552600860595703</v>
      </c>
      <c r="G31" s="25">
        <v>11.77452278137207</v>
      </c>
      <c r="H31" s="25">
        <v>5.1817283630371094</v>
      </c>
      <c r="I31" s="25">
        <v>5.2146239280700684</v>
      </c>
      <c r="J31" s="25">
        <v>5.1201424598693848</v>
      </c>
      <c r="K31" s="25">
        <v>5.5850787162780762</v>
      </c>
      <c r="L31" s="25">
        <v>8.7466354370117188</v>
      </c>
      <c r="M31" s="25">
        <v>5.7128844261169434</v>
      </c>
      <c r="N31" s="26">
        <v>5.6483254432678223</v>
      </c>
      <c r="P31" s="47" t="s">
        <v>8</v>
      </c>
      <c r="Q31" s="58">
        <v>12.233553886413574</v>
      </c>
      <c r="R31" s="58">
        <v>5.3859567642211914</v>
      </c>
    </row>
    <row r="32" spans="1:18" x14ac:dyDescent="0.25">
      <c r="A32" s="5">
        <v>2015</v>
      </c>
      <c r="B32" s="24">
        <v>6.1012721061706543</v>
      </c>
      <c r="C32" s="25">
        <v>3.5714499950408936</v>
      </c>
      <c r="D32" s="25">
        <v>2.7499740123748779</v>
      </c>
      <c r="E32" s="25">
        <v>5.8150177001953125</v>
      </c>
      <c r="F32" s="25">
        <v>8.0778446197509766</v>
      </c>
      <c r="G32" s="25">
        <v>11.848179817199707</v>
      </c>
      <c r="H32" s="25">
        <v>5.4468827247619629</v>
      </c>
      <c r="I32" s="25">
        <v>4.3486943244934082</v>
      </c>
      <c r="J32" s="25">
        <v>5.3473396301269531</v>
      </c>
      <c r="K32" s="25">
        <v>6.8639793395996094</v>
      </c>
      <c r="L32" s="25">
        <v>8.1351232528686523</v>
      </c>
      <c r="M32" s="25">
        <v>5.2618846893310547</v>
      </c>
      <c r="N32" s="26">
        <v>5.7594494819641113</v>
      </c>
      <c r="P32" s="47" t="s">
        <v>7</v>
      </c>
      <c r="Q32" s="58">
        <v>12.04807186126709</v>
      </c>
      <c r="R32" s="58">
        <v>4.0637707710266113</v>
      </c>
    </row>
    <row r="33" spans="1:18" ht="15.75" thickBot="1" x14ac:dyDescent="0.3">
      <c r="A33" s="5">
        <v>2016</v>
      </c>
      <c r="B33" s="24">
        <v>5.9436750411987305</v>
      </c>
      <c r="C33" s="25">
        <v>3.8824028968811035</v>
      </c>
      <c r="D33" s="25">
        <v>2.8715434074401855</v>
      </c>
      <c r="E33" s="25">
        <v>5.0442075729370117</v>
      </c>
      <c r="F33" s="25">
        <v>9.7445735931396484</v>
      </c>
      <c r="G33" s="25">
        <v>12.05540657043457</v>
      </c>
      <c r="H33" s="25">
        <v>5.1898331642150879</v>
      </c>
      <c r="I33" s="25">
        <v>4.810490608215332</v>
      </c>
      <c r="J33" s="25">
        <v>5.0393075942993164</v>
      </c>
      <c r="K33" s="25">
        <v>9.5496397018432617</v>
      </c>
      <c r="L33" s="25">
        <v>6.8961353302001953</v>
      </c>
      <c r="M33" s="25">
        <v>4.4485588073730469</v>
      </c>
      <c r="N33" s="26">
        <v>7.1539707183837891</v>
      </c>
      <c r="P33" s="49" t="s">
        <v>16</v>
      </c>
      <c r="Q33" s="59">
        <v>10.501593589782715</v>
      </c>
      <c r="R33" s="59">
        <v>4.1872577667236328</v>
      </c>
    </row>
    <row r="34" spans="1:18" x14ac:dyDescent="0.25">
      <c r="A34" s="5">
        <v>2017</v>
      </c>
      <c r="B34" s="24">
        <v>5.566683292388916</v>
      </c>
      <c r="C34" s="25">
        <v>4.1392064094543457</v>
      </c>
      <c r="D34" s="25">
        <v>3.3853392601013184</v>
      </c>
      <c r="E34" s="25">
        <v>5.2094416618347168</v>
      </c>
      <c r="F34" s="25">
        <v>8.4730815887451172</v>
      </c>
      <c r="G34" s="25">
        <v>11.400386810302734</v>
      </c>
      <c r="H34" s="25">
        <v>5.6237392425537109</v>
      </c>
      <c r="I34" s="25">
        <v>4.3429789543151855</v>
      </c>
      <c r="J34" s="25">
        <v>4.5145316123962402</v>
      </c>
      <c r="K34" s="25">
        <v>9.8552455902099609</v>
      </c>
      <c r="L34" s="25">
        <v>6.060570240020752</v>
      </c>
      <c r="M34" s="25">
        <v>3.1828229427337646</v>
      </c>
      <c r="N34" s="26">
        <v>7.0440597534179688</v>
      </c>
    </row>
    <row r="35" spans="1:18" ht="15.75" thickBot="1" x14ac:dyDescent="0.3">
      <c r="A35" s="6">
        <v>2018</v>
      </c>
      <c r="B35" s="27">
        <v>5.8592548370361328</v>
      </c>
      <c r="C35" s="28">
        <v>4.2878966331481934</v>
      </c>
      <c r="D35" s="28">
        <v>4.0637707710266113</v>
      </c>
      <c r="E35" s="28">
        <v>5.3859567642211914</v>
      </c>
      <c r="F35" s="28">
        <v>7.7868080139160156</v>
      </c>
      <c r="G35" s="28">
        <v>12.832697868347168</v>
      </c>
      <c r="H35" s="28">
        <v>5.8541665077209473</v>
      </c>
      <c r="I35" s="28">
        <v>4.0452361106872559</v>
      </c>
      <c r="J35" s="28">
        <v>4.8362388610839844</v>
      </c>
      <c r="K35" s="28">
        <v>9.0409450531005859</v>
      </c>
      <c r="L35" s="28">
        <v>8.2633132934570313</v>
      </c>
      <c r="M35" s="28">
        <v>4.1872577667236328</v>
      </c>
      <c r="N35" s="29">
        <v>6.4537925720214844</v>
      </c>
    </row>
    <row r="36" spans="1:18" ht="15.75" thickBot="1" x14ac:dyDescent="0.3"/>
    <row r="37" spans="1:18" ht="15.75" thickBot="1" x14ac:dyDescent="0.3">
      <c r="A37" s="68" t="s">
        <v>23</v>
      </c>
      <c r="B37" s="72" t="s">
        <v>30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3"/>
      <c r="P37" s="68" t="s">
        <v>30</v>
      </c>
      <c r="Q37" s="68"/>
      <c r="R37" s="68"/>
    </row>
    <row r="38" spans="1:18" ht="15.75" thickBot="1" x14ac:dyDescent="0.3">
      <c r="A38" s="70"/>
      <c r="B38" s="9" t="s">
        <v>5</v>
      </c>
      <c r="C38" s="10" t="s">
        <v>6</v>
      </c>
      <c r="D38" s="10" t="s">
        <v>7</v>
      </c>
      <c r="E38" s="10" t="s">
        <v>8</v>
      </c>
      <c r="F38" s="10" t="s">
        <v>9</v>
      </c>
      <c r="G38" s="10" t="s">
        <v>10</v>
      </c>
      <c r="H38" s="10" t="s">
        <v>11</v>
      </c>
      <c r="I38" s="10" t="s">
        <v>12</v>
      </c>
      <c r="J38" s="10" t="s">
        <v>13</v>
      </c>
      <c r="K38" s="10" t="s">
        <v>14</v>
      </c>
      <c r="L38" s="10" t="s">
        <v>15</v>
      </c>
      <c r="M38" s="10" t="s">
        <v>16</v>
      </c>
      <c r="N38" s="7" t="s">
        <v>17</v>
      </c>
      <c r="P38" s="60" t="s">
        <v>63</v>
      </c>
      <c r="Q38" s="61">
        <v>2002</v>
      </c>
      <c r="R38" s="61">
        <v>2018</v>
      </c>
    </row>
    <row r="39" spans="1:18" x14ac:dyDescent="0.25">
      <c r="A39" s="4">
        <v>2002</v>
      </c>
      <c r="B39" s="21">
        <v>8.2844352722167969</v>
      </c>
      <c r="C39" s="22">
        <v>7.0165386199951172</v>
      </c>
      <c r="D39" s="22">
        <v>6.2613430023193359</v>
      </c>
      <c r="E39" s="22">
        <v>6.4249234199523926</v>
      </c>
      <c r="F39" s="22">
        <v>9.0022964477539063</v>
      </c>
      <c r="G39" s="22">
        <v>10.611623764038086</v>
      </c>
      <c r="H39" s="22">
        <v>7.9118461608886719</v>
      </c>
      <c r="I39" s="22">
        <v>7.6454019546508789</v>
      </c>
      <c r="J39" s="22">
        <v>7.7511134147644043</v>
      </c>
      <c r="K39" s="22">
        <v>9.6982765197753906</v>
      </c>
      <c r="L39" s="22">
        <v>10.009566307067871</v>
      </c>
      <c r="M39" s="22">
        <v>4.9310159683227539</v>
      </c>
      <c r="N39" s="23">
        <v>6.8188042640686035</v>
      </c>
      <c r="P39" s="47" t="s">
        <v>10</v>
      </c>
      <c r="Q39" s="58">
        <v>10.611623764038086</v>
      </c>
      <c r="R39" s="58">
        <v>6.7785186767578125</v>
      </c>
    </row>
    <row r="40" spans="1:18" x14ac:dyDescent="0.25">
      <c r="A40" s="5">
        <v>2003</v>
      </c>
      <c r="B40" s="24">
        <v>10.135807991027832</v>
      </c>
      <c r="C40" s="25">
        <v>6.9862961769104004</v>
      </c>
      <c r="D40" s="25">
        <v>5.9544973373413086</v>
      </c>
      <c r="E40" s="25">
        <v>6.1354646682739258</v>
      </c>
      <c r="F40" s="25">
        <v>7.8289399147033691</v>
      </c>
      <c r="G40" s="25">
        <v>12.492064476013184</v>
      </c>
      <c r="H40" s="25">
        <v>8.8501796722412109</v>
      </c>
      <c r="I40" s="25">
        <v>8.2837772369384766</v>
      </c>
      <c r="J40" s="25">
        <v>7.0318212509155273</v>
      </c>
      <c r="K40" s="25">
        <v>10.605283737182617</v>
      </c>
      <c r="L40" s="25">
        <v>10.144947052001953</v>
      </c>
      <c r="M40" s="25">
        <v>4.2926974296569824</v>
      </c>
      <c r="N40" s="26">
        <v>7.0144152641296387</v>
      </c>
      <c r="P40" s="47" t="s">
        <v>15</v>
      </c>
      <c r="Q40" s="58">
        <v>10.009566307067871</v>
      </c>
      <c r="R40" s="58">
        <v>3.9471008777618408</v>
      </c>
    </row>
    <row r="41" spans="1:18" x14ac:dyDescent="0.25">
      <c r="A41" s="5">
        <v>2004</v>
      </c>
      <c r="B41" s="24">
        <v>8.7158575057983398</v>
      </c>
      <c r="C41" s="25">
        <v>6.1256999969482422</v>
      </c>
      <c r="D41" s="25">
        <v>5.150184154510498</v>
      </c>
      <c r="E41" s="25">
        <v>5.786405086517334</v>
      </c>
      <c r="F41" s="25">
        <v>7.7386865615844727</v>
      </c>
      <c r="G41" s="25">
        <v>12.664132118225098</v>
      </c>
      <c r="H41" s="25">
        <v>9.6664648056030273</v>
      </c>
      <c r="I41" s="25">
        <v>9.0868968963623047</v>
      </c>
      <c r="J41" s="25">
        <v>6.1140613555908203</v>
      </c>
      <c r="K41" s="25">
        <v>10.408613204956055</v>
      </c>
      <c r="L41" s="25">
        <v>9.6177606582641602</v>
      </c>
      <c r="M41" s="25">
        <v>4.185142993927002</v>
      </c>
      <c r="N41" s="26">
        <v>5.7733969688415527</v>
      </c>
      <c r="P41" s="47" t="s">
        <v>14</v>
      </c>
      <c r="Q41" s="58">
        <v>9.6982765197753906</v>
      </c>
      <c r="R41" s="58">
        <v>4.3111791610717773</v>
      </c>
    </row>
    <row r="42" spans="1:18" x14ac:dyDescent="0.25">
      <c r="A42" s="5">
        <v>2005</v>
      </c>
      <c r="B42" s="24">
        <v>8.2463960647583008</v>
      </c>
      <c r="C42" s="25">
        <v>4.9880633354187012</v>
      </c>
      <c r="D42" s="25">
        <v>5.4699969291687012</v>
      </c>
      <c r="E42" s="25">
        <v>5.2644834518432617</v>
      </c>
      <c r="F42" s="25">
        <v>5.6106491088867188</v>
      </c>
      <c r="G42" s="25">
        <v>11.353683471679688</v>
      </c>
      <c r="H42" s="25">
        <v>8.1247682571411133</v>
      </c>
      <c r="I42" s="25">
        <v>7.6304240226745605</v>
      </c>
      <c r="J42" s="25">
        <v>5.2283191680908203</v>
      </c>
      <c r="K42" s="25">
        <v>9.6087646484375</v>
      </c>
      <c r="L42" s="25">
        <v>9.9152259826660156</v>
      </c>
      <c r="M42" s="25">
        <v>4.3258166313171387</v>
      </c>
      <c r="N42" s="26">
        <v>6.6427960395812988</v>
      </c>
      <c r="P42" s="47" t="s">
        <v>9</v>
      </c>
      <c r="Q42" s="58">
        <v>9.0022964477539063</v>
      </c>
      <c r="R42" s="58">
        <v>3.613694429397583</v>
      </c>
    </row>
    <row r="43" spans="1:18" x14ac:dyDescent="0.25">
      <c r="A43" s="5">
        <v>2008</v>
      </c>
      <c r="B43" s="24">
        <v>8.3413619995117188</v>
      </c>
      <c r="C43" s="25">
        <v>3.321652889251709</v>
      </c>
      <c r="D43" s="25">
        <v>2.7264163494110107</v>
      </c>
      <c r="E43" s="25">
        <v>6.2157549858093262</v>
      </c>
      <c r="F43" s="25">
        <v>6.622528076171875</v>
      </c>
      <c r="G43" s="25">
        <v>7.5941300392150879</v>
      </c>
      <c r="H43" s="25">
        <v>6.3094878196716309</v>
      </c>
      <c r="I43" s="25">
        <v>6.2974443435668945</v>
      </c>
      <c r="J43" s="25">
        <v>5.3789534568786621</v>
      </c>
      <c r="K43" s="25">
        <v>6.7237682342529297</v>
      </c>
      <c r="L43" s="25">
        <v>8.0048036575317383</v>
      </c>
      <c r="M43" s="25">
        <v>4.5060305595397949</v>
      </c>
      <c r="N43" s="26">
        <v>5.1543335914611816</v>
      </c>
      <c r="P43" s="47" t="s">
        <v>5</v>
      </c>
      <c r="Q43" s="58">
        <v>8.2844352722167969</v>
      </c>
      <c r="R43" s="58">
        <v>2.4711651802062988</v>
      </c>
    </row>
    <row r="44" spans="1:18" x14ac:dyDescent="0.25">
      <c r="A44" s="5">
        <v>2009</v>
      </c>
      <c r="B44" s="24">
        <v>7.3053779602050781</v>
      </c>
      <c r="C44" s="25">
        <v>3.244051456451416</v>
      </c>
      <c r="D44" s="25">
        <v>1.718818187713623</v>
      </c>
      <c r="E44" s="25">
        <v>6.2809758186340332</v>
      </c>
      <c r="F44" s="25">
        <v>6.4308614730834961</v>
      </c>
      <c r="G44" s="25">
        <v>6.7905941009521484</v>
      </c>
      <c r="H44" s="25">
        <v>4.9168548583984375</v>
      </c>
      <c r="I44" s="25">
        <v>5.8226733207702637</v>
      </c>
      <c r="J44" s="25">
        <v>5.2617387771606445</v>
      </c>
      <c r="K44" s="25">
        <v>6.1371021270751953</v>
      </c>
      <c r="L44" s="25">
        <v>8.6347742080688477</v>
      </c>
      <c r="M44" s="25">
        <v>4.5935163497924805</v>
      </c>
      <c r="N44" s="26">
        <v>5.2337603569030762</v>
      </c>
      <c r="P44" s="47" t="s">
        <v>11</v>
      </c>
      <c r="Q44" s="58">
        <v>7.9118461608886719</v>
      </c>
      <c r="R44" s="58">
        <v>2.9103810787200928</v>
      </c>
    </row>
    <row r="45" spans="1:18" x14ac:dyDescent="0.25">
      <c r="A45" s="5">
        <v>2010</v>
      </c>
      <c r="B45" s="24">
        <v>6.8548202514648438</v>
      </c>
      <c r="C45" s="25">
        <v>2.6235542297363281</v>
      </c>
      <c r="D45" s="25">
        <v>1.3310658931732178</v>
      </c>
      <c r="E45" s="25">
        <v>5.7905340194702148</v>
      </c>
      <c r="F45" s="25">
        <v>5.9724726676940918</v>
      </c>
      <c r="G45" s="25">
        <v>8.0977954864501953</v>
      </c>
      <c r="H45" s="25">
        <v>4.356605052947998</v>
      </c>
      <c r="I45" s="25">
        <v>4.5039267539978027</v>
      </c>
      <c r="J45" s="25">
        <v>4.8367972373962402</v>
      </c>
      <c r="K45" s="25">
        <v>6.6617250442504883</v>
      </c>
      <c r="L45" s="25">
        <v>9.4555644989013672</v>
      </c>
      <c r="M45" s="25">
        <v>4.3061275482177734</v>
      </c>
      <c r="N45" s="26">
        <v>4.7811903953552246</v>
      </c>
      <c r="P45" s="47" t="s">
        <v>13</v>
      </c>
      <c r="Q45" s="58">
        <v>7.7511134147644043</v>
      </c>
      <c r="R45" s="58">
        <v>2.6063747406005859</v>
      </c>
    </row>
    <row r="46" spans="1:18" x14ac:dyDescent="0.25">
      <c r="A46" s="5">
        <v>2011</v>
      </c>
      <c r="B46" s="24">
        <v>5.4640932083129883</v>
      </c>
      <c r="C46" s="25">
        <v>1.999836802482605</v>
      </c>
      <c r="D46" s="25">
        <v>1.3603745698928833</v>
      </c>
      <c r="E46" s="25">
        <v>4.883732795715332</v>
      </c>
      <c r="F46" s="25">
        <v>4.9594807624816895</v>
      </c>
      <c r="G46" s="25">
        <v>5.8627405166625977</v>
      </c>
      <c r="H46" s="25">
        <v>3.1041791439056396</v>
      </c>
      <c r="I46" s="25">
        <v>2.8342599868774414</v>
      </c>
      <c r="J46" s="25">
        <v>3.7177557945251465</v>
      </c>
      <c r="K46" s="25">
        <v>6.4461460113525391</v>
      </c>
      <c r="L46" s="25">
        <v>7.6423606872558594</v>
      </c>
      <c r="M46" s="25">
        <v>2.8710877895355225</v>
      </c>
      <c r="N46" s="26">
        <v>4.1218218803405762</v>
      </c>
      <c r="P46" s="47" t="s">
        <v>12</v>
      </c>
      <c r="Q46" s="58">
        <v>7.6454019546508789</v>
      </c>
      <c r="R46" s="58">
        <v>2.1675803661346436</v>
      </c>
    </row>
    <row r="47" spans="1:18" x14ac:dyDescent="0.25">
      <c r="A47" s="5">
        <v>2012</v>
      </c>
      <c r="B47" s="24">
        <v>4.2221531867980957</v>
      </c>
      <c r="C47" s="25">
        <v>1.8741908073425293</v>
      </c>
      <c r="D47" s="25">
        <v>1.348014235496521</v>
      </c>
      <c r="E47" s="25">
        <v>4.662416934967041</v>
      </c>
      <c r="F47" s="25">
        <v>5.4892010688781738</v>
      </c>
      <c r="G47" s="25">
        <v>5.5595507621765137</v>
      </c>
      <c r="H47" s="25">
        <v>3.12278151512146</v>
      </c>
      <c r="I47" s="25">
        <v>2.6823258399963379</v>
      </c>
      <c r="J47" s="25">
        <v>3.2885398864746094</v>
      </c>
      <c r="K47" s="25">
        <v>6.4208588600158691</v>
      </c>
      <c r="L47" s="25">
        <v>7.0154576301574707</v>
      </c>
      <c r="M47" s="25">
        <v>3.2272734642028809</v>
      </c>
      <c r="N47" s="26">
        <v>4.0910234451293945</v>
      </c>
      <c r="P47" s="47" t="s">
        <v>6</v>
      </c>
      <c r="Q47" s="58">
        <v>7.0165386199951172</v>
      </c>
      <c r="R47" s="58">
        <v>2.363778829574585</v>
      </c>
    </row>
    <row r="48" spans="1:18" x14ac:dyDescent="0.25">
      <c r="A48" s="5">
        <v>2013</v>
      </c>
      <c r="B48" s="24">
        <v>4.3099093437194824</v>
      </c>
      <c r="C48" s="25">
        <v>1.6282994747161865</v>
      </c>
      <c r="D48" s="25">
        <v>1.3724714517593384</v>
      </c>
      <c r="E48" s="25">
        <v>4.2898440361022949</v>
      </c>
      <c r="F48" s="25">
        <v>5.3632140159606934</v>
      </c>
      <c r="G48" s="25">
        <v>6.0728950500488281</v>
      </c>
      <c r="H48" s="25">
        <v>2.726036548614502</v>
      </c>
      <c r="I48" s="25">
        <v>2.6201355457305908</v>
      </c>
      <c r="J48" s="25">
        <v>3.1151783466339111</v>
      </c>
      <c r="K48" s="25">
        <v>6.1863584518432617</v>
      </c>
      <c r="L48" s="25">
        <v>4.7405486106872559</v>
      </c>
      <c r="M48" s="25">
        <v>4.8293066024780273</v>
      </c>
      <c r="N48" s="26">
        <v>3.4603257179260254</v>
      </c>
      <c r="P48" s="47" t="s">
        <v>17</v>
      </c>
      <c r="Q48" s="58">
        <v>6.8188042640686035</v>
      </c>
      <c r="R48" s="58">
        <v>3.6105501651763916</v>
      </c>
    </row>
    <row r="49" spans="1:18" x14ac:dyDescent="0.25">
      <c r="A49" s="5">
        <v>2014</v>
      </c>
      <c r="B49" s="24">
        <v>3.5629608631134033</v>
      </c>
      <c r="C49" s="25">
        <v>1.7974816560745239</v>
      </c>
      <c r="D49" s="25">
        <v>1.0728230476379395</v>
      </c>
      <c r="E49" s="25">
        <v>3.4169967174530029</v>
      </c>
      <c r="F49" s="25">
        <v>4.2112188339233398</v>
      </c>
      <c r="G49" s="25">
        <v>6.1754097938537598</v>
      </c>
      <c r="H49" s="25">
        <v>2.4751503467559814</v>
      </c>
      <c r="I49" s="25">
        <v>2.5633547306060791</v>
      </c>
      <c r="J49" s="25">
        <v>2.7574636936187744</v>
      </c>
      <c r="K49" s="25">
        <v>2.2412521839141846</v>
      </c>
      <c r="L49" s="25">
        <v>4.2313656806945801</v>
      </c>
      <c r="M49" s="25">
        <v>2.8097827434539795</v>
      </c>
      <c r="N49" s="26">
        <v>3.07861328125</v>
      </c>
      <c r="P49" s="47" t="s">
        <v>8</v>
      </c>
      <c r="Q49" s="58">
        <v>6.4249234199523926</v>
      </c>
      <c r="R49" s="58">
        <v>2.923126220703125</v>
      </c>
    </row>
    <row r="50" spans="1:18" x14ac:dyDescent="0.25">
      <c r="A50" s="5">
        <v>2015</v>
      </c>
      <c r="B50" s="24">
        <v>2.6294379234313965</v>
      </c>
      <c r="C50" s="25">
        <v>1.9284414052963257</v>
      </c>
      <c r="D50" s="25">
        <v>1.3423587083816528</v>
      </c>
      <c r="E50" s="25">
        <v>3.1158547401428223</v>
      </c>
      <c r="F50" s="25">
        <v>3.8568475246429443</v>
      </c>
      <c r="G50" s="25">
        <v>6.4158587455749512</v>
      </c>
      <c r="H50" s="25">
        <v>2.5432195663452148</v>
      </c>
      <c r="I50" s="25">
        <v>2.157207727432251</v>
      </c>
      <c r="J50" s="25">
        <v>2.9807040691375732</v>
      </c>
      <c r="K50" s="25">
        <v>2.8479387760162354</v>
      </c>
      <c r="L50" s="25">
        <v>3.9151561260223389</v>
      </c>
      <c r="M50" s="25">
        <v>2.4622640609741211</v>
      </c>
      <c r="N50" s="26">
        <v>3.0513637065887451</v>
      </c>
      <c r="P50" s="47" t="s">
        <v>7</v>
      </c>
      <c r="Q50" s="58">
        <v>6.2613430023193359</v>
      </c>
      <c r="R50" s="58">
        <v>1.8923189640045166</v>
      </c>
    </row>
    <row r="51" spans="1:18" ht="15.75" thickBot="1" x14ac:dyDescent="0.3">
      <c r="A51" s="5">
        <v>2016</v>
      </c>
      <c r="B51" s="24">
        <v>2.560227632522583</v>
      </c>
      <c r="C51" s="25">
        <v>2.0840244293212891</v>
      </c>
      <c r="D51" s="25">
        <v>1.3012816905975342</v>
      </c>
      <c r="E51" s="25">
        <v>2.5767934322357178</v>
      </c>
      <c r="F51" s="25">
        <v>4.8930602073669434</v>
      </c>
      <c r="G51" s="25">
        <v>6.391782283782959</v>
      </c>
      <c r="H51" s="25">
        <v>2.4007441997528076</v>
      </c>
      <c r="I51" s="25">
        <v>2.4481058120727539</v>
      </c>
      <c r="J51" s="25">
        <v>2.7655484676361084</v>
      </c>
      <c r="K51" s="25">
        <v>4.3905739784240723</v>
      </c>
      <c r="L51" s="25">
        <v>3.0566544532775879</v>
      </c>
      <c r="M51" s="25">
        <v>1.9397529363632202</v>
      </c>
      <c r="N51" s="26">
        <v>4.0447907447814941</v>
      </c>
      <c r="P51" s="49" t="s">
        <v>16</v>
      </c>
      <c r="Q51" s="59">
        <v>4.9310159683227539</v>
      </c>
      <c r="R51" s="59">
        <v>1.9311193227767944</v>
      </c>
    </row>
    <row r="52" spans="1:18" x14ac:dyDescent="0.25">
      <c r="A52" s="5">
        <v>2017</v>
      </c>
      <c r="B52" s="24">
        <v>2.3528914451599121</v>
      </c>
      <c r="C52" s="25">
        <v>2.2428843975067139</v>
      </c>
      <c r="D52" s="25">
        <v>1.6185400485992432</v>
      </c>
      <c r="E52" s="25">
        <v>2.7794473171234131</v>
      </c>
      <c r="F52" s="25">
        <v>4.0163612365722656</v>
      </c>
      <c r="G52" s="25">
        <v>5.6714859008789063</v>
      </c>
      <c r="H52" s="25">
        <v>2.6660048961639404</v>
      </c>
      <c r="I52" s="25">
        <v>2.1601107120513916</v>
      </c>
      <c r="J52" s="25">
        <v>2.4028744697570801</v>
      </c>
      <c r="K52" s="25">
        <v>5.1198873519897461</v>
      </c>
      <c r="L52" s="25">
        <v>2.7622921466827393</v>
      </c>
      <c r="M52" s="25">
        <v>1.2552864551544189</v>
      </c>
      <c r="N52" s="26">
        <v>4.0466489791870117</v>
      </c>
    </row>
    <row r="53" spans="1:18" ht="15.75" thickBot="1" x14ac:dyDescent="0.3">
      <c r="A53" s="6">
        <v>2018</v>
      </c>
      <c r="B53" s="27">
        <v>2.4711651802062988</v>
      </c>
      <c r="C53" s="28">
        <v>2.363778829574585</v>
      </c>
      <c r="D53" s="28">
        <v>1.8923189640045166</v>
      </c>
      <c r="E53" s="28">
        <v>2.923126220703125</v>
      </c>
      <c r="F53" s="28">
        <v>3.613694429397583</v>
      </c>
      <c r="G53" s="28">
        <v>6.7785186767578125</v>
      </c>
      <c r="H53" s="28">
        <v>2.9103810787200928</v>
      </c>
      <c r="I53" s="28">
        <v>2.1675803661346436</v>
      </c>
      <c r="J53" s="28">
        <v>2.6063747406005859</v>
      </c>
      <c r="K53" s="28">
        <v>4.3111791610717773</v>
      </c>
      <c r="L53" s="28">
        <v>3.9471008777618408</v>
      </c>
      <c r="M53" s="28">
        <v>1.9311193227767944</v>
      </c>
      <c r="N53" s="29">
        <v>3.6105501651763916</v>
      </c>
    </row>
  </sheetData>
  <mergeCells count="9">
    <mergeCell ref="P1:R1"/>
    <mergeCell ref="P19:R19"/>
    <mergeCell ref="P37:R37"/>
    <mergeCell ref="A37:A38"/>
    <mergeCell ref="B37:N37"/>
    <mergeCell ref="A1:A2"/>
    <mergeCell ref="B1:N1"/>
    <mergeCell ref="A19:A20"/>
    <mergeCell ref="B19:N1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5E16-A410-4482-8CD2-8460C4E62305}">
  <sheetPr codeName="Hoja5"/>
  <dimension ref="A1:R5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14" width="14.28515625" style="1" customWidth="1"/>
    <col min="15" max="15" width="11.42578125" style="1"/>
    <col min="16" max="18" width="14.28515625" style="1" customWidth="1"/>
    <col min="19" max="16384" width="11.42578125" style="1"/>
  </cols>
  <sheetData>
    <row r="1" spans="1:18" ht="15.75" thickBot="1" x14ac:dyDescent="0.3">
      <c r="A1" s="68" t="s">
        <v>23</v>
      </c>
      <c r="B1" s="72" t="s">
        <v>21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  <c r="P1" s="68" t="s">
        <v>21</v>
      </c>
      <c r="Q1" s="68"/>
      <c r="R1" s="68"/>
    </row>
    <row r="2" spans="1:18" ht="15.75" thickBot="1" x14ac:dyDescent="0.3">
      <c r="A2" s="70"/>
      <c r="B2" s="9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7" t="s">
        <v>17</v>
      </c>
      <c r="P2" s="60" t="s">
        <v>63</v>
      </c>
      <c r="Q2" s="61">
        <v>2002</v>
      </c>
      <c r="R2" s="61">
        <v>2018</v>
      </c>
    </row>
    <row r="3" spans="1:18" x14ac:dyDescent="0.25">
      <c r="A3" s="4">
        <v>2002</v>
      </c>
      <c r="B3" s="21">
        <v>8.4546175003051758</v>
      </c>
      <c r="C3" s="22">
        <v>6.9875469207763672</v>
      </c>
      <c r="D3" s="22">
        <v>6.0661988258361816</v>
      </c>
      <c r="E3" s="22">
        <v>6.0818405151367188</v>
      </c>
      <c r="F3" s="22">
        <v>9.4850835800170898</v>
      </c>
      <c r="G3" s="22">
        <v>11.069615364074707</v>
      </c>
      <c r="H3" s="22">
        <v>8.4059286117553711</v>
      </c>
      <c r="I3" s="22">
        <v>7.2938308715820313</v>
      </c>
      <c r="J3" s="22">
        <v>7.877110481262207</v>
      </c>
      <c r="K3" s="22">
        <v>9.531733512878418</v>
      </c>
      <c r="L3" s="22">
        <v>10.810505867004395</v>
      </c>
      <c r="M3" s="22">
        <v>4.0400052070617676</v>
      </c>
      <c r="N3" s="23">
        <v>7.4426755905151367</v>
      </c>
      <c r="P3" s="47" t="s">
        <v>10</v>
      </c>
      <c r="Q3" s="58">
        <v>11.069615364074707</v>
      </c>
      <c r="R3" s="58">
        <v>6.9796109199523926</v>
      </c>
    </row>
    <row r="4" spans="1:18" x14ac:dyDescent="0.25">
      <c r="A4" s="5">
        <v>2003</v>
      </c>
      <c r="B4" s="24">
        <v>10.710731506347656</v>
      </c>
      <c r="C4" s="25">
        <v>6.9425530433654785</v>
      </c>
      <c r="D4" s="25">
        <v>5.1872673034667969</v>
      </c>
      <c r="E4" s="25">
        <v>5.3221187591552734</v>
      </c>
      <c r="F4" s="25">
        <v>7.4786295890808105</v>
      </c>
      <c r="G4" s="25">
        <v>13.220535278320313</v>
      </c>
      <c r="H4" s="25">
        <v>9.5766334533691406</v>
      </c>
      <c r="I4" s="25">
        <v>8.3108491897583008</v>
      </c>
      <c r="J4" s="25">
        <v>6.6549596786499023</v>
      </c>
      <c r="K4" s="25">
        <v>11.231053352355957</v>
      </c>
      <c r="L4" s="25">
        <v>11.283891677856445</v>
      </c>
      <c r="M4" s="25">
        <v>3.0446465015411377</v>
      </c>
      <c r="N4" s="26">
        <v>6.7933173179626465</v>
      </c>
      <c r="P4" s="47" t="s">
        <v>15</v>
      </c>
      <c r="Q4" s="58">
        <v>10.810505867004395</v>
      </c>
      <c r="R4" s="58">
        <v>4.1619906425476074</v>
      </c>
    </row>
    <row r="5" spans="1:18" x14ac:dyDescent="0.25">
      <c r="A5" s="5">
        <v>2004</v>
      </c>
      <c r="B5" s="24">
        <v>8.5476531982421875</v>
      </c>
      <c r="C5" s="25">
        <v>6.0144839286804199</v>
      </c>
      <c r="D5" s="25">
        <v>4.6998143196105957</v>
      </c>
      <c r="E5" s="25">
        <v>5.2642459869384766</v>
      </c>
      <c r="F5" s="25">
        <v>6.9415254592895508</v>
      </c>
      <c r="G5" s="25">
        <v>13.179190635681152</v>
      </c>
      <c r="H5" s="25">
        <v>10.39421558380127</v>
      </c>
      <c r="I5" s="25">
        <v>9.0224924087524414</v>
      </c>
      <c r="J5" s="25">
        <v>5.6116600036621094</v>
      </c>
      <c r="K5" s="25">
        <v>9.8716964721679688</v>
      </c>
      <c r="L5" s="25">
        <v>10.36544132232666</v>
      </c>
      <c r="M5" s="25">
        <v>3.2720472812652588</v>
      </c>
      <c r="N5" s="26">
        <v>5.3324708938598633</v>
      </c>
      <c r="P5" s="47" t="s">
        <v>14</v>
      </c>
      <c r="Q5" s="58">
        <v>9.531733512878418</v>
      </c>
      <c r="R5" s="58">
        <v>3.9328153133392334</v>
      </c>
    </row>
    <row r="6" spans="1:18" x14ac:dyDescent="0.25">
      <c r="A6" s="5">
        <v>2005</v>
      </c>
      <c r="B6" s="24">
        <v>7.8294506072998047</v>
      </c>
      <c r="C6" s="25">
        <v>4.6634259223937988</v>
      </c>
      <c r="D6" s="25">
        <v>4.8251748085021973</v>
      </c>
      <c r="E6" s="25">
        <v>5.0233144760131836</v>
      </c>
      <c r="F6" s="25">
        <v>4.6530642509460449</v>
      </c>
      <c r="G6" s="25">
        <v>11.255476951599121</v>
      </c>
      <c r="H6" s="25">
        <v>8.5270595550537109</v>
      </c>
      <c r="I6" s="25">
        <v>7.5625286102294922</v>
      </c>
      <c r="J6" s="25">
        <v>4.9620466232299805</v>
      </c>
      <c r="K6" s="25">
        <v>9.2549581527709961</v>
      </c>
      <c r="L6" s="25">
        <v>11.650690078735352</v>
      </c>
      <c r="M6" s="25">
        <v>3.6930897235870361</v>
      </c>
      <c r="N6" s="26">
        <v>6.241858959197998</v>
      </c>
      <c r="P6" s="47" t="s">
        <v>9</v>
      </c>
      <c r="Q6" s="58">
        <v>9.4850835800170898</v>
      </c>
      <c r="R6" s="58">
        <v>3.3911418914794922</v>
      </c>
    </row>
    <row r="7" spans="1:18" x14ac:dyDescent="0.25">
      <c r="A7" s="5">
        <v>2008</v>
      </c>
      <c r="B7" s="24">
        <v>10.034184455871582</v>
      </c>
      <c r="C7" s="25">
        <v>3.3649272918701172</v>
      </c>
      <c r="D7" s="25">
        <v>2.5841100215911865</v>
      </c>
      <c r="E7" s="25">
        <v>7.3777451515197754</v>
      </c>
      <c r="F7" s="25">
        <v>6.8975462913513184</v>
      </c>
      <c r="G7" s="25">
        <v>7.8750772476196289</v>
      </c>
      <c r="H7" s="25">
        <v>7.2629265785217285</v>
      </c>
      <c r="I7" s="25">
        <v>6.8489151000976563</v>
      </c>
      <c r="J7" s="25">
        <v>6.1507024765014648</v>
      </c>
      <c r="K7" s="25">
        <v>6.6170787811279297</v>
      </c>
      <c r="L7" s="25">
        <v>10.064956665039063</v>
      </c>
      <c r="M7" s="25">
        <v>4.7520046234130859</v>
      </c>
      <c r="N7" s="26">
        <v>5.230623722076416</v>
      </c>
      <c r="P7" s="47" t="s">
        <v>5</v>
      </c>
      <c r="Q7" s="58">
        <v>8.4546175003051758</v>
      </c>
      <c r="R7" s="58">
        <v>2.2256844043731689</v>
      </c>
    </row>
    <row r="8" spans="1:18" x14ac:dyDescent="0.25">
      <c r="A8" s="5">
        <v>2009</v>
      </c>
      <c r="B8" s="24">
        <v>8.287867546081543</v>
      </c>
      <c r="C8" s="25">
        <v>3.1890511512756348</v>
      </c>
      <c r="D8" s="25">
        <v>1.7154656648635864</v>
      </c>
      <c r="E8" s="25">
        <v>7.433739185333252</v>
      </c>
      <c r="F8" s="25">
        <v>6.8429803848266602</v>
      </c>
      <c r="G8" s="25">
        <v>6.8458476066589355</v>
      </c>
      <c r="H8" s="25">
        <v>5.0542855262756348</v>
      </c>
      <c r="I8" s="25">
        <v>6.7459354400634766</v>
      </c>
      <c r="J8" s="25">
        <v>6.240781307220459</v>
      </c>
      <c r="K8" s="25">
        <v>5.9042377471923828</v>
      </c>
      <c r="L8" s="25">
        <v>10.54347038269043</v>
      </c>
      <c r="M8" s="25">
        <v>4.6297073364257813</v>
      </c>
      <c r="N8" s="26">
        <v>5.3629369735717773</v>
      </c>
      <c r="P8" s="47" t="s">
        <v>11</v>
      </c>
      <c r="Q8" s="58">
        <v>8.4059286117553711</v>
      </c>
      <c r="R8" s="58">
        <v>2.9705464839935303</v>
      </c>
    </row>
    <row r="9" spans="1:18" x14ac:dyDescent="0.25">
      <c r="A9" s="5">
        <v>2010</v>
      </c>
      <c r="B9" s="24">
        <v>7.4315190315246582</v>
      </c>
      <c r="C9" s="25">
        <v>2.5844669342041016</v>
      </c>
      <c r="D9" s="25">
        <v>1.1710273027420044</v>
      </c>
      <c r="E9" s="25">
        <v>6.3673539161682129</v>
      </c>
      <c r="F9" s="25">
        <v>6.2362918853759766</v>
      </c>
      <c r="G9" s="25">
        <v>8.3558282852172852</v>
      </c>
      <c r="H9" s="25">
        <v>4.3221225738525391</v>
      </c>
      <c r="I9" s="25">
        <v>4.7421541213989258</v>
      </c>
      <c r="J9" s="25">
        <v>5.5760412216186523</v>
      </c>
      <c r="K9" s="25">
        <v>6.6914730072021484</v>
      </c>
      <c r="L9" s="25">
        <v>11.455095291137695</v>
      </c>
      <c r="M9" s="25">
        <v>3.7797887325286865</v>
      </c>
      <c r="N9" s="26">
        <v>4.8195509910583496</v>
      </c>
      <c r="P9" s="47" t="s">
        <v>13</v>
      </c>
      <c r="Q9" s="58">
        <v>7.877110481262207</v>
      </c>
      <c r="R9" s="58">
        <v>2.6862013339996338</v>
      </c>
    </row>
    <row r="10" spans="1:18" x14ac:dyDescent="0.25">
      <c r="A10" s="5">
        <v>2011</v>
      </c>
      <c r="B10" s="24">
        <v>5.361811637878418</v>
      </c>
      <c r="C10" s="25">
        <v>2.0058658123016357</v>
      </c>
      <c r="D10" s="25">
        <v>1.1233733892440796</v>
      </c>
      <c r="E10" s="25">
        <v>5.2530932426452637</v>
      </c>
      <c r="F10" s="25">
        <v>4.7214746475219727</v>
      </c>
      <c r="G10" s="25">
        <v>5.6532258987426758</v>
      </c>
      <c r="H10" s="25">
        <v>2.7223668098449707</v>
      </c>
      <c r="I10" s="25">
        <v>2.331578254699707</v>
      </c>
      <c r="J10" s="25">
        <v>3.9871439933776855</v>
      </c>
      <c r="K10" s="25">
        <v>6.3915505409240723</v>
      </c>
      <c r="L10" s="25">
        <v>8.5682258605957031</v>
      </c>
      <c r="M10" s="25">
        <v>2.1988186836242676</v>
      </c>
      <c r="N10" s="26">
        <v>3.9773826599121094</v>
      </c>
      <c r="P10" s="47" t="s">
        <v>17</v>
      </c>
      <c r="Q10" s="58">
        <v>7.4426755905151367</v>
      </c>
      <c r="R10" s="58">
        <v>3.8829948902130127</v>
      </c>
    </row>
    <row r="11" spans="1:18" x14ac:dyDescent="0.25">
      <c r="A11" s="5">
        <v>2012</v>
      </c>
      <c r="B11" s="24">
        <v>3.8181455135345459</v>
      </c>
      <c r="C11" s="25">
        <v>2.016019344329834</v>
      </c>
      <c r="D11" s="25">
        <v>1.1533375978469849</v>
      </c>
      <c r="E11" s="25">
        <v>5.2719616889953613</v>
      </c>
      <c r="F11" s="25">
        <v>5.8938770294189453</v>
      </c>
      <c r="G11" s="25">
        <v>5.0988130569458008</v>
      </c>
      <c r="H11" s="25">
        <v>2.7982931137084961</v>
      </c>
      <c r="I11" s="25">
        <v>2.3980774879455566</v>
      </c>
      <c r="J11" s="25">
        <v>3.5250864028930664</v>
      </c>
      <c r="K11" s="25">
        <v>6.2869033813476563</v>
      </c>
      <c r="L11" s="25">
        <v>8.0434894561767578</v>
      </c>
      <c r="M11" s="25">
        <v>3.0421371459960938</v>
      </c>
      <c r="N11" s="26">
        <v>3.8832206726074219</v>
      </c>
      <c r="P11" s="47" t="s">
        <v>12</v>
      </c>
      <c r="Q11" s="58">
        <v>7.2938308715820313</v>
      </c>
      <c r="R11" s="58">
        <v>2.1334209442138672</v>
      </c>
    </row>
    <row r="12" spans="1:18" x14ac:dyDescent="0.25">
      <c r="A12" s="5">
        <v>2013</v>
      </c>
      <c r="B12" s="24">
        <v>4.1553630828857422</v>
      </c>
      <c r="C12" s="25">
        <v>1.5702062845230103</v>
      </c>
      <c r="D12" s="25">
        <v>1.2342022657394409</v>
      </c>
      <c r="E12" s="25">
        <v>4.3563766479492188</v>
      </c>
      <c r="F12" s="25">
        <v>5.8287835121154785</v>
      </c>
      <c r="G12" s="25">
        <v>5.9608826637268066</v>
      </c>
      <c r="H12" s="25">
        <v>2.5145552158355713</v>
      </c>
      <c r="I12" s="25">
        <v>2.5605075359344482</v>
      </c>
      <c r="J12" s="25">
        <v>3.0203955173492432</v>
      </c>
      <c r="K12" s="25">
        <v>6.4647121429443359</v>
      </c>
      <c r="L12" s="25">
        <v>4.4466838836669922</v>
      </c>
      <c r="M12" s="25">
        <v>5.0651073455810547</v>
      </c>
      <c r="N12" s="26">
        <v>3.0579464435577393</v>
      </c>
      <c r="P12" s="47" t="s">
        <v>6</v>
      </c>
      <c r="Q12" s="58">
        <v>6.9875469207763672</v>
      </c>
      <c r="R12" s="58">
        <v>2.5256009101867676</v>
      </c>
    </row>
    <row r="13" spans="1:18" x14ac:dyDescent="0.25">
      <c r="A13" s="5">
        <v>2014</v>
      </c>
      <c r="B13" s="24">
        <v>3.6301329135894775</v>
      </c>
      <c r="C13" s="25">
        <v>1.9122048616409302</v>
      </c>
      <c r="D13" s="25">
        <v>1.1284630298614502</v>
      </c>
      <c r="E13" s="25">
        <v>3.3293478488922119</v>
      </c>
      <c r="F13" s="25">
        <v>4.2861285209655762</v>
      </c>
      <c r="G13" s="25">
        <v>5.7277450561523438</v>
      </c>
      <c r="H13" s="25">
        <v>2.2859847545623779</v>
      </c>
      <c r="I13" s="25">
        <v>2.179328441619873</v>
      </c>
      <c r="J13" s="25">
        <v>2.7766668796539307</v>
      </c>
      <c r="K13" s="25">
        <v>1.3682346343994141</v>
      </c>
      <c r="L13" s="25">
        <v>4.084348201751709</v>
      </c>
      <c r="M13" s="25">
        <v>2.4651350975036621</v>
      </c>
      <c r="N13" s="26">
        <v>2.7823286056518555</v>
      </c>
      <c r="P13" s="47" t="s">
        <v>8</v>
      </c>
      <c r="Q13" s="58">
        <v>6.0818405151367188</v>
      </c>
      <c r="R13" s="58">
        <v>3.4288640022277832</v>
      </c>
    </row>
    <row r="14" spans="1:18" x14ac:dyDescent="0.25">
      <c r="A14" s="5">
        <v>2015</v>
      </c>
      <c r="B14" s="24">
        <v>2.4301881790161133</v>
      </c>
      <c r="C14" s="25">
        <v>1.9907208681106567</v>
      </c>
      <c r="D14" s="25">
        <v>1.2843486070632935</v>
      </c>
      <c r="E14" s="25">
        <v>3.3958892822265625</v>
      </c>
      <c r="F14" s="25">
        <v>3.9696700572967529</v>
      </c>
      <c r="G14" s="25">
        <v>6.8575081825256348</v>
      </c>
      <c r="H14" s="25">
        <v>2.5587332248687744</v>
      </c>
      <c r="I14" s="25">
        <v>1.7335906028747559</v>
      </c>
      <c r="J14" s="25">
        <v>3.2608535289764404</v>
      </c>
      <c r="K14" s="25">
        <v>2.1474452018737793</v>
      </c>
      <c r="L14" s="25">
        <v>4.2330379486083984</v>
      </c>
      <c r="M14" s="25">
        <v>2.108590841293335</v>
      </c>
      <c r="N14" s="26">
        <v>3.1404964923858643</v>
      </c>
      <c r="P14" s="47" t="s">
        <v>7</v>
      </c>
      <c r="Q14" s="58">
        <v>6.0661988258361816</v>
      </c>
      <c r="R14" s="58">
        <v>1.5500067472457886</v>
      </c>
    </row>
    <row r="15" spans="1:18" ht="15.75" thickBot="1" x14ac:dyDescent="0.3">
      <c r="A15" s="5">
        <v>2016</v>
      </c>
      <c r="B15" s="24">
        <v>2.7946653366088867</v>
      </c>
      <c r="C15" s="25">
        <v>2.3253326416015625</v>
      </c>
      <c r="D15" s="25">
        <v>1.192293643951416</v>
      </c>
      <c r="E15" s="25">
        <v>3.1889536380767822</v>
      </c>
      <c r="F15" s="25">
        <v>5.5186042785644531</v>
      </c>
      <c r="G15" s="25">
        <v>7.0410647392272949</v>
      </c>
      <c r="H15" s="25">
        <v>2.4322299957275391</v>
      </c>
      <c r="I15" s="25">
        <v>2.5409226417541504</v>
      </c>
      <c r="J15" s="25">
        <v>2.9402945041656494</v>
      </c>
      <c r="K15" s="25">
        <v>4.2668094635009766</v>
      </c>
      <c r="L15" s="25">
        <v>3.1924686431884766</v>
      </c>
      <c r="M15" s="25">
        <v>1.7546868324279785</v>
      </c>
      <c r="N15" s="26">
        <v>4.6848998069763184</v>
      </c>
      <c r="P15" s="49" t="s">
        <v>16</v>
      </c>
      <c r="Q15" s="59">
        <v>4.0400052070617676</v>
      </c>
      <c r="R15" s="59">
        <v>1.7405334711074829</v>
      </c>
    </row>
    <row r="16" spans="1:18" x14ac:dyDescent="0.25">
      <c r="A16" s="5">
        <v>2017</v>
      </c>
      <c r="B16" s="24">
        <v>2.4110538959503174</v>
      </c>
      <c r="C16" s="25">
        <v>2.4426884651184082</v>
      </c>
      <c r="D16" s="25">
        <v>1.3947795629501343</v>
      </c>
      <c r="E16" s="25">
        <v>3.4522614479064941</v>
      </c>
      <c r="F16" s="25">
        <v>4.1372451782226563</v>
      </c>
      <c r="G16" s="25">
        <v>5.3111457824707031</v>
      </c>
      <c r="H16" s="25">
        <v>2.5648880004882813</v>
      </c>
      <c r="I16" s="25">
        <v>2.0691983699798584</v>
      </c>
      <c r="J16" s="25">
        <v>2.4124581813812256</v>
      </c>
      <c r="K16" s="25">
        <v>5.4868311882019043</v>
      </c>
      <c r="L16" s="25">
        <v>2.9108774662017822</v>
      </c>
      <c r="M16" s="25">
        <v>0.83062463998794556</v>
      </c>
      <c r="N16" s="26">
        <v>4.5399928092956543</v>
      </c>
    </row>
    <row r="17" spans="1:18" ht="15.75" thickBot="1" x14ac:dyDescent="0.3">
      <c r="A17" s="6">
        <v>2018</v>
      </c>
      <c r="B17" s="27">
        <v>2.2256844043731689</v>
      </c>
      <c r="C17" s="28">
        <v>2.5256009101867676</v>
      </c>
      <c r="D17" s="28">
        <v>1.5500067472457886</v>
      </c>
      <c r="E17" s="28">
        <v>3.4288640022277832</v>
      </c>
      <c r="F17" s="28">
        <v>3.3911418914794922</v>
      </c>
      <c r="G17" s="28">
        <v>6.9796109199523926</v>
      </c>
      <c r="H17" s="28">
        <v>2.9705464839935303</v>
      </c>
      <c r="I17" s="28">
        <v>2.1334209442138672</v>
      </c>
      <c r="J17" s="28">
        <v>2.6862013339996338</v>
      </c>
      <c r="K17" s="28">
        <v>3.9328153133392334</v>
      </c>
      <c r="L17" s="28">
        <v>4.1619906425476074</v>
      </c>
      <c r="M17" s="28">
        <v>1.7405334711074829</v>
      </c>
      <c r="N17" s="29">
        <v>3.8829948902130127</v>
      </c>
    </row>
    <row r="18" spans="1:18" ht="15.75" thickBot="1" x14ac:dyDescent="0.3"/>
    <row r="19" spans="1:18" ht="15.75" thickBot="1" x14ac:dyDescent="0.3">
      <c r="A19" s="68" t="s">
        <v>23</v>
      </c>
      <c r="B19" s="72" t="s">
        <v>29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3"/>
      <c r="P19" s="68" t="s">
        <v>29</v>
      </c>
      <c r="Q19" s="68"/>
      <c r="R19" s="68"/>
    </row>
    <row r="20" spans="1:18" ht="15.75" thickBot="1" x14ac:dyDescent="0.3">
      <c r="A20" s="70"/>
      <c r="B20" s="9" t="s">
        <v>5</v>
      </c>
      <c r="C20" s="10" t="s">
        <v>6</v>
      </c>
      <c r="D20" s="10" t="s">
        <v>7</v>
      </c>
      <c r="E20" s="10" t="s">
        <v>8</v>
      </c>
      <c r="F20" s="10" t="s">
        <v>9</v>
      </c>
      <c r="G20" s="10" t="s">
        <v>10</v>
      </c>
      <c r="H20" s="10" t="s">
        <v>11</v>
      </c>
      <c r="I20" s="10" t="s">
        <v>12</v>
      </c>
      <c r="J20" s="10" t="s">
        <v>13</v>
      </c>
      <c r="K20" s="10" t="s">
        <v>14</v>
      </c>
      <c r="L20" s="10" t="s">
        <v>15</v>
      </c>
      <c r="M20" s="10" t="s">
        <v>16</v>
      </c>
      <c r="N20" s="7" t="s">
        <v>17</v>
      </c>
      <c r="P20" s="60" t="s">
        <v>63</v>
      </c>
      <c r="Q20" s="61">
        <v>2002</v>
      </c>
      <c r="R20" s="61">
        <v>2018</v>
      </c>
    </row>
    <row r="21" spans="1:18" x14ac:dyDescent="0.25">
      <c r="A21" s="4">
        <v>2002</v>
      </c>
      <c r="B21" s="21">
        <v>2.410275936126709</v>
      </c>
      <c r="C21" s="22">
        <v>2.8358535766601563</v>
      </c>
      <c r="D21" s="22">
        <v>2.18178391456604</v>
      </c>
      <c r="E21" s="22">
        <v>2.2488973140716553</v>
      </c>
      <c r="F21" s="22">
        <v>2.5079703330993652</v>
      </c>
      <c r="G21" s="22">
        <v>3.5154104232788086</v>
      </c>
      <c r="H21" s="22">
        <v>2.9123108386993408</v>
      </c>
      <c r="I21" s="22">
        <v>2.8040082454681396</v>
      </c>
      <c r="J21" s="22">
        <v>3.0791337490081787</v>
      </c>
      <c r="K21" s="22">
        <v>2.8185369968414307</v>
      </c>
      <c r="L21" s="22">
        <v>3.27217698097229</v>
      </c>
      <c r="M21" s="22">
        <v>1.2597416639328003</v>
      </c>
      <c r="N21" s="23">
        <v>2.6720511913299561</v>
      </c>
      <c r="P21" s="47" t="s">
        <v>10</v>
      </c>
      <c r="Q21" s="58">
        <v>3.5154104232788086</v>
      </c>
      <c r="R21" s="58">
        <v>2.8344967365264893</v>
      </c>
    </row>
    <row r="22" spans="1:18" x14ac:dyDescent="0.25">
      <c r="A22" s="5">
        <v>2003</v>
      </c>
      <c r="B22" s="24">
        <v>3.1135385036468506</v>
      </c>
      <c r="C22" s="25">
        <v>2.7192182540893555</v>
      </c>
      <c r="D22" s="25">
        <v>1.7507191896438599</v>
      </c>
      <c r="E22" s="25">
        <v>1.8946709632873535</v>
      </c>
      <c r="F22" s="25">
        <v>2.0747511386871338</v>
      </c>
      <c r="G22" s="25">
        <v>4.1195540428161621</v>
      </c>
      <c r="H22" s="25">
        <v>3.5535831451416016</v>
      </c>
      <c r="I22" s="25">
        <v>2.8417940139770508</v>
      </c>
      <c r="J22" s="25">
        <v>2.6110517978668213</v>
      </c>
      <c r="K22" s="25">
        <v>3.1027650833129883</v>
      </c>
      <c r="L22" s="25">
        <v>3.2092199325561523</v>
      </c>
      <c r="M22" s="25">
        <v>1.106016993522644</v>
      </c>
      <c r="N22" s="26">
        <v>2.6183092594146729</v>
      </c>
      <c r="P22" s="47" t="s">
        <v>15</v>
      </c>
      <c r="Q22" s="58">
        <v>3.27217698097229</v>
      </c>
      <c r="R22" s="58">
        <v>1.3381161689758301</v>
      </c>
    </row>
    <row r="23" spans="1:18" x14ac:dyDescent="0.25">
      <c r="A23" s="5">
        <v>2004</v>
      </c>
      <c r="B23" s="24">
        <v>2.4261579513549805</v>
      </c>
      <c r="C23" s="25">
        <v>2.5305769443511963</v>
      </c>
      <c r="D23" s="25">
        <v>1.51932692527771</v>
      </c>
      <c r="E23" s="25">
        <v>1.9417878389358521</v>
      </c>
      <c r="F23" s="25">
        <v>1.851934552192688</v>
      </c>
      <c r="G23" s="25">
        <v>4.5585322380065918</v>
      </c>
      <c r="H23" s="25">
        <v>3.7773475646972656</v>
      </c>
      <c r="I23" s="25">
        <v>3.6129131317138672</v>
      </c>
      <c r="J23" s="25">
        <v>2.3000891208648682</v>
      </c>
      <c r="K23" s="25">
        <v>2.8667283058166504</v>
      </c>
      <c r="L23" s="25">
        <v>2.8963890075683594</v>
      </c>
      <c r="M23" s="25">
        <v>1.0687601566314697</v>
      </c>
      <c r="N23" s="26">
        <v>1.9008567333221436</v>
      </c>
      <c r="P23" s="47" t="s">
        <v>13</v>
      </c>
      <c r="Q23" s="58">
        <v>3.0791337490081787</v>
      </c>
      <c r="R23" s="58">
        <v>1.1962758302688599</v>
      </c>
    </row>
    <row r="24" spans="1:18" x14ac:dyDescent="0.25">
      <c r="A24" s="5">
        <v>2005</v>
      </c>
      <c r="B24" s="24">
        <v>2.2883050441741943</v>
      </c>
      <c r="C24" s="25">
        <v>1.7371952533721924</v>
      </c>
      <c r="D24" s="25">
        <v>1.7744647264480591</v>
      </c>
      <c r="E24" s="25">
        <v>1.7750272750854492</v>
      </c>
      <c r="F24" s="25">
        <v>1.1495407819747925</v>
      </c>
      <c r="G24" s="25">
        <v>3.6719925403594971</v>
      </c>
      <c r="H24" s="25">
        <v>2.986386775970459</v>
      </c>
      <c r="I24" s="25">
        <v>2.9335319995880127</v>
      </c>
      <c r="J24" s="25">
        <v>1.7303688526153564</v>
      </c>
      <c r="K24" s="25">
        <v>2.8318080902099609</v>
      </c>
      <c r="L24" s="25">
        <v>3.3844637870788574</v>
      </c>
      <c r="M24" s="25">
        <v>1.1050610542297363</v>
      </c>
      <c r="N24" s="26">
        <v>2.5182950496673584</v>
      </c>
      <c r="P24" s="47" t="s">
        <v>11</v>
      </c>
      <c r="Q24" s="58">
        <v>2.9123108386993408</v>
      </c>
      <c r="R24" s="58">
        <v>1.1256242990493774</v>
      </c>
    </row>
    <row r="25" spans="1:18" x14ac:dyDescent="0.25">
      <c r="A25" s="5">
        <v>2008</v>
      </c>
      <c r="B25" s="24">
        <v>3.0394244194030762</v>
      </c>
      <c r="C25" s="25">
        <v>1.3108158111572266</v>
      </c>
      <c r="D25" s="25">
        <v>0.87729209661483765</v>
      </c>
      <c r="E25" s="25">
        <v>3.135969877243042</v>
      </c>
      <c r="F25" s="25">
        <v>1.9205317497253418</v>
      </c>
      <c r="G25" s="25">
        <v>2.6300797462463379</v>
      </c>
      <c r="H25" s="25">
        <v>2.5225677490234375</v>
      </c>
      <c r="I25" s="25">
        <v>2.831972599029541</v>
      </c>
      <c r="J25" s="25">
        <v>2.7703430652618408</v>
      </c>
      <c r="K25" s="25">
        <v>1.8068058490753174</v>
      </c>
      <c r="L25" s="25">
        <v>2.7846634387969971</v>
      </c>
      <c r="M25" s="25">
        <v>1.5067877769470215</v>
      </c>
      <c r="N25" s="26">
        <v>2.2491281032562256</v>
      </c>
      <c r="P25" s="47" t="s">
        <v>6</v>
      </c>
      <c r="Q25" s="58">
        <v>2.8358535766601563</v>
      </c>
      <c r="R25" s="58">
        <v>1.2858262062072754</v>
      </c>
    </row>
    <row r="26" spans="1:18" x14ac:dyDescent="0.25">
      <c r="A26" s="5">
        <v>2009</v>
      </c>
      <c r="B26" s="24">
        <v>2.4713387489318848</v>
      </c>
      <c r="C26" s="25">
        <v>1.3851379156112671</v>
      </c>
      <c r="D26" s="25">
        <v>0.59100848436355591</v>
      </c>
      <c r="E26" s="25">
        <v>2.9764938354492188</v>
      </c>
      <c r="F26" s="25">
        <v>1.9790527820587158</v>
      </c>
      <c r="G26" s="25">
        <v>2.4866447448730469</v>
      </c>
      <c r="H26" s="25">
        <v>1.7274973392486572</v>
      </c>
      <c r="I26" s="25">
        <v>2.6127676963806152</v>
      </c>
      <c r="J26" s="25">
        <v>2.5686626434326172</v>
      </c>
      <c r="K26" s="25">
        <v>1.6847537755966187</v>
      </c>
      <c r="L26" s="25">
        <v>3.0651679039001465</v>
      </c>
      <c r="M26" s="25">
        <v>1.5453046560287476</v>
      </c>
      <c r="N26" s="26">
        <v>2.1734077930450439</v>
      </c>
      <c r="P26" s="47" t="s">
        <v>14</v>
      </c>
      <c r="Q26" s="58">
        <v>2.8185369968414307</v>
      </c>
      <c r="R26" s="58">
        <v>1.2601550817489624</v>
      </c>
    </row>
    <row r="27" spans="1:18" x14ac:dyDescent="0.25">
      <c r="A27" s="5">
        <v>2010</v>
      </c>
      <c r="B27" s="24">
        <v>2.2515139579772949</v>
      </c>
      <c r="C27" s="25">
        <v>1.0844728946685791</v>
      </c>
      <c r="D27" s="25">
        <v>0.38381052017211914</v>
      </c>
      <c r="E27" s="25">
        <v>2.8610801696777344</v>
      </c>
      <c r="F27" s="25">
        <v>2.0565547943115234</v>
      </c>
      <c r="G27" s="25">
        <v>3.2539389133453369</v>
      </c>
      <c r="H27" s="25">
        <v>1.2632690668106079</v>
      </c>
      <c r="I27" s="25">
        <v>1.8851468563079834</v>
      </c>
      <c r="J27" s="25">
        <v>2.3988630771636963</v>
      </c>
      <c r="K27" s="25">
        <v>2.0105910301208496</v>
      </c>
      <c r="L27" s="25">
        <v>3.6474208831787109</v>
      </c>
      <c r="M27" s="25">
        <v>1.3491488695144653</v>
      </c>
      <c r="N27" s="26">
        <v>2.0411691665649414</v>
      </c>
      <c r="P27" s="47" t="s">
        <v>12</v>
      </c>
      <c r="Q27" s="58">
        <v>2.8040082454681396</v>
      </c>
      <c r="R27" s="58">
        <v>1.0235896110534668</v>
      </c>
    </row>
    <row r="28" spans="1:18" x14ac:dyDescent="0.25">
      <c r="A28" s="5">
        <v>2011</v>
      </c>
      <c r="B28" s="24">
        <v>1.6587076187133789</v>
      </c>
      <c r="C28" s="25">
        <v>0.73613506555557251</v>
      </c>
      <c r="D28" s="25">
        <v>0.52773809432983398</v>
      </c>
      <c r="E28" s="25">
        <v>2.1772937774658203</v>
      </c>
      <c r="F28" s="25">
        <v>1.3418281078338623</v>
      </c>
      <c r="G28" s="25">
        <v>2.1820220947265625</v>
      </c>
      <c r="H28" s="25">
        <v>0.99112510681152344</v>
      </c>
      <c r="I28" s="25">
        <v>0.83019185066223145</v>
      </c>
      <c r="J28" s="25">
        <v>1.6204303503036499</v>
      </c>
      <c r="K28" s="25">
        <v>2.0052688121795654</v>
      </c>
      <c r="L28" s="25">
        <v>2.5262486934661865</v>
      </c>
      <c r="M28" s="25">
        <v>0.77542805671691895</v>
      </c>
      <c r="N28" s="26">
        <v>1.871462345123291</v>
      </c>
      <c r="P28" s="47" t="s">
        <v>17</v>
      </c>
      <c r="Q28" s="58">
        <v>2.6720511913299561</v>
      </c>
      <c r="R28" s="58">
        <v>1.9100322723388672</v>
      </c>
    </row>
    <row r="29" spans="1:18" x14ac:dyDescent="0.25">
      <c r="A29" s="5">
        <v>2012</v>
      </c>
      <c r="B29" s="24">
        <v>1.2363653182983398</v>
      </c>
      <c r="C29" s="25">
        <v>0.77949684858322144</v>
      </c>
      <c r="D29" s="25">
        <v>0.47143343091011047</v>
      </c>
      <c r="E29" s="25">
        <v>2.0649292469024658</v>
      </c>
      <c r="F29" s="25">
        <v>2.0046555995941162</v>
      </c>
      <c r="G29" s="25">
        <v>2.0182023048400879</v>
      </c>
      <c r="H29" s="25">
        <v>0.93364483118057251</v>
      </c>
      <c r="I29" s="25">
        <v>0.81426751613616943</v>
      </c>
      <c r="J29" s="25">
        <v>1.3410578966140747</v>
      </c>
      <c r="K29" s="25">
        <v>2.0446140766143799</v>
      </c>
      <c r="L29" s="25">
        <v>2.367840051651001</v>
      </c>
      <c r="M29" s="25">
        <v>0.98142224550247192</v>
      </c>
      <c r="N29" s="26">
        <v>1.8531484603881836</v>
      </c>
      <c r="P29" s="47" t="s">
        <v>9</v>
      </c>
      <c r="Q29" s="58">
        <v>2.5079703330993652</v>
      </c>
      <c r="R29" s="58">
        <v>1.0923840999603271</v>
      </c>
    </row>
    <row r="30" spans="1:18" x14ac:dyDescent="0.25">
      <c r="A30" s="5">
        <v>2013</v>
      </c>
      <c r="B30" s="24">
        <v>1.3162902593612671</v>
      </c>
      <c r="C30" s="25">
        <v>0.68966531753540039</v>
      </c>
      <c r="D30" s="25">
        <v>0.58321082592010498</v>
      </c>
      <c r="E30" s="25">
        <v>1.9686993360519409</v>
      </c>
      <c r="F30" s="25">
        <v>2.1626749038696289</v>
      </c>
      <c r="G30" s="25">
        <v>2.4210419654846191</v>
      </c>
      <c r="H30" s="25">
        <v>0.88637405633926392</v>
      </c>
      <c r="I30" s="25">
        <v>0.84228056669235229</v>
      </c>
      <c r="J30" s="25">
        <v>1.3501310348510742</v>
      </c>
      <c r="K30" s="25">
        <v>2.0158965587615967</v>
      </c>
      <c r="L30" s="25">
        <v>1.3048937320709229</v>
      </c>
      <c r="M30" s="25">
        <v>2.1910295486450195</v>
      </c>
      <c r="N30" s="26">
        <v>1.5817761421203613</v>
      </c>
      <c r="P30" s="47" t="s">
        <v>5</v>
      </c>
      <c r="Q30" s="58">
        <v>2.410275936126709</v>
      </c>
      <c r="R30" s="58">
        <v>0.62925350666046143</v>
      </c>
    </row>
    <row r="31" spans="1:18" x14ac:dyDescent="0.25">
      <c r="A31" s="5">
        <v>2014</v>
      </c>
      <c r="B31" s="24">
        <v>1.0541174411773682</v>
      </c>
      <c r="C31" s="25">
        <v>0.82030993700027466</v>
      </c>
      <c r="D31" s="25">
        <v>0.42734691500663757</v>
      </c>
      <c r="E31" s="25">
        <v>1.568562388420105</v>
      </c>
      <c r="F31" s="25">
        <v>1.5619653463363647</v>
      </c>
      <c r="G31" s="25">
        <v>2.3680233955383301</v>
      </c>
      <c r="H31" s="25">
        <v>0.79887008666992188</v>
      </c>
      <c r="I31" s="25">
        <v>0.80282378196716309</v>
      </c>
      <c r="J31" s="25">
        <v>1.2147685289382935</v>
      </c>
      <c r="K31" s="25">
        <v>0.39952743053436279</v>
      </c>
      <c r="L31" s="25">
        <v>1.394545316696167</v>
      </c>
      <c r="M31" s="25">
        <v>1.044308066368103</v>
      </c>
      <c r="N31" s="26">
        <v>1.5023689270019531</v>
      </c>
      <c r="P31" s="47" t="s">
        <v>8</v>
      </c>
      <c r="Q31" s="58">
        <v>2.2488973140716553</v>
      </c>
      <c r="R31" s="58">
        <v>1.5424696207046509</v>
      </c>
    </row>
    <row r="32" spans="1:18" x14ac:dyDescent="0.25">
      <c r="A32" s="5">
        <v>2015</v>
      </c>
      <c r="B32" s="24">
        <v>0.76747405529022217</v>
      </c>
      <c r="C32" s="25">
        <v>0.97755324840545654</v>
      </c>
      <c r="D32" s="25">
        <v>0.58279341459274292</v>
      </c>
      <c r="E32" s="25">
        <v>1.5371830463409424</v>
      </c>
      <c r="F32" s="25">
        <v>1.4177063703536987</v>
      </c>
      <c r="G32" s="25">
        <v>2.8376634120941162</v>
      </c>
      <c r="H32" s="25">
        <v>0.77843916416168213</v>
      </c>
      <c r="I32" s="25">
        <v>0.87974852323532104</v>
      </c>
      <c r="J32" s="25">
        <v>1.4526764154434204</v>
      </c>
      <c r="K32" s="25">
        <v>0.6859135627746582</v>
      </c>
      <c r="L32" s="25">
        <v>1.4268335103988647</v>
      </c>
      <c r="M32" s="25">
        <v>0.80755817890167236</v>
      </c>
      <c r="N32" s="26">
        <v>1.4422628879547119</v>
      </c>
      <c r="P32" s="47" t="s">
        <v>7</v>
      </c>
      <c r="Q32" s="58">
        <v>2.18178391456604</v>
      </c>
      <c r="R32" s="58">
        <v>0.73091119527816772</v>
      </c>
    </row>
    <row r="33" spans="1:18" ht="15.75" thickBot="1" x14ac:dyDescent="0.3">
      <c r="A33" s="5">
        <v>2016</v>
      </c>
      <c r="B33" s="24">
        <v>0.81660866737365723</v>
      </c>
      <c r="C33" s="25">
        <v>1.1058217287063599</v>
      </c>
      <c r="D33" s="25">
        <v>0.4979361891746521</v>
      </c>
      <c r="E33" s="25">
        <v>1.2891557216644287</v>
      </c>
      <c r="F33" s="25">
        <v>2.0154910087585449</v>
      </c>
      <c r="G33" s="25">
        <v>2.8484387397766113</v>
      </c>
      <c r="H33" s="25">
        <v>0.87942427396774292</v>
      </c>
      <c r="I33" s="25">
        <v>1.0837166309356689</v>
      </c>
      <c r="J33" s="25">
        <v>1.3750022649765015</v>
      </c>
      <c r="K33" s="25">
        <v>1.3756548166275024</v>
      </c>
      <c r="L33" s="25">
        <v>0.8883209228515625</v>
      </c>
      <c r="M33" s="25">
        <v>0.59825032949447632</v>
      </c>
      <c r="N33" s="26">
        <v>2.2816824913024902</v>
      </c>
      <c r="P33" s="49" t="s">
        <v>16</v>
      </c>
      <c r="Q33" s="59">
        <v>1.2597416639328003</v>
      </c>
      <c r="R33" s="59">
        <v>0.68346530199050903</v>
      </c>
    </row>
    <row r="34" spans="1:18" x14ac:dyDescent="0.25">
      <c r="A34" s="5">
        <v>2017</v>
      </c>
      <c r="B34" s="24">
        <v>0.64139914512634277</v>
      </c>
      <c r="C34" s="25">
        <v>1.1956276893615723</v>
      </c>
      <c r="D34" s="25">
        <v>0.69480180740356445</v>
      </c>
      <c r="E34" s="25">
        <v>1.4369089603424072</v>
      </c>
      <c r="F34" s="25">
        <v>1.391845703125</v>
      </c>
      <c r="G34" s="25">
        <v>2.0065994262695313</v>
      </c>
      <c r="H34" s="25">
        <v>0.98119610548019409</v>
      </c>
      <c r="I34" s="25">
        <v>0.88872092962265015</v>
      </c>
      <c r="J34" s="25">
        <v>1.1541643142700195</v>
      </c>
      <c r="K34" s="25">
        <v>2.2504355907440186</v>
      </c>
      <c r="L34" s="25">
        <v>0.90810871124267578</v>
      </c>
      <c r="M34" s="25">
        <v>0.26832225918769836</v>
      </c>
      <c r="N34" s="26">
        <v>2.266653299331665</v>
      </c>
    </row>
    <row r="35" spans="1:18" ht="15.75" thickBot="1" x14ac:dyDescent="0.3">
      <c r="A35" s="6">
        <v>2018</v>
      </c>
      <c r="B35" s="27">
        <v>0.62925350666046143</v>
      </c>
      <c r="C35" s="28">
        <v>1.2858262062072754</v>
      </c>
      <c r="D35" s="28">
        <v>0.73091119527816772</v>
      </c>
      <c r="E35" s="28">
        <v>1.5424696207046509</v>
      </c>
      <c r="F35" s="28">
        <v>1.0923840999603271</v>
      </c>
      <c r="G35" s="28">
        <v>2.8344967365264893</v>
      </c>
      <c r="H35" s="28">
        <v>1.1256242990493774</v>
      </c>
      <c r="I35" s="28">
        <v>1.0235896110534668</v>
      </c>
      <c r="J35" s="28">
        <v>1.1962758302688599</v>
      </c>
      <c r="K35" s="28">
        <v>1.2601550817489624</v>
      </c>
      <c r="L35" s="28">
        <v>1.3381161689758301</v>
      </c>
      <c r="M35" s="28">
        <v>0.68346530199050903</v>
      </c>
      <c r="N35" s="29">
        <v>1.9100322723388672</v>
      </c>
    </row>
    <row r="36" spans="1:18" ht="15.75" thickBot="1" x14ac:dyDescent="0.3"/>
    <row r="37" spans="1:18" ht="15.75" thickBot="1" x14ac:dyDescent="0.3">
      <c r="A37" s="68" t="s">
        <v>23</v>
      </c>
      <c r="B37" s="72" t="s">
        <v>31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3"/>
      <c r="P37" s="68" t="s">
        <v>31</v>
      </c>
      <c r="Q37" s="68"/>
      <c r="R37" s="68"/>
    </row>
    <row r="38" spans="1:18" ht="15.75" thickBot="1" x14ac:dyDescent="0.3">
      <c r="A38" s="70"/>
      <c r="B38" s="9" t="s">
        <v>5</v>
      </c>
      <c r="C38" s="10" t="s">
        <v>6</v>
      </c>
      <c r="D38" s="10" t="s">
        <v>7</v>
      </c>
      <c r="E38" s="10" t="s">
        <v>8</v>
      </c>
      <c r="F38" s="10" t="s">
        <v>9</v>
      </c>
      <c r="G38" s="10" t="s">
        <v>10</v>
      </c>
      <c r="H38" s="10" t="s">
        <v>11</v>
      </c>
      <c r="I38" s="10" t="s">
        <v>12</v>
      </c>
      <c r="J38" s="10" t="s">
        <v>13</v>
      </c>
      <c r="K38" s="10" t="s">
        <v>14</v>
      </c>
      <c r="L38" s="10" t="s">
        <v>15</v>
      </c>
      <c r="M38" s="10" t="s">
        <v>16</v>
      </c>
      <c r="N38" s="7" t="s">
        <v>17</v>
      </c>
      <c r="P38" s="60" t="s">
        <v>63</v>
      </c>
      <c r="Q38" s="61">
        <v>2002</v>
      </c>
      <c r="R38" s="61">
        <v>2018</v>
      </c>
    </row>
    <row r="39" spans="1:18" x14ac:dyDescent="0.25">
      <c r="A39" s="4">
        <v>2002</v>
      </c>
      <c r="B39" s="21">
        <v>1.1061651706695557</v>
      </c>
      <c r="C39" s="22">
        <v>1.8061826229095459</v>
      </c>
      <c r="D39" s="22">
        <v>1.2509679794311523</v>
      </c>
      <c r="E39" s="22">
        <v>1.3023582696914673</v>
      </c>
      <c r="F39" s="22">
        <v>1.0386079549789429</v>
      </c>
      <c r="G39" s="22">
        <v>1.8110804557800293</v>
      </c>
      <c r="H39" s="22">
        <v>1.5424199104309082</v>
      </c>
      <c r="I39" s="22">
        <v>1.7401609420776367</v>
      </c>
      <c r="J39" s="22">
        <v>1.7812659740447998</v>
      </c>
      <c r="K39" s="22">
        <v>1.309013843536377</v>
      </c>
      <c r="L39" s="22">
        <v>1.5386983156204224</v>
      </c>
      <c r="M39" s="22">
        <v>0.61806726455688477</v>
      </c>
      <c r="N39" s="23">
        <v>1.5343149900436401</v>
      </c>
      <c r="P39" s="47" t="s">
        <v>10</v>
      </c>
      <c r="Q39" s="58">
        <v>1.8110804557800293</v>
      </c>
      <c r="R39" s="58">
        <v>1.7543110847473145</v>
      </c>
    </row>
    <row r="40" spans="1:18" x14ac:dyDescent="0.25">
      <c r="A40" s="5">
        <v>2003</v>
      </c>
      <c r="B40" s="24">
        <v>1.4052799940109253</v>
      </c>
      <c r="C40" s="25">
        <v>1.6627241373062134</v>
      </c>
      <c r="D40" s="25">
        <v>0.913493812084198</v>
      </c>
      <c r="E40" s="25">
        <v>1.0247607231140137</v>
      </c>
      <c r="F40" s="25">
        <v>0.94926857948303223</v>
      </c>
      <c r="G40" s="25">
        <v>1.9978424310684204</v>
      </c>
      <c r="H40" s="25">
        <v>1.9679561853408813</v>
      </c>
      <c r="I40" s="25">
        <v>1.6001816987991333</v>
      </c>
      <c r="J40" s="25">
        <v>1.5321370363235474</v>
      </c>
      <c r="K40" s="25">
        <v>1.3462719917297363</v>
      </c>
      <c r="L40" s="25">
        <v>1.4478507041931152</v>
      </c>
      <c r="M40" s="25">
        <v>0.67505443096160889</v>
      </c>
      <c r="N40" s="26">
        <v>1.58672034740448</v>
      </c>
      <c r="P40" s="47" t="s">
        <v>6</v>
      </c>
      <c r="Q40" s="58">
        <v>1.8061826229095459</v>
      </c>
      <c r="R40" s="58">
        <v>0.9543001651763916</v>
      </c>
    </row>
    <row r="41" spans="1:18" x14ac:dyDescent="0.25">
      <c r="A41" s="5">
        <v>2004</v>
      </c>
      <c r="B41" s="24">
        <v>1.0980578660964966</v>
      </c>
      <c r="C41" s="25">
        <v>1.5570136308670044</v>
      </c>
      <c r="D41" s="25">
        <v>0.83731037378311157</v>
      </c>
      <c r="E41" s="25">
        <v>1.1076154708862305</v>
      </c>
      <c r="F41" s="25">
        <v>0.81085085868835449</v>
      </c>
      <c r="G41" s="25">
        <v>2.4148600101470947</v>
      </c>
      <c r="H41" s="25">
        <v>2.1155898571014404</v>
      </c>
      <c r="I41" s="25">
        <v>2.1213185787200928</v>
      </c>
      <c r="J41" s="25">
        <v>1.4054704904556274</v>
      </c>
      <c r="K41" s="25">
        <v>1.308070182800293</v>
      </c>
      <c r="L41" s="25">
        <v>1.2821651697158813</v>
      </c>
      <c r="M41" s="25">
        <v>0.59621769189834595</v>
      </c>
      <c r="N41" s="26">
        <v>1.0612446069717407</v>
      </c>
      <c r="P41" s="47" t="s">
        <v>13</v>
      </c>
      <c r="Q41" s="58">
        <v>1.7812659740447998</v>
      </c>
      <c r="R41" s="58">
        <v>0.81463390588760376</v>
      </c>
    </row>
    <row r="42" spans="1:18" x14ac:dyDescent="0.25">
      <c r="A42" s="5">
        <v>2005</v>
      </c>
      <c r="B42" s="24">
        <v>1.0617352724075317</v>
      </c>
      <c r="C42" s="25">
        <v>1.0235724449157715</v>
      </c>
      <c r="D42" s="25">
        <v>1.0443328619003296</v>
      </c>
      <c r="E42" s="25">
        <v>0.97922414541244507</v>
      </c>
      <c r="F42" s="25">
        <v>0.4995037317276001</v>
      </c>
      <c r="G42" s="25">
        <v>1.9305814504623413</v>
      </c>
      <c r="H42" s="25">
        <v>1.6175912618637085</v>
      </c>
      <c r="I42" s="25">
        <v>1.7020596265792847</v>
      </c>
      <c r="J42" s="25">
        <v>0.96393656730651855</v>
      </c>
      <c r="K42" s="25">
        <v>1.3685476779937744</v>
      </c>
      <c r="L42" s="25">
        <v>1.5308998823165894</v>
      </c>
      <c r="M42" s="25">
        <v>0.58834058046340942</v>
      </c>
      <c r="N42" s="26">
        <v>1.568901538848877</v>
      </c>
      <c r="P42" s="47" t="s">
        <v>12</v>
      </c>
      <c r="Q42" s="58">
        <v>1.7401609420776367</v>
      </c>
      <c r="R42" s="58">
        <v>0.75246381759643555</v>
      </c>
    </row>
    <row r="43" spans="1:18" x14ac:dyDescent="0.25">
      <c r="A43" s="5">
        <v>2008</v>
      </c>
      <c r="B43" s="24">
        <v>1.5396852493286133</v>
      </c>
      <c r="C43" s="25">
        <v>0.80955839157104492</v>
      </c>
      <c r="D43" s="25">
        <v>0.52043497562408447</v>
      </c>
      <c r="E43" s="25">
        <v>2.04355788230896</v>
      </c>
      <c r="F43" s="25">
        <v>0.82756495475769043</v>
      </c>
      <c r="G43" s="25">
        <v>1.419568657875061</v>
      </c>
      <c r="H43" s="25">
        <v>1.3887748718261719</v>
      </c>
      <c r="I43" s="25">
        <v>1.7496824264526367</v>
      </c>
      <c r="J43" s="25">
        <v>1.8486790657043457</v>
      </c>
      <c r="K43" s="25">
        <v>0.85509240627288818</v>
      </c>
      <c r="L43" s="25">
        <v>1.2242598533630371</v>
      </c>
      <c r="M43" s="25">
        <v>0.8121606707572937</v>
      </c>
      <c r="N43" s="26">
        <v>1.4921669960021973</v>
      </c>
      <c r="P43" s="47" t="s">
        <v>11</v>
      </c>
      <c r="Q43" s="58">
        <v>1.5424199104309082</v>
      </c>
      <c r="R43" s="58">
        <v>0.68121123313903809</v>
      </c>
    </row>
    <row r="44" spans="1:18" x14ac:dyDescent="0.25">
      <c r="A44" s="5">
        <v>2009</v>
      </c>
      <c r="B44" s="24">
        <v>1.2181137800216675</v>
      </c>
      <c r="C44" s="25">
        <v>0.93623316287994385</v>
      </c>
      <c r="D44" s="25">
        <v>0.344443678855896</v>
      </c>
      <c r="E44" s="25">
        <v>1.8421814441680908</v>
      </c>
      <c r="F44" s="25">
        <v>0.97125649452209473</v>
      </c>
      <c r="G44" s="25">
        <v>1.4389044046401978</v>
      </c>
      <c r="H44" s="25">
        <v>0.92422831058502197</v>
      </c>
      <c r="I44" s="25">
        <v>1.5085687637329102</v>
      </c>
      <c r="J44" s="25">
        <v>1.5955377817153931</v>
      </c>
      <c r="K44" s="25">
        <v>0.80413734912872314</v>
      </c>
      <c r="L44" s="25">
        <v>1.4586478471755981</v>
      </c>
      <c r="M44" s="25">
        <v>0.8643413782119751</v>
      </c>
      <c r="N44" s="26">
        <v>1.4504053592681885</v>
      </c>
      <c r="P44" s="47" t="s">
        <v>15</v>
      </c>
      <c r="Q44" s="58">
        <v>1.5386983156204224</v>
      </c>
      <c r="R44" s="58">
        <v>0.69126808643341064</v>
      </c>
    </row>
    <row r="45" spans="1:18" x14ac:dyDescent="0.25">
      <c r="A45" s="5">
        <v>2010</v>
      </c>
      <c r="B45" s="24">
        <v>1.1018563508987427</v>
      </c>
      <c r="C45" s="25">
        <v>0.7158997654914856</v>
      </c>
      <c r="D45" s="25">
        <v>0.20973818004131317</v>
      </c>
      <c r="E45" s="25">
        <v>1.8710587024688721</v>
      </c>
      <c r="F45" s="25">
        <v>1.0818296670913696</v>
      </c>
      <c r="G45" s="25">
        <v>1.9170324802398682</v>
      </c>
      <c r="H45" s="25">
        <v>0.60010945796966553</v>
      </c>
      <c r="I45" s="25">
        <v>1.1306041479110718</v>
      </c>
      <c r="J45" s="25">
        <v>1.5141271352767944</v>
      </c>
      <c r="K45" s="25">
        <v>0.98769998550415039</v>
      </c>
      <c r="L45" s="25">
        <v>1.7625139951705933</v>
      </c>
      <c r="M45" s="25">
        <v>0.75966084003448486</v>
      </c>
      <c r="N45" s="26">
        <v>1.3249984979629517</v>
      </c>
      <c r="P45" s="47" t="s">
        <v>17</v>
      </c>
      <c r="Q45" s="58">
        <v>1.5343149900436401</v>
      </c>
      <c r="R45" s="58">
        <v>1.3902807235717773</v>
      </c>
    </row>
    <row r="46" spans="1:18" x14ac:dyDescent="0.25">
      <c r="A46" s="5">
        <v>2011</v>
      </c>
      <c r="B46" s="24">
        <v>0.80990141630172729</v>
      </c>
      <c r="C46" s="25">
        <v>0.44971787929534912</v>
      </c>
      <c r="D46" s="25">
        <v>0.35805323719978333</v>
      </c>
      <c r="E46" s="25">
        <v>1.3870935440063477</v>
      </c>
      <c r="F46" s="25">
        <v>0.63618379831314087</v>
      </c>
      <c r="G46" s="25">
        <v>1.2518365383148193</v>
      </c>
      <c r="H46" s="25">
        <v>0.56744194030761719</v>
      </c>
      <c r="I46" s="25">
        <v>0.45755478739738464</v>
      </c>
      <c r="J46" s="25">
        <v>1.0065269470214844</v>
      </c>
      <c r="K46" s="25">
        <v>1.0184454917907715</v>
      </c>
      <c r="L46" s="25">
        <v>1.2010531425476074</v>
      </c>
      <c r="M46" s="25">
        <v>0.44933179020881653</v>
      </c>
      <c r="N46" s="26">
        <v>1.3144707679748535</v>
      </c>
      <c r="P46" s="47" t="s">
        <v>14</v>
      </c>
      <c r="Q46" s="58">
        <v>1.309013843536377</v>
      </c>
      <c r="R46" s="58">
        <v>0.6791766881942749</v>
      </c>
    </row>
    <row r="47" spans="1:18" x14ac:dyDescent="0.25">
      <c r="A47" s="5">
        <v>2012</v>
      </c>
      <c r="B47" s="24">
        <v>0.64262306690216064</v>
      </c>
      <c r="C47" s="25">
        <v>0.48382723331451416</v>
      </c>
      <c r="D47" s="25">
        <v>0.3289981484413147</v>
      </c>
      <c r="E47" s="25">
        <v>1.2302900552749634</v>
      </c>
      <c r="F47" s="25">
        <v>1.132432222366333</v>
      </c>
      <c r="G47" s="25">
        <v>1.2200905084609985</v>
      </c>
      <c r="H47" s="25">
        <v>0.54748255014419556</v>
      </c>
      <c r="I47" s="25">
        <v>0.43176993727684021</v>
      </c>
      <c r="J47" s="25">
        <v>0.78318136930465698</v>
      </c>
      <c r="K47" s="25">
        <v>1.0506832599639893</v>
      </c>
      <c r="L47" s="25">
        <v>1.1081372499465942</v>
      </c>
      <c r="M47" s="25">
        <v>0.52330279350280762</v>
      </c>
      <c r="N47" s="26">
        <v>1.3303660154342651</v>
      </c>
      <c r="P47" s="47" t="s">
        <v>8</v>
      </c>
      <c r="Q47" s="58">
        <v>1.3023582696914673</v>
      </c>
      <c r="R47" s="58">
        <v>1.0484715700149536</v>
      </c>
    </row>
    <row r="48" spans="1:18" x14ac:dyDescent="0.25">
      <c r="A48" s="5">
        <v>2013</v>
      </c>
      <c r="B48" s="24">
        <v>0.66496139764785767</v>
      </c>
      <c r="C48" s="25">
        <v>0.45297211408615112</v>
      </c>
      <c r="D48" s="25">
        <v>0.41496282815933228</v>
      </c>
      <c r="E48" s="25">
        <v>1.2946481704711914</v>
      </c>
      <c r="F48" s="25">
        <v>1.2804003953933716</v>
      </c>
      <c r="G48" s="25">
        <v>1.5467942953109741</v>
      </c>
      <c r="H48" s="25">
        <v>0.49885636568069458</v>
      </c>
      <c r="I48" s="25">
        <v>0.443581223487854</v>
      </c>
      <c r="J48" s="25">
        <v>0.88520848751068115</v>
      </c>
      <c r="K48" s="25">
        <v>1.0287517309188843</v>
      </c>
      <c r="L48" s="25">
        <v>0.61260706186294556</v>
      </c>
      <c r="M48" s="25">
        <v>1.4473108053207397</v>
      </c>
      <c r="N48" s="26">
        <v>1.171932578086853</v>
      </c>
      <c r="P48" s="47" t="s">
        <v>7</v>
      </c>
      <c r="Q48" s="58">
        <v>1.2509679794311523</v>
      </c>
      <c r="R48" s="58">
        <v>0.53178727626800537</v>
      </c>
    </row>
    <row r="49" spans="1:18" x14ac:dyDescent="0.25">
      <c r="A49" s="5">
        <v>2014</v>
      </c>
      <c r="B49" s="24">
        <v>0.52204656600952148</v>
      </c>
      <c r="C49" s="25">
        <v>0.56483554840087891</v>
      </c>
      <c r="D49" s="25">
        <v>0.27085241675376892</v>
      </c>
      <c r="E49" s="25">
        <v>1.0830264091491699</v>
      </c>
      <c r="F49" s="25">
        <v>0.93871963024139404</v>
      </c>
      <c r="G49" s="25">
        <v>1.5066970586776733</v>
      </c>
      <c r="H49" s="25">
        <v>0.46347588300704956</v>
      </c>
      <c r="I49" s="25">
        <v>0.46799281239509583</v>
      </c>
      <c r="J49" s="25">
        <v>0.79137521982192993</v>
      </c>
      <c r="K49" s="25">
        <v>0.20210742950439453</v>
      </c>
      <c r="L49" s="25">
        <v>0.73825639486312866</v>
      </c>
      <c r="M49" s="25">
        <v>0.67060750722885132</v>
      </c>
      <c r="N49" s="26">
        <v>1.1357101202011108</v>
      </c>
      <c r="P49" s="47" t="s">
        <v>5</v>
      </c>
      <c r="Q49" s="58">
        <v>1.1061651706695557</v>
      </c>
      <c r="R49" s="58">
        <v>0.2834736704826355</v>
      </c>
    </row>
    <row r="50" spans="1:18" x14ac:dyDescent="0.25">
      <c r="A50" s="5">
        <v>2015</v>
      </c>
      <c r="B50" s="24">
        <v>0.40731537342071533</v>
      </c>
      <c r="C50" s="25">
        <v>0.69971024990081787</v>
      </c>
      <c r="D50" s="25">
        <v>0.41317600011825562</v>
      </c>
      <c r="E50" s="25">
        <v>1.0513614416122437</v>
      </c>
      <c r="F50" s="25">
        <v>0.79316270351409912</v>
      </c>
      <c r="G50" s="25">
        <v>1.9022624492645264</v>
      </c>
      <c r="H50" s="25">
        <v>0.42062193155288696</v>
      </c>
      <c r="I50" s="25">
        <v>0.6360211968421936</v>
      </c>
      <c r="J50" s="25">
        <v>0.96922314167022705</v>
      </c>
      <c r="K50" s="25">
        <v>0.38146248459815979</v>
      </c>
      <c r="L50" s="25">
        <v>0.76066720485687256</v>
      </c>
      <c r="M50" s="25">
        <v>0.53240042924880981</v>
      </c>
      <c r="N50" s="26">
        <v>1.0168209075927734</v>
      </c>
      <c r="P50" s="47" t="s">
        <v>9</v>
      </c>
      <c r="Q50" s="58">
        <v>1.0386079549789429</v>
      </c>
      <c r="R50" s="58">
        <v>0.62405592203140259</v>
      </c>
    </row>
    <row r="51" spans="1:18" ht="15.75" thickBot="1" x14ac:dyDescent="0.3">
      <c r="A51" s="5">
        <v>2016</v>
      </c>
      <c r="B51" s="24">
        <v>0.39084237813949585</v>
      </c>
      <c r="C51" s="25">
        <v>0.76773250102996826</v>
      </c>
      <c r="D51" s="25">
        <v>0.33527383208274841</v>
      </c>
      <c r="E51" s="25">
        <v>0.78983807563781738</v>
      </c>
      <c r="F51" s="25">
        <v>1.17537522315979</v>
      </c>
      <c r="G51" s="25">
        <v>1.7687497138977051</v>
      </c>
      <c r="H51" s="25">
        <v>0.52224797010421753</v>
      </c>
      <c r="I51" s="25">
        <v>0.68555915355682373</v>
      </c>
      <c r="J51" s="25">
        <v>0.93218868970870972</v>
      </c>
      <c r="K51" s="25">
        <v>0.71754550933837891</v>
      </c>
      <c r="L51" s="25">
        <v>0.42256176471710205</v>
      </c>
      <c r="M51" s="25">
        <v>0.33531194925308228</v>
      </c>
      <c r="N51" s="26">
        <v>1.5868149995803833</v>
      </c>
      <c r="P51" s="49" t="s">
        <v>16</v>
      </c>
      <c r="Q51" s="59">
        <v>0.61806726455688477</v>
      </c>
      <c r="R51" s="59">
        <v>0.40295183658599854</v>
      </c>
    </row>
    <row r="52" spans="1:18" x14ac:dyDescent="0.25">
      <c r="A52" s="5">
        <v>2017</v>
      </c>
      <c r="B52" s="24">
        <v>0.29065334796905518</v>
      </c>
      <c r="C52" s="25">
        <v>0.87550932168960571</v>
      </c>
      <c r="D52" s="25">
        <v>0.53544378280639648</v>
      </c>
      <c r="E52" s="25">
        <v>0.92066091299057007</v>
      </c>
      <c r="F52" s="25">
        <v>0.78659963607788086</v>
      </c>
      <c r="G52" s="25">
        <v>1.1969455480575562</v>
      </c>
      <c r="H52" s="25">
        <v>0.59715545177459717</v>
      </c>
      <c r="I52" s="25">
        <v>0.59890031814575195</v>
      </c>
      <c r="J52" s="25">
        <v>0.81191211938858032</v>
      </c>
      <c r="K52" s="25">
        <v>1.4289313554763794</v>
      </c>
      <c r="L52" s="25">
        <v>0.48468852043151855</v>
      </c>
      <c r="M52" s="25">
        <v>0.16594544053077698</v>
      </c>
      <c r="N52" s="26">
        <v>1.6262203454971313</v>
      </c>
    </row>
    <row r="53" spans="1:18" ht="15.75" thickBot="1" x14ac:dyDescent="0.3">
      <c r="A53" s="6">
        <v>2018</v>
      </c>
      <c r="B53" s="27">
        <v>0.2834736704826355</v>
      </c>
      <c r="C53" s="28">
        <v>0.9543001651763916</v>
      </c>
      <c r="D53" s="28">
        <v>0.53178727626800537</v>
      </c>
      <c r="E53" s="28">
        <v>1.0484715700149536</v>
      </c>
      <c r="F53" s="28">
        <v>0.62405592203140259</v>
      </c>
      <c r="G53" s="28">
        <v>1.7543110847473145</v>
      </c>
      <c r="H53" s="28">
        <v>0.68121123313903809</v>
      </c>
      <c r="I53" s="28">
        <v>0.75246381759643555</v>
      </c>
      <c r="J53" s="28">
        <v>0.81463390588760376</v>
      </c>
      <c r="K53" s="28">
        <v>0.6791766881942749</v>
      </c>
      <c r="L53" s="28">
        <v>0.69126808643341064</v>
      </c>
      <c r="M53" s="28">
        <v>0.40295183658599854</v>
      </c>
      <c r="N53" s="29">
        <v>1.3902807235717773</v>
      </c>
    </row>
  </sheetData>
  <mergeCells count="9">
    <mergeCell ref="P1:R1"/>
    <mergeCell ref="P19:R19"/>
    <mergeCell ref="P37:R37"/>
    <mergeCell ref="A1:A2"/>
    <mergeCell ref="B1:N1"/>
    <mergeCell ref="A19:A20"/>
    <mergeCell ref="B19:N19"/>
    <mergeCell ref="A37:A38"/>
    <mergeCell ref="B37:N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B546-CF53-4C04-8C92-4FE880888062}">
  <sheetPr codeName="Hoja7"/>
  <dimension ref="A1:M1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3" width="21.42578125" style="1" customWidth="1"/>
    <col min="4" max="4" width="14.28515625" style="1" customWidth="1"/>
    <col min="5" max="5" width="14.42578125" style="1" customWidth="1"/>
    <col min="6" max="6" width="17.85546875" style="1" customWidth="1"/>
    <col min="7" max="7" width="21.42578125" style="1" customWidth="1"/>
    <col min="8" max="8" width="14.42578125" style="1" customWidth="1"/>
    <col min="9" max="9" width="14.28515625" style="1" customWidth="1"/>
    <col min="10" max="10" width="17.85546875" style="1" customWidth="1"/>
    <col min="11" max="11" width="21.5703125" style="1" customWidth="1"/>
    <col min="12" max="13" width="14.28515625" style="1" customWidth="1"/>
    <col min="14" max="16384" width="11.42578125" style="1"/>
  </cols>
  <sheetData>
    <row r="1" spans="1:13" ht="15.75" thickBot="1" x14ac:dyDescent="0.3">
      <c r="A1" s="68" t="s">
        <v>58</v>
      </c>
      <c r="B1" s="66" t="s">
        <v>20</v>
      </c>
      <c r="C1" s="66"/>
      <c r="D1" s="66"/>
      <c r="E1" s="67"/>
      <c r="F1" s="66" t="s">
        <v>28</v>
      </c>
      <c r="G1" s="66"/>
      <c r="H1" s="66"/>
      <c r="I1" s="67"/>
      <c r="J1" s="66" t="s">
        <v>30</v>
      </c>
      <c r="K1" s="66"/>
      <c r="L1" s="66"/>
      <c r="M1" s="67"/>
    </row>
    <row r="2" spans="1:13" ht="15.75" thickBot="1" x14ac:dyDescent="0.3">
      <c r="A2" s="70"/>
      <c r="B2" s="8" t="s">
        <v>24</v>
      </c>
      <c r="C2" s="2" t="s">
        <v>2</v>
      </c>
      <c r="D2" s="2" t="s">
        <v>4</v>
      </c>
      <c r="E2" s="7" t="s">
        <v>3</v>
      </c>
      <c r="F2" s="8" t="s">
        <v>24</v>
      </c>
      <c r="G2" s="2" t="s">
        <v>2</v>
      </c>
      <c r="H2" s="2" t="s">
        <v>4</v>
      </c>
      <c r="I2" s="7" t="s">
        <v>3</v>
      </c>
      <c r="J2" s="8" t="s">
        <v>24</v>
      </c>
      <c r="K2" s="2" t="s">
        <v>2</v>
      </c>
      <c r="L2" s="2" t="s">
        <v>4</v>
      </c>
      <c r="M2" s="7" t="s">
        <v>3</v>
      </c>
    </row>
    <row r="3" spans="1:13" x14ac:dyDescent="0.25">
      <c r="A3" s="5" t="s">
        <v>25</v>
      </c>
      <c r="B3" s="30">
        <f>'Tabla 1'!B7-'Tabla 1'!B4</f>
        <v>-4.4160194396972656</v>
      </c>
      <c r="C3" s="30">
        <f>'Tabla 1'!C7-'Tabla 1'!C4</f>
        <v>-3.6979026794433594</v>
      </c>
      <c r="D3" s="30">
        <f>'Tabla 1'!D7-'Tabla 1'!D4</f>
        <v>-5.0418510437011719</v>
      </c>
      <c r="E3" s="32">
        <f>'Tabla 1'!E7-'Tabla 1'!E4</f>
        <v>-4.5293045043945313</v>
      </c>
      <c r="F3" s="30">
        <f>'Tabla 1'!F7-'Tabla 1'!F4</f>
        <v>-3.3268527984619141</v>
      </c>
      <c r="G3" s="30">
        <f>'Tabla 1'!G7-'Tabla 1'!G4</f>
        <v>-2.2070388793945313</v>
      </c>
      <c r="H3" s="30">
        <f>'Tabla 1'!H7-'Tabla 1'!H4</f>
        <v>-4.3173274993896484</v>
      </c>
      <c r="I3" s="30">
        <f>'Tabla 1'!I7-'Tabla 1'!I4</f>
        <v>-3.8783550262451172</v>
      </c>
      <c r="J3" s="31">
        <f>'Tabla 1'!J7-'Tabla 1'!J4</f>
        <v>-2.5248775482177734</v>
      </c>
      <c r="K3" s="30">
        <f>'Tabla 1'!K7-'Tabla 1'!K4</f>
        <v>-1.4881010055541992</v>
      </c>
      <c r="L3" s="30">
        <f>'Tabla 1'!L7-'Tabla 1'!L4</f>
        <v>-3.3843908309936523</v>
      </c>
      <c r="M3" s="32">
        <f>'Tabla 1'!M7-'Tabla 1'!M4</f>
        <v>-3.1606054306030273</v>
      </c>
    </row>
    <row r="4" spans="1:13" x14ac:dyDescent="0.25">
      <c r="A4" s="5" t="s">
        <v>26</v>
      </c>
      <c r="B4" s="30">
        <f>'Tabla 1'!B18-'Tabla 1'!B8</f>
        <v>-14.990190505981445</v>
      </c>
      <c r="C4" s="30">
        <f>'Tabla 1'!C18-'Tabla 1'!C8</f>
        <v>-10.738653182983398</v>
      </c>
      <c r="D4" s="30">
        <f>'Tabla 1'!D18-'Tabla 1'!D8</f>
        <v>-16.054210662841797</v>
      </c>
      <c r="E4" s="33">
        <f>'Tabla 1'!E18-'Tabla 1'!E8</f>
        <v>-21.029991149902344</v>
      </c>
      <c r="F4" s="30">
        <f>'Tabla 1'!F18-'Tabla 1'!F8</f>
        <v>-8.5306224822998047</v>
      </c>
      <c r="G4" s="30">
        <f>'Tabla 1'!G18-'Tabla 1'!G8</f>
        <v>-4.3369107246398926</v>
      </c>
      <c r="H4" s="30">
        <f>'Tabla 1'!H18-'Tabla 1'!H8</f>
        <v>-10.937521934509277</v>
      </c>
      <c r="I4" s="33">
        <f>'Tabla 1'!I18-'Tabla 1'!I8</f>
        <v>-13.026327133178711</v>
      </c>
      <c r="J4" s="30">
        <f>'Tabla 1'!J18-'Tabla 1'!J8</f>
        <v>-5.6248807907104492</v>
      </c>
      <c r="K4" s="30">
        <f>'Tabla 1'!K18-'Tabla 1'!K8</f>
        <v>-2.2935135364532471</v>
      </c>
      <c r="L4" s="30">
        <f>'Tabla 1'!L18-'Tabla 1'!L8</f>
        <v>-7.6967606544494629</v>
      </c>
      <c r="M4" s="33">
        <f>'Tabla 1'!M18-'Tabla 1'!M8</f>
        <v>-9.0363469123840332</v>
      </c>
    </row>
    <row r="5" spans="1:13" ht="15.75" thickBot="1" x14ac:dyDescent="0.3">
      <c r="A5" s="6" t="s">
        <v>27</v>
      </c>
      <c r="B5" s="34">
        <f>'Tabla 1'!B18-'Tabla 1'!B4</f>
        <v>-22.353921890258789</v>
      </c>
      <c r="C5" s="34">
        <f>'Tabla 1'!C18-'Tabla 1'!C4</f>
        <v>-19.717891693115234</v>
      </c>
      <c r="D5" s="34">
        <f>'Tabla 1'!D18-'Tabla 1'!D4</f>
        <v>-23.262195587158203</v>
      </c>
      <c r="E5" s="35">
        <f>'Tabla 1'!E18-'Tabla 1'!E4</f>
        <v>-24.851158142089844</v>
      </c>
      <c r="F5" s="34">
        <f>'Tabla 1'!F18-'Tabla 1'!F4</f>
        <v>-11.874439239501953</v>
      </c>
      <c r="G5" s="34">
        <f>'Tabla 1'!G18-'Tabla 1'!G4</f>
        <v>-8.4880766868591309</v>
      </c>
      <c r="H5" s="34">
        <f>'Tabla 1'!H18-'Tabla 1'!H4</f>
        <v>-13.987378120422363</v>
      </c>
      <c r="I5" s="35">
        <f>'Tabla 1'!I18-'Tabla 1'!I4</f>
        <v>-14.793247222900391</v>
      </c>
      <c r="J5" s="34">
        <f>'Tabla 1'!J18-'Tabla 1'!J4</f>
        <v>-7.4494905471801758</v>
      </c>
      <c r="K5" s="34">
        <f>'Tabla 1'!K18-'Tabla 1'!K4</f>
        <v>-4.6640808582305908</v>
      </c>
      <c r="L5" s="34">
        <f>'Tabla 1'!L18-'Tabla 1'!L4</f>
        <v>-9.2412009239196777</v>
      </c>
      <c r="M5" s="35">
        <f>'Tabla 1'!M18-'Tabla 1'!M4</f>
        <v>-9.8854432106018066</v>
      </c>
    </row>
    <row r="6" spans="1:13" ht="15.75" thickBot="1" x14ac:dyDescent="0.3">
      <c r="E6" s="11"/>
    </row>
    <row r="7" spans="1:13" ht="15.75" thickBot="1" x14ac:dyDescent="0.3">
      <c r="A7" s="68" t="s">
        <v>58</v>
      </c>
      <c r="B7" s="66" t="s">
        <v>21</v>
      </c>
      <c r="C7" s="66"/>
      <c r="D7" s="66"/>
      <c r="E7" s="67"/>
      <c r="F7" s="66" t="s">
        <v>29</v>
      </c>
      <c r="G7" s="66"/>
      <c r="H7" s="66"/>
      <c r="I7" s="67"/>
      <c r="J7" s="66" t="s">
        <v>31</v>
      </c>
      <c r="K7" s="66"/>
      <c r="L7" s="66"/>
      <c r="M7" s="67"/>
    </row>
    <row r="8" spans="1:13" ht="15.75" thickBot="1" x14ac:dyDescent="0.3">
      <c r="A8" s="70"/>
      <c r="B8" s="8" t="s">
        <v>24</v>
      </c>
      <c r="C8" s="2" t="s">
        <v>2</v>
      </c>
      <c r="D8" s="2" t="s">
        <v>4</v>
      </c>
      <c r="E8" s="7" t="s">
        <v>3</v>
      </c>
      <c r="F8" s="8" t="s">
        <v>24</v>
      </c>
      <c r="G8" s="2" t="s">
        <v>2</v>
      </c>
      <c r="H8" s="2" t="s">
        <v>4</v>
      </c>
      <c r="I8" s="7" t="s">
        <v>3</v>
      </c>
      <c r="J8" s="8" t="s">
        <v>24</v>
      </c>
      <c r="K8" s="2" t="s">
        <v>2</v>
      </c>
      <c r="L8" s="2" t="s">
        <v>4</v>
      </c>
      <c r="M8" s="7" t="s">
        <v>3</v>
      </c>
    </row>
    <row r="9" spans="1:13" x14ac:dyDescent="0.25">
      <c r="A9" s="5" t="s">
        <v>25</v>
      </c>
      <c r="B9" s="31">
        <f>'Tabla 2'!B7-'Tabla 2'!B4</f>
        <v>-3.8405838012695313</v>
      </c>
      <c r="C9" s="30">
        <f>'Tabla 2'!C7-'Tabla 2'!C4</f>
        <v>-1.8044962882995605</v>
      </c>
      <c r="D9" s="30">
        <f>'Tabla 2'!D7-'Tabla 2'!D4</f>
        <v>-5.3011054992675781</v>
      </c>
      <c r="E9" s="32">
        <f>'Tabla 2'!E7-'Tabla 2'!E4</f>
        <v>-4.9957752227783203</v>
      </c>
      <c r="F9" s="31">
        <f>'Tabla 2'!F7-'Tabla 2'!F4</f>
        <v>-1.8691306114196777</v>
      </c>
      <c r="G9" s="30">
        <f>'Tabla 2'!G7-'Tabla 2'!G4</f>
        <v>-0.76980781555175781</v>
      </c>
      <c r="H9" s="30">
        <f>'Tabla 2'!H7-'Tabla 2'!H4</f>
        <v>-2.2731633186340332</v>
      </c>
      <c r="I9" s="32">
        <f>'Tabla 2'!I7-'Tabla 2'!I4</f>
        <v>-3.0256118774414063</v>
      </c>
      <c r="J9" s="31">
        <f>'Tabla 2'!J7-'Tabla 2'!J4</f>
        <v>-1.1920206546783447</v>
      </c>
      <c r="K9" s="30">
        <f>'Tabla 2'!K7-'Tabla 2'!K4</f>
        <v>-0.49260449409484863</v>
      </c>
      <c r="L9" s="30">
        <f>'Tabla 2'!L7-'Tabla 2'!L4</f>
        <v>-1.4072816371917725</v>
      </c>
      <c r="M9" s="32">
        <f>'Tabla 2'!M7-'Tabla 2'!M4</f>
        <v>-2.0008573532104492</v>
      </c>
    </row>
    <row r="10" spans="1:13" x14ac:dyDescent="0.25">
      <c r="A10" s="5" t="s">
        <v>26</v>
      </c>
      <c r="B10" s="30">
        <f>'Tabla 2'!B18-'Tabla 2'!B8</f>
        <v>-9.1634049415588379</v>
      </c>
      <c r="C10" s="30">
        <f>'Tabla 2'!C18-'Tabla 2'!C8</f>
        <v>-2.7224290370941162</v>
      </c>
      <c r="D10" s="30">
        <f>'Tabla 2'!D18-'Tabla 2'!D8</f>
        <v>-11.419247150421143</v>
      </c>
      <c r="E10" s="33">
        <f>'Tabla 2'!E18-'Tabla 2'!E8</f>
        <v>-17.593994140625</v>
      </c>
      <c r="F10" s="30">
        <f>'Tabla 2'!F18-'Tabla 2'!F8</f>
        <v>-3.9924793243408203</v>
      </c>
      <c r="G10" s="30">
        <f>'Tabla 2'!G18-'Tabla 2'!G8</f>
        <v>-0.83597612380981445</v>
      </c>
      <c r="H10" s="30">
        <f>'Tabla 2'!H18-'Tabla 2'!H8</f>
        <v>-4.8666360378265381</v>
      </c>
      <c r="I10" s="33">
        <f>'Tabla 2'!I18-'Tabla 2'!I8</f>
        <v>-8.4962334632873535</v>
      </c>
      <c r="J10" s="30">
        <f>'Tabla 2'!J18-'Tabla 2'!J8</f>
        <v>-2.3913543224334717</v>
      </c>
      <c r="K10" s="30">
        <f>'Tabla 2'!K18-'Tabla 2'!K8</f>
        <v>-0.40144592523574829</v>
      </c>
      <c r="L10" s="30">
        <f>'Tabla 2'!L18-'Tabla 2'!L8</f>
        <v>-2.9293509721755981</v>
      </c>
      <c r="M10" s="33">
        <f>'Tabla 2'!M18-'Tabla 2'!M8</f>
        <v>-5.2739362716674805</v>
      </c>
    </row>
    <row r="11" spans="1:13" ht="15.75" thickBot="1" x14ac:dyDescent="0.3">
      <c r="A11" s="6" t="s">
        <v>27</v>
      </c>
      <c r="B11" s="34">
        <f>'Tabla 2'!B18-'Tabla 2'!B4</f>
        <v>-10.387875080108643</v>
      </c>
      <c r="C11" s="34">
        <f>'Tabla 2'!C18-'Tabla 2'!C4</f>
        <v>-4.5879232883453369</v>
      </c>
      <c r="D11" s="34">
        <f>'Tabla 2'!D18-'Tabla 2'!D4</f>
        <v>-11.777151584625244</v>
      </c>
      <c r="E11" s="35">
        <f>'Tabla 2'!E18-'Tabla 2'!E4</f>
        <v>-17.439468383789063</v>
      </c>
      <c r="F11" s="34">
        <f>'Tabla 2'!F18-'Tabla 2'!F4</f>
        <v>-3.9761533737182617</v>
      </c>
      <c r="G11" s="34">
        <f>'Tabla 2'!G18-'Tabla 2'!G4</f>
        <v>-1.4495372772216797</v>
      </c>
      <c r="H11" s="34">
        <f>'Tabla 2'!H18-'Tabla 2'!H4</f>
        <v>-4.1689331531524658</v>
      </c>
      <c r="I11" s="35">
        <f>'Tabla 2'!I18-'Tabla 2'!I4</f>
        <v>-7.6033682823181152</v>
      </c>
      <c r="J11" s="34">
        <f>'Tabla 2'!J18-'Tabla 2'!J4</f>
        <v>-2.1373591423034668</v>
      </c>
      <c r="K11" s="34">
        <f>'Tabla 2'!K18-'Tabla 2'!K4</f>
        <v>-0.7038148045539856</v>
      </c>
      <c r="L11" s="34">
        <f>'Tabla 2'!L18-'Tabla 2'!L4</f>
        <v>-2.1697267293930054</v>
      </c>
      <c r="M11" s="35">
        <f>'Tabla 2'!M18-'Tabla 2'!M4</f>
        <v>-4.3061537742614746</v>
      </c>
    </row>
  </sheetData>
  <mergeCells count="8">
    <mergeCell ref="J1:M1"/>
    <mergeCell ref="J7:M7"/>
    <mergeCell ref="A1:A2"/>
    <mergeCell ref="B1:E1"/>
    <mergeCell ref="F1:I1"/>
    <mergeCell ref="A7:A8"/>
    <mergeCell ref="B7:E7"/>
    <mergeCell ref="F7:I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E199-3CE4-4693-89AE-91B22D115B81}">
  <dimension ref="A1:AA1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7" width="14.28515625" style="1" customWidth="1"/>
    <col min="28" max="16384" width="11.42578125" style="1"/>
  </cols>
  <sheetData>
    <row r="1" spans="1:27" ht="15.75" thickBot="1" x14ac:dyDescent="0.3">
      <c r="A1" s="68" t="s">
        <v>58</v>
      </c>
      <c r="B1" s="66" t="s">
        <v>20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  <c r="O1" s="66" t="s">
        <v>21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7"/>
    </row>
    <row r="2" spans="1:27" ht="15.75" thickBot="1" x14ac:dyDescent="0.3">
      <c r="A2" s="70"/>
      <c r="B2" s="9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7" t="s">
        <v>17</v>
      </c>
      <c r="O2" s="9" t="s">
        <v>5</v>
      </c>
      <c r="P2" s="10" t="s">
        <v>6</v>
      </c>
      <c r="Q2" s="10" t="s">
        <v>7</v>
      </c>
      <c r="R2" s="10" t="s">
        <v>8</v>
      </c>
      <c r="S2" s="10" t="s">
        <v>9</v>
      </c>
      <c r="T2" s="10" t="s">
        <v>10</v>
      </c>
      <c r="U2" s="10" t="s">
        <v>11</v>
      </c>
      <c r="V2" s="10" t="s">
        <v>12</v>
      </c>
      <c r="W2" s="10" t="s">
        <v>13</v>
      </c>
      <c r="X2" s="10" t="s">
        <v>14</v>
      </c>
      <c r="Y2" s="10" t="s">
        <v>15</v>
      </c>
      <c r="Z2" s="10" t="s">
        <v>16</v>
      </c>
      <c r="AA2" s="7" t="s">
        <v>17</v>
      </c>
    </row>
    <row r="3" spans="1:27" x14ac:dyDescent="0.25">
      <c r="A3" s="5" t="s">
        <v>25</v>
      </c>
      <c r="B3" s="14">
        <f>'Tabla 6'!B6-'Tabla 6'!B3</f>
        <v>0.96723556518554688</v>
      </c>
      <c r="C3" s="30">
        <f>'Tabla 6'!C6-'Tabla 6'!C3</f>
        <v>-4.7078189849853516</v>
      </c>
      <c r="D3" s="30">
        <f>'Tabla 6'!D6-'Tabla 6'!D3</f>
        <v>-2.4497776031494141</v>
      </c>
      <c r="E3" s="30">
        <f>'Tabla 6'!E6-'Tabla 6'!E3</f>
        <v>-3.0154953002929688</v>
      </c>
      <c r="F3" s="30">
        <f>'Tabla 6'!F6-'Tabla 6'!F3</f>
        <v>-9.999847412109375</v>
      </c>
      <c r="G3" s="30">
        <f>'Tabla 6'!G6-'Tabla 6'!G3</f>
        <v>2.31011962890625</v>
      </c>
      <c r="H3" s="30">
        <f>'Tabla 6'!H6-'Tabla 6'!H3</f>
        <v>1.2961959838867188</v>
      </c>
      <c r="I3" s="14">
        <f>'Tabla 6'!I6-'Tabla 6'!I3</f>
        <v>-0.52350616455078125</v>
      </c>
      <c r="J3" s="30">
        <f>'Tabla 6'!J6-'Tabla 6'!J3</f>
        <v>-6.7744255065917969</v>
      </c>
      <c r="K3" s="30">
        <f>'Tabla 6'!K6-'Tabla 6'!K3</f>
        <v>-1.7576713562011719</v>
      </c>
      <c r="L3" s="14">
        <f>'Tabla 6'!L6-'Tabla 6'!L3</f>
        <v>1.0659255981445313</v>
      </c>
      <c r="M3" s="30">
        <f>'Tabla 6'!M6-'Tabla 6'!M3</f>
        <v>-3.4044532775878906</v>
      </c>
      <c r="N3" s="14">
        <f>'Tabla 6'!N6-'Tabla 6'!N3</f>
        <v>0.9015960693359375</v>
      </c>
      <c r="O3" s="31">
        <f>'Tabla 7'!B6-'Tabla 7'!B3</f>
        <v>-0.62516689300537109</v>
      </c>
      <c r="P3" s="37">
        <f>'Tabla 7'!C6-'Tabla 7'!C3</f>
        <v>-2.3241209983825684</v>
      </c>
      <c r="Q3" s="37">
        <f>'Tabla 7'!D6-'Tabla 7'!D3</f>
        <v>-1.2410240173339844</v>
      </c>
      <c r="R3" s="37">
        <f>'Tabla 7'!E6-'Tabla 7'!E3</f>
        <v>-1.0585260391235352</v>
      </c>
      <c r="S3" s="37">
        <f>'Tabla 7'!F6-'Tabla 7'!F3</f>
        <v>-4.8320193290710449</v>
      </c>
      <c r="T3" s="38">
        <f>'Tabla 7'!G6-'Tabla 7'!G3</f>
        <v>0.18586158752441406</v>
      </c>
      <c r="U3" s="38">
        <f>'Tabla 7'!H6-'Tabla 7'!H3</f>
        <v>0.12113094329833984</v>
      </c>
      <c r="V3" s="38">
        <f>'Tabla 7'!I6-'Tabla 7'!I3</f>
        <v>0.26869773864746094</v>
      </c>
      <c r="W3" s="37">
        <f>'Tabla 7'!J6-'Tabla 7'!J3</f>
        <v>-2.9150638580322266</v>
      </c>
      <c r="X3" s="38">
        <f>'Tabla 7'!K6-'Tabla 7'!K3</f>
        <v>-0.27677536010742188</v>
      </c>
      <c r="Y3" s="37">
        <f>'Tabla 7'!L6-'Tabla 7'!L3</f>
        <v>0.84018421173095703</v>
      </c>
      <c r="Z3" s="38">
        <f>'Tabla 7'!M6-'Tabla 7'!M3</f>
        <v>-0.34691548347473145</v>
      </c>
      <c r="AA3" s="32">
        <f>'Tabla 7'!N6-'Tabla 7'!N3</f>
        <v>-1.2008166313171387</v>
      </c>
    </row>
    <row r="4" spans="1:27" x14ac:dyDescent="0.25">
      <c r="A4" s="5" t="s">
        <v>26</v>
      </c>
      <c r="B4" s="30">
        <f>'Tabla 6'!B17-'Tabla 6'!B7</f>
        <v>-22.250202178955078</v>
      </c>
      <c r="C4" s="30">
        <f>'Tabla 6'!C17-'Tabla 6'!C7</f>
        <v>-7.1530485153198242</v>
      </c>
      <c r="D4" s="30">
        <f>'Tabla 6'!D17-'Tabla 6'!D7</f>
        <v>-4.6023998260498047</v>
      </c>
      <c r="E4" s="30">
        <f>'Tabla 6'!E17-'Tabla 6'!E7</f>
        <v>-12.71897029876709</v>
      </c>
      <c r="F4" s="30">
        <f>'Tabla 6'!F17-'Tabla 6'!F7</f>
        <v>-14.268142700195313</v>
      </c>
      <c r="G4" s="30">
        <f>'Tabla 6'!G17-'Tabla 6'!G7</f>
        <v>-6.0443496704101563</v>
      </c>
      <c r="H4" s="30">
        <f>'Tabla 6'!H17-'Tabla 6'!H7</f>
        <v>-14.475095748901367</v>
      </c>
      <c r="I4" s="30">
        <f>'Tabla 6'!I17-'Tabla 6'!I7</f>
        <v>-19.348734855651855</v>
      </c>
      <c r="J4" s="30">
        <f>'Tabla 6'!J17-'Tabla 6'!J7</f>
        <v>-11.074091911315918</v>
      </c>
      <c r="K4" s="30">
        <f>'Tabla 6'!K17-'Tabla 6'!K7</f>
        <v>-13.010753631591797</v>
      </c>
      <c r="L4" s="30">
        <f>'Tabla 6'!L17-'Tabla 6'!L7</f>
        <v>-13.939449310302734</v>
      </c>
      <c r="M4" s="30">
        <f>'Tabla 6'!M17-'Tabla 6'!M7</f>
        <v>-12.892275810241699</v>
      </c>
      <c r="N4" s="33">
        <f>'Tabla 6'!N17-'Tabla 6'!N7</f>
        <v>-8.6651630401611328</v>
      </c>
      <c r="O4" s="30">
        <f>'Tabla 7'!B17-'Tabla 7'!B7</f>
        <v>-7.8085000514984131</v>
      </c>
      <c r="P4" s="30">
        <f>'Tabla 7'!C17-'Tabla 7'!C7</f>
        <v>-0.83932638168334961</v>
      </c>
      <c r="Q4" s="30">
        <f>'Tabla 7'!D17-'Tabla 7'!D7</f>
        <v>-1.0341032743453979</v>
      </c>
      <c r="R4" s="30">
        <f>'Tabla 7'!E17-'Tabla 7'!E7</f>
        <v>-3.9488811492919922</v>
      </c>
      <c r="S4" s="30">
        <f>'Tabla 7'!F17-'Tabla 7'!F7</f>
        <v>-3.5064043998718262</v>
      </c>
      <c r="T4" s="30">
        <f>'Tabla 7'!G17-'Tabla 7'!G7</f>
        <v>-0.89546632766723633</v>
      </c>
      <c r="U4" s="30">
        <f>'Tabla 7'!H17-'Tabla 7'!H7</f>
        <v>-4.2923800945281982</v>
      </c>
      <c r="V4" s="30">
        <f>'Tabla 7'!I17-'Tabla 7'!I7</f>
        <v>-4.7154941558837891</v>
      </c>
      <c r="W4" s="30">
        <f>'Tabla 7'!J17-'Tabla 7'!J7</f>
        <v>-3.4645011425018311</v>
      </c>
      <c r="X4" s="30">
        <f>'Tabla 7'!K17-'Tabla 7'!K7</f>
        <v>-2.6842634677886963</v>
      </c>
      <c r="Y4" s="30">
        <f>'Tabla 7'!L17-'Tabla 7'!L7</f>
        <v>-5.9029660224914551</v>
      </c>
      <c r="Z4" s="30">
        <f>'Tabla 7'!M17-'Tabla 7'!M7</f>
        <v>-3.011471152305603</v>
      </c>
      <c r="AA4" s="33">
        <f>'Tabla 7'!N17-'Tabla 7'!N7</f>
        <v>-1.3476288318634033</v>
      </c>
    </row>
    <row r="5" spans="1:27" ht="15.75" thickBot="1" x14ac:dyDescent="0.3">
      <c r="A5" s="6" t="s">
        <v>27</v>
      </c>
      <c r="B5" s="34">
        <f>'Tabla 6'!B17-'Tabla 6'!B3</f>
        <v>-22.009922027587891</v>
      </c>
      <c r="C5" s="34">
        <f>'Tabla 6'!C17-'Tabla 6'!C3</f>
        <v>-18.925932884216309</v>
      </c>
      <c r="D5" s="34">
        <f>'Tabla 6'!D17-'Tabla 6'!D3</f>
        <v>-19.031208038330078</v>
      </c>
      <c r="E5" s="34">
        <f>'Tabla 6'!E17-'Tabla 6'!E3</f>
        <v>-17.40113353729248</v>
      </c>
      <c r="F5" s="34">
        <f>'Tabla 6'!F17-'Tabla 6'!F3</f>
        <v>-21.788173675537109</v>
      </c>
      <c r="G5" s="34">
        <f>'Tabla 6'!G17-'Tabla 6'!G3</f>
        <v>-16.674236297607422</v>
      </c>
      <c r="H5" s="34">
        <f>'Tabla 6'!H17-'Tabla 6'!H3</f>
        <v>-20.033071517944336</v>
      </c>
      <c r="I5" s="34">
        <f>'Tabla 6'!I17-'Tabla 6'!I3</f>
        <v>-25.129935264587402</v>
      </c>
      <c r="J5" s="34">
        <f>'Tabla 6'!J17-'Tabla 6'!J3</f>
        <v>-22.26337718963623</v>
      </c>
      <c r="K5" s="34">
        <f>'Tabla 6'!K17-'Tabla 6'!K3</f>
        <v>-21.163131713867188</v>
      </c>
      <c r="L5" s="34">
        <f>'Tabla 6'!L17-'Tabla 6'!L3</f>
        <v>-19.240604400634766</v>
      </c>
      <c r="M5" s="34">
        <f>'Tabla 6'!M17-'Tabla 6'!M3</f>
        <v>-17.482441902160645</v>
      </c>
      <c r="N5" s="35">
        <f>'Tabla 6'!N17-'Tabla 6'!N3</f>
        <v>-15.867389678955078</v>
      </c>
      <c r="O5" s="34">
        <f>'Tabla 7'!B17-'Tabla 7'!B3</f>
        <v>-6.2289330959320068</v>
      </c>
      <c r="P5" s="34">
        <f>'Tabla 7'!C17-'Tabla 7'!C3</f>
        <v>-4.4619460105895996</v>
      </c>
      <c r="Q5" s="34">
        <f>'Tabla 7'!D17-'Tabla 7'!D3</f>
        <v>-4.5161920785903931</v>
      </c>
      <c r="R5" s="34">
        <f>'Tabla 7'!E17-'Tabla 7'!E3</f>
        <v>-2.6529765129089355</v>
      </c>
      <c r="S5" s="34">
        <f>'Tabla 7'!F17-'Tabla 7'!F3</f>
        <v>-6.0939416885375977</v>
      </c>
      <c r="T5" s="34">
        <f>'Tabla 7'!G17-'Tabla 7'!G3</f>
        <v>-4.0900044441223145</v>
      </c>
      <c r="U5" s="34">
        <f>'Tabla 7'!H17-'Tabla 7'!H3</f>
        <v>-5.4353821277618408</v>
      </c>
      <c r="V5" s="34">
        <f>'Tabla 7'!I17-'Tabla 7'!I3</f>
        <v>-5.1604099273681641</v>
      </c>
      <c r="W5" s="34">
        <f>'Tabla 7'!J17-'Tabla 7'!J3</f>
        <v>-5.1909091472625732</v>
      </c>
      <c r="X5" s="34">
        <f>'Tabla 7'!K17-'Tabla 7'!K3</f>
        <v>-5.5989181995391846</v>
      </c>
      <c r="Y5" s="34">
        <f>'Tabla 7'!L17-'Tabla 7'!L3</f>
        <v>-6.6485152244567871</v>
      </c>
      <c r="Z5" s="34">
        <f>'Tabla 7'!M17-'Tabla 7'!M3</f>
        <v>-2.2994717359542847</v>
      </c>
      <c r="AA5" s="35">
        <f>'Tabla 7'!N17-'Tabla 7'!N3</f>
        <v>-3.559680700302124</v>
      </c>
    </row>
    <row r="6" spans="1:27" ht="15.75" thickBot="1" x14ac:dyDescent="0.3">
      <c r="N6" s="11"/>
    </row>
    <row r="7" spans="1:27" ht="15.75" thickBot="1" x14ac:dyDescent="0.3">
      <c r="A7" s="68" t="s">
        <v>58</v>
      </c>
      <c r="B7" s="66" t="s">
        <v>28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7"/>
      <c r="O7" s="66" t="s">
        <v>29</v>
      </c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7"/>
    </row>
    <row r="8" spans="1:27" ht="15.75" thickBot="1" x14ac:dyDescent="0.3">
      <c r="A8" s="70"/>
      <c r="B8" s="9" t="s">
        <v>5</v>
      </c>
      <c r="C8" s="10" t="s">
        <v>6</v>
      </c>
      <c r="D8" s="10" t="s">
        <v>7</v>
      </c>
      <c r="E8" s="10" t="s">
        <v>8</v>
      </c>
      <c r="F8" s="10" t="s">
        <v>9</v>
      </c>
      <c r="G8" s="10" t="s">
        <v>10</v>
      </c>
      <c r="H8" s="10" t="s">
        <v>11</v>
      </c>
      <c r="I8" s="10" t="s">
        <v>12</v>
      </c>
      <c r="J8" s="10" t="s">
        <v>13</v>
      </c>
      <c r="K8" s="10" t="s">
        <v>14</v>
      </c>
      <c r="L8" s="10" t="s">
        <v>15</v>
      </c>
      <c r="M8" s="10" t="s">
        <v>16</v>
      </c>
      <c r="N8" s="7" t="s">
        <v>17</v>
      </c>
      <c r="O8" s="9" t="s">
        <v>5</v>
      </c>
      <c r="P8" s="12" t="s">
        <v>6</v>
      </c>
      <c r="Q8" s="12" t="s">
        <v>7</v>
      </c>
      <c r="R8" s="12" t="s">
        <v>8</v>
      </c>
      <c r="S8" s="12" t="s">
        <v>9</v>
      </c>
      <c r="T8" s="12" t="s">
        <v>10</v>
      </c>
      <c r="U8" s="12" t="s">
        <v>11</v>
      </c>
      <c r="V8" s="12" t="s">
        <v>12</v>
      </c>
      <c r="W8" s="12" t="s">
        <v>13</v>
      </c>
      <c r="X8" s="12" t="s">
        <v>14</v>
      </c>
      <c r="Y8" s="12" t="s">
        <v>15</v>
      </c>
      <c r="Z8" s="12" t="s">
        <v>16</v>
      </c>
      <c r="AA8" s="13" t="s">
        <v>17</v>
      </c>
    </row>
    <row r="9" spans="1:27" x14ac:dyDescent="0.25">
      <c r="A9" s="5" t="s">
        <v>25</v>
      </c>
      <c r="B9" s="14">
        <f>'Tabla 6'!B24-'Tabla 6'!B21</f>
        <v>0.11812973022460938</v>
      </c>
      <c r="C9" s="30">
        <f>'Tabla 6'!C24-'Tabla 6'!C21</f>
        <v>-2.9297904968261719</v>
      </c>
      <c r="D9" s="30">
        <f>'Tabla 6'!D24-'Tabla 6'!D21</f>
        <v>-1.213841438293457</v>
      </c>
      <c r="E9" s="30">
        <f>'Tabla 6'!E24-'Tabla 6'!E21</f>
        <v>-1.7776336669921875</v>
      </c>
      <c r="F9" s="30">
        <f>'Tabla 6'!F24-'Tabla 6'!F21</f>
        <v>-5.5503978729248047</v>
      </c>
      <c r="G9" s="30">
        <f>'Tabla 6'!G24-'Tabla 6'!G21</f>
        <v>1.1092815399169922</v>
      </c>
      <c r="H9" s="14">
        <f>'Tabla 6'!H24-'Tabla 6'!H21</f>
        <v>0.50350475311279297</v>
      </c>
      <c r="I9" s="14">
        <f>'Tabla 6'!I24-'Tabla 6'!I21</f>
        <v>-8.2551002502441406E-2</v>
      </c>
      <c r="J9" s="30">
        <f>'Tabla 6'!J24-'Tabla 6'!J21</f>
        <v>-3.7523775100708008</v>
      </c>
      <c r="K9" s="14">
        <f>'Tabla 6'!K24-'Tabla 6'!K21</f>
        <v>-0.41852569580078125</v>
      </c>
      <c r="L9" s="14">
        <f>'Tabla 6'!L24-'Tabla 6'!L21</f>
        <v>-1.4219284057617188E-2</v>
      </c>
      <c r="M9" s="30">
        <f>'Tabla 6'!M24-'Tabla 6'!M21</f>
        <v>-1.2869653701782227</v>
      </c>
      <c r="N9" s="14">
        <f>'Tabla 6'!N24-'Tabla 6'!N21</f>
        <v>-0.13789176940917969</v>
      </c>
      <c r="O9" s="18">
        <f>'Tabla 7'!B24-'Tabla 7'!B21</f>
        <v>-0.12197089195251465</v>
      </c>
      <c r="P9" s="37">
        <f>'Tabla 7'!C24-'Tabla 7'!C21</f>
        <v>-1.0986583232879639</v>
      </c>
      <c r="Q9" s="37">
        <f>'Tabla 7'!D24-'Tabla 7'!D21</f>
        <v>-0.40731918811798096</v>
      </c>
      <c r="R9" s="37">
        <f>'Tabla 7'!E24-'Tabla 7'!E21</f>
        <v>-0.47387003898620605</v>
      </c>
      <c r="S9" s="37">
        <f>'Tabla 7'!F24-'Tabla 7'!F21</f>
        <v>-1.3584295511245728</v>
      </c>
      <c r="T9" s="38">
        <f>'Tabla 7'!G24-'Tabla 7'!G21</f>
        <v>0.15658211708068848</v>
      </c>
      <c r="U9" s="38">
        <f>'Tabla 7'!H24-'Tabla 7'!H21</f>
        <v>7.4075937271118164E-2</v>
      </c>
      <c r="V9" s="38">
        <f>'Tabla 7'!I24-'Tabla 7'!I21</f>
        <v>0.12952375411987305</v>
      </c>
      <c r="W9" s="37">
        <f>'Tabla 7'!J24-'Tabla 7'!J21</f>
        <v>-1.3487648963928223</v>
      </c>
      <c r="X9" s="38">
        <f>'Tabla 7'!K24-'Tabla 7'!K21</f>
        <v>1.3271093368530273E-2</v>
      </c>
      <c r="Y9" s="38">
        <f>'Tabla 7'!L24-'Tabla 7'!L21</f>
        <v>0.11228680610656738</v>
      </c>
      <c r="Z9" s="38">
        <f>'Tabla 7'!M24-'Tabla 7'!M21</f>
        <v>-0.15468060970306396</v>
      </c>
      <c r="AA9" s="36">
        <f>'Tabla 7'!N24-'Tabla 7'!N21</f>
        <v>-0.15375614166259766</v>
      </c>
    </row>
    <row r="10" spans="1:27" x14ac:dyDescent="0.25">
      <c r="A10" s="5" t="s">
        <v>26</v>
      </c>
      <c r="B10" s="30">
        <f>'Tabla 6'!B35-'Tabla 6'!B25</f>
        <v>-10.349294662475586</v>
      </c>
      <c r="C10" s="30">
        <f>'Tabla 6'!C35-'Tabla 6'!C25</f>
        <v>-2.2939400672912598</v>
      </c>
      <c r="D10" s="30">
        <f>'Tabla 6'!D35-'Tabla 6'!D25</f>
        <v>-1.7420482635498047</v>
      </c>
      <c r="E10" s="30">
        <f>'Tabla 6'!E35-'Tabla 6'!E25</f>
        <v>-5.5727338790893555</v>
      </c>
      <c r="F10" s="30">
        <f>'Tabla 6'!F35-'Tabla 6'!F25</f>
        <v>-6.0639076232910156</v>
      </c>
      <c r="G10" s="30">
        <f>'Tabla 6'!G35-'Tabla 6'!G25</f>
        <v>-2.2191257476806641</v>
      </c>
      <c r="H10" s="30">
        <f>'Tabla 6'!H35-'Tabla 6'!H25</f>
        <v>-6.1818909645080566</v>
      </c>
      <c r="I10" s="30">
        <f>'Tabla 6'!I35-'Tabla 6'!I25</f>
        <v>-7.628058910369873</v>
      </c>
      <c r="J10" s="30">
        <f>'Tabla 6'!J35-'Tabla 6'!J25</f>
        <v>-4.6994876861572266</v>
      </c>
      <c r="K10" s="30">
        <f>'Tabla 6'!K35-'Tabla 6'!K25</f>
        <v>-4.9978399276733398</v>
      </c>
      <c r="L10" s="30">
        <f>'Tabla 6'!L35-'Tabla 6'!L25</f>
        <v>-7.1143064498901367</v>
      </c>
      <c r="M10" s="30">
        <f>'Tabla 6'!M35-'Tabla 6'!M25</f>
        <v>-5.0979557037353516</v>
      </c>
      <c r="N10" s="33">
        <f>'Tabla 6'!N35-'Tabla 6'!N25</f>
        <v>-3.2213850021362305</v>
      </c>
      <c r="O10" s="30">
        <f>'Tabla 7'!B35-'Tabla 7'!B25</f>
        <v>-2.4101709127426147</v>
      </c>
      <c r="P10" s="14">
        <f>'Tabla 7'!C35-'Tabla 7'!C25</f>
        <v>-2.4989604949951172E-2</v>
      </c>
      <c r="Q10" s="14">
        <f>'Tabla 7'!D35-'Tabla 7'!D25</f>
        <v>-0.14638090133666992</v>
      </c>
      <c r="R10" s="30">
        <f>'Tabla 7'!E35-'Tabla 7'!E25</f>
        <v>-1.5935002565383911</v>
      </c>
      <c r="S10" s="30">
        <f>'Tabla 7'!F35-'Tabla 7'!F25</f>
        <v>-0.82814764976501465</v>
      </c>
      <c r="T10" s="14">
        <f>'Tabla 7'!G35-'Tabla 7'!G25</f>
        <v>0.20441699028015137</v>
      </c>
      <c r="U10" s="30">
        <f>'Tabla 7'!H35-'Tabla 7'!H25</f>
        <v>-1.3969434499740601</v>
      </c>
      <c r="V10" s="30">
        <f>'Tabla 7'!I35-'Tabla 7'!I25</f>
        <v>-1.8083829879760742</v>
      </c>
      <c r="W10" s="30">
        <f>'Tabla 7'!J35-'Tabla 7'!J25</f>
        <v>-1.574067234992981</v>
      </c>
      <c r="X10" s="14">
        <f>'Tabla 7'!K35-'Tabla 7'!K25</f>
        <v>-0.54665076732635498</v>
      </c>
      <c r="Y10" s="30">
        <f>'Tabla 7'!L35-'Tabla 7'!L25</f>
        <v>-1.446547269821167</v>
      </c>
      <c r="Z10" s="30">
        <f>'Tabla 7'!M35-'Tabla 7'!M25</f>
        <v>-0.82332247495651245</v>
      </c>
      <c r="AA10" s="15">
        <f>'Tabla 7'!N35-'Tabla 7'!N25</f>
        <v>-0.3390958309173584</v>
      </c>
    </row>
    <row r="11" spans="1:27" ht="15.75" thickBot="1" x14ac:dyDescent="0.3">
      <c r="A11" s="6" t="s">
        <v>27</v>
      </c>
      <c r="B11" s="34">
        <f>'Tabla 6'!B35-'Tabla 6'!B21</f>
        <v>-10.415414810180664</v>
      </c>
      <c r="C11" s="34">
        <f>'Tabla 6'!C35-'Tabla 6'!C21</f>
        <v>-8.2551741600036621</v>
      </c>
      <c r="D11" s="34">
        <f>'Tabla 6'!D35-'Tabla 6'!D21</f>
        <v>-7.9843010902404785</v>
      </c>
      <c r="E11" s="34">
        <f>'Tabla 6'!E35-'Tabla 6'!E21</f>
        <v>-6.8475971221923828</v>
      </c>
      <c r="F11" s="34">
        <f>'Tabla 6'!F35-'Tabla 6'!F21</f>
        <v>-10.103334426879883</v>
      </c>
      <c r="G11" s="34">
        <f>'Tabla 6'!G35-'Tabla 6'!G21</f>
        <v>-7.5916280746459961</v>
      </c>
      <c r="H11" s="34">
        <f>'Tabla 6'!H35-'Tabla 6'!H21</f>
        <v>-8.7848353385925293</v>
      </c>
      <c r="I11" s="34">
        <f>'Tabla 6'!I35-'Tabla 6'!I21</f>
        <v>-10.049537181854248</v>
      </c>
      <c r="J11" s="34">
        <f>'Tabla 6'!J35-'Tabla 6'!J21</f>
        <v>-9.2273149490356445</v>
      </c>
      <c r="K11" s="34">
        <f>'Tabla 6'!K35-'Tabla 6'!K21</f>
        <v>-9.7872505187988281</v>
      </c>
      <c r="L11" s="34">
        <f>'Tabla 6'!L35-'Tabla 6'!L21</f>
        <v>-10.226078033447266</v>
      </c>
      <c r="M11" s="34">
        <f>'Tabla 6'!M35-'Tabla 6'!M21</f>
        <v>-6.314335823059082</v>
      </c>
      <c r="N11" s="35">
        <f>'Tabla 6'!N35-'Tabla 6'!N21</f>
        <v>-6.3080024719238281</v>
      </c>
      <c r="O11" s="34">
        <f>'Tabla 7'!B35-'Tabla 7'!B21</f>
        <v>-1.7810224294662476</v>
      </c>
      <c r="P11" s="34">
        <f>'Tabla 7'!C35-'Tabla 7'!C21</f>
        <v>-1.5500273704528809</v>
      </c>
      <c r="Q11" s="34">
        <f>'Tabla 7'!D35-'Tabla 7'!D21</f>
        <v>-1.4508727192878723</v>
      </c>
      <c r="R11" s="34">
        <f>'Tabla 7'!E35-'Tabla 7'!E21</f>
        <v>-0.70642769336700439</v>
      </c>
      <c r="S11" s="34">
        <f>'Tabla 7'!F35-'Tabla 7'!F21</f>
        <v>-1.4155862331390381</v>
      </c>
      <c r="T11" s="34">
        <f>'Tabla 7'!G35-'Tabla 7'!G21</f>
        <v>-0.68091368675231934</v>
      </c>
      <c r="U11" s="34">
        <f>'Tabla 7'!H35-'Tabla 7'!H21</f>
        <v>-1.7866865396499634</v>
      </c>
      <c r="V11" s="34">
        <f>'Tabla 7'!I35-'Tabla 7'!I21</f>
        <v>-1.7804186344146729</v>
      </c>
      <c r="W11" s="34">
        <f>'Tabla 7'!J35-'Tabla 7'!J21</f>
        <v>-1.8828579187393188</v>
      </c>
      <c r="X11" s="34">
        <f>'Tabla 7'!K35-'Tabla 7'!K21</f>
        <v>-1.5583819150924683</v>
      </c>
      <c r="Y11" s="34">
        <f>'Tabla 7'!L35-'Tabla 7'!L21</f>
        <v>-1.93406081199646</v>
      </c>
      <c r="Z11" s="34">
        <f>'Tabla 7'!M35-'Tabla 7'!M21</f>
        <v>-0.57627636194229126</v>
      </c>
      <c r="AA11" s="35">
        <f>'Tabla 7'!N35-'Tabla 7'!N21</f>
        <v>-0.76201891899108887</v>
      </c>
    </row>
    <row r="12" spans="1:27" ht="15.75" thickBot="1" x14ac:dyDescent="0.3"/>
    <row r="13" spans="1:27" ht="15.75" thickBot="1" x14ac:dyDescent="0.3">
      <c r="A13" s="68" t="s">
        <v>58</v>
      </c>
      <c r="B13" s="66" t="s">
        <v>30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7"/>
      <c r="O13" s="66" t="s">
        <v>31</v>
      </c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ht="15.75" thickBot="1" x14ac:dyDescent="0.3">
      <c r="A14" s="70"/>
      <c r="B14" s="9" t="s">
        <v>5</v>
      </c>
      <c r="C14" s="10" t="s">
        <v>6</v>
      </c>
      <c r="D14" s="10" t="s">
        <v>7</v>
      </c>
      <c r="E14" s="10" t="s">
        <v>8</v>
      </c>
      <c r="F14" s="10" t="s">
        <v>9</v>
      </c>
      <c r="G14" s="10" t="s">
        <v>10</v>
      </c>
      <c r="H14" s="10" t="s">
        <v>11</v>
      </c>
      <c r="I14" s="10" t="s">
        <v>12</v>
      </c>
      <c r="J14" s="10" t="s">
        <v>13</v>
      </c>
      <c r="K14" s="10" t="s">
        <v>14</v>
      </c>
      <c r="L14" s="10" t="s">
        <v>15</v>
      </c>
      <c r="M14" s="10" t="s">
        <v>16</v>
      </c>
      <c r="N14" s="7" t="s">
        <v>17</v>
      </c>
      <c r="O14" s="9" t="s">
        <v>5</v>
      </c>
      <c r="P14" s="10" t="s">
        <v>6</v>
      </c>
      <c r="Q14" s="10" t="s">
        <v>7</v>
      </c>
      <c r="R14" s="10" t="s">
        <v>8</v>
      </c>
      <c r="S14" s="10" t="s">
        <v>9</v>
      </c>
      <c r="T14" s="10" t="s">
        <v>10</v>
      </c>
      <c r="U14" s="10" t="s">
        <v>11</v>
      </c>
      <c r="V14" s="10" t="s">
        <v>12</v>
      </c>
      <c r="W14" s="10" t="s">
        <v>13</v>
      </c>
      <c r="X14" s="10" t="s">
        <v>14</v>
      </c>
      <c r="Y14" s="10" t="s">
        <v>15</v>
      </c>
      <c r="Z14" s="10" t="s">
        <v>16</v>
      </c>
      <c r="AA14" s="7" t="s">
        <v>17</v>
      </c>
    </row>
    <row r="15" spans="1:27" x14ac:dyDescent="0.25">
      <c r="A15" s="5" t="s">
        <v>25</v>
      </c>
      <c r="B15" s="14">
        <f>'Tabla 6'!B42-'Tabla 6'!B39</f>
        <v>-3.8039207458496094E-2</v>
      </c>
      <c r="C15" s="30">
        <f>'Tabla 6'!C42-'Tabla 6'!C39</f>
        <v>-2.028475284576416</v>
      </c>
      <c r="D15" s="30">
        <f>'Tabla 6'!D42-'Tabla 6'!D39</f>
        <v>-0.79134607315063477</v>
      </c>
      <c r="E15" s="30">
        <f>'Tabla 6'!E42-'Tabla 6'!E39</f>
        <v>-1.1604399681091309</v>
      </c>
      <c r="F15" s="30">
        <f>'Tabla 6'!F42-'Tabla 6'!F39</f>
        <v>-3.3916473388671875</v>
      </c>
      <c r="G15" s="30">
        <f>'Tabla 6'!G42-'Tabla 6'!G39</f>
        <v>0.74205970764160156</v>
      </c>
      <c r="H15" s="14">
        <f>'Tabla 6'!H42-'Tabla 6'!H39</f>
        <v>0.21292209625244141</v>
      </c>
      <c r="I15" s="14">
        <f>'Tabla 6'!I42-'Tabla 6'!I39</f>
        <v>-1.4977931976318359E-2</v>
      </c>
      <c r="J15" s="30">
        <f>'Tabla 6'!J42-'Tabla 6'!J39</f>
        <v>-2.522794246673584</v>
      </c>
      <c r="K15" s="14">
        <f>'Tabla 6'!K42-'Tabla 6'!K39</f>
        <v>-8.9511871337890625E-2</v>
      </c>
      <c r="L15" s="14">
        <f>'Tabla 6'!L42-'Tabla 6'!L39</f>
        <v>-9.4340324401855469E-2</v>
      </c>
      <c r="M15" s="30">
        <f>'Tabla 6'!M42-'Tabla 6'!M39</f>
        <v>-0.60519933700561523</v>
      </c>
      <c r="N15" s="36">
        <f>'Tabla 6'!N42-'Tabla 6'!N39</f>
        <v>-0.17600822448730469</v>
      </c>
      <c r="O15" s="14">
        <f>'Tabla 7'!B42-'Tabla 7'!B39</f>
        <v>-4.4429898262023926E-2</v>
      </c>
      <c r="P15" s="30">
        <f>'Tabla 7'!C42-'Tabla 7'!C39</f>
        <v>-0.78261017799377441</v>
      </c>
      <c r="Q15" s="30">
        <f>'Tabla 7'!D42-'Tabla 7'!D39</f>
        <v>-0.20663511753082275</v>
      </c>
      <c r="R15" s="30">
        <f>'Tabla 7'!E42-'Tabla 7'!E39</f>
        <v>-0.32313412427902222</v>
      </c>
      <c r="S15" s="30">
        <f>'Tabla 7'!F42-'Tabla 7'!F39</f>
        <v>-0.53910422325134277</v>
      </c>
      <c r="T15" s="14">
        <f>'Tabla 7'!G42-'Tabla 7'!G39</f>
        <v>0.11950099468231201</v>
      </c>
      <c r="U15" s="14">
        <f>'Tabla 7'!H42-'Tabla 7'!H39</f>
        <v>7.5171351432800293E-2</v>
      </c>
      <c r="V15" s="14">
        <f>'Tabla 7'!I42-'Tabla 7'!I39</f>
        <v>-3.8101315498352051E-2</v>
      </c>
      <c r="W15" s="30">
        <f>'Tabla 7'!J42-'Tabla 7'!J39</f>
        <v>-0.81732940673828125</v>
      </c>
      <c r="X15" s="14">
        <f>'Tabla 7'!K42-'Tabla 7'!K39</f>
        <v>5.9533834457397461E-2</v>
      </c>
      <c r="Y15" s="14">
        <f>'Tabla 7'!L42-'Tabla 7'!L39</f>
        <v>-7.7984333038330078E-3</v>
      </c>
      <c r="Z15" s="14">
        <f>'Tabla 7'!M42-'Tabla 7'!M39</f>
        <v>-2.9726684093475342E-2</v>
      </c>
      <c r="AA15" s="36">
        <f>'Tabla 7'!N42-'Tabla 7'!N39</f>
        <v>3.4586548805236816E-2</v>
      </c>
    </row>
    <row r="16" spans="1:27" x14ac:dyDescent="0.25">
      <c r="A16" s="5" t="s">
        <v>26</v>
      </c>
      <c r="B16" s="30">
        <f>'Tabla 6'!B53-'Tabla 6'!B43</f>
        <v>-5.8701968193054199</v>
      </c>
      <c r="C16" s="30">
        <f>'Tabla 6'!C53-'Tabla 6'!C43</f>
        <v>-0.95787405967712402</v>
      </c>
      <c r="D16" s="30">
        <f>'Tabla 6'!D53-'Tabla 6'!D43</f>
        <v>-0.83409738540649414</v>
      </c>
      <c r="E16" s="30">
        <f>'Tabla 6'!E53-'Tabla 6'!E43</f>
        <v>-3.2926287651062012</v>
      </c>
      <c r="F16" s="30">
        <f>'Tabla 6'!F53-'Tabla 6'!F43</f>
        <v>-3.008833646774292</v>
      </c>
      <c r="G16" s="30">
        <f>'Tabla 6'!G53-'Tabla 6'!G43</f>
        <v>-0.81561136245727539</v>
      </c>
      <c r="H16" s="30">
        <f>'Tabla 6'!H53-'Tabla 6'!H43</f>
        <v>-3.3991067409515381</v>
      </c>
      <c r="I16" s="30">
        <f>'Tabla 6'!I53-'Tabla 6'!I43</f>
        <v>-4.129863977432251</v>
      </c>
      <c r="J16" s="30">
        <f>'Tabla 6'!J53-'Tabla 6'!J43</f>
        <v>-2.7725787162780762</v>
      </c>
      <c r="K16" s="30">
        <f>'Tabla 6'!K53-'Tabla 6'!K43</f>
        <v>-2.4125890731811523</v>
      </c>
      <c r="L16" s="30">
        <f>'Tabla 6'!L53-'Tabla 6'!L43</f>
        <v>-4.0577027797698975</v>
      </c>
      <c r="M16" s="30">
        <f>'Tabla 6'!M53-'Tabla 6'!M43</f>
        <v>-2.5749112367630005</v>
      </c>
      <c r="N16" s="33">
        <f>'Tabla 6'!N53-'Tabla 6'!N43</f>
        <v>-1.54378342628479</v>
      </c>
      <c r="O16" s="30">
        <f>'Tabla 7'!B53-'Tabla 7'!B43</f>
        <v>-1.2562115788459778</v>
      </c>
      <c r="P16" s="14">
        <f>'Tabla 7'!C53-'Tabla 7'!C43</f>
        <v>0.14474177360534668</v>
      </c>
      <c r="Q16" s="14">
        <f>'Tabla 7'!D53-'Tabla 7'!D43</f>
        <v>1.1352300643920898E-2</v>
      </c>
      <c r="R16" s="30">
        <f>'Tabla 7'!E53-'Tabla 7'!E43</f>
        <v>-0.99508631229400635</v>
      </c>
      <c r="S16" s="30">
        <f>'Tabla 7'!F53-'Tabla 7'!F43</f>
        <v>-0.20350903272628784</v>
      </c>
      <c r="T16" s="30">
        <f>'Tabla 7'!G53-'Tabla 7'!G43</f>
        <v>0.33474242687225342</v>
      </c>
      <c r="U16" s="30">
        <f>'Tabla 7'!H53-'Tabla 7'!H43</f>
        <v>-0.70756363868713379</v>
      </c>
      <c r="V16" s="30">
        <f>'Tabla 7'!I53-'Tabla 7'!I43</f>
        <v>-0.99721860885620117</v>
      </c>
      <c r="W16" s="30">
        <f>'Tabla 7'!J53-'Tabla 7'!J43</f>
        <v>-1.0340451598167419</v>
      </c>
      <c r="X16" s="30">
        <f>'Tabla 7'!K53-'Tabla 7'!K43</f>
        <v>-0.17591571807861328</v>
      </c>
      <c r="Y16" s="30">
        <f>'Tabla 7'!L53-'Tabla 7'!L43</f>
        <v>-0.53299176692962646</v>
      </c>
      <c r="Z16" s="30">
        <f>'Tabla 7'!M53-'Tabla 7'!M43</f>
        <v>-0.40920883417129517</v>
      </c>
      <c r="AA16" s="15">
        <f>'Tabla 7'!N53-'Tabla 7'!N43</f>
        <v>-0.10188627243041992</v>
      </c>
    </row>
    <row r="17" spans="1:27" ht="15.75" thickBot="1" x14ac:dyDescent="0.3">
      <c r="A17" s="6" t="s">
        <v>27</v>
      </c>
      <c r="B17" s="34">
        <f>'Tabla 6'!B53-'Tabla 6'!B39</f>
        <v>-5.813270092010498</v>
      </c>
      <c r="C17" s="34">
        <f>'Tabla 6'!C53-'Tabla 6'!C39</f>
        <v>-4.6527597904205322</v>
      </c>
      <c r="D17" s="34">
        <f>'Tabla 6'!D53-'Tabla 6'!D39</f>
        <v>-4.3690240383148193</v>
      </c>
      <c r="E17" s="34">
        <f>'Tabla 6'!E53-'Tabla 6'!E39</f>
        <v>-3.5017971992492676</v>
      </c>
      <c r="F17" s="34">
        <f>'Tabla 6'!F53-'Tabla 6'!F39</f>
        <v>-5.3886020183563232</v>
      </c>
      <c r="G17" s="34">
        <f>'Tabla 6'!G53-'Tabla 6'!G39</f>
        <v>-3.8331050872802734</v>
      </c>
      <c r="H17" s="34">
        <f>'Tabla 6'!H53-'Tabla 6'!H39</f>
        <v>-5.0014650821685791</v>
      </c>
      <c r="I17" s="34">
        <f>'Tabla 6'!I53-'Tabla 6'!I39</f>
        <v>-5.4778215885162354</v>
      </c>
      <c r="J17" s="34">
        <f>'Tabla 6'!J53-'Tabla 6'!J39</f>
        <v>-5.1447386741638184</v>
      </c>
      <c r="K17" s="34">
        <f>'Tabla 6'!K53-'Tabla 6'!K39</f>
        <v>-5.3870973587036133</v>
      </c>
      <c r="L17" s="34">
        <f>'Tabla 6'!L53-'Tabla 6'!L39</f>
        <v>-6.0624654293060303</v>
      </c>
      <c r="M17" s="34">
        <f>'Tabla 6'!M53-'Tabla 6'!M39</f>
        <v>-2.9998966455459595</v>
      </c>
      <c r="N17" s="35">
        <f>'Tabla 6'!N53-'Tabla 6'!N39</f>
        <v>-3.2082540988922119</v>
      </c>
      <c r="O17" s="34">
        <f>'Tabla 7'!B53-'Tabla 7'!B39</f>
        <v>-0.82269150018692017</v>
      </c>
      <c r="P17" s="34">
        <f>'Tabla 7'!C53-'Tabla 7'!C39</f>
        <v>-0.8518824577331543</v>
      </c>
      <c r="Q17" s="34">
        <f>'Tabla 7'!D53-'Tabla 7'!D39</f>
        <v>-0.71918070316314697</v>
      </c>
      <c r="R17" s="34">
        <f>'Tabla 7'!E53-'Tabla 7'!E39</f>
        <v>-0.25388669967651367</v>
      </c>
      <c r="S17" s="34">
        <f>'Tabla 7'!F53-'Tabla 7'!F39</f>
        <v>-0.41455203294754028</v>
      </c>
      <c r="T17" s="34">
        <f>'Tabla 7'!G53-'Tabla 7'!G39</f>
        <v>-5.6769371032714844E-2</v>
      </c>
      <c r="U17" s="34">
        <f>'Tabla 7'!H53-'Tabla 7'!H39</f>
        <v>-0.86120867729187012</v>
      </c>
      <c r="V17" s="34">
        <f>'Tabla 7'!I53-'Tabla 7'!I39</f>
        <v>-0.98769712448120117</v>
      </c>
      <c r="W17" s="34">
        <f>'Tabla 7'!J53-'Tabla 7'!J39</f>
        <v>-0.96663206815719604</v>
      </c>
      <c r="X17" s="34">
        <f>'Tabla 7'!K53-'Tabla 7'!K39</f>
        <v>-0.62983715534210205</v>
      </c>
      <c r="Y17" s="34">
        <f>'Tabla 7'!L53-'Tabla 7'!L39</f>
        <v>-0.84743022918701172</v>
      </c>
      <c r="Z17" s="34">
        <f>'Tabla 7'!M53-'Tabla 7'!M39</f>
        <v>-0.21511542797088623</v>
      </c>
      <c r="AA17" s="35">
        <f>'Tabla 7'!N53-'Tabla 7'!N39</f>
        <v>-0.14403426647186279</v>
      </c>
    </row>
  </sheetData>
  <mergeCells count="9">
    <mergeCell ref="A13:A14"/>
    <mergeCell ref="B13:N13"/>
    <mergeCell ref="O13:AA13"/>
    <mergeCell ref="A1:A2"/>
    <mergeCell ref="B1:N1"/>
    <mergeCell ref="O1:AA1"/>
    <mergeCell ref="A7:A8"/>
    <mergeCell ref="B7:N7"/>
    <mergeCell ref="O7:AA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AFB6-7A42-4A3C-B317-CE4CA468DD0B}">
  <dimension ref="A1:I19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21.42578125" style="1" customWidth="1"/>
    <col min="3" max="4" width="14.28515625" style="1" customWidth="1"/>
    <col min="5" max="5" width="14.42578125" style="1" customWidth="1"/>
    <col min="6" max="6" width="21.42578125" style="1" customWidth="1"/>
    <col min="7" max="9" width="14.28515625" style="1" customWidth="1"/>
    <col min="10" max="16384" width="11.42578125" style="1"/>
  </cols>
  <sheetData>
    <row r="1" spans="1:9" ht="15.75" thickBot="1" x14ac:dyDescent="0.3">
      <c r="A1" s="68" t="s">
        <v>23</v>
      </c>
      <c r="B1" s="71" t="s">
        <v>32</v>
      </c>
      <c r="C1" s="66"/>
      <c r="D1" s="66"/>
      <c r="E1" s="66"/>
      <c r="F1" s="66"/>
      <c r="G1" s="66"/>
      <c r="H1" s="66"/>
      <c r="I1" s="67"/>
    </row>
    <row r="2" spans="1:9" ht="15.75" thickBot="1" x14ac:dyDescent="0.3">
      <c r="A2" s="69"/>
      <c r="B2" s="71" t="s">
        <v>33</v>
      </c>
      <c r="C2" s="66"/>
      <c r="D2" s="66"/>
      <c r="E2" s="67"/>
      <c r="F2" s="71" t="s">
        <v>34</v>
      </c>
      <c r="G2" s="66"/>
      <c r="H2" s="66"/>
      <c r="I2" s="67"/>
    </row>
    <row r="3" spans="1:9" ht="15.75" thickBot="1" x14ac:dyDescent="0.3">
      <c r="A3" s="70"/>
      <c r="B3" s="2" t="s">
        <v>2</v>
      </c>
      <c r="C3" s="2" t="s">
        <v>4</v>
      </c>
      <c r="D3" s="2" t="s">
        <v>3</v>
      </c>
      <c r="E3" s="7" t="s">
        <v>24</v>
      </c>
      <c r="F3" s="2" t="s">
        <v>2</v>
      </c>
      <c r="G3" s="2" t="s">
        <v>4</v>
      </c>
      <c r="H3" s="2" t="s">
        <v>3</v>
      </c>
      <c r="I3" s="7" t="s">
        <v>24</v>
      </c>
    </row>
    <row r="4" spans="1:9" x14ac:dyDescent="0.25">
      <c r="A4" s="4">
        <v>2002</v>
      </c>
      <c r="B4" s="39">
        <v>17806378</v>
      </c>
      <c r="C4" s="39">
        <v>11903920</v>
      </c>
      <c r="D4" s="39">
        <v>10467051</v>
      </c>
      <c r="E4" s="15">
        <f>SUM(B4:D4)</f>
        <v>40177349</v>
      </c>
      <c r="F4" s="40">
        <f>B4/$E4</f>
        <v>0.44319444769738292</v>
      </c>
      <c r="G4" s="40">
        <f t="shared" ref="G4:H4" si="0">C4/$E4</f>
        <v>0.29628435664085251</v>
      </c>
      <c r="H4" s="40">
        <f t="shared" si="0"/>
        <v>0.26052119566176452</v>
      </c>
      <c r="I4" s="41">
        <f>SUM(F4:H4)</f>
        <v>1</v>
      </c>
    </row>
    <row r="5" spans="1:9" x14ac:dyDescent="0.25">
      <c r="A5" s="5">
        <v>2003</v>
      </c>
      <c r="B5" s="39">
        <v>18081858</v>
      </c>
      <c r="C5" s="39">
        <v>12144980</v>
      </c>
      <c r="D5" s="39">
        <v>10452419</v>
      </c>
      <c r="E5" s="15">
        <f t="shared" ref="E5:E18" si="1">SUM(B5:D5)</f>
        <v>40679257</v>
      </c>
      <c r="F5" s="40">
        <f t="shared" ref="F5:F18" si="2">B5/$E5</f>
        <v>0.44449823653367121</v>
      </c>
      <c r="G5" s="40">
        <f t="shared" ref="G5:G18" si="3">C5/$E5</f>
        <v>0.29855461716028886</v>
      </c>
      <c r="H5" s="40">
        <f t="shared" ref="H5:H18" si="4">D5/$E5</f>
        <v>0.25694714630603993</v>
      </c>
      <c r="I5" s="41">
        <f t="shared" ref="I5:I18" si="5">SUM(F5:H5)</f>
        <v>1</v>
      </c>
    </row>
    <row r="6" spans="1:9" x14ac:dyDescent="0.25">
      <c r="A6" s="5">
        <v>2004</v>
      </c>
      <c r="B6" s="39">
        <v>18355894</v>
      </c>
      <c r="C6" s="39">
        <v>12381911</v>
      </c>
      <c r="D6" s="39">
        <v>10444679</v>
      </c>
      <c r="E6" s="15">
        <f t="shared" si="1"/>
        <v>41182484</v>
      </c>
      <c r="F6" s="40">
        <f t="shared" si="2"/>
        <v>0.44572090406202791</v>
      </c>
      <c r="G6" s="40">
        <f t="shared" si="3"/>
        <v>0.30065964452265675</v>
      </c>
      <c r="H6" s="40">
        <f t="shared" si="4"/>
        <v>0.25361945141531533</v>
      </c>
      <c r="I6" s="41">
        <f t="shared" si="5"/>
        <v>1</v>
      </c>
    </row>
    <row r="7" spans="1:9" x14ac:dyDescent="0.25">
      <c r="A7" s="5">
        <v>2005</v>
      </c>
      <c r="B7" s="39">
        <v>18627918</v>
      </c>
      <c r="C7" s="39">
        <v>12613672</v>
      </c>
      <c r="D7" s="39">
        <v>10438829</v>
      </c>
      <c r="E7" s="15">
        <f t="shared" si="1"/>
        <v>41680419</v>
      </c>
      <c r="F7" s="40">
        <f t="shared" si="2"/>
        <v>0.44692252253990056</v>
      </c>
      <c r="G7" s="40">
        <f t="shared" si="3"/>
        <v>0.30262824373238667</v>
      </c>
      <c r="H7" s="40">
        <f t="shared" si="4"/>
        <v>0.25044923372771277</v>
      </c>
      <c r="I7" s="41">
        <f t="shared" si="5"/>
        <v>1</v>
      </c>
    </row>
    <row r="8" spans="1:9" x14ac:dyDescent="0.25">
      <c r="A8" s="5">
        <v>2008</v>
      </c>
      <c r="B8" s="39">
        <v>19428196</v>
      </c>
      <c r="C8" s="39">
        <v>13273991</v>
      </c>
      <c r="D8" s="39">
        <v>10493045</v>
      </c>
      <c r="E8" s="15">
        <f t="shared" si="1"/>
        <v>43195232</v>
      </c>
      <c r="F8" s="40">
        <f t="shared" si="2"/>
        <v>0.44977640124724877</v>
      </c>
      <c r="G8" s="40">
        <f t="shared" si="3"/>
        <v>0.30730222724582196</v>
      </c>
      <c r="H8" s="40">
        <f t="shared" si="4"/>
        <v>0.24292137150692927</v>
      </c>
      <c r="I8" s="41">
        <f t="shared" si="5"/>
        <v>1</v>
      </c>
    </row>
    <row r="9" spans="1:9" x14ac:dyDescent="0.25">
      <c r="A9" s="5">
        <v>2009</v>
      </c>
      <c r="B9" s="39">
        <v>19694234</v>
      </c>
      <c r="C9" s="39">
        <v>13488477</v>
      </c>
      <c r="D9" s="39">
        <v>10522489</v>
      </c>
      <c r="E9" s="15">
        <f t="shared" si="1"/>
        <v>43705200</v>
      </c>
      <c r="F9" s="40">
        <f t="shared" si="2"/>
        <v>0.45061535011852138</v>
      </c>
      <c r="G9" s="40">
        <f t="shared" si="3"/>
        <v>0.30862407676889708</v>
      </c>
      <c r="H9" s="40">
        <f t="shared" si="4"/>
        <v>0.24076057311258156</v>
      </c>
      <c r="I9" s="41">
        <f t="shared" si="5"/>
        <v>1</v>
      </c>
    </row>
    <row r="10" spans="1:9" x14ac:dyDescent="0.25">
      <c r="A10" s="5">
        <v>2010</v>
      </c>
      <c r="B10" s="39">
        <v>19960462</v>
      </c>
      <c r="C10" s="39">
        <v>13705246</v>
      </c>
      <c r="D10" s="39">
        <v>10551365</v>
      </c>
      <c r="E10" s="15">
        <f t="shared" si="1"/>
        <v>44217073</v>
      </c>
      <c r="F10" s="40">
        <f t="shared" si="2"/>
        <v>0.45141979434052543</v>
      </c>
      <c r="G10" s="40">
        <f t="shared" si="3"/>
        <v>0.30995371403258648</v>
      </c>
      <c r="H10" s="40">
        <f t="shared" si="4"/>
        <v>0.23862649162688809</v>
      </c>
      <c r="I10" s="41">
        <f t="shared" si="5"/>
        <v>1</v>
      </c>
    </row>
    <row r="11" spans="1:9" x14ac:dyDescent="0.25">
      <c r="A11" s="5">
        <v>2011</v>
      </c>
      <c r="B11" s="39">
        <v>20227704</v>
      </c>
      <c r="C11" s="39">
        <v>13919482</v>
      </c>
      <c r="D11" s="39">
        <v>10587607</v>
      </c>
      <c r="E11" s="15">
        <f t="shared" si="1"/>
        <v>44734793</v>
      </c>
      <c r="F11" s="40">
        <f t="shared" si="2"/>
        <v>0.45216938860094869</v>
      </c>
      <c r="G11" s="40">
        <f t="shared" si="3"/>
        <v>0.31115561437827599</v>
      </c>
      <c r="H11" s="40">
        <f t="shared" si="4"/>
        <v>0.2366749970207753</v>
      </c>
      <c r="I11" s="41">
        <f t="shared" si="5"/>
        <v>1</v>
      </c>
    </row>
    <row r="12" spans="1:9" x14ac:dyDescent="0.25">
      <c r="A12" s="5">
        <v>2012</v>
      </c>
      <c r="B12" s="39">
        <v>20491984</v>
      </c>
      <c r="C12" s="39">
        <v>14124077</v>
      </c>
      <c r="D12" s="39">
        <v>10637646</v>
      </c>
      <c r="E12" s="15">
        <f t="shared" si="1"/>
        <v>45253707</v>
      </c>
      <c r="F12" s="40">
        <f t="shared" si="2"/>
        <v>0.45282442828385305</v>
      </c>
      <c r="G12" s="40">
        <f t="shared" si="3"/>
        <v>0.31210872956772356</v>
      </c>
      <c r="H12" s="40">
        <f t="shared" si="4"/>
        <v>0.23506684214842333</v>
      </c>
      <c r="I12" s="41">
        <f t="shared" si="5"/>
        <v>0.99999999999999989</v>
      </c>
    </row>
    <row r="13" spans="1:9" x14ac:dyDescent="0.25">
      <c r="A13" s="5">
        <v>2013</v>
      </c>
      <c r="B13" s="39">
        <v>20756004</v>
      </c>
      <c r="C13" s="39">
        <v>14336558</v>
      </c>
      <c r="D13" s="39">
        <v>10681720</v>
      </c>
      <c r="E13" s="15">
        <f t="shared" si="1"/>
        <v>45774282</v>
      </c>
      <c r="F13" s="40">
        <f t="shared" si="2"/>
        <v>0.45344248108577651</v>
      </c>
      <c r="G13" s="40">
        <f t="shared" si="3"/>
        <v>0.31320115518141822</v>
      </c>
      <c r="H13" s="40">
        <f t="shared" si="4"/>
        <v>0.23335636373280524</v>
      </c>
      <c r="I13" s="41">
        <f t="shared" si="5"/>
        <v>0.99999999999999989</v>
      </c>
    </row>
    <row r="14" spans="1:9" x14ac:dyDescent="0.25">
      <c r="A14" s="5">
        <v>2014</v>
      </c>
      <c r="B14" s="39">
        <v>21018726</v>
      </c>
      <c r="C14" s="39">
        <v>14548332</v>
      </c>
      <c r="D14" s="39">
        <v>10728994</v>
      </c>
      <c r="E14" s="15">
        <f t="shared" si="1"/>
        <v>46296052</v>
      </c>
      <c r="F14" s="40">
        <f t="shared" si="2"/>
        <v>0.45400687730349015</v>
      </c>
      <c r="G14" s="40">
        <f t="shared" si="3"/>
        <v>0.31424562941133727</v>
      </c>
      <c r="H14" s="40">
        <f t="shared" si="4"/>
        <v>0.23174749328517258</v>
      </c>
      <c r="I14" s="41">
        <f t="shared" si="5"/>
        <v>1</v>
      </c>
    </row>
    <row r="15" spans="1:9" x14ac:dyDescent="0.25">
      <c r="A15" s="5">
        <v>2015</v>
      </c>
      <c r="B15" s="39">
        <v>21279954</v>
      </c>
      <c r="C15" s="39">
        <v>14759347</v>
      </c>
      <c r="D15" s="39">
        <v>10779390</v>
      </c>
      <c r="E15" s="15">
        <f t="shared" si="1"/>
        <v>46818691</v>
      </c>
      <c r="F15" s="40">
        <f t="shared" si="2"/>
        <v>0.45451834610241454</v>
      </c>
      <c r="G15" s="40">
        <f t="shared" si="3"/>
        <v>0.31524475983320421</v>
      </c>
      <c r="H15" s="40">
        <f t="shared" si="4"/>
        <v>0.23023689406438125</v>
      </c>
      <c r="I15" s="41">
        <f t="shared" si="5"/>
        <v>1</v>
      </c>
    </row>
    <row r="16" spans="1:9" x14ac:dyDescent="0.25">
      <c r="A16" s="5">
        <v>2016</v>
      </c>
      <c r="B16" s="39">
        <v>21539494</v>
      </c>
      <c r="C16" s="39">
        <v>14970363</v>
      </c>
      <c r="D16" s="39">
        <v>10833634</v>
      </c>
      <c r="E16" s="15">
        <f t="shared" si="1"/>
        <v>47343491</v>
      </c>
      <c r="F16" s="40">
        <f t="shared" si="2"/>
        <v>0.45496209816889083</v>
      </c>
      <c r="G16" s="40">
        <f t="shared" si="3"/>
        <v>0.31620741698156563</v>
      </c>
      <c r="H16" s="40">
        <f t="shared" si="4"/>
        <v>0.22883048484954352</v>
      </c>
      <c r="I16" s="41">
        <f t="shared" si="5"/>
        <v>1</v>
      </c>
    </row>
    <row r="17" spans="1:9" x14ac:dyDescent="0.25">
      <c r="A17" s="5">
        <v>2017</v>
      </c>
      <c r="B17" s="39">
        <v>22049658</v>
      </c>
      <c r="C17" s="39">
        <v>14927885</v>
      </c>
      <c r="D17" s="39">
        <v>10890278</v>
      </c>
      <c r="E17" s="15">
        <f t="shared" si="1"/>
        <v>47867821</v>
      </c>
      <c r="F17" s="40">
        <f t="shared" si="2"/>
        <v>0.46063634273220833</v>
      </c>
      <c r="G17" s="40">
        <f t="shared" si="3"/>
        <v>0.31185637215447931</v>
      </c>
      <c r="H17" s="40">
        <f t="shared" si="4"/>
        <v>0.22750728511331234</v>
      </c>
      <c r="I17" s="41">
        <f t="shared" si="5"/>
        <v>0.99999999999999989</v>
      </c>
    </row>
    <row r="18" spans="1:9" ht="15.75" thickBot="1" x14ac:dyDescent="0.3">
      <c r="A18" s="6">
        <v>2018</v>
      </c>
      <c r="B18" s="16">
        <v>22052810</v>
      </c>
      <c r="C18" s="17">
        <v>15388667</v>
      </c>
      <c r="D18" s="17">
        <v>10949071</v>
      </c>
      <c r="E18" s="15">
        <f t="shared" si="1"/>
        <v>48390548</v>
      </c>
      <c r="F18" s="42">
        <f t="shared" si="2"/>
        <v>0.4557255685552476</v>
      </c>
      <c r="G18" s="43">
        <f t="shared" si="3"/>
        <v>0.3180097691805433</v>
      </c>
      <c r="H18" s="43">
        <f t="shared" si="4"/>
        <v>0.2262646622642091</v>
      </c>
      <c r="I18" s="41">
        <f t="shared" si="5"/>
        <v>1</v>
      </c>
    </row>
    <row r="19" spans="1:9" x14ac:dyDescent="0.25">
      <c r="E19" s="11"/>
      <c r="F19" s="64">
        <f>AVERAGE(F4:F18)</f>
        <v>0.45136221249147379</v>
      </c>
      <c r="G19" s="64">
        <f>AVERAGE(G4:G18)</f>
        <v>0.30906908845280251</v>
      </c>
      <c r="H19" s="64">
        <f>AVERAGE(H4:H18)</f>
        <v>0.23956869905572362</v>
      </c>
      <c r="I19" s="65">
        <f>SUM(F19:H19)</f>
        <v>0.99999999999999989</v>
      </c>
    </row>
  </sheetData>
  <mergeCells count="4">
    <mergeCell ref="A1:A3"/>
    <mergeCell ref="B1:I1"/>
    <mergeCell ref="B2:E2"/>
    <mergeCell ref="F2:I2"/>
  </mergeCells>
  <pageMargins left="0.7" right="0.7" top="0.75" bottom="0.75" header="0.3" footer="0.3"/>
  <pageSetup paperSize="9" orientation="portrait" horizontalDpi="0" verticalDpi="0" r:id="rId1"/>
  <ignoredErrors>
    <ignoredError sqref="E4:E18" formulaRange="1"/>
    <ignoredError sqref="I5:I18 I4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43B0-79B4-45EC-9525-0BB80BD10B54}">
  <dimension ref="A1:M19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21.42578125" style="1" customWidth="1"/>
    <col min="3" max="4" width="14.28515625" style="1" customWidth="1"/>
    <col min="5" max="5" width="14.42578125" style="1" customWidth="1"/>
    <col min="6" max="6" width="21.42578125" style="1" customWidth="1"/>
    <col min="7" max="9" width="14.28515625" style="1" customWidth="1"/>
    <col min="10" max="10" width="21.42578125" style="1" customWidth="1"/>
    <col min="11" max="11" width="14.28515625" style="1" customWidth="1"/>
    <col min="12" max="12" width="14.140625" style="1" customWidth="1"/>
    <col min="13" max="13" width="14.28515625" style="1" customWidth="1"/>
    <col min="14" max="16384" width="11.42578125" style="1"/>
  </cols>
  <sheetData>
    <row r="1" spans="1:13" ht="15.75" thickBot="1" x14ac:dyDescent="0.3">
      <c r="A1" s="68" t="s">
        <v>23</v>
      </c>
      <c r="B1" s="66" t="s">
        <v>19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15.75" thickBot="1" x14ac:dyDescent="0.3">
      <c r="A2" s="69"/>
      <c r="B2" s="66" t="s">
        <v>0</v>
      </c>
      <c r="C2" s="66"/>
      <c r="D2" s="66"/>
      <c r="E2" s="67"/>
      <c r="F2" s="71" t="s">
        <v>1</v>
      </c>
      <c r="G2" s="66"/>
      <c r="H2" s="66"/>
      <c r="I2" s="67"/>
      <c r="J2" s="71" t="s">
        <v>62</v>
      </c>
      <c r="K2" s="66"/>
      <c r="L2" s="66"/>
      <c r="M2" s="67"/>
    </row>
    <row r="3" spans="1:13" ht="15.75" thickBot="1" x14ac:dyDescent="0.3">
      <c r="A3" s="70"/>
      <c r="B3" s="2" t="s">
        <v>2</v>
      </c>
      <c r="C3" s="2" t="s">
        <v>4</v>
      </c>
      <c r="D3" s="2" t="s">
        <v>3</v>
      </c>
      <c r="E3" s="7" t="s">
        <v>24</v>
      </c>
      <c r="F3" s="2" t="s">
        <v>2</v>
      </c>
      <c r="G3" s="2" t="s">
        <v>4</v>
      </c>
      <c r="H3" s="2" t="s">
        <v>3</v>
      </c>
      <c r="I3" s="7" t="s">
        <v>24</v>
      </c>
      <c r="J3" s="2" t="s">
        <v>2</v>
      </c>
      <c r="K3" s="2" t="s">
        <v>4</v>
      </c>
      <c r="L3" s="2" t="s">
        <v>3</v>
      </c>
      <c r="M3" s="7" t="s">
        <v>24</v>
      </c>
    </row>
    <row r="4" spans="1:13" x14ac:dyDescent="0.25">
      <c r="A4" s="4">
        <v>2002</v>
      </c>
      <c r="B4" s="50">
        <f>'Tabla 1'!C4/'Tabla 1'!$B4*'Tabla 10'!F4</f>
        <v>0.32235288813121465</v>
      </c>
      <c r="C4" s="50">
        <f>'Tabla 1'!D4/'Tabla 1'!$B4*'Tabla 10'!G4</f>
        <v>0.35618600797447308</v>
      </c>
      <c r="D4" s="50">
        <f>'Tabla 1'!E4/'Tabla 1'!$B4*'Tabla 10'!H4</f>
        <v>0.32146113343542043</v>
      </c>
      <c r="E4" s="51">
        <f>SUM(B4:D4)</f>
        <v>1.0000000295411082</v>
      </c>
      <c r="F4" s="50">
        <f>'Tabla 1'!G4/'Tabla 1'!$F4*'Tabla 10'!F4</f>
        <v>0.28228162001012802</v>
      </c>
      <c r="G4" s="50">
        <f>'Tabla 1'!H4/'Tabla 1'!$F4*'Tabla 10'!G4</f>
        <v>0.37436846768075421</v>
      </c>
      <c r="H4" s="50">
        <f>'Tabla 1'!I4/'Tabla 1'!$F4*'Tabla 10'!H4</f>
        <v>0.34334991706618367</v>
      </c>
      <c r="I4" s="51">
        <f>SUM(F4:H4)</f>
        <v>1.0000000047570659</v>
      </c>
      <c r="J4" s="52">
        <f>'Tabla 1'!K4/'Tabla 1'!$J4*'Tabla 10'!F4</f>
        <v>0.26028347871422991</v>
      </c>
      <c r="K4" s="53">
        <f>'Tabla 1'!L4/'Tabla 1'!$J4*'Tabla 10'!G4</f>
        <v>0.38165737253775117</v>
      </c>
      <c r="L4" s="53">
        <f>'Tabla 1'!M4/'Tabla 1'!$J4*'Tabla 10'!H4</f>
        <v>0.3580591373581275</v>
      </c>
      <c r="M4" s="51">
        <f>SUM(J4:L4)</f>
        <v>0.99999998861010853</v>
      </c>
    </row>
    <row r="5" spans="1:13" x14ac:dyDescent="0.25">
      <c r="A5" s="5">
        <v>2003</v>
      </c>
      <c r="B5" s="50">
        <f>'Tabla 1'!C5/'Tabla 1'!$B5*'Tabla 10'!F5</f>
        <v>0.33953223190560361</v>
      </c>
      <c r="C5" s="50">
        <f>'Tabla 1'!D5/'Tabla 1'!$B5*'Tabla 10'!G5</f>
        <v>0.35693860974457653</v>
      </c>
      <c r="D5" s="50">
        <f>'Tabla 1'!E5/'Tabla 1'!$B5*'Tabla 10'!H5</f>
        <v>0.30352918764819514</v>
      </c>
      <c r="E5" s="51">
        <f t="shared" ref="E5:E18" si="0">SUM(B5:D5)</f>
        <v>1.0000000292983753</v>
      </c>
      <c r="F5" s="50">
        <f>'Tabla 1'!G5/'Tabla 1'!$F5*'Tabla 10'!F5</f>
        <v>0.30640954813486182</v>
      </c>
      <c r="G5" s="50">
        <f>'Tabla 1'!H5/'Tabla 1'!$F5*'Tabla 10'!G5</f>
        <v>0.37594880188313218</v>
      </c>
      <c r="H5" s="50">
        <f>'Tabla 1'!I5/'Tabla 1'!$F5*'Tabla 10'!H5</f>
        <v>0.31764167624761175</v>
      </c>
      <c r="I5" s="51">
        <f t="shared" ref="I5:I18" si="1">SUM(F5:H5)</f>
        <v>1.0000000262656057</v>
      </c>
      <c r="J5" s="54">
        <f>'Tabla 1'!K5/'Tabla 1'!$J5*'Tabla 10'!F5</f>
        <v>0.28752818100207328</v>
      </c>
      <c r="K5" s="50">
        <f>'Tabla 1'!L5/'Tabla 1'!$J5*'Tabla 10'!G5</f>
        <v>0.38379488579384308</v>
      </c>
      <c r="L5" s="50">
        <f>'Tabla 1'!M5/'Tabla 1'!$J5*'Tabla 10'!H5</f>
        <v>0.32867688509661591</v>
      </c>
      <c r="M5" s="51">
        <f t="shared" ref="M5:M18" si="2">SUM(J5:L5)</f>
        <v>0.99999995189253221</v>
      </c>
    </row>
    <row r="6" spans="1:13" x14ac:dyDescent="0.25">
      <c r="A6" s="5">
        <v>2004</v>
      </c>
      <c r="B6" s="50">
        <f>'Tabla 1'!C6/'Tabla 1'!$B6*'Tabla 10'!F6</f>
        <v>0.32215146261424105</v>
      </c>
      <c r="C6" s="50">
        <f>'Tabla 1'!D6/'Tabla 1'!$B6*'Tabla 10'!G6</f>
        <v>0.36565909318166367</v>
      </c>
      <c r="D6" s="50">
        <f>'Tabla 1'!E6/'Tabla 1'!$B6*'Tabla 10'!H6</f>
        <v>0.31218942008036371</v>
      </c>
      <c r="E6" s="51">
        <f t="shared" si="0"/>
        <v>0.99999997587626832</v>
      </c>
      <c r="F6" s="50">
        <f>'Tabla 1'!G6/'Tabla 1'!$F6*'Tabla 10'!F6</f>
        <v>0.28946442814825712</v>
      </c>
      <c r="G6" s="50">
        <f>'Tabla 1'!H6/'Tabla 1'!$F6*'Tabla 10'!G6</f>
        <v>0.37915301267517393</v>
      </c>
      <c r="H6" s="50">
        <f>'Tabla 1'!I6/'Tabla 1'!$F6*'Tabla 10'!H6</f>
        <v>0.33138258228488654</v>
      </c>
      <c r="I6" s="51">
        <f t="shared" si="1"/>
        <v>1.0000000231083177</v>
      </c>
      <c r="J6" s="54">
        <f>'Tabla 1'!K6/'Tabla 1'!$J6*'Tabla 10'!F6</f>
        <v>0.27356321047063598</v>
      </c>
      <c r="K6" s="50">
        <f>'Tabla 1'!L6/'Tabla 1'!$J6*'Tabla 10'!G6</f>
        <v>0.38168069102979679</v>
      </c>
      <c r="L6" s="50">
        <f>'Tabla 1'!M6/'Tabla 1'!$J6*'Tabla 10'!H6</f>
        <v>0.34475605185961383</v>
      </c>
      <c r="M6" s="51">
        <f t="shared" si="2"/>
        <v>0.99999995336004655</v>
      </c>
    </row>
    <row r="7" spans="1:13" x14ac:dyDescent="0.25">
      <c r="A7" s="5">
        <v>2005</v>
      </c>
      <c r="B7" s="50">
        <f>'Tabla 1'!C7/'Tabla 1'!$B7*'Tabla 10'!F7</f>
        <v>0.32023304956373533</v>
      </c>
      <c r="C7" s="50">
        <f>'Tabla 1'!D7/'Tabla 1'!$B7*'Tabla 10'!G7</f>
        <v>0.36560984537711189</v>
      </c>
      <c r="D7" s="50">
        <f>'Tabla 1'!E7/'Tabla 1'!$B7*'Tabla 10'!H7</f>
        <v>0.31415714459644406</v>
      </c>
      <c r="E7" s="51">
        <f t="shared" si="0"/>
        <v>1.0000000395372912</v>
      </c>
      <c r="F7" s="50">
        <f>'Tabla 1'!G7/'Tabla 1'!$F7*'Tabla 10'!F7</f>
        <v>0.28251433957393318</v>
      </c>
      <c r="G7" s="50">
        <f>'Tabla 1'!H7/'Tabla 1'!$F7*'Tabla 10'!G7</f>
        <v>0.38051217261496767</v>
      </c>
      <c r="H7" s="50">
        <f>'Tabla 1'!I7/'Tabla 1'!$F7*'Tabla 10'!H7</f>
        <v>0.33697350688090966</v>
      </c>
      <c r="I7" s="51">
        <f t="shared" si="1"/>
        <v>1.0000000190698106</v>
      </c>
      <c r="J7" s="54">
        <f>'Tabla 1'!K7/'Tabla 1'!$J7*'Tabla 10'!F7</f>
        <v>0.26224037890756691</v>
      </c>
      <c r="K7" s="50">
        <f>'Tabla 1'!L7/'Tabla 1'!$J7*'Tabla 10'!G7</f>
        <v>0.38588301066728525</v>
      </c>
      <c r="L7" s="50">
        <f>'Tabla 1'!M7/'Tabla 1'!$J7*'Tabla 10'!H7</f>
        <v>0.35187655509990501</v>
      </c>
      <c r="M7" s="51">
        <f t="shared" si="2"/>
        <v>0.99999994467475717</v>
      </c>
    </row>
    <row r="8" spans="1:13" x14ac:dyDescent="0.25">
      <c r="A8" s="5">
        <v>2008</v>
      </c>
      <c r="B8" s="50">
        <f>'Tabla 1'!C8/'Tabla 1'!$B8*'Tabla 10'!F8</f>
        <v>0.28834294798748333</v>
      </c>
      <c r="C8" s="50">
        <f>'Tabla 1'!D8/'Tabla 1'!$B8*'Tabla 10'!G8</f>
        <v>0.38146248660680859</v>
      </c>
      <c r="D8" s="50">
        <f>'Tabla 1'!E8/'Tabla 1'!$B8*'Tabla 10'!H8</f>
        <v>0.33019309334271302</v>
      </c>
      <c r="E8" s="51">
        <f t="shared" si="0"/>
        <v>0.99999852793700494</v>
      </c>
      <c r="F8" s="50">
        <f>'Tabla 1'!G8/'Tabla 1'!$F8*'Tabla 10'!F8</f>
        <v>0.2369628388235766</v>
      </c>
      <c r="G8" s="50">
        <f>'Tabla 1'!H8/'Tabla 1'!$F8*'Tabla 10'!G8</f>
        <v>0.4079567097721265</v>
      </c>
      <c r="H8" s="50">
        <f>'Tabla 1'!I8/'Tabla 1'!$F8*'Tabla 10'!H8</f>
        <v>0.35507843079869794</v>
      </c>
      <c r="I8" s="51">
        <f t="shared" si="1"/>
        <v>0.99999797939440105</v>
      </c>
      <c r="J8" s="54">
        <f>'Tabla 1'!K8/'Tabla 1'!$J8*'Tabla 10'!F8</f>
        <v>0.21015951180816467</v>
      </c>
      <c r="K8" s="50">
        <f>'Tabla 1'!L8/'Tabla 1'!$J8*'Tabla 10'!G8</f>
        <v>0.41873572098180728</v>
      </c>
      <c r="L8" s="50">
        <f>'Tabla 1'!M8/'Tabla 1'!$J8*'Tabla 10'!H8</f>
        <v>0.3711026097436273</v>
      </c>
      <c r="M8" s="51">
        <f t="shared" si="2"/>
        <v>0.99999784253359925</v>
      </c>
    </row>
    <row r="9" spans="1:13" x14ac:dyDescent="0.25">
      <c r="A9" s="5">
        <v>2009</v>
      </c>
      <c r="B9" s="50">
        <f>'Tabla 1'!C9/'Tabla 1'!$B9*'Tabla 10'!F9</f>
        <v>0.28640122362886589</v>
      </c>
      <c r="C9" s="50">
        <f>'Tabla 1'!D9/'Tabla 1'!$B9*'Tabla 10'!G9</f>
        <v>0.38879616861373567</v>
      </c>
      <c r="D9" s="50">
        <f>'Tabla 1'!E9/'Tabla 1'!$B9*'Tabla 10'!H9</f>
        <v>0.32480097895325483</v>
      </c>
      <c r="E9" s="51">
        <f t="shared" si="0"/>
        <v>0.99999837119585644</v>
      </c>
      <c r="F9" s="50">
        <f>'Tabla 1'!G9/'Tabla 1'!$F9*'Tabla 10'!F9</f>
        <v>0.24585908490593372</v>
      </c>
      <c r="G9" s="50">
        <f>'Tabla 1'!H9/'Tabla 1'!$F9*'Tabla 10'!G9</f>
        <v>0.40823636421214676</v>
      </c>
      <c r="H9" s="50">
        <f>'Tabla 1'!I9/'Tabla 1'!$F9*'Tabla 10'!H9</f>
        <v>0.3459025417140596</v>
      </c>
      <c r="I9" s="51">
        <f t="shared" si="1"/>
        <v>0.99999799083214014</v>
      </c>
      <c r="J9" s="54">
        <f>'Tabla 1'!K9/'Tabla 1'!$J9*'Tabla 10'!F9</f>
        <v>0.22744619399654012</v>
      </c>
      <c r="K9" s="50">
        <f>'Tabla 1'!L9/'Tabla 1'!$J9*'Tabla 10'!G9</f>
        <v>0.41561825883594555</v>
      </c>
      <c r="L9" s="50">
        <f>'Tabla 1'!M9/'Tabla 1'!$J9*'Tabla 10'!H9</f>
        <v>0.35693329022136994</v>
      </c>
      <c r="M9" s="51">
        <f t="shared" si="2"/>
        <v>0.99999774305385558</v>
      </c>
    </row>
    <row r="10" spans="1:13" x14ac:dyDescent="0.25">
      <c r="A10" s="5">
        <v>2010</v>
      </c>
      <c r="B10" s="50">
        <f>'Tabla 1'!C10/'Tabla 1'!$B10*'Tabla 10'!F10</f>
        <v>0.28203780625471447</v>
      </c>
      <c r="C10" s="50">
        <f>'Tabla 1'!D10/'Tabla 1'!$B10*'Tabla 10'!G10</f>
        <v>0.39481504814455659</v>
      </c>
      <c r="D10" s="50">
        <f>'Tabla 1'!E10/'Tabla 1'!$B10*'Tabla 10'!H10</f>
        <v>0.32314651191318555</v>
      </c>
      <c r="E10" s="51">
        <f t="shared" si="0"/>
        <v>0.99999936631245667</v>
      </c>
      <c r="F10" s="50">
        <f>'Tabla 1'!G10/'Tabla 1'!$F10*'Tabla 10'!F10</f>
        <v>0.24733746418635527</v>
      </c>
      <c r="G10" s="50">
        <f>'Tabla 1'!H10/'Tabla 1'!$F10*'Tabla 10'!G10</f>
        <v>0.40647603278827027</v>
      </c>
      <c r="H10" s="50">
        <f>'Tabla 1'!I10/'Tabla 1'!$F10*'Tabla 10'!H10</f>
        <v>0.346185691006828</v>
      </c>
      <c r="I10" s="51">
        <f t="shared" si="1"/>
        <v>0.9999991879814536</v>
      </c>
      <c r="J10" s="54">
        <f>'Tabla 1'!K10/'Tabla 1'!$J10*'Tabla 10'!F10</f>
        <v>0.23359576795124917</v>
      </c>
      <c r="K10" s="50">
        <f>'Tabla 1'!L10/'Tabla 1'!$J10*'Tabla 10'!G10</f>
        <v>0.40712085169669887</v>
      </c>
      <c r="L10" s="50">
        <f>'Tabla 1'!M10/'Tabla 1'!$J10*'Tabla 10'!H10</f>
        <v>0.35928246952343418</v>
      </c>
      <c r="M10" s="51">
        <f t="shared" si="2"/>
        <v>0.99999908917138214</v>
      </c>
    </row>
    <row r="11" spans="1:13" x14ac:dyDescent="0.25">
      <c r="A11" s="5">
        <v>2011</v>
      </c>
      <c r="B11" s="50">
        <f>'Tabla 1'!C11/'Tabla 1'!$B11*'Tabla 10'!F11</f>
        <v>0.27360882470343151</v>
      </c>
      <c r="C11" s="50">
        <f>'Tabla 1'!D11/'Tabla 1'!$B11*'Tabla 10'!G11</f>
        <v>0.4002275959433978</v>
      </c>
      <c r="D11" s="50">
        <f>'Tabla 1'!E11/'Tabla 1'!$B11*'Tabla 10'!H11</f>
        <v>0.32616364181325591</v>
      </c>
      <c r="E11" s="51">
        <f t="shared" si="0"/>
        <v>1.0000000624600851</v>
      </c>
      <c r="F11" s="50">
        <f>'Tabla 1'!G11/'Tabla 1'!$F11*'Tabla 10'!F11</f>
        <v>0.2327717055221892</v>
      </c>
      <c r="G11" s="50">
        <f>'Tabla 1'!H11/'Tabla 1'!$F11*'Tabla 10'!G11</f>
        <v>0.4206718845771017</v>
      </c>
      <c r="H11" s="50">
        <f>'Tabla 1'!I11/'Tabla 1'!$F11*'Tabla 10'!H11</f>
        <v>0.34655637147229607</v>
      </c>
      <c r="I11" s="51">
        <f t="shared" si="1"/>
        <v>0.99999996157158688</v>
      </c>
      <c r="J11" s="54">
        <f>'Tabla 1'!K11/'Tabla 1'!$J11*'Tabla 10'!F11</f>
        <v>0.21508546813837764</v>
      </c>
      <c r="K11" s="50">
        <f>'Tabla 1'!L11/'Tabla 1'!$J11*'Tabla 10'!G11</f>
        <v>0.42874330589721094</v>
      </c>
      <c r="L11" s="50">
        <f>'Tabla 1'!M11/'Tabla 1'!$J11*'Tabla 10'!H11</f>
        <v>0.35617123369717807</v>
      </c>
      <c r="M11" s="51">
        <f t="shared" si="2"/>
        <v>1.0000000077327666</v>
      </c>
    </row>
    <row r="12" spans="1:13" x14ac:dyDescent="0.25">
      <c r="A12" s="5">
        <v>2012</v>
      </c>
      <c r="B12" s="50">
        <f>'Tabla 1'!C12/'Tabla 1'!$B12*'Tabla 10'!F12</f>
        <v>0.26201592371801397</v>
      </c>
      <c r="C12" s="50">
        <f>'Tabla 1'!D12/'Tabla 1'!$B12*'Tabla 10'!G12</f>
        <v>0.40195501882935986</v>
      </c>
      <c r="D12" s="50">
        <f>'Tabla 1'!E12/'Tabla 1'!$B12*'Tabla 10'!H12</f>
        <v>0.33602906835581042</v>
      </c>
      <c r="E12" s="51">
        <f t="shared" si="0"/>
        <v>1.0000000109031844</v>
      </c>
      <c r="F12" s="50">
        <f>'Tabla 1'!G12/'Tabla 1'!$F12*'Tabla 10'!F12</f>
        <v>0.22377908873383962</v>
      </c>
      <c r="G12" s="50">
        <f>'Tabla 1'!H12/'Tabla 1'!$F12*'Tabla 10'!G12</f>
        <v>0.42079164981751788</v>
      </c>
      <c r="H12" s="50">
        <f>'Tabla 1'!I12/'Tabla 1'!$F12*'Tabla 10'!H12</f>
        <v>0.35542922319396913</v>
      </c>
      <c r="I12" s="51">
        <f t="shared" si="1"/>
        <v>0.99999996174532657</v>
      </c>
      <c r="J12" s="54">
        <f>'Tabla 1'!K12/'Tabla 1'!$J12*'Tabla 10'!F12</f>
        <v>0.20598435261579301</v>
      </c>
      <c r="K12" s="50">
        <f>'Tabla 1'!L12/'Tabla 1'!$J12*'Tabla 10'!G12</f>
        <v>0.42609651169558543</v>
      </c>
      <c r="L12" s="50">
        <f>'Tabla 1'!M12/'Tabla 1'!$J12*'Tabla 10'!H12</f>
        <v>0.36791912301533169</v>
      </c>
      <c r="M12" s="51">
        <f t="shared" si="2"/>
        <v>0.99999998732671014</v>
      </c>
    </row>
    <row r="13" spans="1:13" x14ac:dyDescent="0.25">
      <c r="A13" s="5">
        <v>2013</v>
      </c>
      <c r="B13" s="50">
        <f>'Tabla 1'!C13/'Tabla 1'!$B13*'Tabla 10'!F13</f>
        <v>0.2595842695104541</v>
      </c>
      <c r="C13" s="50">
        <f>'Tabla 1'!D13/'Tabla 1'!$B13*'Tabla 10'!G13</f>
        <v>0.41401080257357348</v>
      </c>
      <c r="D13" s="50">
        <f>'Tabla 1'!E13/'Tabla 1'!$B13*'Tabla 10'!H13</f>
        <v>0.32640494727588326</v>
      </c>
      <c r="E13" s="51">
        <f t="shared" si="0"/>
        <v>1.0000000193599108</v>
      </c>
      <c r="F13" s="50">
        <f>'Tabla 1'!G13/'Tabla 1'!$F13*'Tabla 10'!F13</f>
        <v>0.22796477373846594</v>
      </c>
      <c r="G13" s="50">
        <f>'Tabla 1'!H13/'Tabla 1'!$F13*'Tabla 10'!G13</f>
        <v>0.43061646419297661</v>
      </c>
      <c r="H13" s="50">
        <f>'Tabla 1'!I13/'Tabla 1'!$F13*'Tabla 10'!H13</f>
        <v>0.34141879640876499</v>
      </c>
      <c r="I13" s="51">
        <f t="shared" si="1"/>
        <v>1.0000000343402076</v>
      </c>
      <c r="J13" s="54">
        <f>'Tabla 1'!K13/'Tabla 1'!$J13*'Tabla 10'!F13</f>
        <v>0.21561648717376025</v>
      </c>
      <c r="K13" s="50">
        <f>'Tabla 1'!L13/'Tabla 1'!$J13*'Tabla 10'!G13</f>
        <v>0.43610700545874143</v>
      </c>
      <c r="L13" s="50">
        <f>'Tabla 1'!M13/'Tabla 1'!$J13*'Tabla 10'!H13</f>
        <v>0.34827650625757911</v>
      </c>
      <c r="M13" s="51">
        <f t="shared" si="2"/>
        <v>0.99999999889008084</v>
      </c>
    </row>
    <row r="14" spans="1:13" x14ac:dyDescent="0.25">
      <c r="A14" s="5">
        <v>2014</v>
      </c>
      <c r="B14" s="50">
        <f>'Tabla 1'!C14/'Tabla 1'!$B14*'Tabla 10'!F14</f>
        <v>0.25275222524152891</v>
      </c>
      <c r="C14" s="50">
        <f>'Tabla 1'!D14/'Tabla 1'!$B14*'Tabla 10'!G14</f>
        <v>0.4107620687149976</v>
      </c>
      <c r="D14" s="50">
        <f>'Tabla 1'!E14/'Tabla 1'!$B14*'Tabla 10'!H14</f>
        <v>0.33648571406011452</v>
      </c>
      <c r="E14" s="51">
        <f t="shared" si="0"/>
        <v>1.0000000080166411</v>
      </c>
      <c r="F14" s="50">
        <f>'Tabla 1'!G14/'Tabla 1'!$F14*'Tabla 10'!F14</f>
        <v>0.21992808982992157</v>
      </c>
      <c r="G14" s="50">
        <f>'Tabla 1'!H14/'Tabla 1'!$F14*'Tabla 10'!G14</f>
        <v>0.42424559477018819</v>
      </c>
      <c r="H14" s="50">
        <f>'Tabla 1'!I14/'Tabla 1'!$F14*'Tabla 10'!H14</f>
        <v>0.35582629246714692</v>
      </c>
      <c r="I14" s="51">
        <f t="shared" si="1"/>
        <v>0.99999997706725674</v>
      </c>
      <c r="J14" s="54">
        <f>'Tabla 1'!K14/'Tabla 1'!$J14*'Tabla 10'!F14</f>
        <v>0.20845855633408242</v>
      </c>
      <c r="K14" s="50">
        <f>'Tabla 1'!L14/'Tabla 1'!$J14*'Tabla 10'!G14</f>
        <v>0.42658639645408586</v>
      </c>
      <c r="L14" s="50">
        <f>'Tabla 1'!M14/'Tabla 1'!$J14*'Tabla 10'!H14</f>
        <v>0.36495507318411957</v>
      </c>
      <c r="M14" s="51">
        <f t="shared" si="2"/>
        <v>1.0000000259722879</v>
      </c>
    </row>
    <row r="15" spans="1:13" x14ac:dyDescent="0.25">
      <c r="A15" s="5">
        <v>2015</v>
      </c>
      <c r="B15" s="50">
        <f>'Tabla 1'!C15/'Tabla 1'!$B15*'Tabla 10'!F15</f>
        <v>0.25054060956610807</v>
      </c>
      <c r="C15" s="50">
        <f>'Tabla 1'!D15/'Tabla 1'!$B15*'Tabla 10'!G15</f>
        <v>0.41633399162042412</v>
      </c>
      <c r="D15" s="50">
        <f>'Tabla 1'!E15/'Tabla 1'!$B15*'Tabla 10'!H15</f>
        <v>0.33312542591239097</v>
      </c>
      <c r="E15" s="51">
        <f t="shared" si="0"/>
        <v>1.0000000270989231</v>
      </c>
      <c r="F15" s="50">
        <f>'Tabla 1'!G15/'Tabla 1'!$F15*'Tabla 10'!F15</f>
        <v>0.22558104290339079</v>
      </c>
      <c r="G15" s="50">
        <f>'Tabla 1'!H15/'Tabla 1'!$F15*'Tabla 10'!G15</f>
        <v>0.42445871619332315</v>
      </c>
      <c r="H15" s="50">
        <f>'Tabla 1'!I15/'Tabla 1'!$F15*'Tabla 10'!H15</f>
        <v>0.34996025973719358</v>
      </c>
      <c r="I15" s="51">
        <f t="shared" si="1"/>
        <v>1.0000000188339075</v>
      </c>
      <c r="J15" s="54">
        <f>'Tabla 1'!K15/'Tabla 1'!$J15*'Tabla 10'!F15</f>
        <v>0.22076626064618815</v>
      </c>
      <c r="K15" s="50">
        <f>'Tabla 1'!L15/'Tabla 1'!$J15*'Tabla 10'!G15</f>
        <v>0.41990540665491755</v>
      </c>
      <c r="L15" s="50">
        <f>'Tabla 1'!M15/'Tabla 1'!$J15*'Tabla 10'!H15</f>
        <v>0.35932834947811598</v>
      </c>
      <c r="M15" s="51">
        <f t="shared" si="2"/>
        <v>1.0000000167792216</v>
      </c>
    </row>
    <row r="16" spans="1:13" x14ac:dyDescent="0.25">
      <c r="A16" s="5">
        <v>2016</v>
      </c>
      <c r="B16" s="50">
        <f>'Tabla 1'!C16/'Tabla 1'!$B16*'Tabla 10'!F16</f>
        <v>0.2584202419654047</v>
      </c>
      <c r="C16" s="50">
        <f>'Tabla 1'!D16/'Tabla 1'!$B16*'Tabla 10'!G16</f>
        <v>0.42671501702518999</v>
      </c>
      <c r="D16" s="50">
        <f>'Tabla 1'!E16/'Tabla 1'!$B16*'Tabla 10'!H16</f>
        <v>0.31486474443280993</v>
      </c>
      <c r="E16" s="51">
        <f t="shared" si="0"/>
        <v>1.0000000034234047</v>
      </c>
      <c r="F16" s="50">
        <f>'Tabla 1'!G16/'Tabla 1'!$F16*'Tabla 10'!F16</f>
        <v>0.22852121108725246</v>
      </c>
      <c r="G16" s="50">
        <f>'Tabla 1'!H16/'Tabla 1'!$F16*'Tabla 10'!G16</f>
        <v>0.44135038439361129</v>
      </c>
      <c r="H16" s="50">
        <f>'Tabla 1'!I16/'Tabla 1'!$F16*'Tabla 10'!H16</f>
        <v>0.33012841059774234</v>
      </c>
      <c r="I16" s="51">
        <f t="shared" si="1"/>
        <v>1.0000000060786061</v>
      </c>
      <c r="J16" s="54">
        <f>'Tabla 1'!K16/'Tabla 1'!$J16*'Tabla 10'!F16</f>
        <v>0.21979532202192523</v>
      </c>
      <c r="K16" s="50">
        <f>'Tabla 1'!L16/'Tabla 1'!$J16*'Tabla 10'!G16</f>
        <v>0.44447985101965454</v>
      </c>
      <c r="L16" s="50">
        <f>'Tabla 1'!M16/'Tabla 1'!$J16*'Tabla 10'!H16</f>
        <v>0.33572484358399107</v>
      </c>
      <c r="M16" s="51">
        <f t="shared" si="2"/>
        <v>1.0000000166255709</v>
      </c>
    </row>
    <row r="17" spans="1:13" x14ac:dyDescent="0.25">
      <c r="A17" s="5">
        <v>2017</v>
      </c>
      <c r="B17" s="50">
        <f>'Tabla 1'!C17/'Tabla 1'!$B17*'Tabla 10'!F17</f>
        <v>0.27208321681568032</v>
      </c>
      <c r="C17" s="50">
        <f>'Tabla 1'!D17/'Tabla 1'!$B17*'Tabla 10'!G17</f>
        <v>0.42390414798901072</v>
      </c>
      <c r="D17" s="50">
        <f>'Tabla 1'!E17/'Tabla 1'!$B17*'Tabla 10'!H17</f>
        <v>0.30401263904548625</v>
      </c>
      <c r="E17" s="51">
        <f t="shared" si="0"/>
        <v>1.0000000038501773</v>
      </c>
      <c r="F17" s="50">
        <f>'Tabla 1'!G17/'Tabla 1'!$F17*'Tabla 10'!F17</f>
        <v>0.24392765197752031</v>
      </c>
      <c r="G17" s="50">
        <f>'Tabla 1'!H17/'Tabla 1'!$F17*'Tabla 10'!G17</f>
        <v>0.44078985051211417</v>
      </c>
      <c r="H17" s="50">
        <f>'Tabla 1'!I17/'Tabla 1'!$F17*'Tabla 10'!H17</f>
        <v>0.31528252840220111</v>
      </c>
      <c r="I17" s="51">
        <f t="shared" si="1"/>
        <v>1.0000000308918355</v>
      </c>
      <c r="J17" s="54">
        <f>'Tabla 1'!K17/'Tabla 1'!$J17*'Tabla 10'!F17</f>
        <v>0.23836107515675217</v>
      </c>
      <c r="K17" s="50">
        <f>'Tabla 1'!L17/'Tabla 1'!$J17*'Tabla 10'!G17</f>
        <v>0.44375264583578228</v>
      </c>
      <c r="L17" s="50">
        <f>'Tabla 1'!M17/'Tabla 1'!$J17*'Tabla 10'!H17</f>
        <v>0.31788630677149415</v>
      </c>
      <c r="M17" s="51">
        <f t="shared" si="2"/>
        <v>1.0000000277640286</v>
      </c>
    </row>
    <row r="18" spans="1:13" ht="15.75" thickBot="1" x14ac:dyDescent="0.3">
      <c r="A18" s="6">
        <v>2018</v>
      </c>
      <c r="B18" s="55">
        <f>'Tabla 1'!C18/'Tabla 1'!$B18*'Tabla 10'!F18</f>
        <v>0.27311569814171205</v>
      </c>
      <c r="C18" s="56">
        <f>'Tabla 1'!D18/'Tabla 1'!$B18*'Tabla 10'!G18</f>
        <v>0.42481325620745958</v>
      </c>
      <c r="D18" s="56">
        <f>'Tabla 1'!E18/'Tabla 1'!$B18*'Tabla 10'!H18</f>
        <v>0.30207100506672058</v>
      </c>
      <c r="E18" s="51">
        <f t="shared" si="0"/>
        <v>0.99999995941589215</v>
      </c>
      <c r="F18" s="55">
        <f>'Tabla 1'!G18/'Tabla 1'!$F18*'Tabla 10'!F18</f>
        <v>0.24739296762995877</v>
      </c>
      <c r="G18" s="56">
        <f>'Tabla 1'!H18/'Tabla 1'!$F18*'Tabla 10'!G18</f>
        <v>0.43469572568398007</v>
      </c>
      <c r="H18" s="56">
        <f>'Tabla 1'!I18/'Tabla 1'!$F18*'Tabla 10'!H18</f>
        <v>0.31791130797589168</v>
      </c>
      <c r="I18" s="51">
        <f t="shared" si="1"/>
        <v>1.0000000012898305</v>
      </c>
      <c r="J18" s="55">
        <f>'Tabla 1'!K18/'Tabla 1'!$J18*'Tabla 10'!F18</f>
        <v>0.24229303183247575</v>
      </c>
      <c r="K18" s="56">
        <f>'Tabla 1'!L18/'Tabla 1'!$J18*'Tabla 10'!G18</f>
        <v>0.43135597498200295</v>
      </c>
      <c r="L18" s="56">
        <f>'Tabla 1'!M18/'Tabla 1'!$J18*'Tabla 10'!H18</f>
        <v>0.3263509508979956</v>
      </c>
      <c r="M18" s="57">
        <f t="shared" si="2"/>
        <v>0.9999999577124743</v>
      </c>
    </row>
    <row r="19" spans="1:13" x14ac:dyDescent="0.25">
      <c r="B19" s="62">
        <f t="shared" ref="B19:C19" si="3">AVERAGE(B4:B18)</f>
        <v>0.28421150798321282</v>
      </c>
      <c r="C19" s="62">
        <f t="shared" si="3"/>
        <v>0.39521261056975587</v>
      </c>
      <c r="D19" s="62">
        <f>AVERAGE(D4:D18)</f>
        <v>0.32057564372880332</v>
      </c>
      <c r="E19" s="63">
        <f>SUM(B19:D19)</f>
        <v>0.99999976228177201</v>
      </c>
      <c r="F19" s="62">
        <f t="shared" ref="F19" si="4">AVERAGE(F4:F18)</f>
        <v>0.24937972368037228</v>
      </c>
      <c r="G19" s="62">
        <f t="shared" ref="G19" si="5">AVERAGE(G4:G18)</f>
        <v>0.41135145545115892</v>
      </c>
      <c r="H19" s="62">
        <f>AVERAGE(H4:H18)</f>
        <v>0.33926850241695888</v>
      </c>
      <c r="I19" s="63">
        <f>SUM(F19:H19)</f>
        <v>0.99999968154849017</v>
      </c>
      <c r="J19" s="62">
        <f t="shared" ref="J19" si="6">AVERAGE(J4:J18)</f>
        <v>0.23474515178465433</v>
      </c>
      <c r="K19" s="62">
        <f t="shared" ref="K19" si="7">AVERAGE(K4:K18)</f>
        <v>0.41543452596940722</v>
      </c>
      <c r="L19" s="62">
        <f>AVERAGE(L4:L18)</f>
        <v>0.34981995905256658</v>
      </c>
      <c r="M19" s="63">
        <f>SUM(J19:L19)</f>
        <v>0.99999963680662818</v>
      </c>
    </row>
  </sheetData>
  <mergeCells count="5">
    <mergeCell ref="A1:A3"/>
    <mergeCell ref="B1:M1"/>
    <mergeCell ref="B2:E2"/>
    <mergeCell ref="F2:I2"/>
    <mergeCell ref="J2:M2"/>
  </mergeCells>
  <pageMargins left="0.7" right="0.7" top="0.75" bottom="0.75" header="0.3" footer="0.3"/>
  <pageSetup paperSize="9" orientation="portrait" horizontalDpi="0" verticalDpi="0" r:id="rId1"/>
  <ignoredErrors>
    <ignoredError sqref="E4:E18" formulaRange="1"/>
    <ignoredError sqref="E19:I19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DA88-E9C6-4A31-BBFD-9C619A0751AD}">
  <dimension ref="A1:M19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3"/>
    </sheetView>
  </sheetViews>
  <sheetFormatPr baseColWidth="10" defaultRowHeight="15" x14ac:dyDescent="0.25"/>
  <cols>
    <col min="1" max="1" width="11.42578125" style="1"/>
    <col min="2" max="2" width="21.42578125" style="1" customWidth="1"/>
    <col min="3" max="4" width="14.28515625" style="1" customWidth="1"/>
    <col min="5" max="5" width="14.42578125" style="1" customWidth="1"/>
    <col min="6" max="6" width="21.42578125" style="1" customWidth="1"/>
    <col min="7" max="9" width="14.28515625" style="1" customWidth="1"/>
    <col min="10" max="10" width="21.42578125" style="1" customWidth="1"/>
    <col min="11" max="11" width="14.28515625" style="1" customWidth="1"/>
    <col min="12" max="12" width="14.140625" style="1" customWidth="1"/>
    <col min="13" max="13" width="14.28515625" style="1" customWidth="1"/>
    <col min="14" max="16384" width="11.42578125" style="1"/>
  </cols>
  <sheetData>
    <row r="1" spans="1:13" ht="15.75" thickBot="1" x14ac:dyDescent="0.3">
      <c r="A1" s="68" t="s">
        <v>23</v>
      </c>
      <c r="B1" s="66" t="s">
        <v>18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15.75" thickBot="1" x14ac:dyDescent="0.3">
      <c r="A2" s="69"/>
      <c r="B2" s="66" t="s">
        <v>0</v>
      </c>
      <c r="C2" s="66"/>
      <c r="D2" s="66"/>
      <c r="E2" s="67"/>
      <c r="F2" s="71" t="s">
        <v>1</v>
      </c>
      <c r="G2" s="66"/>
      <c r="H2" s="66"/>
      <c r="I2" s="67"/>
      <c r="J2" s="71" t="s">
        <v>62</v>
      </c>
      <c r="K2" s="66"/>
      <c r="L2" s="66"/>
      <c r="M2" s="67"/>
    </row>
    <row r="3" spans="1:13" ht="15.75" thickBot="1" x14ac:dyDescent="0.3">
      <c r="A3" s="70"/>
      <c r="B3" s="2" t="s">
        <v>2</v>
      </c>
      <c r="C3" s="2" t="s">
        <v>4</v>
      </c>
      <c r="D3" s="2" t="s">
        <v>3</v>
      </c>
      <c r="E3" s="7" t="s">
        <v>24</v>
      </c>
      <c r="F3" s="2" t="s">
        <v>2</v>
      </c>
      <c r="G3" s="2" t="s">
        <v>4</v>
      </c>
      <c r="H3" s="2" t="s">
        <v>3</v>
      </c>
      <c r="I3" s="7" t="s">
        <v>24</v>
      </c>
      <c r="J3" s="2" t="s">
        <v>2</v>
      </c>
      <c r="K3" s="2" t="s">
        <v>4</v>
      </c>
      <c r="L3" s="2" t="s">
        <v>3</v>
      </c>
      <c r="M3" s="7" t="s">
        <v>24</v>
      </c>
    </row>
    <row r="4" spans="1:13" x14ac:dyDescent="0.25">
      <c r="A4" s="4">
        <v>2002</v>
      </c>
      <c r="B4" s="50">
        <f>'Tabla 2'!C4/'Tabla 2'!$B4*'Tabla 10'!F4</f>
        <v>0.18696689890168972</v>
      </c>
      <c r="C4" s="50">
        <f>'Tabla 2'!D4/'Tabla 2'!$B4*'Tabla 10'!G4</f>
        <v>0.32844375627718142</v>
      </c>
      <c r="D4" s="50">
        <f>'Tabla 2'!E4/'Tabla 2'!$B4*'Tabla 10'!H4</f>
        <v>0.48458929018865782</v>
      </c>
      <c r="E4" s="51">
        <f>SUM(B4:D4)</f>
        <v>0.9999999453675289</v>
      </c>
      <c r="F4" s="50">
        <f>'Tabla 2'!G4/'Tabla 2'!$F4*'Tabla 10'!F4</f>
        <v>0.17883898175116983</v>
      </c>
      <c r="G4" s="50">
        <f>'Tabla 2'!H4/'Tabla 2'!$F4*'Tabla 10'!G4</f>
        <v>0.30619993141668767</v>
      </c>
      <c r="H4" s="50">
        <f>'Tabla 2'!I4/'Tabla 2'!$F4*'Tabla 10'!H4</f>
        <v>0.51496106627393623</v>
      </c>
      <c r="I4" s="51">
        <f>SUM(F4:H4)</f>
        <v>0.99999997944179375</v>
      </c>
      <c r="J4" s="52">
        <f>'Tabla 2'!K4/'Tabla 2'!$J4*'Tabla 10'!F4</f>
        <v>0.18655162733983957</v>
      </c>
      <c r="K4" s="53">
        <f>'Tabla 2'!L4/'Tabla 2'!$J4*'Tabla 10'!G4</f>
        <v>0.29543265042312783</v>
      </c>
      <c r="L4" s="53">
        <f>'Tabla 2'!M4/'Tabla 2'!$J4*'Tabla 10'!H4</f>
        <v>0.51801571853115169</v>
      </c>
      <c r="M4" s="51">
        <f>SUM(J4:L4)</f>
        <v>0.99999999629411906</v>
      </c>
    </row>
    <row r="5" spans="1:13" x14ac:dyDescent="0.25">
      <c r="A5" s="5">
        <v>2003</v>
      </c>
      <c r="B5" s="50">
        <f>'Tabla 2'!C5/'Tabla 2'!$B5*'Tabla 10'!F5</f>
        <v>0.20890899198302859</v>
      </c>
      <c r="C5" s="50">
        <f>'Tabla 2'!D5/'Tabla 2'!$B5*'Tabla 10'!G5</f>
        <v>0.31916225468584453</v>
      </c>
      <c r="D5" s="50">
        <f>'Tabla 2'!E5/'Tabla 2'!$B5*'Tabla 10'!H5</f>
        <v>0.47192876842072101</v>
      </c>
      <c r="E5" s="51">
        <f t="shared" ref="E5:E18" si="0">SUM(B5:D5)</f>
        <v>1.000000015089594</v>
      </c>
      <c r="F5" s="50">
        <f>'Tabla 2'!G5/'Tabla 2'!$F5*'Tabla 10'!F5</f>
        <v>0.20135937305199555</v>
      </c>
      <c r="G5" s="50">
        <f>'Tabla 2'!H5/'Tabla 2'!$F5*'Tabla 10'!G5</f>
        <v>0.3139108312324278</v>
      </c>
      <c r="H5" s="50">
        <f>'Tabla 2'!I5/'Tabla 2'!$F5*'Tabla 10'!H5</f>
        <v>0.48472980865400916</v>
      </c>
      <c r="I5" s="51">
        <f t="shared" ref="I5:I18" si="1">SUM(F5:H5)</f>
        <v>1.0000000129384325</v>
      </c>
      <c r="J5" s="54">
        <f>'Tabla 2'!K5/'Tabla 2'!$J5*'Tabla 10'!F5</f>
        <v>0.20731106565142263</v>
      </c>
      <c r="K5" s="50">
        <f>'Tabla 2'!L5/'Tabla 2'!$J5*'Tabla 10'!G5</f>
        <v>0.31165165384938398</v>
      </c>
      <c r="L5" s="50">
        <f>'Tabla 2'!M5/'Tabla 2'!$J5*'Tabla 10'!H5</f>
        <v>0.48103731336483108</v>
      </c>
      <c r="M5" s="51">
        <f t="shared" ref="M5:M18" si="2">SUM(J5:L5)</f>
        <v>1.0000000328656378</v>
      </c>
    </row>
    <row r="6" spans="1:13" x14ac:dyDescent="0.25">
      <c r="A6" s="5">
        <v>2004</v>
      </c>
      <c r="B6" s="50">
        <f>'Tabla 2'!C6/'Tabla 2'!$B6*'Tabla 10'!F6</f>
        <v>0.19627445583155453</v>
      </c>
      <c r="C6" s="50">
        <f>'Tabla 2'!D6/'Tabla 2'!$B6*'Tabla 10'!G6</f>
        <v>0.30740382888733053</v>
      </c>
      <c r="D6" s="50">
        <f>'Tabla 2'!E6/'Tabla 2'!$B6*'Tabla 10'!H6</f>
        <v>0.49632169769680806</v>
      </c>
      <c r="E6" s="51">
        <f t="shared" si="0"/>
        <v>0.9999999824156931</v>
      </c>
      <c r="F6" s="50">
        <f>'Tabla 2'!G6/'Tabla 2'!$F6*'Tabla 10'!F6</f>
        <v>0.20061376477817564</v>
      </c>
      <c r="G6" s="50">
        <f>'Tabla 2'!H6/'Tabla 2'!$F6*'Tabla 10'!G6</f>
        <v>0.28871865676947861</v>
      </c>
      <c r="H6" s="50">
        <f>'Tabla 2'!I6/'Tabla 2'!$F6*'Tabla 10'!H6</f>
        <v>0.51066755037014699</v>
      </c>
      <c r="I6" s="51">
        <f t="shared" si="1"/>
        <v>0.99999997191780121</v>
      </c>
      <c r="J6" s="54">
        <f>'Tabla 2'!K6/'Tabla 2'!$J6*'Tabla 10'!F6</f>
        <v>0.21689891765390415</v>
      </c>
      <c r="K6" s="50">
        <f>'Tabla 2'!L6/'Tabla 2'!$J6*'Tabla 10'!G6</f>
        <v>0.276459310478469</v>
      </c>
      <c r="L6" s="50">
        <f>'Tabla 2'!M6/'Tabla 2'!$J6*'Tabla 10'!H6</f>
        <v>0.50664179188791481</v>
      </c>
      <c r="M6" s="51">
        <f t="shared" si="2"/>
        <v>1.0000000200202881</v>
      </c>
    </row>
    <row r="7" spans="1:13" x14ac:dyDescent="0.25">
      <c r="A7" s="5">
        <v>2005</v>
      </c>
      <c r="B7" s="50">
        <f>'Tabla 2'!C7/'Tabla 2'!$B7*'Tabla 10'!F7</f>
        <v>0.1825697541834165</v>
      </c>
      <c r="C7" s="50">
        <f>'Tabla 2'!D7/'Tabla 2'!$B7*'Tabla 10'!G7</f>
        <v>0.31258469396611516</v>
      </c>
      <c r="D7" s="50">
        <f>'Tabla 2'!E7/'Tabla 2'!$B7*'Tabla 10'!H7</f>
        <v>0.50484553149696054</v>
      </c>
      <c r="E7" s="51">
        <f t="shared" si="0"/>
        <v>0.99999997964649223</v>
      </c>
      <c r="F7" s="50">
        <f>'Tabla 2'!G7/'Tabla 2'!$F7*'Tabla 10'!F7</f>
        <v>0.17890320806452689</v>
      </c>
      <c r="G7" s="50">
        <f>'Tabla 2'!H7/'Tabla 2'!$F7*'Tabla 10'!G7</f>
        <v>0.29137062679717429</v>
      </c>
      <c r="H7" s="50">
        <f>'Tabla 2'!I7/'Tabla 2'!$F7*'Tabla 10'!H7</f>
        <v>0.5297261687550292</v>
      </c>
      <c r="I7" s="51">
        <f t="shared" si="1"/>
        <v>1.0000000036167305</v>
      </c>
      <c r="J7" s="54">
        <f>'Tabla 2'!K7/'Tabla 2'!$J7*'Tabla 10'!F7</f>
        <v>0.18975191438563793</v>
      </c>
      <c r="K7" s="50">
        <f>'Tabla 2'!L7/'Tabla 2'!$J7*'Tabla 10'!G7</f>
        <v>0.27535257493031173</v>
      </c>
      <c r="L7" s="50">
        <f>'Tabla 2'!M7/'Tabla 2'!$J7*'Tabla 10'!H7</f>
        <v>0.53489549794148228</v>
      </c>
      <c r="M7" s="51">
        <f t="shared" si="2"/>
        <v>0.99999998725743189</v>
      </c>
    </row>
    <row r="8" spans="1:13" x14ac:dyDescent="0.25">
      <c r="A8" s="5">
        <v>2008</v>
      </c>
      <c r="B8" s="50">
        <f>'Tabla 2'!C8/'Tabla 2'!$B8*'Tabla 10'!F8</f>
        <v>0.15277853181131812</v>
      </c>
      <c r="C8" s="50">
        <f>'Tabla 2'!D8/'Tabla 2'!$B8*'Tabla 10'!G8</f>
        <v>0.35937036491073043</v>
      </c>
      <c r="D8" s="50">
        <f>'Tabla 2'!E8/'Tabla 2'!$B8*'Tabla 10'!H8</f>
        <v>0.48784842850274834</v>
      </c>
      <c r="E8" s="51">
        <f t="shared" si="0"/>
        <v>0.9999973252247969</v>
      </c>
      <c r="F8" s="50">
        <f>'Tabla 2'!G8/'Tabla 2'!$F8*'Tabla 10'!F8</f>
        <v>0.13997395010108671</v>
      </c>
      <c r="G8" s="50">
        <f>'Tabla 2'!H8/'Tabla 2'!$F8*'Tabla 10'!G8</f>
        <v>0.34873091848950993</v>
      </c>
      <c r="H8" s="50">
        <f>'Tabla 2'!I8/'Tabla 2'!$F8*'Tabla 10'!H8</f>
        <v>0.5112922268129495</v>
      </c>
      <c r="I8" s="51">
        <f t="shared" si="1"/>
        <v>0.9999970954035462</v>
      </c>
      <c r="J8" s="54">
        <f>'Tabla 2'!K8/'Tabla 2'!$J8*'Tabla 10'!F8</f>
        <v>0.14274573637295748</v>
      </c>
      <c r="K8" s="50">
        <f>'Tabla 2'!L8/'Tabla 2'!$J8*'Tabla 10'!G8</f>
        <v>0.3457893760333931</v>
      </c>
      <c r="L8" s="50">
        <f>'Tabla 2'!M8/'Tabla 2'!$J8*'Tabla 10'!H8</f>
        <v>0.51146203373057264</v>
      </c>
      <c r="M8" s="51">
        <f t="shared" si="2"/>
        <v>0.99999714613692325</v>
      </c>
    </row>
    <row r="9" spans="1:13" x14ac:dyDescent="0.25">
      <c r="A9" s="5">
        <v>2009</v>
      </c>
      <c r="B9" s="50">
        <f>'Tabla 2'!C9/'Tabla 2'!$B9*'Tabla 10'!F9</f>
        <v>0.16346328848384581</v>
      </c>
      <c r="C9" s="50">
        <f>'Tabla 2'!D9/'Tabla 2'!$B9*'Tabla 10'!G9</f>
        <v>0.35178344551572777</v>
      </c>
      <c r="D9" s="50">
        <f>'Tabla 2'!E9/'Tabla 2'!$B9*'Tabla 10'!H9</f>
        <v>0.48474731049420416</v>
      </c>
      <c r="E9" s="51">
        <f t="shared" si="0"/>
        <v>0.99999404449377771</v>
      </c>
      <c r="F9" s="50">
        <f>'Tabla 2'!G9/'Tabla 2'!$F9*'Tabla 10'!F9</f>
        <v>0.16259955372654647</v>
      </c>
      <c r="G9" s="50">
        <f>'Tabla 2'!H9/'Tabla 2'!$F9*'Tabla 10'!G9</f>
        <v>0.33696030206600325</v>
      </c>
      <c r="H9" s="50">
        <f>'Tabla 2'!I9/'Tabla 2'!$F9*'Tabla 10'!H9</f>
        <v>0.50043364370387344</v>
      </c>
      <c r="I9" s="51">
        <f t="shared" si="1"/>
        <v>0.99999349949642313</v>
      </c>
      <c r="J9" s="54">
        <f>'Tabla 2'!K9/'Tabla 2'!$J9*'Tabla 10'!F9</f>
        <v>0.1764030272709784</v>
      </c>
      <c r="K9" s="50">
        <f>'Tabla 2'!L9/'Tabla 2'!$J9*'Tabla 10'!G9</f>
        <v>0.32677094061912509</v>
      </c>
      <c r="L9" s="50">
        <f>'Tabla 2'!M9/'Tabla 2'!$J9*'Tabla 10'!H9</f>
        <v>0.49681954924065164</v>
      </c>
      <c r="M9" s="51">
        <f t="shared" si="2"/>
        <v>0.99999351713075513</v>
      </c>
    </row>
    <row r="10" spans="1:13" x14ac:dyDescent="0.25">
      <c r="A10" s="5">
        <v>2010</v>
      </c>
      <c r="B10" s="50">
        <f>'Tabla 2'!C10/'Tabla 2'!$B10*'Tabla 10'!F10</f>
        <v>0.17051865973949526</v>
      </c>
      <c r="C10" s="50">
        <f>'Tabla 2'!D10/'Tabla 2'!$B10*'Tabla 10'!G10</f>
        <v>0.33445371514172478</v>
      </c>
      <c r="D10" s="50">
        <f>'Tabla 2'!E10/'Tabla 2'!$B10*'Tabla 10'!H10</f>
        <v>0.49502646128434818</v>
      </c>
      <c r="E10" s="51">
        <f t="shared" si="0"/>
        <v>0.99999883616556828</v>
      </c>
      <c r="F10" s="50">
        <f>'Tabla 2'!G10/'Tabla 2'!$F10*'Tabla 10'!F10</f>
        <v>0.1770992500941371</v>
      </c>
      <c r="G10" s="50">
        <f>'Tabla 2'!H10/'Tabla 2'!$F10*'Tabla 10'!G10</f>
        <v>0.31226879734134549</v>
      </c>
      <c r="H10" s="50">
        <f>'Tabla 2'!I10/'Tabla 2'!$F10*'Tabla 10'!H10</f>
        <v>0.51063089596330902</v>
      </c>
      <c r="I10" s="51">
        <f t="shared" si="1"/>
        <v>0.99999894339879158</v>
      </c>
      <c r="J10" s="54">
        <f>'Tabla 2'!K10/'Tabla 2'!$J10*'Tabla 10'!F10</f>
        <v>0.19463055882556687</v>
      </c>
      <c r="K10" s="50">
        <f>'Tabla 2'!L10/'Tabla 2'!$J10*'Tabla 10'!G10</f>
        <v>0.29553854759186549</v>
      </c>
      <c r="L10" s="50">
        <f>'Tabla 2'!M10/'Tabla 2'!$J10*'Tabla 10'!H10</f>
        <v>0.50982984838193146</v>
      </c>
      <c r="M10" s="51">
        <f t="shared" si="2"/>
        <v>0.99999895479936385</v>
      </c>
    </row>
    <row r="11" spans="1:13" x14ac:dyDescent="0.25">
      <c r="A11" s="5">
        <v>2011</v>
      </c>
      <c r="B11" s="50">
        <f>'Tabla 2'!C11/'Tabla 2'!$B11*'Tabla 10'!F11</f>
        <v>0.14776687361823224</v>
      </c>
      <c r="C11" s="50">
        <f>'Tabla 2'!D11/'Tabla 2'!$B11*'Tabla 10'!G11</f>
        <v>0.34840102022846392</v>
      </c>
      <c r="D11" s="50">
        <f>'Tabla 2'!E11/'Tabla 2'!$B11*'Tabla 10'!H11</f>
        <v>0.50383213735259891</v>
      </c>
      <c r="E11" s="51">
        <f t="shared" si="0"/>
        <v>1.0000000311992951</v>
      </c>
      <c r="F11" s="50">
        <f>'Tabla 2'!G11/'Tabla 2'!$F11*'Tabla 10'!F11</f>
        <v>0.15320623140981698</v>
      </c>
      <c r="G11" s="50">
        <f>'Tabla 2'!H11/'Tabla 2'!$F11*'Tabla 10'!G11</f>
        <v>0.33410122594770347</v>
      </c>
      <c r="H11" s="50">
        <f>'Tabla 2'!I11/'Tabla 2'!$F11*'Tabla 10'!H11</f>
        <v>0.51269254595592717</v>
      </c>
      <c r="I11" s="51">
        <f t="shared" si="1"/>
        <v>1.0000000033134477</v>
      </c>
      <c r="J11" s="54">
        <f>'Tabla 2'!K11/'Tabla 2'!$J11*'Tabla 10'!F11</f>
        <v>0.1698195189007298</v>
      </c>
      <c r="K11" s="50">
        <f>'Tabla 2'!L11/'Tabla 2'!$J11*'Tabla 10'!G11</f>
        <v>0.32848701782223799</v>
      </c>
      <c r="L11" s="50">
        <f>'Tabla 2'!M11/'Tabla 2'!$J11*'Tabla 10'!H11</f>
        <v>0.50169349779003924</v>
      </c>
      <c r="M11" s="51">
        <f t="shared" si="2"/>
        <v>1.0000000345130071</v>
      </c>
    </row>
    <row r="12" spans="1:13" x14ac:dyDescent="0.25">
      <c r="A12" s="5">
        <v>2012</v>
      </c>
      <c r="B12" s="50">
        <f>'Tabla 2'!C12/'Tabla 2'!$B12*'Tabla 10'!F12</f>
        <v>0.14440772057199988</v>
      </c>
      <c r="C12" s="50">
        <f>'Tabla 2'!D12/'Tabla 2'!$B12*'Tabla 10'!G12</f>
        <v>0.34116123878151033</v>
      </c>
      <c r="D12" s="50">
        <f>'Tabla 2'!E12/'Tabla 2'!$B12*'Tabla 10'!H12</f>
        <v>0.51443107595436122</v>
      </c>
      <c r="E12" s="51">
        <f t="shared" si="0"/>
        <v>1.0000000353078713</v>
      </c>
      <c r="F12" s="50">
        <f>'Tabla 2'!G12/'Tabla 2'!$F12*'Tabla 10'!F12</f>
        <v>0.14705219692857976</v>
      </c>
      <c r="G12" s="50">
        <f>'Tabla 2'!H12/'Tabla 2'!$F12*'Tabla 10'!G12</f>
        <v>0.32972326933976304</v>
      </c>
      <c r="H12" s="50">
        <f>'Tabla 2'!I12/'Tabla 2'!$F12*'Tabla 10'!H12</f>
        <v>0.52322453759572007</v>
      </c>
      <c r="I12" s="51">
        <f t="shared" si="1"/>
        <v>1.0000000038640628</v>
      </c>
      <c r="J12" s="54">
        <f>'Tabla 2'!K12/'Tabla 2'!$J12*'Tabla 10'!F12</f>
        <v>0.15786732089255295</v>
      </c>
      <c r="K12" s="50">
        <f>'Tabla 2'!L12/'Tabla 2'!$J12*'Tabla 10'!G12</f>
        <v>0.32840981221992366</v>
      </c>
      <c r="L12" s="50">
        <f>'Tabla 2'!M12/'Tabla 2'!$J12*'Tabla 10'!H12</f>
        <v>0.5137228608333323</v>
      </c>
      <c r="M12" s="51">
        <f t="shared" si="2"/>
        <v>0.99999999394580885</v>
      </c>
    </row>
    <row r="13" spans="1:13" x14ac:dyDescent="0.25">
      <c r="A13" s="5">
        <v>2013</v>
      </c>
      <c r="B13" s="50">
        <f>'Tabla 2'!C13/'Tabla 2'!$B13*'Tabla 10'!F13</f>
        <v>0.15025795916493032</v>
      </c>
      <c r="C13" s="50">
        <f>'Tabla 2'!D13/'Tabla 2'!$B13*'Tabla 10'!G13</f>
        <v>0.35722729745286325</v>
      </c>
      <c r="D13" s="50">
        <f>'Tabla 2'!E13/'Tabla 2'!$B13*'Tabla 10'!H13</f>
        <v>0.49251473358762821</v>
      </c>
      <c r="E13" s="51">
        <f t="shared" si="0"/>
        <v>0.99999999020542174</v>
      </c>
      <c r="F13" s="50">
        <f>'Tabla 2'!G13/'Tabla 2'!$F13*'Tabla 10'!F13</f>
        <v>0.16880858659013959</v>
      </c>
      <c r="G13" s="50">
        <f>'Tabla 2'!H13/'Tabla 2'!$F13*'Tabla 10'!G13</f>
        <v>0.34161466642327104</v>
      </c>
      <c r="H13" s="50">
        <f>'Tabla 2'!I13/'Tabla 2'!$F13*'Tabla 10'!H13</f>
        <v>0.48957676528303495</v>
      </c>
      <c r="I13" s="51">
        <f t="shared" si="1"/>
        <v>1.0000000182964457</v>
      </c>
      <c r="J13" s="54">
        <f>'Tabla 2'!K13/'Tabla 2'!$J13*'Tabla 10'!F13</f>
        <v>0.19211197929317639</v>
      </c>
      <c r="K13" s="50">
        <f>'Tabla 2'!L13/'Tabla 2'!$J13*'Tabla 10'!G13</f>
        <v>0.33561376160604034</v>
      </c>
      <c r="L13" s="50">
        <f>'Tabla 2'!M13/'Tabla 2'!$J13*'Tabla 10'!H13</f>
        <v>0.47227430360593731</v>
      </c>
      <c r="M13" s="51">
        <f t="shared" si="2"/>
        <v>1.000000044505154</v>
      </c>
    </row>
    <row r="14" spans="1:13" x14ac:dyDescent="0.25">
      <c r="A14" s="5">
        <v>2014</v>
      </c>
      <c r="B14" s="50">
        <f>'Tabla 2'!C14/'Tabla 2'!$B14*'Tabla 10'!F14</f>
        <v>0.1493795746954199</v>
      </c>
      <c r="C14" s="50">
        <f>'Tabla 2'!D14/'Tabla 2'!$B14*'Tabla 10'!G14</f>
        <v>0.3340304584442586</v>
      </c>
      <c r="D14" s="50">
        <f>'Tabla 2'!E14/'Tabla 2'!$B14*'Tabla 10'!H14</f>
        <v>0.51659001914540736</v>
      </c>
      <c r="E14" s="51">
        <f t="shared" si="0"/>
        <v>1.0000000522850858</v>
      </c>
      <c r="F14" s="50">
        <f>'Tabla 2'!G14/'Tabla 2'!$F14*'Tabla 10'!F14</f>
        <v>0.16596449130856891</v>
      </c>
      <c r="G14" s="50">
        <f>'Tabla 2'!H14/'Tabla 2'!$F14*'Tabla 10'!G14</f>
        <v>0.32224094060866809</v>
      </c>
      <c r="H14" s="50">
        <f>'Tabla 2'!I14/'Tabla 2'!$F14*'Tabla 10'!H14</f>
        <v>0.51179450740211696</v>
      </c>
      <c r="I14" s="51">
        <f t="shared" si="1"/>
        <v>0.99999993931935394</v>
      </c>
      <c r="J14" s="54">
        <f>'Tabla 2'!K14/'Tabla 2'!$J14*'Tabla 10'!F14</f>
        <v>0.19177340392587458</v>
      </c>
      <c r="K14" s="50">
        <f>'Tabla 2'!L14/'Tabla 2'!$J14*'Tabla 10'!G14</f>
        <v>0.32055215807284582</v>
      </c>
      <c r="L14" s="50">
        <f>'Tabla 2'!M14/'Tabla 2'!$J14*'Tabla 10'!H14</f>
        <v>0.4876744159178959</v>
      </c>
      <c r="M14" s="51">
        <f t="shared" si="2"/>
        <v>0.99999997791661621</v>
      </c>
    </row>
    <row r="15" spans="1:13" x14ac:dyDescent="0.25">
      <c r="A15" s="5">
        <v>2015</v>
      </c>
      <c r="B15" s="50">
        <f>'Tabla 2'!C15/'Tabla 2'!$B15*'Tabla 10'!F15</f>
        <v>0.15577152763858168</v>
      </c>
      <c r="C15" s="50">
        <f>'Tabla 2'!D15/'Tabla 2'!$B15*'Tabla 10'!G15</f>
        <v>0.32220484961165963</v>
      </c>
      <c r="D15" s="50">
        <f>'Tabla 2'!E15/'Tabla 2'!$B15*'Tabla 10'!H15</f>
        <v>0.52202362403339553</v>
      </c>
      <c r="E15" s="51">
        <f t="shared" si="0"/>
        <v>1.0000000012836368</v>
      </c>
      <c r="F15" s="50">
        <f>'Tabla 2'!G15/'Tabla 2'!$F15*'Tabla 10'!F15</f>
        <v>0.18737474137769042</v>
      </c>
      <c r="G15" s="50">
        <f>'Tabla 2'!H15/'Tabla 2'!$F15*'Tabla 10'!G15</f>
        <v>0.30035435294799578</v>
      </c>
      <c r="H15" s="50">
        <f>'Tabla 2'!I15/'Tabla 2'!$F15*'Tabla 10'!H15</f>
        <v>0.51227094397656259</v>
      </c>
      <c r="I15" s="51">
        <f t="shared" si="1"/>
        <v>1.0000000383022489</v>
      </c>
      <c r="J15" s="54">
        <f>'Tabla 2'!K15/'Tabla 2'!$J15*'Tabla 10'!F15</f>
        <v>0.22724366307583901</v>
      </c>
      <c r="K15" s="50">
        <f>'Tabla 2'!L15/'Tabla 2'!$J15*'Tabla 10'!G15</f>
        <v>0.29114303036651473</v>
      </c>
      <c r="L15" s="50">
        <f>'Tabla 2'!M15/'Tabla 2'!$J15*'Tabla 10'!H15</f>
        <v>0.48161334802804434</v>
      </c>
      <c r="M15" s="51">
        <f t="shared" si="2"/>
        <v>1.0000000414703982</v>
      </c>
    </row>
    <row r="16" spans="1:13" x14ac:dyDescent="0.25">
      <c r="A16" s="5">
        <v>2016</v>
      </c>
      <c r="B16" s="50">
        <f>'Tabla 2'!C16/'Tabla 2'!$B16*'Tabla 10'!F16</f>
        <v>0.15730717350785683</v>
      </c>
      <c r="C16" s="50">
        <f>'Tabla 2'!D16/'Tabla 2'!$B16*'Tabla 10'!G16</f>
        <v>0.35305057309651139</v>
      </c>
      <c r="D16" s="50">
        <f>'Tabla 2'!E16/'Tabla 2'!$B16*'Tabla 10'!H16</f>
        <v>0.48964227343809891</v>
      </c>
      <c r="E16" s="51">
        <f t="shared" si="0"/>
        <v>1.0000000200424672</v>
      </c>
      <c r="F16" s="50">
        <f>'Tabla 2'!G16/'Tabla 2'!$F16*'Tabla 10'!F16</f>
        <v>0.17982913881918752</v>
      </c>
      <c r="G16" s="50">
        <f>'Tabla 2'!H16/'Tabla 2'!$F16*'Tabla 10'!G16</f>
        <v>0.34486355065610691</v>
      </c>
      <c r="H16" s="50">
        <f>'Tabla 2'!I16/'Tabla 2'!$F16*'Tabla 10'!H16</f>
        <v>0.47530730410080768</v>
      </c>
      <c r="I16" s="51">
        <f t="shared" si="1"/>
        <v>0.99999999357610214</v>
      </c>
      <c r="J16" s="54">
        <f>'Tabla 2'!K16/'Tabla 2'!$J16*'Tabla 10'!F16</f>
        <v>0.20755979516167578</v>
      </c>
      <c r="K16" s="50">
        <f>'Tabla 2'!L16/'Tabla 2'!$J16*'Tabla 10'!G16</f>
        <v>0.34564244148939538</v>
      </c>
      <c r="L16" s="50">
        <f>'Tabla 2'!M16/'Tabla 2'!$J16*'Tabla 10'!H16</f>
        <v>0.44679776657231096</v>
      </c>
      <c r="M16" s="51">
        <f t="shared" si="2"/>
        <v>1.000000003223382</v>
      </c>
    </row>
    <row r="17" spans="1:13" x14ac:dyDescent="0.25">
      <c r="A17" s="5">
        <v>2017</v>
      </c>
      <c r="B17" s="50">
        <f>'Tabla 2'!C17/'Tabla 2'!$B17*'Tabla 10'!F17</f>
        <v>0.17271642907165266</v>
      </c>
      <c r="C17" s="50">
        <f>'Tabla 2'!D17/'Tabla 2'!$B17*'Tabla 10'!G17</f>
        <v>0.35348131442905817</v>
      </c>
      <c r="D17" s="50">
        <f>'Tabla 2'!E17/'Tabla 2'!$B17*'Tabla 10'!H17</f>
        <v>0.47380219391551548</v>
      </c>
      <c r="E17" s="51">
        <f t="shared" si="0"/>
        <v>0.99999993741622628</v>
      </c>
      <c r="F17" s="50">
        <f>'Tabla 2'!G17/'Tabla 2'!$F17*'Tabla 10'!F17</f>
        <v>0.20554760249895404</v>
      </c>
      <c r="G17" s="50">
        <f>'Tabla 2'!H17/'Tabla 2'!$F17*'Tabla 10'!G17</f>
        <v>0.34106304211032246</v>
      </c>
      <c r="H17" s="50">
        <f>'Tabla 2'!I17/'Tabla 2'!$F17*'Tabla 10'!H17</f>
        <v>0.45338939145746504</v>
      </c>
      <c r="I17" s="51">
        <f t="shared" si="1"/>
        <v>1.0000000360667416</v>
      </c>
      <c r="J17" s="54">
        <f>'Tabla 2'!K17/'Tabla 2'!$J17*'Tabla 10'!F17</f>
        <v>0.24705078421972632</v>
      </c>
      <c r="K17" s="50">
        <f>'Tabla 2'!L17/'Tabla 2'!$J17*'Tabla 10'!G17</f>
        <v>0.34135072076342465</v>
      </c>
      <c r="L17" s="50">
        <f>'Tabla 2'!M17/'Tabla 2'!$J17*'Tabla 10'!H17</f>
        <v>0.41159847667673582</v>
      </c>
      <c r="M17" s="51">
        <f t="shared" si="2"/>
        <v>0.99999998165988679</v>
      </c>
    </row>
    <row r="18" spans="1:13" ht="15.75" thickBot="1" x14ac:dyDescent="0.3">
      <c r="A18" s="6">
        <v>2018</v>
      </c>
      <c r="B18" s="55">
        <f>'Tabla 2'!C18/'Tabla 2'!$B18*'Tabla 10'!F18</f>
        <v>0.17932482651461601</v>
      </c>
      <c r="C18" s="56">
        <f>'Tabla 2'!D18/'Tabla 2'!$B18*'Tabla 10'!G18</f>
        <v>0.34104585484324618</v>
      </c>
      <c r="D18" s="56">
        <f>'Tabla 2'!E18/'Tabla 2'!$B18*'Tabla 10'!H18</f>
        <v>0.47962928437933222</v>
      </c>
      <c r="E18" s="51">
        <f t="shared" si="0"/>
        <v>0.9999999657371943</v>
      </c>
      <c r="F18" s="55">
        <f>'Tabla 2'!G18/'Tabla 2'!$F18*'Tabla 10'!F18</f>
        <v>0.20980322067247792</v>
      </c>
      <c r="G18" s="56">
        <f>'Tabla 2'!H18/'Tabla 2'!$F18*'Tabla 10'!G18</f>
        <v>0.32168468986687526</v>
      </c>
      <c r="H18" s="56">
        <f>'Tabla 2'!I18/'Tabla 2'!$F18*'Tabla 10'!H18</f>
        <v>0.46851207318502902</v>
      </c>
      <c r="I18" s="51">
        <f t="shared" si="1"/>
        <v>0.99999998372438226</v>
      </c>
      <c r="J18" s="55">
        <f>'Tabla 2'!K18/'Tabla 2'!$J18*'Tabla 10'!F18</f>
        <v>0.24900545005037372</v>
      </c>
      <c r="K18" s="56">
        <f>'Tabla 2'!L18/'Tabla 2'!$J18*'Tabla 10'!G18</f>
        <v>0.3092498155642075</v>
      </c>
      <c r="L18" s="56">
        <f>'Tabla 2'!M18/'Tabla 2'!$J18*'Tabla 10'!H18</f>
        <v>0.44174471570981405</v>
      </c>
      <c r="M18" s="57">
        <f t="shared" si="2"/>
        <v>0.99999998132439516</v>
      </c>
    </row>
    <row r="19" spans="1:13" x14ac:dyDescent="0.25">
      <c r="B19" s="62">
        <f t="shared" ref="B19:C19" si="3">AVERAGE(B4:B18)</f>
        <v>0.16789417771450921</v>
      </c>
      <c r="C19" s="62">
        <f t="shared" si="3"/>
        <v>0.33758697775148166</v>
      </c>
      <c r="D19" s="62">
        <f>AVERAGE(D4:D18)</f>
        <v>0.49451818865938579</v>
      </c>
      <c r="E19" s="63">
        <f>SUM(B19:D19)</f>
        <v>0.99999934412537661</v>
      </c>
      <c r="F19" s="62">
        <f t="shared" ref="F19:G19" si="4">AVERAGE(F4:F18)</f>
        <v>0.17713161941153691</v>
      </c>
      <c r="G19" s="62">
        <f t="shared" si="4"/>
        <v>0.32225372013422221</v>
      </c>
      <c r="H19" s="62">
        <f>AVERAGE(H4:H18)</f>
        <v>0.5006139619659945</v>
      </c>
      <c r="I19" s="63">
        <f>SUM(F19:H19)</f>
        <v>0.99999930151175365</v>
      </c>
      <c r="J19" s="62">
        <f t="shared" ref="J19:K19" si="5">AVERAGE(J4:J18)</f>
        <v>0.19711498420135037</v>
      </c>
      <c r="K19" s="62">
        <f t="shared" si="5"/>
        <v>0.31516292078868435</v>
      </c>
      <c r="L19" s="62">
        <f>AVERAGE(L4:L18)</f>
        <v>0.48772140921417628</v>
      </c>
      <c r="M19" s="63">
        <f>SUM(J19:L19)</f>
        <v>0.99999931420421106</v>
      </c>
    </row>
  </sheetData>
  <mergeCells count="5">
    <mergeCell ref="A1:A3"/>
    <mergeCell ref="B1:M1"/>
    <mergeCell ref="B2:E2"/>
    <mergeCell ref="F2:I2"/>
    <mergeCell ref="J2:M2"/>
  </mergeCells>
  <pageMargins left="0.7" right="0.7" top="0.75" bottom="0.75" header="0.3" footer="0.3"/>
  <pageSetup paperSize="9" orientation="portrait" horizontalDpi="0" verticalDpi="0" r:id="rId1"/>
  <ignoredErrors>
    <ignoredError sqref="E19:I1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5D32-A8D5-4A0F-A83A-31F8F7AD5E77}">
  <dimension ref="A1:N22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3"/>
    </sheetView>
  </sheetViews>
  <sheetFormatPr baseColWidth="10" defaultRowHeight="15" x14ac:dyDescent="0.25"/>
  <cols>
    <col min="1" max="2" width="25" style="1" customWidth="1"/>
    <col min="3" max="3" width="17.85546875" style="1" customWidth="1"/>
    <col min="4" max="4" width="21.42578125" style="1" customWidth="1"/>
    <col min="5" max="5" width="14.28515625" style="1" customWidth="1"/>
    <col min="6" max="6" width="14.42578125" style="1" customWidth="1"/>
    <col min="7" max="7" width="17.85546875" style="1" customWidth="1"/>
    <col min="8" max="8" width="21.42578125" style="1" customWidth="1"/>
    <col min="9" max="10" width="14.28515625" style="1" customWidth="1"/>
    <col min="11" max="11" width="17.85546875" style="1" customWidth="1"/>
    <col min="12" max="12" width="21.42578125" style="1" customWidth="1"/>
    <col min="13" max="13" width="14.140625" style="1" customWidth="1"/>
    <col min="14" max="14" width="14.28515625" style="1" customWidth="1"/>
    <col min="15" max="16384" width="11.42578125" style="1"/>
  </cols>
  <sheetData>
    <row r="1" spans="1:14" ht="15.75" thickBot="1" x14ac:dyDescent="0.3">
      <c r="A1" s="79" t="s">
        <v>66</v>
      </c>
      <c r="B1" s="80"/>
      <c r="C1" s="66" t="s">
        <v>20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15.75" thickBot="1" x14ac:dyDescent="0.3">
      <c r="A2" s="81"/>
      <c r="B2" s="82"/>
      <c r="C2" s="66">
        <v>2002</v>
      </c>
      <c r="D2" s="66"/>
      <c r="E2" s="66"/>
      <c r="F2" s="67"/>
      <c r="G2" s="71">
        <v>2018</v>
      </c>
      <c r="H2" s="66"/>
      <c r="I2" s="66"/>
      <c r="J2" s="67"/>
      <c r="K2" s="71" t="s">
        <v>57</v>
      </c>
      <c r="L2" s="66"/>
      <c r="M2" s="66"/>
      <c r="N2" s="67"/>
    </row>
    <row r="3" spans="1:14" ht="15.75" thickBot="1" x14ac:dyDescent="0.3">
      <c r="A3" s="83"/>
      <c r="B3" s="84"/>
      <c r="C3" s="2" t="s">
        <v>24</v>
      </c>
      <c r="D3" s="2" t="s">
        <v>2</v>
      </c>
      <c r="E3" s="2" t="s">
        <v>4</v>
      </c>
      <c r="F3" s="3" t="s">
        <v>3</v>
      </c>
      <c r="G3" s="2" t="s">
        <v>24</v>
      </c>
      <c r="H3" s="2" t="s">
        <v>2</v>
      </c>
      <c r="I3" s="2" t="s">
        <v>4</v>
      </c>
      <c r="J3" s="7" t="s">
        <v>3</v>
      </c>
      <c r="K3" s="2" t="s">
        <v>24</v>
      </c>
      <c r="L3" s="2" t="s">
        <v>2</v>
      </c>
      <c r="M3" s="2" t="s">
        <v>4</v>
      </c>
      <c r="N3" s="3" t="s">
        <v>3</v>
      </c>
    </row>
    <row r="4" spans="1:14" x14ac:dyDescent="0.25">
      <c r="A4" s="74" t="s">
        <v>35</v>
      </c>
      <c r="B4" s="47" t="s">
        <v>38</v>
      </c>
      <c r="C4" s="14">
        <v>49.691505432128906</v>
      </c>
      <c r="D4" s="14">
        <v>35.346340179443359</v>
      </c>
      <c r="E4" s="14">
        <v>59.121936798095703</v>
      </c>
      <c r="F4" s="15">
        <v>61.400493621826172</v>
      </c>
      <c r="G4" s="14">
        <v>25.670558929443359</v>
      </c>
      <c r="H4" s="14">
        <v>14.79127311706543</v>
      </c>
      <c r="I4" s="14">
        <v>33.47210693359375</v>
      </c>
      <c r="J4" s="15">
        <v>34.717830657958984</v>
      </c>
      <c r="K4" s="18">
        <f>G4-C4</f>
        <v>-24.020946502685547</v>
      </c>
      <c r="L4" s="14">
        <f t="shared" ref="L4:N4" si="0">H4-D4</f>
        <v>-20.55506706237793</v>
      </c>
      <c r="M4" s="14">
        <f t="shared" si="0"/>
        <v>-25.649829864501953</v>
      </c>
      <c r="N4" s="15">
        <f t="shared" si="0"/>
        <v>-26.682662963867188</v>
      </c>
    </row>
    <row r="5" spans="1:14" x14ac:dyDescent="0.25">
      <c r="A5" s="75"/>
      <c r="B5" s="48" t="s">
        <v>39</v>
      </c>
      <c r="C5" s="44">
        <v>48.283439636230469</v>
      </c>
      <c r="D5" s="44">
        <v>37.486705780029297</v>
      </c>
      <c r="E5" s="44">
        <v>60.034648895263672</v>
      </c>
      <c r="F5" s="45">
        <v>58.170684814453125</v>
      </c>
      <c r="G5" s="44">
        <v>29.561395645141602</v>
      </c>
      <c r="H5" s="44">
        <v>18.523492813110352</v>
      </c>
      <c r="I5" s="44">
        <v>40.267520904541016</v>
      </c>
      <c r="J5" s="45">
        <v>40.549232482910156</v>
      </c>
      <c r="K5" s="46">
        <f t="shared" ref="K5:K22" si="1">G5-C5</f>
        <v>-18.722043991088867</v>
      </c>
      <c r="L5" s="44">
        <f t="shared" ref="L5:L22" si="2">H5-D5</f>
        <v>-18.963212966918945</v>
      </c>
      <c r="M5" s="44">
        <f t="shared" ref="M5:M22" si="3">I5-E5</f>
        <v>-19.767127990722656</v>
      </c>
      <c r="N5" s="45">
        <f t="shared" ref="N5:N22" si="4">J5-F5</f>
        <v>-17.621452331542969</v>
      </c>
    </row>
    <row r="6" spans="1:14" x14ac:dyDescent="0.25">
      <c r="A6" s="76" t="s">
        <v>36</v>
      </c>
      <c r="B6" s="47" t="s">
        <v>46</v>
      </c>
      <c r="C6" s="14">
        <v>55.334236145019531</v>
      </c>
      <c r="D6" s="14">
        <v>48.326053619384766</v>
      </c>
      <c r="E6" s="14">
        <v>63.951374053955078</v>
      </c>
      <c r="F6" s="15">
        <v>56.977783203125</v>
      </c>
      <c r="G6" s="14">
        <v>32.583236694335938</v>
      </c>
      <c r="H6" s="14">
        <v>22.829870223999023</v>
      </c>
      <c r="I6" s="14">
        <v>40.452693939208984</v>
      </c>
      <c r="J6" s="15">
        <v>37.395904541015625</v>
      </c>
      <c r="K6" s="19">
        <f t="shared" si="1"/>
        <v>-22.750999450683594</v>
      </c>
      <c r="L6" s="14">
        <f t="shared" si="2"/>
        <v>-25.496183395385742</v>
      </c>
      <c r="M6" s="14">
        <f t="shared" si="3"/>
        <v>-23.498680114746094</v>
      </c>
      <c r="N6" s="15">
        <f t="shared" si="4"/>
        <v>-19.581878662109375</v>
      </c>
    </row>
    <row r="7" spans="1:14" x14ac:dyDescent="0.25">
      <c r="A7" s="76"/>
      <c r="B7" s="47" t="s">
        <v>47</v>
      </c>
      <c r="C7" s="14">
        <v>57.040885925292969</v>
      </c>
      <c r="D7" s="14">
        <v>46.106170654296875</v>
      </c>
      <c r="E7" s="14">
        <v>65.457748413085938</v>
      </c>
      <c r="F7" s="15">
        <v>65.309700012207031</v>
      </c>
      <c r="G7" s="14">
        <v>32.893169403076172</v>
      </c>
      <c r="H7" s="14">
        <v>21.332914352416992</v>
      </c>
      <c r="I7" s="14">
        <v>42.774528503417969</v>
      </c>
      <c r="J7" s="15">
        <v>41.212146759033203</v>
      </c>
      <c r="K7" s="19">
        <f t="shared" si="1"/>
        <v>-24.147716522216797</v>
      </c>
      <c r="L7" s="14">
        <f t="shared" si="2"/>
        <v>-24.773256301879883</v>
      </c>
      <c r="M7" s="14">
        <f t="shared" si="3"/>
        <v>-22.683219909667969</v>
      </c>
      <c r="N7" s="15">
        <f t="shared" si="4"/>
        <v>-24.097553253173828</v>
      </c>
    </row>
    <row r="8" spans="1:14" x14ac:dyDescent="0.25">
      <c r="A8" s="76"/>
      <c r="B8" s="47" t="s">
        <v>48</v>
      </c>
      <c r="C8" s="14">
        <v>52.322734832763672</v>
      </c>
      <c r="D8" s="14">
        <v>37.645332336425781</v>
      </c>
      <c r="E8" s="14">
        <v>62.835678100585938</v>
      </c>
      <c r="F8" s="15">
        <v>65.528167724609375</v>
      </c>
      <c r="G8" s="14">
        <v>30.232864379882813</v>
      </c>
      <c r="H8" s="14">
        <v>19.323709487915039</v>
      </c>
      <c r="I8" s="14">
        <v>38.053524017333984</v>
      </c>
      <c r="J8" s="15">
        <v>39.37127685546875</v>
      </c>
      <c r="K8" s="19">
        <f t="shared" si="1"/>
        <v>-22.089870452880859</v>
      </c>
      <c r="L8" s="14">
        <f t="shared" si="2"/>
        <v>-18.321622848510742</v>
      </c>
      <c r="M8" s="14">
        <f t="shared" si="3"/>
        <v>-24.782154083251953</v>
      </c>
      <c r="N8" s="15">
        <f t="shared" si="4"/>
        <v>-26.156890869140625</v>
      </c>
    </row>
    <row r="9" spans="1:14" x14ac:dyDescent="0.25">
      <c r="A9" s="76"/>
      <c r="B9" s="47" t="s">
        <v>49</v>
      </c>
      <c r="C9" s="14">
        <v>43.203208923339844</v>
      </c>
      <c r="D9" s="14">
        <v>29.656051635742188</v>
      </c>
      <c r="E9" s="14">
        <v>53.480178833007813</v>
      </c>
      <c r="F9" s="15">
        <v>57.337753295898438</v>
      </c>
      <c r="G9" s="14">
        <v>24.982852935791016</v>
      </c>
      <c r="H9" s="14">
        <v>14.111035346984863</v>
      </c>
      <c r="I9" s="14">
        <v>33.910453796386719</v>
      </c>
      <c r="J9" s="15">
        <v>33.917259216308594</v>
      </c>
      <c r="K9" s="19">
        <f t="shared" si="1"/>
        <v>-18.220355987548828</v>
      </c>
      <c r="L9" s="14">
        <f t="shared" si="2"/>
        <v>-15.545016288757324</v>
      </c>
      <c r="M9" s="14">
        <f t="shared" si="3"/>
        <v>-19.569725036621094</v>
      </c>
      <c r="N9" s="15">
        <f t="shared" si="4"/>
        <v>-23.420494079589844</v>
      </c>
    </row>
    <row r="10" spans="1:14" x14ac:dyDescent="0.25">
      <c r="A10" s="76"/>
      <c r="B10" s="47" t="s">
        <v>50</v>
      </c>
      <c r="C10" s="14">
        <v>43.734218597412109</v>
      </c>
      <c r="D10" s="14">
        <v>29.636735916137695</v>
      </c>
      <c r="E10" s="14">
        <v>53.797897338867188</v>
      </c>
      <c r="F10" s="15">
        <v>55.826202392578125</v>
      </c>
      <c r="G10" s="14">
        <v>21.56756591796875</v>
      </c>
      <c r="H10" s="14">
        <v>12.401432991027832</v>
      </c>
      <c r="I10" s="14">
        <v>30.849885940551758</v>
      </c>
      <c r="J10" s="15">
        <v>30.438217163085938</v>
      </c>
      <c r="K10" s="19">
        <f t="shared" si="1"/>
        <v>-22.166652679443359</v>
      </c>
      <c r="L10" s="14">
        <f t="shared" si="2"/>
        <v>-17.235302925109863</v>
      </c>
      <c r="M10" s="14">
        <f t="shared" si="3"/>
        <v>-22.94801139831543</v>
      </c>
      <c r="N10" s="15">
        <f t="shared" si="4"/>
        <v>-25.387985229492188</v>
      </c>
    </row>
    <row r="11" spans="1:14" x14ac:dyDescent="0.25">
      <c r="A11" s="75"/>
      <c r="B11" s="48" t="s">
        <v>51</v>
      </c>
      <c r="C11" s="44">
        <v>45.506420135498047</v>
      </c>
      <c r="D11" s="44">
        <v>30.17347526550293</v>
      </c>
      <c r="E11" s="44">
        <v>55.931838989257813</v>
      </c>
      <c r="F11" s="45">
        <v>57.402355194091797</v>
      </c>
      <c r="G11" s="44">
        <v>20.880228042602539</v>
      </c>
      <c r="H11" s="44">
        <v>10.625165939331055</v>
      </c>
      <c r="I11" s="44">
        <v>30.549812316894531</v>
      </c>
      <c r="J11" s="45">
        <v>30.979902267456055</v>
      </c>
      <c r="K11" s="46">
        <f t="shared" si="1"/>
        <v>-24.626192092895508</v>
      </c>
      <c r="L11" s="44">
        <f t="shared" si="2"/>
        <v>-19.548309326171875</v>
      </c>
      <c r="M11" s="44">
        <f t="shared" si="3"/>
        <v>-25.382026672363281</v>
      </c>
      <c r="N11" s="45">
        <f t="shared" si="4"/>
        <v>-26.422452926635742</v>
      </c>
    </row>
    <row r="12" spans="1:14" x14ac:dyDescent="0.25">
      <c r="A12" s="77" t="s">
        <v>37</v>
      </c>
      <c r="B12" s="47" t="s">
        <v>40</v>
      </c>
      <c r="C12" s="14">
        <v>66.950874328613281</v>
      </c>
      <c r="D12" s="14">
        <v>56.579067230224609</v>
      </c>
      <c r="E12" s="14">
        <v>73.83258056640625</v>
      </c>
      <c r="F12" s="15">
        <v>67.814979553222656</v>
      </c>
      <c r="G12" s="14">
        <v>41.064109802246094</v>
      </c>
      <c r="H12" s="14">
        <v>25.786811828613281</v>
      </c>
      <c r="I12" s="14">
        <v>52.367069244384766</v>
      </c>
      <c r="J12" s="15">
        <v>41.920795440673828</v>
      </c>
      <c r="K12" s="19">
        <f t="shared" si="1"/>
        <v>-25.886764526367188</v>
      </c>
      <c r="L12" s="14">
        <f t="shared" si="2"/>
        <v>-30.792255401611328</v>
      </c>
      <c r="M12" s="14">
        <f t="shared" si="3"/>
        <v>-21.465511322021484</v>
      </c>
      <c r="N12" s="15">
        <f t="shared" si="4"/>
        <v>-25.894184112548828</v>
      </c>
    </row>
    <row r="13" spans="1:14" x14ac:dyDescent="0.25">
      <c r="A13" s="76"/>
      <c r="B13" s="47" t="s">
        <v>41</v>
      </c>
      <c r="C13" s="14">
        <v>55.361885070800781</v>
      </c>
      <c r="D13" s="14">
        <v>45.130081176757813</v>
      </c>
      <c r="E13" s="14">
        <v>65.004020690917969</v>
      </c>
      <c r="F13" s="15">
        <v>59.964839935302734</v>
      </c>
      <c r="G13" s="14">
        <v>31.375234603881836</v>
      </c>
      <c r="H13" s="14">
        <v>20.58403205871582</v>
      </c>
      <c r="I13" s="14">
        <v>42.035594940185547</v>
      </c>
      <c r="J13" s="15">
        <v>35.338523864746094</v>
      </c>
      <c r="K13" s="19">
        <f t="shared" si="1"/>
        <v>-23.986650466918945</v>
      </c>
      <c r="L13" s="14">
        <f t="shared" si="2"/>
        <v>-24.546049118041992</v>
      </c>
      <c r="M13" s="14">
        <f t="shared" si="3"/>
        <v>-22.968425750732422</v>
      </c>
      <c r="N13" s="15">
        <f t="shared" si="4"/>
        <v>-24.626316070556641</v>
      </c>
    </row>
    <row r="14" spans="1:14" x14ac:dyDescent="0.25">
      <c r="A14" s="76"/>
      <c r="B14" s="47" t="s">
        <v>42</v>
      </c>
      <c r="C14" s="14">
        <v>49.709014892578125</v>
      </c>
      <c r="D14" s="14">
        <v>44.066761016845703</v>
      </c>
      <c r="E14" s="14">
        <v>61.428554534912109</v>
      </c>
      <c r="F14" s="15">
        <v>47.071723937988281</v>
      </c>
      <c r="G14" s="14">
        <v>30.672428131103516</v>
      </c>
      <c r="H14" s="14">
        <v>21.388246536254883</v>
      </c>
      <c r="I14" s="14">
        <v>42.530792236328125</v>
      </c>
      <c r="J14" s="15">
        <v>32.887840270996094</v>
      </c>
      <c r="K14" s="19">
        <f t="shared" si="1"/>
        <v>-19.036586761474609</v>
      </c>
      <c r="L14" s="14">
        <f t="shared" si="2"/>
        <v>-22.67851448059082</v>
      </c>
      <c r="M14" s="14">
        <f t="shared" si="3"/>
        <v>-18.897762298583984</v>
      </c>
      <c r="N14" s="15">
        <f t="shared" si="4"/>
        <v>-14.183883666992188</v>
      </c>
    </row>
    <row r="15" spans="1:14" x14ac:dyDescent="0.25">
      <c r="A15" s="76"/>
      <c r="B15" s="47" t="s">
        <v>43</v>
      </c>
      <c r="C15" s="14">
        <v>31.895179748535156</v>
      </c>
      <c r="D15" s="14">
        <v>26.498497009277344</v>
      </c>
      <c r="E15" s="14">
        <v>42.61260986328125</v>
      </c>
      <c r="F15" s="15">
        <v>31.073627471923828</v>
      </c>
      <c r="G15" s="14">
        <v>23.037370681762695</v>
      </c>
      <c r="H15" s="14">
        <v>16.555381774902344</v>
      </c>
      <c r="I15" s="14">
        <v>32.473140716552734</v>
      </c>
      <c r="J15" s="15">
        <v>27.047561645507813</v>
      </c>
      <c r="K15" s="19">
        <f t="shared" si="1"/>
        <v>-8.8578090667724609</v>
      </c>
      <c r="L15" s="14">
        <f t="shared" si="2"/>
        <v>-9.943115234375</v>
      </c>
      <c r="M15" s="14">
        <f t="shared" si="3"/>
        <v>-10.139469146728516</v>
      </c>
      <c r="N15" s="15">
        <f t="shared" si="4"/>
        <v>-4.0260658264160156</v>
      </c>
    </row>
    <row r="16" spans="1:14" x14ac:dyDescent="0.25">
      <c r="A16" s="76"/>
      <c r="B16" s="47" t="s">
        <v>44</v>
      </c>
      <c r="C16" s="14">
        <v>15.651534080505371</v>
      </c>
      <c r="D16" s="14">
        <v>11.165101051330566</v>
      </c>
      <c r="E16" s="14">
        <v>28.561138153076172</v>
      </c>
      <c r="F16" s="15">
        <v>19.415683746337891</v>
      </c>
      <c r="G16" s="14">
        <v>13.422952651977539</v>
      </c>
      <c r="H16" s="14">
        <v>9.143986701965332</v>
      </c>
      <c r="I16" s="14">
        <v>19.498088836669922</v>
      </c>
      <c r="J16" s="15">
        <v>16.191665649414063</v>
      </c>
      <c r="K16" s="19">
        <f t="shared" si="1"/>
        <v>-2.228581428527832</v>
      </c>
      <c r="L16" s="14">
        <f t="shared" si="2"/>
        <v>-2.0211143493652344</v>
      </c>
      <c r="M16" s="14">
        <f t="shared" si="3"/>
        <v>-9.06304931640625</v>
      </c>
      <c r="N16" s="15">
        <f t="shared" si="4"/>
        <v>-3.2240180969238281</v>
      </c>
    </row>
    <row r="17" spans="1:14" x14ac:dyDescent="0.25">
      <c r="A17" s="75"/>
      <c r="B17" s="48" t="s">
        <v>45</v>
      </c>
      <c r="C17" s="44">
        <v>9.2316389083862305</v>
      </c>
      <c r="D17" s="44">
        <v>6.7278833389282227</v>
      </c>
      <c r="E17" s="44">
        <v>13.737322807312012</v>
      </c>
      <c r="F17" s="45">
        <v>18.649990081787109</v>
      </c>
      <c r="G17" s="44">
        <v>4.0123209953308105</v>
      </c>
      <c r="H17" s="44">
        <v>2.8916399478912354</v>
      </c>
      <c r="I17" s="44">
        <v>6.2630858421325684</v>
      </c>
      <c r="J17" s="45">
        <v>6.07318115234375</v>
      </c>
      <c r="K17" s="46">
        <f t="shared" si="1"/>
        <v>-5.2193179130554199</v>
      </c>
      <c r="L17" s="44">
        <f t="shared" si="2"/>
        <v>-3.8362433910369873</v>
      </c>
      <c r="M17" s="44">
        <f t="shared" si="3"/>
        <v>-7.4742369651794434</v>
      </c>
      <c r="N17" s="45">
        <f t="shared" si="4"/>
        <v>-12.576808929443359</v>
      </c>
    </row>
    <row r="18" spans="1:14" x14ac:dyDescent="0.25">
      <c r="A18" s="77" t="s">
        <v>56</v>
      </c>
      <c r="B18" s="47" t="s">
        <v>53</v>
      </c>
      <c r="C18" s="14">
        <v>48.863292694091797</v>
      </c>
      <c r="D18" s="14">
        <v>34.645423889160156</v>
      </c>
      <c r="E18" s="14">
        <v>58.174705505371094</v>
      </c>
      <c r="F18" s="15">
        <v>60.640476226806641</v>
      </c>
      <c r="G18" s="14">
        <v>25.724445343017578</v>
      </c>
      <c r="H18" s="14">
        <v>14.82805061340332</v>
      </c>
      <c r="I18" s="14">
        <v>33.858951568603516</v>
      </c>
      <c r="J18" s="15">
        <v>34.608474731445313</v>
      </c>
      <c r="K18" s="19">
        <f t="shared" si="1"/>
        <v>-23.138847351074219</v>
      </c>
      <c r="L18" s="14">
        <f t="shared" si="2"/>
        <v>-19.817373275756836</v>
      </c>
      <c r="M18" s="14">
        <f t="shared" si="3"/>
        <v>-24.315753936767578</v>
      </c>
      <c r="N18" s="15">
        <f t="shared" si="4"/>
        <v>-26.032001495361328</v>
      </c>
    </row>
    <row r="19" spans="1:14" x14ac:dyDescent="0.25">
      <c r="A19" s="76"/>
      <c r="B19" s="47" t="s">
        <v>52</v>
      </c>
      <c r="C19" s="14">
        <v>67.879142761230469</v>
      </c>
      <c r="D19" s="14">
        <v>59.435142517089844</v>
      </c>
      <c r="E19" s="14">
        <v>78.29290771484375</v>
      </c>
      <c r="F19" s="15">
        <v>75.883102416992188</v>
      </c>
      <c r="G19" s="14">
        <v>49.024555206298828</v>
      </c>
      <c r="H19" s="14">
        <v>39.699588775634766</v>
      </c>
      <c r="I19" s="14">
        <v>60.930667877197266</v>
      </c>
      <c r="J19" s="15">
        <v>51.779827117919922</v>
      </c>
      <c r="K19" s="19">
        <f t="shared" si="1"/>
        <v>-18.854587554931641</v>
      </c>
      <c r="L19" s="14">
        <f t="shared" si="2"/>
        <v>-19.735553741455078</v>
      </c>
      <c r="M19" s="14">
        <f t="shared" si="3"/>
        <v>-17.362239837646484</v>
      </c>
      <c r="N19" s="15">
        <f t="shared" si="4"/>
        <v>-24.103275299072266</v>
      </c>
    </row>
    <row r="20" spans="1:14" x14ac:dyDescent="0.25">
      <c r="A20" s="75"/>
      <c r="B20" s="48" t="s">
        <v>54</v>
      </c>
      <c r="C20" s="44">
        <v>44.700958251953125</v>
      </c>
      <c r="D20" s="44">
        <v>31.194707870483398</v>
      </c>
      <c r="E20" s="44">
        <v>57.224941253662109</v>
      </c>
      <c r="F20" s="45">
        <v>58.120006561279297</v>
      </c>
      <c r="G20" s="44">
        <v>27.468328475952148</v>
      </c>
      <c r="H20" s="44">
        <v>15.697003364562988</v>
      </c>
      <c r="I20" s="44">
        <v>38.372699737548828</v>
      </c>
      <c r="J20" s="45">
        <v>43.05133056640625</v>
      </c>
      <c r="K20" s="46">
        <f t="shared" si="1"/>
        <v>-17.232629776000977</v>
      </c>
      <c r="L20" s="44">
        <f t="shared" si="2"/>
        <v>-15.49770450592041</v>
      </c>
      <c r="M20" s="44">
        <f t="shared" si="3"/>
        <v>-18.852241516113281</v>
      </c>
      <c r="N20" s="45">
        <f t="shared" si="4"/>
        <v>-15.068675994873047</v>
      </c>
    </row>
    <row r="21" spans="1:14" x14ac:dyDescent="0.25">
      <c r="A21" s="77" t="s">
        <v>55</v>
      </c>
      <c r="B21" s="47" t="s">
        <v>64</v>
      </c>
      <c r="C21" s="14">
        <v>35.153076171875</v>
      </c>
      <c r="D21" s="14">
        <v>29.239248275756836</v>
      </c>
      <c r="E21" s="14">
        <v>48.265819549560547</v>
      </c>
      <c r="F21" s="15">
        <v>31.020029067993164</v>
      </c>
      <c r="G21" s="14">
        <v>12.285072326660156</v>
      </c>
      <c r="H21" s="14">
        <v>9.899724006652832</v>
      </c>
      <c r="I21" s="14">
        <v>18.333513259887695</v>
      </c>
      <c r="J21" s="15">
        <v>9.0820417404174805</v>
      </c>
      <c r="K21" s="19">
        <f t="shared" si="1"/>
        <v>-22.868003845214844</v>
      </c>
      <c r="L21" s="14">
        <f t="shared" si="2"/>
        <v>-19.339524269104004</v>
      </c>
      <c r="M21" s="14">
        <f t="shared" si="3"/>
        <v>-29.932306289672852</v>
      </c>
      <c r="N21" s="15">
        <f t="shared" si="4"/>
        <v>-21.937987327575684</v>
      </c>
    </row>
    <row r="22" spans="1:14" ht="15.75" thickBot="1" x14ac:dyDescent="0.3">
      <c r="A22" s="78"/>
      <c r="B22" s="49" t="s">
        <v>65</v>
      </c>
      <c r="C22" s="17">
        <v>56.854736328125</v>
      </c>
      <c r="D22" s="17">
        <v>39.332260131835938</v>
      </c>
      <c r="E22" s="17">
        <v>63.895057678222656</v>
      </c>
      <c r="F22" s="20">
        <v>71.574142456054688</v>
      </c>
      <c r="G22" s="17">
        <v>35.382297515869141</v>
      </c>
      <c r="H22" s="17">
        <v>20.186227798461914</v>
      </c>
      <c r="I22" s="17">
        <v>42.549751281738281</v>
      </c>
      <c r="J22" s="20">
        <v>45.996006011962891</v>
      </c>
      <c r="K22" s="16">
        <f t="shared" si="1"/>
        <v>-21.472438812255859</v>
      </c>
      <c r="L22" s="17">
        <f t="shared" si="2"/>
        <v>-19.146032333374023</v>
      </c>
      <c r="M22" s="17">
        <f t="shared" si="3"/>
        <v>-21.345306396484375</v>
      </c>
      <c r="N22" s="20">
        <f t="shared" si="4"/>
        <v>-25.578136444091797</v>
      </c>
    </row>
  </sheetData>
  <mergeCells count="10">
    <mergeCell ref="C1:N1"/>
    <mergeCell ref="C2:F2"/>
    <mergeCell ref="G2:J2"/>
    <mergeCell ref="K2:N2"/>
    <mergeCell ref="A1:B3"/>
    <mergeCell ref="A4:A5"/>
    <mergeCell ref="A6:A11"/>
    <mergeCell ref="A12:A17"/>
    <mergeCell ref="A18:A20"/>
    <mergeCell ref="A21:A22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D400-E3D5-4A94-A171-48481DB77A56}">
  <dimension ref="A1:N22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3"/>
    </sheetView>
  </sheetViews>
  <sheetFormatPr baseColWidth="10" defaultRowHeight="15" x14ac:dyDescent="0.25"/>
  <cols>
    <col min="1" max="2" width="25" style="1" customWidth="1"/>
    <col min="3" max="3" width="17.85546875" style="1" customWidth="1"/>
    <col min="4" max="4" width="21.42578125" style="1" customWidth="1"/>
    <col min="5" max="5" width="14.28515625" style="1" customWidth="1"/>
    <col min="6" max="6" width="14.42578125" style="1" customWidth="1"/>
    <col min="7" max="7" width="17.85546875" style="1" customWidth="1"/>
    <col min="8" max="8" width="21.42578125" style="1" customWidth="1"/>
    <col min="9" max="10" width="14.28515625" style="1" customWidth="1"/>
    <col min="11" max="11" width="17.85546875" style="1" customWidth="1"/>
    <col min="12" max="12" width="21.42578125" style="1" customWidth="1"/>
    <col min="13" max="13" width="14.140625" style="1" customWidth="1"/>
    <col min="14" max="14" width="14.28515625" style="1" customWidth="1"/>
    <col min="15" max="16384" width="11.42578125" style="1"/>
  </cols>
  <sheetData>
    <row r="1" spans="1:14" ht="15.75" thickBot="1" x14ac:dyDescent="0.3">
      <c r="A1" s="79" t="s">
        <v>66</v>
      </c>
      <c r="B1" s="80"/>
      <c r="C1" s="66" t="s">
        <v>21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15.75" thickBot="1" x14ac:dyDescent="0.3">
      <c r="A2" s="81"/>
      <c r="B2" s="82"/>
      <c r="C2" s="66">
        <v>2002</v>
      </c>
      <c r="D2" s="66"/>
      <c r="E2" s="66"/>
      <c r="F2" s="67"/>
      <c r="G2" s="71">
        <v>2018</v>
      </c>
      <c r="H2" s="66"/>
      <c r="I2" s="66"/>
      <c r="J2" s="67"/>
      <c r="K2" s="71" t="s">
        <v>57</v>
      </c>
      <c r="L2" s="66"/>
      <c r="M2" s="66"/>
      <c r="N2" s="67"/>
    </row>
    <row r="3" spans="1:14" ht="15.75" thickBot="1" x14ac:dyDescent="0.3">
      <c r="A3" s="83"/>
      <c r="B3" s="84"/>
      <c r="C3" s="2" t="s">
        <v>24</v>
      </c>
      <c r="D3" s="2" t="s">
        <v>2</v>
      </c>
      <c r="E3" s="2" t="s">
        <v>4</v>
      </c>
      <c r="F3" s="3" t="s">
        <v>3</v>
      </c>
      <c r="G3" s="2" t="s">
        <v>24</v>
      </c>
      <c r="H3" s="2" t="s">
        <v>2</v>
      </c>
      <c r="I3" s="2" t="s">
        <v>4</v>
      </c>
      <c r="J3" s="7" t="s">
        <v>3</v>
      </c>
      <c r="K3" s="2" t="s">
        <v>24</v>
      </c>
      <c r="L3" s="2" t="s">
        <v>2</v>
      </c>
      <c r="M3" s="2" t="s">
        <v>4</v>
      </c>
      <c r="N3" s="3" t="s">
        <v>3</v>
      </c>
    </row>
    <row r="4" spans="1:14" x14ac:dyDescent="0.25">
      <c r="A4" s="74" t="s">
        <v>35</v>
      </c>
      <c r="B4" s="47" t="s">
        <v>38</v>
      </c>
      <c r="C4" s="14">
        <v>17.958242416381836</v>
      </c>
      <c r="D4" s="14">
        <v>6.8616423606872559</v>
      </c>
      <c r="E4" s="14">
        <v>19.002971649169922</v>
      </c>
      <c r="F4" s="15">
        <v>33.288093566894531</v>
      </c>
      <c r="G4" s="14">
        <v>6.5451645851135254</v>
      </c>
      <c r="H4" s="14">
        <v>2.1543905735015869</v>
      </c>
      <c r="I4" s="14">
        <v>6.2750740051269531</v>
      </c>
      <c r="J4" s="15">
        <v>14.040510177612305</v>
      </c>
      <c r="K4" s="18">
        <f>G4-C4</f>
        <v>-11.413077831268311</v>
      </c>
      <c r="L4" s="14">
        <f t="shared" ref="L4:N19" si="0">H4-D4</f>
        <v>-4.7072517871856689</v>
      </c>
      <c r="M4" s="14">
        <f t="shared" si="0"/>
        <v>-12.727897644042969</v>
      </c>
      <c r="N4" s="15">
        <f t="shared" si="0"/>
        <v>-19.247583389282227</v>
      </c>
    </row>
    <row r="5" spans="1:14" x14ac:dyDescent="0.25">
      <c r="A5" s="75"/>
      <c r="B5" s="48" t="s">
        <v>39</v>
      </c>
      <c r="C5" s="44">
        <v>16.560598373413086</v>
      </c>
      <c r="D5" s="44">
        <v>9.0691757202148438</v>
      </c>
      <c r="E5" s="44">
        <v>21.202602386474609</v>
      </c>
      <c r="F5" s="45">
        <v>30.080282211303711</v>
      </c>
      <c r="G5" s="44">
        <v>8.5851497650146484</v>
      </c>
      <c r="H5" s="44">
        <v>4.018073558807373</v>
      </c>
      <c r="I5" s="44">
        <v>10.172281265258789</v>
      </c>
      <c r="J5" s="45">
        <v>19.784965515136719</v>
      </c>
      <c r="K5" s="46">
        <f t="shared" ref="K5:N22" si="1">G5-C5</f>
        <v>-7.9754486083984375</v>
      </c>
      <c r="L5" s="44">
        <f t="shared" si="0"/>
        <v>-5.0511021614074707</v>
      </c>
      <c r="M5" s="44">
        <f t="shared" si="0"/>
        <v>-11.03032112121582</v>
      </c>
      <c r="N5" s="45">
        <f t="shared" si="0"/>
        <v>-10.295316696166992</v>
      </c>
    </row>
    <row r="6" spans="1:14" x14ac:dyDescent="0.25">
      <c r="A6" s="76" t="s">
        <v>36</v>
      </c>
      <c r="B6" s="47" t="s">
        <v>46</v>
      </c>
      <c r="C6" s="14">
        <v>21.614229202270508</v>
      </c>
      <c r="D6" s="14">
        <v>12.225017547607422</v>
      </c>
      <c r="E6" s="14">
        <v>24.334228515625</v>
      </c>
      <c r="F6" s="15">
        <v>33.532711029052734</v>
      </c>
      <c r="G6" s="14">
        <v>9.4968299865722656</v>
      </c>
      <c r="H6" s="14">
        <v>4.2479853630065918</v>
      </c>
      <c r="I6" s="14">
        <v>9.0584354400634766</v>
      </c>
      <c r="J6" s="15">
        <v>18.006057739257813</v>
      </c>
      <c r="K6" s="19">
        <f t="shared" si="1"/>
        <v>-12.117399215698242</v>
      </c>
      <c r="L6" s="14">
        <f t="shared" si="0"/>
        <v>-7.9770321846008301</v>
      </c>
      <c r="M6" s="14">
        <f t="shared" si="0"/>
        <v>-15.275793075561523</v>
      </c>
      <c r="N6" s="15">
        <f t="shared" si="0"/>
        <v>-15.526653289794922</v>
      </c>
    </row>
    <row r="7" spans="1:14" x14ac:dyDescent="0.25">
      <c r="A7" s="76"/>
      <c r="B7" s="47" t="s">
        <v>47</v>
      </c>
      <c r="C7" s="14">
        <v>20.950357437133789</v>
      </c>
      <c r="D7" s="14">
        <v>11.050308227539063</v>
      </c>
      <c r="E7" s="14">
        <v>23.202560424804688</v>
      </c>
      <c r="F7" s="15">
        <v>34.4952392578125</v>
      </c>
      <c r="G7" s="14">
        <v>9.4325857162475586</v>
      </c>
      <c r="H7" s="14">
        <v>3.9672214984893799</v>
      </c>
      <c r="I7" s="14">
        <v>10.37492847442627</v>
      </c>
      <c r="J7" s="15">
        <v>18.341299057006836</v>
      </c>
      <c r="K7" s="19">
        <f t="shared" si="1"/>
        <v>-11.51777172088623</v>
      </c>
      <c r="L7" s="14">
        <f t="shared" si="0"/>
        <v>-7.0830867290496826</v>
      </c>
      <c r="M7" s="14">
        <f t="shared" si="0"/>
        <v>-12.827631950378418</v>
      </c>
      <c r="N7" s="15">
        <f t="shared" si="0"/>
        <v>-16.153940200805664</v>
      </c>
    </row>
    <row r="8" spans="1:14" x14ac:dyDescent="0.25">
      <c r="A8" s="76"/>
      <c r="B8" s="47" t="s">
        <v>48</v>
      </c>
      <c r="C8" s="14">
        <v>19.228443145751953</v>
      </c>
      <c r="D8" s="14">
        <v>6.7620539665222168</v>
      </c>
      <c r="E8" s="14">
        <v>23.106367111206055</v>
      </c>
      <c r="F8" s="15">
        <v>36.348114013671875</v>
      </c>
      <c r="G8" s="14">
        <v>8.0275745391845703</v>
      </c>
      <c r="H8" s="14">
        <v>3.4709970951080322</v>
      </c>
      <c r="I8" s="14">
        <v>7.9887704849243164</v>
      </c>
      <c r="J8" s="15">
        <v>16.443662643432617</v>
      </c>
      <c r="K8" s="19">
        <f t="shared" si="1"/>
        <v>-11.200868606567383</v>
      </c>
      <c r="L8" s="14">
        <f t="shared" si="0"/>
        <v>-3.2910568714141846</v>
      </c>
      <c r="M8" s="14">
        <f t="shared" si="0"/>
        <v>-15.117596626281738</v>
      </c>
      <c r="N8" s="15">
        <f t="shared" si="0"/>
        <v>-19.904451370239258</v>
      </c>
    </row>
    <row r="9" spans="1:14" x14ac:dyDescent="0.25">
      <c r="A9" s="76"/>
      <c r="B9" s="47" t="s">
        <v>49</v>
      </c>
      <c r="C9" s="14">
        <v>13.711370468139648</v>
      </c>
      <c r="D9" s="14">
        <v>5.5925912857055664</v>
      </c>
      <c r="E9" s="14">
        <v>14.370226860046387</v>
      </c>
      <c r="F9" s="15">
        <v>28.605432510375977</v>
      </c>
      <c r="G9" s="14">
        <v>6.611030101776123</v>
      </c>
      <c r="H9" s="14">
        <v>2.2375702857971191</v>
      </c>
      <c r="I9" s="14">
        <v>7.5356602668762207</v>
      </c>
      <c r="J9" s="15">
        <v>14.173281669616699</v>
      </c>
      <c r="K9" s="19">
        <f t="shared" si="1"/>
        <v>-7.1003403663635254</v>
      </c>
      <c r="L9" s="14">
        <f t="shared" si="0"/>
        <v>-3.3550209999084473</v>
      </c>
      <c r="M9" s="14">
        <f t="shared" si="0"/>
        <v>-6.834566593170166</v>
      </c>
      <c r="N9" s="15">
        <f t="shared" si="0"/>
        <v>-14.432150840759277</v>
      </c>
    </row>
    <row r="10" spans="1:14" x14ac:dyDescent="0.25">
      <c r="A10" s="76"/>
      <c r="B10" s="47" t="s">
        <v>50</v>
      </c>
      <c r="C10" s="14">
        <v>15.468820571899414</v>
      </c>
      <c r="D10" s="14">
        <v>6.5266523361206055</v>
      </c>
      <c r="E10" s="14">
        <v>16.705078125</v>
      </c>
      <c r="F10" s="15">
        <v>28.172878265380859</v>
      </c>
      <c r="G10" s="14">
        <v>5.4401788711547852</v>
      </c>
      <c r="H10" s="14">
        <v>2.1544535160064697</v>
      </c>
      <c r="I10" s="14">
        <v>5.9655895233154297</v>
      </c>
      <c r="J10" s="15">
        <v>12.581761360168457</v>
      </c>
      <c r="K10" s="19">
        <f t="shared" si="1"/>
        <v>-10.028641700744629</v>
      </c>
      <c r="L10" s="14">
        <f t="shared" si="0"/>
        <v>-4.3721988201141357</v>
      </c>
      <c r="M10" s="14">
        <f t="shared" si="0"/>
        <v>-10.73948860168457</v>
      </c>
      <c r="N10" s="15">
        <f t="shared" si="0"/>
        <v>-15.591116905212402</v>
      </c>
    </row>
    <row r="11" spans="1:14" x14ac:dyDescent="0.25">
      <c r="A11" s="75"/>
      <c r="B11" s="48" t="s">
        <v>51</v>
      </c>
      <c r="C11" s="44">
        <v>16.55626106262207</v>
      </c>
      <c r="D11" s="44">
        <v>6.0653362274169922</v>
      </c>
      <c r="E11" s="44">
        <v>16.077127456665039</v>
      </c>
      <c r="F11" s="45">
        <v>33.965057373046875</v>
      </c>
      <c r="G11" s="44">
        <v>5.1708636283874512</v>
      </c>
      <c r="H11" s="44">
        <v>1.8416682481765747</v>
      </c>
      <c r="I11" s="44">
        <v>5.5365939140319824</v>
      </c>
      <c r="J11" s="45">
        <v>12.502004623413086</v>
      </c>
      <c r="K11" s="46">
        <f t="shared" si="1"/>
        <v>-11.385397434234619</v>
      </c>
      <c r="L11" s="44">
        <f t="shared" si="0"/>
        <v>-4.2236679792404175</v>
      </c>
      <c r="M11" s="44">
        <f t="shared" si="0"/>
        <v>-10.540533542633057</v>
      </c>
      <c r="N11" s="45">
        <f t="shared" si="0"/>
        <v>-21.463052749633789</v>
      </c>
    </row>
    <row r="12" spans="1:14" x14ac:dyDescent="0.25">
      <c r="A12" s="77" t="s">
        <v>37</v>
      </c>
      <c r="B12" s="47" t="s">
        <v>40</v>
      </c>
      <c r="C12" s="14">
        <v>29.226598739624023</v>
      </c>
      <c r="D12" s="14">
        <v>13.928332328796387</v>
      </c>
      <c r="E12" s="14">
        <v>28.208044052124023</v>
      </c>
      <c r="F12" s="15">
        <v>37.633930206298828</v>
      </c>
      <c r="G12" s="14">
        <v>13.520866394042969</v>
      </c>
      <c r="H12" s="14">
        <v>5.173799991607666</v>
      </c>
      <c r="I12" s="14">
        <v>12.805535316467285</v>
      </c>
      <c r="J12" s="15">
        <v>18.575593948364258</v>
      </c>
      <c r="K12" s="19">
        <f t="shared" si="1"/>
        <v>-15.705732345581055</v>
      </c>
      <c r="L12" s="14">
        <f t="shared" si="0"/>
        <v>-8.7545323371887207</v>
      </c>
      <c r="M12" s="14">
        <f t="shared" si="0"/>
        <v>-15.402508735656738</v>
      </c>
      <c r="N12" s="15">
        <f t="shared" si="0"/>
        <v>-19.05833625793457</v>
      </c>
    </row>
    <row r="13" spans="1:14" x14ac:dyDescent="0.25">
      <c r="A13" s="76"/>
      <c r="B13" s="47" t="s">
        <v>41</v>
      </c>
      <c r="C13" s="14">
        <v>18.956941604614258</v>
      </c>
      <c r="D13" s="14">
        <v>9.2056026458740234</v>
      </c>
      <c r="E13" s="14">
        <v>21.716253280639648</v>
      </c>
      <c r="F13" s="15">
        <v>31.065210342407227</v>
      </c>
      <c r="G13" s="14">
        <v>8.1211347579956055</v>
      </c>
      <c r="H13" s="14">
        <v>3.339102029800415</v>
      </c>
      <c r="I13" s="14">
        <v>8.3050966262817383</v>
      </c>
      <c r="J13" s="15">
        <v>14.330952644348145</v>
      </c>
      <c r="K13" s="19">
        <f t="shared" si="1"/>
        <v>-10.835806846618652</v>
      </c>
      <c r="L13" s="14">
        <f t="shared" si="0"/>
        <v>-5.8665006160736084</v>
      </c>
      <c r="M13" s="14">
        <f t="shared" si="0"/>
        <v>-13.41115665435791</v>
      </c>
      <c r="N13" s="15">
        <f t="shared" si="0"/>
        <v>-16.734257698059082</v>
      </c>
    </row>
    <row r="14" spans="1:14" x14ac:dyDescent="0.25">
      <c r="A14" s="76"/>
      <c r="B14" s="47" t="s">
        <v>42</v>
      </c>
      <c r="C14" s="14">
        <v>13.760334968566895</v>
      </c>
      <c r="D14" s="14">
        <v>9.1019411087036133</v>
      </c>
      <c r="E14" s="14">
        <v>18.445335388183594</v>
      </c>
      <c r="F14" s="15">
        <v>22.834648132324219</v>
      </c>
      <c r="G14" s="14">
        <v>7.4795727729797363</v>
      </c>
      <c r="H14" s="14">
        <v>3.651688814163208</v>
      </c>
      <c r="I14" s="14">
        <v>9.5151538848876953</v>
      </c>
      <c r="J14" s="15">
        <v>13.085407257080078</v>
      </c>
      <c r="K14" s="19">
        <f t="shared" si="1"/>
        <v>-6.2807621955871582</v>
      </c>
      <c r="L14" s="14">
        <f t="shared" si="0"/>
        <v>-5.4502522945404053</v>
      </c>
      <c r="M14" s="14">
        <f t="shared" si="0"/>
        <v>-8.9301815032958984</v>
      </c>
      <c r="N14" s="15">
        <f t="shared" si="0"/>
        <v>-9.7492408752441406</v>
      </c>
    </row>
    <row r="15" spans="1:14" x14ac:dyDescent="0.25">
      <c r="A15" s="76"/>
      <c r="B15" s="47" t="s">
        <v>43</v>
      </c>
      <c r="C15" s="14">
        <v>6.2476067543029785</v>
      </c>
      <c r="D15" s="14">
        <v>3.8073246479034424</v>
      </c>
      <c r="E15" s="14">
        <v>8.4611492156982422</v>
      </c>
      <c r="F15" s="15">
        <v>15.508002281188965</v>
      </c>
      <c r="G15" s="14">
        <v>4.8589191436767578</v>
      </c>
      <c r="H15" s="14">
        <v>2.6234216690063477</v>
      </c>
      <c r="I15" s="14">
        <v>6.2632608413696289</v>
      </c>
      <c r="J15" s="15">
        <v>11.637812614440918</v>
      </c>
      <c r="K15" s="19">
        <f t="shared" si="1"/>
        <v>-1.3886876106262207</v>
      </c>
      <c r="L15" s="14">
        <f t="shared" si="0"/>
        <v>-1.1839029788970947</v>
      </c>
      <c r="M15" s="14">
        <f t="shared" si="0"/>
        <v>-2.1978883743286133</v>
      </c>
      <c r="N15" s="15">
        <f t="shared" si="0"/>
        <v>-3.8701896667480469</v>
      </c>
    </row>
    <row r="16" spans="1:14" x14ac:dyDescent="0.25">
      <c r="A16" s="76"/>
      <c r="B16" s="47" t="s">
        <v>44</v>
      </c>
      <c r="C16" s="14">
        <v>2.9270691871643066</v>
      </c>
      <c r="D16" s="14">
        <v>1.866080641746521</v>
      </c>
      <c r="E16" s="14">
        <v>6.7153129577636719</v>
      </c>
      <c r="F16" s="15">
        <v>3.8699086755514145E-2</v>
      </c>
      <c r="G16" s="14">
        <v>2.7366101741790771</v>
      </c>
      <c r="H16" s="14">
        <v>1.8500227928161621</v>
      </c>
      <c r="I16" s="14">
        <v>3.5708250999450684</v>
      </c>
      <c r="J16" s="15">
        <v>5.6328506469726563</v>
      </c>
      <c r="K16" s="19">
        <f t="shared" si="1"/>
        <v>-0.19045901298522949</v>
      </c>
      <c r="L16" s="14">
        <f t="shared" si="0"/>
        <v>-1.6057848930358887E-2</v>
      </c>
      <c r="M16" s="14">
        <f t="shared" si="0"/>
        <v>-3.1444878578186035</v>
      </c>
      <c r="N16" s="15">
        <f t="shared" si="0"/>
        <v>5.5941515602171421</v>
      </c>
    </row>
    <row r="17" spans="1:14" x14ac:dyDescent="0.25">
      <c r="A17" s="75"/>
      <c r="B17" s="48" t="s">
        <v>45</v>
      </c>
      <c r="C17" s="44">
        <v>2.0203788280487061</v>
      </c>
      <c r="D17" s="44">
        <v>1.3780440092086792</v>
      </c>
      <c r="E17" s="44">
        <v>2.2732760906219482</v>
      </c>
      <c r="F17" s="45">
        <v>7.1660342216491699</v>
      </c>
      <c r="G17" s="44">
        <v>0.89489066600799561</v>
      </c>
      <c r="H17" s="44">
        <v>0.77283042669296265</v>
      </c>
      <c r="I17" s="44">
        <v>1.08884596824646</v>
      </c>
      <c r="J17" s="45">
        <v>1.5466686487197876</v>
      </c>
      <c r="K17" s="46">
        <f t="shared" si="1"/>
        <v>-1.1254881620407104</v>
      </c>
      <c r="L17" s="44">
        <f t="shared" si="0"/>
        <v>-0.60521358251571655</v>
      </c>
      <c r="M17" s="44">
        <f t="shared" si="0"/>
        <v>-1.1844301223754883</v>
      </c>
      <c r="N17" s="45">
        <f t="shared" si="0"/>
        <v>-5.6193655729293823</v>
      </c>
    </row>
    <row r="18" spans="1:14" x14ac:dyDescent="0.25">
      <c r="A18" s="77" t="s">
        <v>56</v>
      </c>
      <c r="B18" s="47" t="s">
        <v>53</v>
      </c>
      <c r="C18" s="14">
        <v>16.706766128540039</v>
      </c>
      <c r="D18" s="14">
        <v>5.9028844833374023</v>
      </c>
      <c r="E18" s="14">
        <v>17.984130859375</v>
      </c>
      <c r="F18" s="15">
        <v>31.609663009643555</v>
      </c>
      <c r="G18" s="14">
        <v>6.2243866920471191</v>
      </c>
      <c r="H18" s="14">
        <v>1.747315526008606</v>
      </c>
      <c r="I18" s="14">
        <v>6.1428380012512207</v>
      </c>
      <c r="J18" s="15">
        <v>14.2001953125</v>
      </c>
      <c r="K18" s="19">
        <f t="shared" si="1"/>
        <v>-10.48237943649292</v>
      </c>
      <c r="L18" s="14">
        <f t="shared" si="0"/>
        <v>-4.1555689573287964</v>
      </c>
      <c r="M18" s="14">
        <f t="shared" si="0"/>
        <v>-11.841292858123779</v>
      </c>
      <c r="N18" s="15">
        <f t="shared" si="0"/>
        <v>-17.409467697143555</v>
      </c>
    </row>
    <row r="19" spans="1:14" x14ac:dyDescent="0.25">
      <c r="A19" s="76"/>
      <c r="B19" s="47" t="s">
        <v>52</v>
      </c>
      <c r="C19" s="14">
        <v>32.078208923339844</v>
      </c>
      <c r="D19" s="14">
        <v>23.488025665283203</v>
      </c>
      <c r="E19" s="14">
        <v>38.650089263916016</v>
      </c>
      <c r="F19" s="15">
        <v>47.914218902587891</v>
      </c>
      <c r="G19" s="14">
        <v>21.445154190063477</v>
      </c>
      <c r="H19" s="14">
        <v>16.222316741943359</v>
      </c>
      <c r="I19" s="14">
        <v>26.588291168212891</v>
      </c>
      <c r="J19" s="15">
        <v>29.948305130004883</v>
      </c>
      <c r="K19" s="19">
        <f t="shared" si="1"/>
        <v>-10.633054733276367</v>
      </c>
      <c r="L19" s="14">
        <f t="shared" si="0"/>
        <v>-7.2657089233398438</v>
      </c>
      <c r="M19" s="14">
        <f t="shared" si="0"/>
        <v>-12.061798095703125</v>
      </c>
      <c r="N19" s="15">
        <f t="shared" si="0"/>
        <v>-17.965913772583008</v>
      </c>
    </row>
    <row r="20" spans="1:14" x14ac:dyDescent="0.25">
      <c r="A20" s="75"/>
      <c r="B20" s="48" t="s">
        <v>54</v>
      </c>
      <c r="C20" s="44">
        <v>16.34295654296875</v>
      </c>
      <c r="D20" s="44">
        <v>6.8059344291687012</v>
      </c>
      <c r="E20" s="44">
        <v>18.959316253662109</v>
      </c>
      <c r="F20" s="45">
        <v>35.7598876953125</v>
      </c>
      <c r="G20" s="44">
        <v>8.3177270889282227</v>
      </c>
      <c r="H20" s="44">
        <v>3.6986930370330811</v>
      </c>
      <c r="I20" s="44">
        <v>9.2855072021484375</v>
      </c>
      <c r="J20" s="45">
        <v>20.749292373657227</v>
      </c>
      <c r="K20" s="46">
        <f t="shared" si="1"/>
        <v>-8.0252294540405273</v>
      </c>
      <c r="L20" s="44">
        <f t="shared" si="1"/>
        <v>-3.1072413921356201</v>
      </c>
      <c r="M20" s="44">
        <f t="shared" si="1"/>
        <v>-9.6738090515136719</v>
      </c>
      <c r="N20" s="45">
        <f t="shared" si="1"/>
        <v>-15.010595321655273</v>
      </c>
    </row>
    <row r="21" spans="1:14" x14ac:dyDescent="0.25">
      <c r="A21" s="77" t="s">
        <v>55</v>
      </c>
      <c r="B21" s="47" t="s">
        <v>64</v>
      </c>
      <c r="C21" s="14">
        <v>5.7969322204589844</v>
      </c>
      <c r="D21" s="14">
        <v>2.6661243438720703</v>
      </c>
      <c r="E21" s="14">
        <v>10.987873077392578</v>
      </c>
      <c r="F21" s="15">
        <v>6.9190397262573242</v>
      </c>
      <c r="G21" s="14">
        <v>0.95136129856109619</v>
      </c>
      <c r="H21" s="14">
        <v>0.63590115308761597</v>
      </c>
      <c r="I21" s="14">
        <v>1.5657751560211182</v>
      </c>
      <c r="J21" s="15">
        <v>0.95876020193099976</v>
      </c>
      <c r="K21" s="19">
        <f t="shared" si="1"/>
        <v>-4.8455709218978882</v>
      </c>
      <c r="L21" s="14">
        <f t="shared" si="1"/>
        <v>-2.0302231907844543</v>
      </c>
      <c r="M21" s="14">
        <f t="shared" si="1"/>
        <v>-9.42209792137146</v>
      </c>
      <c r="N21" s="15">
        <f t="shared" si="1"/>
        <v>-5.9602795243263245</v>
      </c>
    </row>
    <row r="22" spans="1:14" ht="15.75" thickBot="1" x14ac:dyDescent="0.3">
      <c r="A22" s="78"/>
      <c r="B22" s="49" t="s">
        <v>65</v>
      </c>
      <c r="C22" s="17">
        <v>23.240320205688477</v>
      </c>
      <c r="D22" s="17">
        <v>8.8180122375488281</v>
      </c>
      <c r="E22" s="17">
        <v>21.728399276733398</v>
      </c>
      <c r="F22" s="20">
        <v>42.824932098388672</v>
      </c>
      <c r="G22" s="17">
        <v>10.202878952026367</v>
      </c>
      <c r="H22" s="17">
        <v>2.9648313522338867</v>
      </c>
      <c r="I22" s="17">
        <v>8.8522043228149414</v>
      </c>
      <c r="J22" s="20">
        <v>20.644001007080078</v>
      </c>
      <c r="K22" s="16">
        <f t="shared" si="1"/>
        <v>-13.037441253662109</v>
      </c>
      <c r="L22" s="17">
        <f t="shared" si="1"/>
        <v>-5.8531808853149414</v>
      </c>
      <c r="M22" s="17">
        <f t="shared" si="1"/>
        <v>-12.876194953918457</v>
      </c>
      <c r="N22" s="20">
        <f t="shared" si="1"/>
        <v>-22.180931091308594</v>
      </c>
    </row>
  </sheetData>
  <mergeCells count="10">
    <mergeCell ref="C1:N1"/>
    <mergeCell ref="C2:F2"/>
    <mergeCell ref="G2:J2"/>
    <mergeCell ref="K2:N2"/>
    <mergeCell ref="A4:A5"/>
    <mergeCell ref="A6:A11"/>
    <mergeCell ref="A12:A17"/>
    <mergeCell ref="A18:A20"/>
    <mergeCell ref="A21:A22"/>
    <mergeCell ref="A1:B3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9D83-BC9D-4013-A82D-2CA0C0A8D6BE}">
  <dimension ref="A1:N14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3"/>
    </sheetView>
  </sheetViews>
  <sheetFormatPr baseColWidth="10" defaultRowHeight="15" x14ac:dyDescent="0.25"/>
  <cols>
    <col min="1" max="1" width="42.85546875" style="1" customWidth="1"/>
    <col min="2" max="2" width="25" style="1" customWidth="1"/>
    <col min="3" max="3" width="17.85546875" style="1" customWidth="1"/>
    <col min="4" max="4" width="21.42578125" style="1" customWidth="1"/>
    <col min="5" max="5" width="14.28515625" style="1" customWidth="1"/>
    <col min="6" max="6" width="14.42578125" style="1" customWidth="1"/>
    <col min="7" max="7" width="17.85546875" style="1" customWidth="1"/>
    <col min="8" max="8" width="21.42578125" style="1" customWidth="1"/>
    <col min="9" max="10" width="14.28515625" style="1" customWidth="1"/>
    <col min="11" max="11" width="17.85546875" style="1" customWidth="1"/>
    <col min="12" max="12" width="21.42578125" style="1" customWidth="1"/>
    <col min="13" max="13" width="14.140625" style="1" customWidth="1"/>
    <col min="14" max="14" width="14.28515625" style="1" customWidth="1"/>
    <col min="15" max="16384" width="11.42578125" style="1"/>
  </cols>
  <sheetData>
    <row r="1" spans="1:14" ht="15.75" thickBot="1" x14ac:dyDescent="0.3">
      <c r="A1" s="79" t="s">
        <v>67</v>
      </c>
      <c r="B1" s="80"/>
      <c r="C1" s="66" t="s">
        <v>20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15.75" thickBot="1" x14ac:dyDescent="0.3">
      <c r="A2" s="81"/>
      <c r="B2" s="82"/>
      <c r="C2" s="66">
        <v>2002</v>
      </c>
      <c r="D2" s="66"/>
      <c r="E2" s="66"/>
      <c r="F2" s="67"/>
      <c r="G2" s="71">
        <v>2018</v>
      </c>
      <c r="H2" s="66"/>
      <c r="I2" s="66"/>
      <c r="J2" s="67"/>
      <c r="K2" s="71" t="s">
        <v>57</v>
      </c>
      <c r="L2" s="66"/>
      <c r="M2" s="66"/>
      <c r="N2" s="67"/>
    </row>
    <row r="3" spans="1:14" ht="15.75" thickBot="1" x14ac:dyDescent="0.3">
      <c r="A3" s="83"/>
      <c r="B3" s="84"/>
      <c r="C3" s="2" t="s">
        <v>24</v>
      </c>
      <c r="D3" s="2" t="s">
        <v>2</v>
      </c>
      <c r="E3" s="2" t="s">
        <v>4</v>
      </c>
      <c r="F3" s="3" t="s">
        <v>3</v>
      </c>
      <c r="G3" s="2" t="s">
        <v>24</v>
      </c>
      <c r="H3" s="2" t="s">
        <v>2</v>
      </c>
      <c r="I3" s="2" t="s">
        <v>4</v>
      </c>
      <c r="J3" s="7" t="s">
        <v>3</v>
      </c>
      <c r="K3" s="2" t="s">
        <v>24</v>
      </c>
      <c r="L3" s="2" t="s">
        <v>2</v>
      </c>
      <c r="M3" s="2" t="s">
        <v>4</v>
      </c>
      <c r="N3" s="3" t="s">
        <v>3</v>
      </c>
    </row>
    <row r="4" spans="1:14" ht="15" customHeight="1" x14ac:dyDescent="0.25">
      <c r="A4" s="85" t="s">
        <v>61</v>
      </c>
      <c r="B4" s="47" t="s">
        <v>68</v>
      </c>
      <c r="C4" s="14">
        <v>27.418928146362305</v>
      </c>
      <c r="D4" s="14">
        <v>17.429277420043945</v>
      </c>
      <c r="E4" s="14">
        <v>37.865406036376953</v>
      </c>
      <c r="F4" s="15">
        <v>39.728969573974609</v>
      </c>
      <c r="G4" s="14">
        <v>13.898159980773926</v>
      </c>
      <c r="H4" s="14">
        <v>7.9033689498901367</v>
      </c>
      <c r="I4" s="14">
        <v>20.39653205871582</v>
      </c>
      <c r="J4" s="15">
        <v>20.514951705932617</v>
      </c>
      <c r="K4" s="18">
        <f>G4-C4</f>
        <v>-13.520768165588379</v>
      </c>
      <c r="L4" s="14">
        <f t="shared" ref="L4:N4" si="0">H4-D4</f>
        <v>-9.5259084701538086</v>
      </c>
      <c r="M4" s="14">
        <f t="shared" si="0"/>
        <v>-17.468873977661133</v>
      </c>
      <c r="N4" s="15">
        <f t="shared" si="0"/>
        <v>-19.214017868041992</v>
      </c>
    </row>
    <row r="5" spans="1:14" x14ac:dyDescent="0.25">
      <c r="A5" s="86"/>
      <c r="B5" s="47" t="s">
        <v>69</v>
      </c>
      <c r="C5" s="14">
        <v>43.359859466552734</v>
      </c>
      <c r="D5" s="14">
        <v>32.692996978759766</v>
      </c>
      <c r="E5" s="14">
        <v>54.278293609619141</v>
      </c>
      <c r="F5" s="15">
        <v>51.765914916992188</v>
      </c>
      <c r="G5" s="14">
        <v>25.011632919311523</v>
      </c>
      <c r="H5" s="14">
        <v>15.421480178833008</v>
      </c>
      <c r="I5" s="14">
        <v>34.161178588867188</v>
      </c>
      <c r="J5" s="15">
        <v>31.094966888427734</v>
      </c>
      <c r="K5" s="19">
        <f t="shared" ref="K5:K14" si="1">G5-C5</f>
        <v>-18.348226547241211</v>
      </c>
      <c r="L5" s="14">
        <f t="shared" ref="L5:L14" si="2">H5-D5</f>
        <v>-17.271516799926758</v>
      </c>
      <c r="M5" s="14">
        <f t="shared" ref="M5:M14" si="3">I5-E5</f>
        <v>-20.117115020751953</v>
      </c>
      <c r="N5" s="15">
        <f t="shared" ref="N5:N14" si="4">J5-F5</f>
        <v>-20.670948028564453</v>
      </c>
    </row>
    <row r="6" spans="1:14" x14ac:dyDescent="0.25">
      <c r="A6" s="86"/>
      <c r="B6" s="47" t="s">
        <v>70</v>
      </c>
      <c r="C6" s="14">
        <v>57.078704833984375</v>
      </c>
      <c r="D6" s="14">
        <v>47.586692810058594</v>
      </c>
      <c r="E6" s="14">
        <v>64.478561401367188</v>
      </c>
      <c r="F6" s="15">
        <v>63.185306549072266</v>
      </c>
      <c r="G6" s="14">
        <v>39.709278106689453</v>
      </c>
      <c r="H6" s="14">
        <v>27.466510772705078</v>
      </c>
      <c r="I6" s="14">
        <v>49.906154632568359</v>
      </c>
      <c r="J6" s="15">
        <v>44.858551025390625</v>
      </c>
      <c r="K6" s="19">
        <f t="shared" si="1"/>
        <v>-17.369426727294922</v>
      </c>
      <c r="L6" s="14">
        <f t="shared" si="2"/>
        <v>-20.120182037353516</v>
      </c>
      <c r="M6" s="14">
        <f t="shared" si="3"/>
        <v>-14.572406768798828</v>
      </c>
      <c r="N6" s="15">
        <f t="shared" si="4"/>
        <v>-18.326755523681641</v>
      </c>
    </row>
    <row r="7" spans="1:14" x14ac:dyDescent="0.25">
      <c r="A7" s="87"/>
      <c r="B7" s="48" t="s">
        <v>71</v>
      </c>
      <c r="C7" s="44">
        <v>81.186561584472656</v>
      </c>
      <c r="D7" s="44">
        <v>73.285552978515625</v>
      </c>
      <c r="E7" s="44">
        <v>84.342849731445313</v>
      </c>
      <c r="F7" s="45">
        <v>84.622039794921875</v>
      </c>
      <c r="G7" s="44">
        <v>65.015625</v>
      </c>
      <c r="H7" s="44">
        <v>53.009471893310547</v>
      </c>
      <c r="I7" s="44">
        <v>72.96514892578125</v>
      </c>
      <c r="J7" s="45">
        <v>67.443984985351563</v>
      </c>
      <c r="K7" s="46">
        <f t="shared" si="1"/>
        <v>-16.170936584472656</v>
      </c>
      <c r="L7" s="44">
        <f t="shared" si="2"/>
        <v>-20.276081085205078</v>
      </c>
      <c r="M7" s="44">
        <f t="shared" si="3"/>
        <v>-11.377700805664063</v>
      </c>
      <c r="N7" s="45">
        <f t="shared" si="4"/>
        <v>-17.178054809570313</v>
      </c>
    </row>
    <row r="8" spans="1:14" x14ac:dyDescent="0.25">
      <c r="A8" s="76" t="s">
        <v>60</v>
      </c>
      <c r="B8" s="47" t="s">
        <v>68</v>
      </c>
      <c r="C8" s="14">
        <v>58.137950897216797</v>
      </c>
      <c r="D8" s="14">
        <v>48.042514801025391</v>
      </c>
      <c r="E8" s="14">
        <v>67.753913879394531</v>
      </c>
      <c r="F8" s="15">
        <v>66.110389709472656</v>
      </c>
      <c r="G8" s="14">
        <v>42.073982238769531</v>
      </c>
      <c r="H8" s="14">
        <v>31.019756317138672</v>
      </c>
      <c r="I8" s="14">
        <v>50.958705902099609</v>
      </c>
      <c r="J8" s="15">
        <v>54.325942993164063</v>
      </c>
      <c r="K8" s="19">
        <f t="shared" si="1"/>
        <v>-16.063968658447266</v>
      </c>
      <c r="L8" s="14">
        <f t="shared" si="2"/>
        <v>-17.022758483886719</v>
      </c>
      <c r="M8" s="14">
        <f t="shared" si="3"/>
        <v>-16.795207977294922</v>
      </c>
      <c r="N8" s="15">
        <f t="shared" si="4"/>
        <v>-11.784446716308594</v>
      </c>
    </row>
    <row r="9" spans="1:14" x14ac:dyDescent="0.25">
      <c r="A9" s="76"/>
      <c r="B9" s="47" t="s">
        <v>69</v>
      </c>
      <c r="C9" s="14">
        <v>59.473854064941406</v>
      </c>
      <c r="D9" s="14">
        <v>47.127952575683594</v>
      </c>
      <c r="E9" s="14">
        <v>68.507591247558594</v>
      </c>
      <c r="F9" s="15">
        <v>67.808326721191406</v>
      </c>
      <c r="G9" s="14">
        <v>35.082443237304688</v>
      </c>
      <c r="H9" s="14">
        <v>24.379322052001953</v>
      </c>
      <c r="I9" s="14">
        <v>43.547313690185547</v>
      </c>
      <c r="J9" s="15">
        <v>41.095890045166016</v>
      </c>
      <c r="K9" s="19">
        <f t="shared" si="1"/>
        <v>-24.391410827636719</v>
      </c>
      <c r="L9" s="14">
        <f t="shared" si="2"/>
        <v>-22.748630523681641</v>
      </c>
      <c r="M9" s="14">
        <f t="shared" si="3"/>
        <v>-24.960277557373047</v>
      </c>
      <c r="N9" s="15">
        <f t="shared" si="4"/>
        <v>-26.712436676025391</v>
      </c>
    </row>
    <row r="10" spans="1:14" x14ac:dyDescent="0.25">
      <c r="A10" s="76"/>
      <c r="B10" s="48" t="s">
        <v>72</v>
      </c>
      <c r="C10" s="44">
        <v>42.016746520996094</v>
      </c>
      <c r="D10" s="44">
        <v>28.104619979858398</v>
      </c>
      <c r="E10" s="44">
        <v>51.5931396484375</v>
      </c>
      <c r="F10" s="45">
        <v>56.090045928955078</v>
      </c>
      <c r="G10" s="44">
        <v>20.089166641235352</v>
      </c>
      <c r="H10" s="44">
        <v>10.051840782165527</v>
      </c>
      <c r="I10" s="44">
        <v>28.817113876342773</v>
      </c>
      <c r="J10" s="45">
        <v>30.426181793212891</v>
      </c>
      <c r="K10" s="46">
        <f t="shared" si="1"/>
        <v>-21.927579879760742</v>
      </c>
      <c r="L10" s="44">
        <f t="shared" si="2"/>
        <v>-18.052779197692871</v>
      </c>
      <c r="M10" s="44">
        <f t="shared" si="3"/>
        <v>-22.776025772094727</v>
      </c>
      <c r="N10" s="45">
        <f t="shared" si="4"/>
        <v>-25.663864135742188</v>
      </c>
    </row>
    <row r="11" spans="1:14" x14ac:dyDescent="0.25">
      <c r="A11" s="77" t="s">
        <v>59</v>
      </c>
      <c r="B11" s="47" t="s">
        <v>69</v>
      </c>
      <c r="C11" s="14">
        <v>16.819961547851563</v>
      </c>
      <c r="D11" s="14">
        <v>11.310853004455566</v>
      </c>
      <c r="E11" s="14">
        <v>22.598039627075195</v>
      </c>
      <c r="F11" s="15">
        <v>19.334203720092773</v>
      </c>
      <c r="G11" s="14">
        <v>9.8575353622436523</v>
      </c>
      <c r="H11" s="14">
        <v>6.7824258804321289</v>
      </c>
      <c r="I11" s="14">
        <v>11.826065063476563</v>
      </c>
      <c r="J11" s="15">
        <v>13.758223533630371</v>
      </c>
      <c r="K11" s="19">
        <f t="shared" si="1"/>
        <v>-6.9624261856079102</v>
      </c>
      <c r="L11" s="14">
        <f t="shared" si="2"/>
        <v>-4.5284271240234375</v>
      </c>
      <c r="M11" s="14">
        <f t="shared" si="3"/>
        <v>-10.771974563598633</v>
      </c>
      <c r="N11" s="15">
        <f t="shared" si="4"/>
        <v>-5.5759801864624023</v>
      </c>
    </row>
    <row r="12" spans="1:14" x14ac:dyDescent="0.25">
      <c r="A12" s="76"/>
      <c r="B12" s="47" t="s">
        <v>70</v>
      </c>
      <c r="C12" s="14">
        <v>24.837703704833984</v>
      </c>
      <c r="D12" s="14">
        <v>13.166379928588867</v>
      </c>
      <c r="E12" s="14">
        <v>35.381919860839844</v>
      </c>
      <c r="F12" s="15">
        <v>37.265541076660156</v>
      </c>
      <c r="G12" s="14">
        <v>12.792202949523926</v>
      </c>
      <c r="H12" s="14">
        <v>7.3938713073730469</v>
      </c>
      <c r="I12" s="14">
        <v>17.265464782714844</v>
      </c>
      <c r="J12" s="15">
        <v>19.734289169311523</v>
      </c>
      <c r="K12" s="19">
        <f t="shared" si="1"/>
        <v>-12.045500755310059</v>
      </c>
      <c r="L12" s="14">
        <f t="shared" si="2"/>
        <v>-5.7725086212158203</v>
      </c>
      <c r="M12" s="14">
        <f t="shared" si="3"/>
        <v>-18.116455078125</v>
      </c>
      <c r="N12" s="15">
        <f t="shared" si="4"/>
        <v>-17.531251907348633</v>
      </c>
    </row>
    <row r="13" spans="1:14" x14ac:dyDescent="0.25">
      <c r="A13" s="76"/>
      <c r="B13" s="47" t="s">
        <v>74</v>
      </c>
      <c r="C13" s="14">
        <v>33.605781555175781</v>
      </c>
      <c r="D13" s="14">
        <v>24.252925872802734</v>
      </c>
      <c r="E13" s="14">
        <v>42.983467102050781</v>
      </c>
      <c r="F13" s="15">
        <v>44.173892974853516</v>
      </c>
      <c r="G13" s="14">
        <v>18.205961227416992</v>
      </c>
      <c r="H13" s="14">
        <v>10.046814918518066</v>
      </c>
      <c r="I13" s="14">
        <v>26.569356918334961</v>
      </c>
      <c r="J13" s="15">
        <v>25.009304046630859</v>
      </c>
      <c r="K13" s="19">
        <f t="shared" si="1"/>
        <v>-15.399820327758789</v>
      </c>
      <c r="L13" s="14">
        <f t="shared" si="2"/>
        <v>-14.206110954284668</v>
      </c>
      <c r="M13" s="14">
        <f t="shared" si="3"/>
        <v>-16.41411018371582</v>
      </c>
      <c r="N13" s="15">
        <f t="shared" si="4"/>
        <v>-19.164588928222656</v>
      </c>
    </row>
    <row r="14" spans="1:14" ht="15.75" thickBot="1" x14ac:dyDescent="0.3">
      <c r="A14" s="78"/>
      <c r="B14" s="49" t="s">
        <v>73</v>
      </c>
      <c r="C14" s="17">
        <v>54.971546173095703</v>
      </c>
      <c r="D14" s="17">
        <v>41.163959503173828</v>
      </c>
      <c r="E14" s="17">
        <v>64.989639282226563</v>
      </c>
      <c r="F14" s="20">
        <v>65.531211853027344</v>
      </c>
      <c r="G14" s="17">
        <v>33.987873077392578</v>
      </c>
      <c r="H14" s="17">
        <v>21.211620330810547</v>
      </c>
      <c r="I14" s="17">
        <v>44.377071380615234</v>
      </c>
      <c r="J14" s="20">
        <v>43.095676422119141</v>
      </c>
      <c r="K14" s="16">
        <f t="shared" si="1"/>
        <v>-20.983673095703125</v>
      </c>
      <c r="L14" s="17">
        <f t="shared" si="2"/>
        <v>-19.952339172363281</v>
      </c>
      <c r="M14" s="17">
        <f t="shared" si="3"/>
        <v>-20.612567901611328</v>
      </c>
      <c r="N14" s="20">
        <f t="shared" si="4"/>
        <v>-22.435535430908203</v>
      </c>
    </row>
  </sheetData>
  <mergeCells count="8">
    <mergeCell ref="A8:A10"/>
    <mergeCell ref="A11:A14"/>
    <mergeCell ref="A1:B3"/>
    <mergeCell ref="C1:N1"/>
    <mergeCell ref="C2:F2"/>
    <mergeCell ref="G2:J2"/>
    <mergeCell ref="K2:N2"/>
    <mergeCell ref="A4:A7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E551-508F-4C2C-BCB2-EE8C11DA5657}">
  <dimension ref="A1:N14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3"/>
    </sheetView>
  </sheetViews>
  <sheetFormatPr baseColWidth="10" defaultRowHeight="15" x14ac:dyDescent="0.25"/>
  <cols>
    <col min="1" max="1" width="42.85546875" style="1" customWidth="1"/>
    <col min="2" max="2" width="25" style="1" customWidth="1"/>
    <col min="3" max="3" width="17.85546875" style="1" customWidth="1"/>
    <col min="4" max="4" width="21.42578125" style="1" customWidth="1"/>
    <col min="5" max="5" width="14.28515625" style="1" customWidth="1"/>
    <col min="6" max="6" width="14.42578125" style="1" customWidth="1"/>
    <col min="7" max="7" width="17.85546875" style="1" customWidth="1"/>
    <col min="8" max="8" width="21.42578125" style="1" customWidth="1"/>
    <col min="9" max="10" width="14.28515625" style="1" customWidth="1"/>
    <col min="11" max="11" width="17.85546875" style="1" customWidth="1"/>
    <col min="12" max="12" width="21.42578125" style="1" customWidth="1"/>
    <col min="13" max="13" width="14.140625" style="1" customWidth="1"/>
    <col min="14" max="14" width="14.28515625" style="1" customWidth="1"/>
    <col min="15" max="16384" width="11.42578125" style="1"/>
  </cols>
  <sheetData>
    <row r="1" spans="1:14" ht="15.75" thickBot="1" x14ac:dyDescent="0.3">
      <c r="A1" s="79" t="s">
        <v>67</v>
      </c>
      <c r="B1" s="80"/>
      <c r="C1" s="66" t="s">
        <v>21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15.75" thickBot="1" x14ac:dyDescent="0.3">
      <c r="A2" s="81"/>
      <c r="B2" s="82"/>
      <c r="C2" s="66">
        <v>2002</v>
      </c>
      <c r="D2" s="66"/>
      <c r="E2" s="66"/>
      <c r="F2" s="67"/>
      <c r="G2" s="71">
        <v>2018</v>
      </c>
      <c r="H2" s="66"/>
      <c r="I2" s="66"/>
      <c r="J2" s="67"/>
      <c r="K2" s="71" t="s">
        <v>57</v>
      </c>
      <c r="L2" s="66"/>
      <c r="M2" s="66"/>
      <c r="N2" s="67"/>
    </row>
    <row r="3" spans="1:14" ht="15.75" thickBot="1" x14ac:dyDescent="0.3">
      <c r="A3" s="83"/>
      <c r="B3" s="84"/>
      <c r="C3" s="2" t="s">
        <v>24</v>
      </c>
      <c r="D3" s="2" t="s">
        <v>2</v>
      </c>
      <c r="E3" s="2" t="s">
        <v>4</v>
      </c>
      <c r="F3" s="3" t="s">
        <v>3</v>
      </c>
      <c r="G3" s="2" t="s">
        <v>24</v>
      </c>
      <c r="H3" s="2" t="s">
        <v>2</v>
      </c>
      <c r="I3" s="2" t="s">
        <v>4</v>
      </c>
      <c r="J3" s="7" t="s">
        <v>3</v>
      </c>
      <c r="K3" s="2" t="s">
        <v>24</v>
      </c>
      <c r="L3" s="2" t="s">
        <v>2</v>
      </c>
      <c r="M3" s="2" t="s">
        <v>4</v>
      </c>
      <c r="N3" s="3" t="s">
        <v>3</v>
      </c>
    </row>
    <row r="4" spans="1:14" x14ac:dyDescent="0.25">
      <c r="A4" s="85" t="s">
        <v>61</v>
      </c>
      <c r="B4" s="47" t="s">
        <v>68</v>
      </c>
      <c r="C4" s="14">
        <v>7.5233488082885742</v>
      </c>
      <c r="D4" s="14">
        <v>2.9924240112304688</v>
      </c>
      <c r="E4" s="14">
        <v>8.4466543197631836</v>
      </c>
      <c r="F4" s="15">
        <v>17.818061828613281</v>
      </c>
      <c r="G4" s="14">
        <v>3.4619793891906738</v>
      </c>
      <c r="H4" s="14">
        <v>1.7451851367950439</v>
      </c>
      <c r="I4" s="14">
        <v>3.700542688369751</v>
      </c>
      <c r="J4" s="15">
        <v>7.9004306793212891</v>
      </c>
      <c r="K4" s="18">
        <f>G4-C4</f>
        <v>-4.0613694190979004</v>
      </c>
      <c r="L4" s="14">
        <f t="shared" ref="L4:N14" si="0">H4-D4</f>
        <v>-1.2472388744354248</v>
      </c>
      <c r="M4" s="14">
        <f t="shared" si="0"/>
        <v>-4.7461116313934326</v>
      </c>
      <c r="N4" s="15">
        <f t="shared" si="0"/>
        <v>-9.9176311492919922</v>
      </c>
    </row>
    <row r="5" spans="1:14" x14ac:dyDescent="0.25">
      <c r="A5" s="86"/>
      <c r="B5" s="47" t="s">
        <v>69</v>
      </c>
      <c r="C5" s="14">
        <v>12.267141342163086</v>
      </c>
      <c r="D5" s="14">
        <v>5.3469009399414063</v>
      </c>
      <c r="E5" s="14">
        <v>12.733354568481445</v>
      </c>
      <c r="F5" s="15">
        <v>26.241725921630859</v>
      </c>
      <c r="G5" s="14">
        <v>5.5644779205322266</v>
      </c>
      <c r="H5" s="14">
        <v>2.3971848487854004</v>
      </c>
      <c r="I5" s="14">
        <v>6.2016520500183105</v>
      </c>
      <c r="J5" s="15">
        <v>11.267146110534668</v>
      </c>
      <c r="K5" s="19">
        <f t="shared" ref="K5:K14" si="1">G5-C5</f>
        <v>-6.7026634216308594</v>
      </c>
      <c r="L5" s="14">
        <f t="shared" si="0"/>
        <v>-2.9497160911560059</v>
      </c>
      <c r="M5" s="14">
        <f t="shared" si="0"/>
        <v>-6.5317025184631348</v>
      </c>
      <c r="N5" s="15">
        <f t="shared" si="0"/>
        <v>-14.974579811096191</v>
      </c>
    </row>
    <row r="6" spans="1:14" x14ac:dyDescent="0.25">
      <c r="A6" s="86"/>
      <c r="B6" s="47" t="s">
        <v>70</v>
      </c>
      <c r="C6" s="14">
        <v>18.928462982177734</v>
      </c>
      <c r="D6" s="14">
        <v>8.8725996017456055</v>
      </c>
      <c r="E6" s="14">
        <v>21.337646484375</v>
      </c>
      <c r="F6" s="15">
        <v>31.632116317749023</v>
      </c>
      <c r="G6" s="14">
        <v>10.02161693572998</v>
      </c>
      <c r="H6" s="14">
        <v>3.8418231010437012</v>
      </c>
      <c r="I6" s="14">
        <v>10.730307579040527</v>
      </c>
      <c r="J6" s="15">
        <v>18.365100860595703</v>
      </c>
      <c r="K6" s="19">
        <f t="shared" si="1"/>
        <v>-8.9068460464477539</v>
      </c>
      <c r="L6" s="14">
        <f t="shared" si="0"/>
        <v>-5.0307765007019043</v>
      </c>
      <c r="M6" s="14">
        <f t="shared" si="0"/>
        <v>-10.607338905334473</v>
      </c>
      <c r="N6" s="15">
        <f t="shared" si="0"/>
        <v>-13.26701545715332</v>
      </c>
    </row>
    <row r="7" spans="1:14" x14ac:dyDescent="0.25">
      <c r="A7" s="87"/>
      <c r="B7" s="48" t="s">
        <v>71</v>
      </c>
      <c r="C7" s="44">
        <v>38.427642822265625</v>
      </c>
      <c r="D7" s="44">
        <v>21.593805313110352</v>
      </c>
      <c r="E7" s="44">
        <v>38.351039886474609</v>
      </c>
      <c r="F7" s="45">
        <v>51.995250701904297</v>
      </c>
      <c r="G7" s="44">
        <v>23.639404296875</v>
      </c>
      <c r="H7" s="44">
        <v>10.923125267028809</v>
      </c>
      <c r="I7" s="44">
        <v>22.061649322509766</v>
      </c>
      <c r="J7" s="45">
        <v>35.535976409912109</v>
      </c>
      <c r="K7" s="46">
        <f t="shared" si="1"/>
        <v>-14.788238525390625</v>
      </c>
      <c r="L7" s="44">
        <f t="shared" si="0"/>
        <v>-10.670680046081543</v>
      </c>
      <c r="M7" s="44">
        <f t="shared" si="0"/>
        <v>-16.289390563964844</v>
      </c>
      <c r="N7" s="45">
        <f t="shared" si="0"/>
        <v>-16.459274291992188</v>
      </c>
    </row>
    <row r="8" spans="1:14" x14ac:dyDescent="0.25">
      <c r="A8" s="76" t="s">
        <v>60</v>
      </c>
      <c r="B8" s="47" t="s">
        <v>68</v>
      </c>
      <c r="C8" s="14">
        <v>30.322391510009766</v>
      </c>
      <c r="D8" s="14">
        <v>22.966773986816406</v>
      </c>
      <c r="E8" s="14">
        <v>32.593921661376953</v>
      </c>
      <c r="F8" s="15">
        <v>45.068435668945313</v>
      </c>
      <c r="G8" s="14">
        <v>21.020641326904297</v>
      </c>
      <c r="H8" s="14">
        <v>15.359786987304688</v>
      </c>
      <c r="I8" s="14">
        <v>22.554161071777344</v>
      </c>
      <c r="J8" s="15">
        <v>34.059246063232422</v>
      </c>
      <c r="K8" s="19">
        <f t="shared" si="1"/>
        <v>-9.3017501831054688</v>
      </c>
      <c r="L8" s="14">
        <f t="shared" si="0"/>
        <v>-7.6069869995117188</v>
      </c>
      <c r="M8" s="14">
        <f t="shared" si="0"/>
        <v>-10.039760589599609</v>
      </c>
      <c r="N8" s="15">
        <f t="shared" si="0"/>
        <v>-11.009189605712891</v>
      </c>
    </row>
    <row r="9" spans="1:14" x14ac:dyDescent="0.25">
      <c r="A9" s="76"/>
      <c r="B9" s="47" t="s">
        <v>69</v>
      </c>
      <c r="C9" s="14">
        <v>22.785242080688477</v>
      </c>
      <c r="D9" s="14">
        <v>10.188593864440918</v>
      </c>
      <c r="E9" s="14">
        <v>25.417219161987305</v>
      </c>
      <c r="F9" s="15">
        <v>39.030181884765625</v>
      </c>
      <c r="G9" s="14">
        <v>9.4713802337646484</v>
      </c>
      <c r="H9" s="14">
        <v>3.6298496723175049</v>
      </c>
      <c r="I9" s="14">
        <v>10.171995162963867</v>
      </c>
      <c r="J9" s="15">
        <v>17.686994552612305</v>
      </c>
      <c r="K9" s="19">
        <f t="shared" si="1"/>
        <v>-13.313861846923828</v>
      </c>
      <c r="L9" s="14">
        <f t="shared" si="0"/>
        <v>-6.5587441921234131</v>
      </c>
      <c r="M9" s="14">
        <f t="shared" si="0"/>
        <v>-15.245223999023438</v>
      </c>
      <c r="N9" s="15">
        <f t="shared" si="0"/>
        <v>-21.34318733215332</v>
      </c>
    </row>
    <row r="10" spans="1:14" x14ac:dyDescent="0.25">
      <c r="A10" s="76"/>
      <c r="B10" s="48" t="s">
        <v>72</v>
      </c>
      <c r="C10" s="44">
        <v>12.937312126159668</v>
      </c>
      <c r="D10" s="44">
        <v>4.0241422653198242</v>
      </c>
      <c r="E10" s="44">
        <v>13.479311943054199</v>
      </c>
      <c r="F10" s="45">
        <v>27.840370178222656</v>
      </c>
      <c r="G10" s="44">
        <v>4.1356596946716309</v>
      </c>
      <c r="H10" s="44">
        <v>0.90746980905532837</v>
      </c>
      <c r="I10" s="44">
        <v>3.9388668537139893</v>
      </c>
      <c r="J10" s="45">
        <v>11.780331611633301</v>
      </c>
      <c r="K10" s="46">
        <f t="shared" si="1"/>
        <v>-8.8016524314880371</v>
      </c>
      <c r="L10" s="44">
        <f t="shared" si="0"/>
        <v>-3.1166724562644958</v>
      </c>
      <c r="M10" s="44">
        <f t="shared" si="0"/>
        <v>-9.54044508934021</v>
      </c>
      <c r="N10" s="45">
        <f t="shared" si="0"/>
        <v>-16.060038566589355</v>
      </c>
    </row>
    <row r="11" spans="1:14" x14ac:dyDescent="0.25">
      <c r="A11" s="77" t="s">
        <v>59</v>
      </c>
      <c r="B11" s="47" t="s">
        <v>69</v>
      </c>
      <c r="C11" s="14">
        <v>6.3204207420349121</v>
      </c>
      <c r="D11" s="14">
        <v>4.0792927742004395</v>
      </c>
      <c r="E11" s="14">
        <v>7.8772563934326172</v>
      </c>
      <c r="F11" s="15">
        <v>8.3331890106201172</v>
      </c>
      <c r="G11" s="14">
        <v>4.3489089012145996</v>
      </c>
      <c r="H11" s="14">
        <v>3.426598072052002</v>
      </c>
      <c r="I11" s="14">
        <v>4.0866775512695313</v>
      </c>
      <c r="J11" s="15">
        <v>6.7969932556152344</v>
      </c>
      <c r="K11" s="19">
        <f t="shared" si="1"/>
        <v>-1.9715118408203125</v>
      </c>
      <c r="L11" s="14">
        <f t="shared" si="0"/>
        <v>-0.6526947021484375</v>
      </c>
      <c r="M11" s="14">
        <f t="shared" si="0"/>
        <v>-3.7905788421630859</v>
      </c>
      <c r="N11" s="15">
        <f t="shared" si="0"/>
        <v>-1.5361957550048828</v>
      </c>
    </row>
    <row r="12" spans="1:14" x14ac:dyDescent="0.25">
      <c r="A12" s="76"/>
      <c r="B12" s="47" t="s">
        <v>70</v>
      </c>
      <c r="C12" s="14">
        <v>8.2405881881713867</v>
      </c>
      <c r="D12" s="14">
        <v>3.8018860816955566</v>
      </c>
      <c r="E12" s="14">
        <v>9.8714046478271484</v>
      </c>
      <c r="F12" s="15">
        <v>16.16081428527832</v>
      </c>
      <c r="G12" s="14">
        <v>3.6867175102233887</v>
      </c>
      <c r="H12" s="14">
        <v>2.197185754776001</v>
      </c>
      <c r="I12" s="14">
        <v>3.731071949005127</v>
      </c>
      <c r="J12" s="15">
        <v>7.4530124664306641</v>
      </c>
      <c r="K12" s="19">
        <f t="shared" si="1"/>
        <v>-4.553870677947998</v>
      </c>
      <c r="L12" s="14">
        <f t="shared" si="0"/>
        <v>-1.6047003269195557</v>
      </c>
      <c r="M12" s="14">
        <f t="shared" si="0"/>
        <v>-6.1403326988220215</v>
      </c>
      <c r="N12" s="15">
        <f t="shared" si="0"/>
        <v>-8.7078018188476563</v>
      </c>
    </row>
    <row r="13" spans="1:14" x14ac:dyDescent="0.25">
      <c r="A13" s="76"/>
      <c r="B13" s="47" t="s">
        <v>74</v>
      </c>
      <c r="C13" s="14">
        <v>9.0558681488037109</v>
      </c>
      <c r="D13" s="14">
        <v>4.7578959465026855</v>
      </c>
      <c r="E13" s="14">
        <v>9.3434829711914063</v>
      </c>
      <c r="F13" s="15">
        <v>19.653982162475586</v>
      </c>
      <c r="G13" s="14">
        <v>4.6321520805358887</v>
      </c>
      <c r="H13" s="14">
        <v>2.3799195289611816</v>
      </c>
      <c r="I13" s="14">
        <v>5.0040268898010254</v>
      </c>
      <c r="J13" s="15">
        <v>9.5544166564941406</v>
      </c>
      <c r="K13" s="19">
        <f t="shared" si="1"/>
        <v>-4.4237160682678223</v>
      </c>
      <c r="L13" s="14">
        <f t="shared" si="0"/>
        <v>-2.3779764175415039</v>
      </c>
      <c r="M13" s="14">
        <f t="shared" si="0"/>
        <v>-4.3394560813903809</v>
      </c>
      <c r="N13" s="15">
        <f t="shared" si="0"/>
        <v>-10.099565505981445</v>
      </c>
    </row>
    <row r="14" spans="1:14" ht="15.75" thickBot="1" x14ac:dyDescent="0.3">
      <c r="A14" s="78"/>
      <c r="B14" s="49" t="s">
        <v>73</v>
      </c>
      <c r="C14" s="17">
        <v>20.208969116210938</v>
      </c>
      <c r="D14" s="17">
        <v>8.4425010681152344</v>
      </c>
      <c r="E14" s="17">
        <v>22.363943099975586</v>
      </c>
      <c r="F14" s="20">
        <v>36.12603759765625</v>
      </c>
      <c r="G14" s="17">
        <v>9.0301084518432617</v>
      </c>
      <c r="H14" s="17">
        <v>3.1294333934783936</v>
      </c>
      <c r="I14" s="17">
        <v>9.6803817749023438</v>
      </c>
      <c r="J14" s="20">
        <v>18.754629135131836</v>
      </c>
      <c r="K14" s="16">
        <f t="shared" si="1"/>
        <v>-11.178860664367676</v>
      </c>
      <c r="L14" s="17">
        <f t="shared" si="0"/>
        <v>-5.3130676746368408</v>
      </c>
      <c r="M14" s="17">
        <f t="shared" si="0"/>
        <v>-12.683561325073242</v>
      </c>
      <c r="N14" s="20">
        <f t="shared" si="0"/>
        <v>-17.371408462524414</v>
      </c>
    </row>
  </sheetData>
  <mergeCells count="8">
    <mergeCell ref="A8:A10"/>
    <mergeCell ref="A11:A14"/>
    <mergeCell ref="A1:B3"/>
    <mergeCell ref="C1:N1"/>
    <mergeCell ref="C2:F2"/>
    <mergeCell ref="G2:J2"/>
    <mergeCell ref="K2:N2"/>
    <mergeCell ref="A4:A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Tabla 1</vt:lpstr>
      <vt:lpstr>Tabla 2</vt:lpstr>
      <vt:lpstr>Tabla 3</vt:lpstr>
      <vt:lpstr>Tabla 4</vt:lpstr>
      <vt:lpstr>Tabla 5</vt:lpstr>
      <vt:lpstr>Tabla 6</vt:lpstr>
      <vt:lpstr>Tabla 7</vt:lpstr>
      <vt:lpstr>Tabla 8</vt:lpstr>
      <vt:lpstr>Tabla 9</vt:lpstr>
      <vt:lpstr>Tabla 10</vt:lpstr>
      <vt:lpstr>Tabla 11</vt:lpstr>
      <vt:lpstr>Tabla 12</vt:lpstr>
      <vt:lpstr>Tabla 13</vt:lpstr>
      <vt:lpstr>Tabla 14</vt:lpstr>
      <vt:lpstr>Tabla 15</vt:lpstr>
      <vt:lpstr>Tabla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2021-08-30T15:03:53Z</dcterms:created>
  <dcterms:modified xsi:type="dcterms:W3CDTF">2021-10-14T23:43:38Z</dcterms:modified>
</cp:coreProperties>
</file>